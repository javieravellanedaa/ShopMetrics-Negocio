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drawings/drawing9.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orge\Desktop\"/>
    </mc:Choice>
  </mc:AlternateContent>
  <bookViews>
    <workbookView xWindow="0" yWindow="0" windowWidth="15264" windowHeight="8280" firstSheet="16" activeTab="20"/>
  </bookViews>
  <sheets>
    <sheet name="Portada" sheetId="1" r:id="rId1"/>
    <sheet name="Indice" sheetId="2" r:id="rId2"/>
    <sheet name="Hipótesis" sheetId="3" r:id="rId3"/>
    <sheet name="Proy. ventas" sheetId="4" r:id="rId4"/>
    <sheet name="Anexo capacidad operativa" sheetId="5" r:id="rId5"/>
    <sheet name="Mod. ingresos" sheetId="6" r:id="rId6"/>
    <sheet name="Costos fijos" sheetId="7" r:id="rId7"/>
    <sheet name="Costos variables" sheetId="8" r:id="rId8"/>
    <sheet name="Costos RRHH" sheetId="9" r:id="rId9"/>
    <sheet name="Mod. egresos" sheetId="10" r:id="rId10"/>
    <sheet name="Mod. inversión" sheetId="11" r:id="rId11"/>
    <sheet name="Amortizaciones" sheetId="12" r:id="rId12"/>
    <sheet name="Presupuesto financiero" sheetId="13" r:id="rId13"/>
    <sheet name="Estructura" sheetId="14" r:id="rId14"/>
    <sheet name="Riesgos" sheetId="15" r:id="rId15"/>
    <sheet name="Matriz de riesgos" sheetId="16" r:id="rId16"/>
    <sheet name="Cuadro de evaluación de riesgos" sheetId="17" r:id="rId17"/>
    <sheet name="Escenario 1" sheetId="18" r:id="rId18"/>
    <sheet name="Escenario 2" sheetId="19" r:id="rId19"/>
    <sheet name="Escenario 3" sheetId="20" r:id="rId20"/>
    <sheet name="Plan de Contingencia" sheetId="21" r:id="rId21"/>
  </sheets>
  <definedNames>
    <definedName name="_xlnm._FilterDatabase" localSheetId="15" hidden="1">'Matriz de riesgos'!$B$2:$I$30</definedName>
  </definedNames>
  <calcPr calcId="152511"/>
</workbook>
</file>

<file path=xl/calcChain.xml><?xml version="1.0" encoding="utf-8"?>
<calcChain xmlns="http://schemas.openxmlformats.org/spreadsheetml/2006/main">
  <c r="F26" i="21" l="1"/>
  <c r="F18" i="21"/>
  <c r="E18" i="21"/>
  <c r="F18" i="20"/>
  <c r="F10" i="20"/>
  <c r="E10" i="20"/>
  <c r="F18" i="19"/>
  <c r="F10" i="19"/>
  <c r="E10" i="19"/>
  <c r="F18" i="18"/>
  <c r="F10" i="18"/>
  <c r="E10" i="18"/>
  <c r="I28" i="16"/>
  <c r="I26" i="16"/>
  <c r="I25" i="16"/>
  <c r="I24" i="16"/>
  <c r="I23" i="16"/>
  <c r="I22" i="16"/>
  <c r="I21" i="16"/>
  <c r="I20" i="16"/>
  <c r="I19" i="16"/>
  <c r="I18" i="16"/>
  <c r="I17" i="16"/>
  <c r="I16" i="16"/>
  <c r="I15" i="16"/>
  <c r="I14" i="16"/>
  <c r="I12" i="16"/>
  <c r="I11" i="16"/>
  <c r="I10" i="16"/>
  <c r="I9" i="16"/>
  <c r="I8" i="16"/>
  <c r="I7" i="16"/>
  <c r="I6" i="16"/>
  <c r="I5" i="16"/>
  <c r="I4" i="16"/>
  <c r="I3" i="16"/>
  <c r="M5" i="13"/>
  <c r="L5" i="13"/>
  <c r="K5" i="13"/>
  <c r="K26" i="12"/>
  <c r="G26" i="12"/>
  <c r="M26" i="12" s="1"/>
  <c r="M25" i="12"/>
  <c r="L25" i="12"/>
  <c r="K25" i="12"/>
  <c r="G25" i="12"/>
  <c r="K24" i="12"/>
  <c r="G24" i="12"/>
  <c r="M24" i="12" s="1"/>
  <c r="M23" i="12"/>
  <c r="L23" i="12"/>
  <c r="K23" i="12"/>
  <c r="G23" i="12"/>
  <c r="K22" i="12"/>
  <c r="G22" i="12"/>
  <c r="M22" i="12" s="1"/>
  <c r="M21" i="12"/>
  <c r="L21" i="12"/>
  <c r="K21" i="12"/>
  <c r="G21" i="12"/>
  <c r="E20" i="12"/>
  <c r="D20" i="12"/>
  <c r="J20" i="12" s="1"/>
  <c r="E19" i="12"/>
  <c r="I19" i="12" s="1"/>
  <c r="M19" i="12" s="1"/>
  <c r="D19" i="12"/>
  <c r="E18" i="12"/>
  <c r="D18" i="12"/>
  <c r="G18" i="12" s="1"/>
  <c r="J17" i="12"/>
  <c r="E17" i="12"/>
  <c r="D17" i="12"/>
  <c r="E16" i="12"/>
  <c r="D16" i="12"/>
  <c r="I16" i="12" s="1"/>
  <c r="M16" i="12" s="1"/>
  <c r="E15" i="12"/>
  <c r="G15" i="12" s="1"/>
  <c r="D15" i="12"/>
  <c r="J14" i="12"/>
  <c r="E14" i="12"/>
  <c r="D14" i="12"/>
  <c r="M13" i="12"/>
  <c r="I13" i="12"/>
  <c r="E13" i="12"/>
  <c r="D13" i="12"/>
  <c r="E12" i="12"/>
  <c r="D12" i="12"/>
  <c r="E11" i="12"/>
  <c r="D11" i="12"/>
  <c r="G11" i="12" s="1"/>
  <c r="D5" i="12"/>
  <c r="C5" i="12"/>
  <c r="B5" i="12"/>
  <c r="E77" i="11"/>
  <c r="E76" i="11"/>
  <c r="E75" i="11"/>
  <c r="E74" i="11"/>
  <c r="E73" i="11"/>
  <c r="E72" i="11"/>
  <c r="E71" i="11"/>
  <c r="E70" i="11"/>
  <c r="E69" i="11"/>
  <c r="E68" i="11"/>
  <c r="E59" i="11"/>
  <c r="E58" i="11"/>
  <c r="E57" i="11"/>
  <c r="E56" i="11"/>
  <c r="E55" i="11"/>
  <c r="E54" i="11"/>
  <c r="E53" i="11"/>
  <c r="E52" i="11"/>
  <c r="E51" i="11"/>
  <c r="E50" i="11"/>
  <c r="E41" i="11"/>
  <c r="E40" i="11"/>
  <c r="E39" i="11"/>
  <c r="E38" i="11"/>
  <c r="E37" i="11"/>
  <c r="E36" i="11"/>
  <c r="E35" i="11"/>
  <c r="E34" i="11"/>
  <c r="E33" i="11"/>
  <c r="E32" i="11"/>
  <c r="E45" i="11" s="1"/>
  <c r="E20" i="11"/>
  <c r="E19" i="11"/>
  <c r="E18" i="11"/>
  <c r="E17" i="11"/>
  <c r="E16" i="11"/>
  <c r="E15" i="11"/>
  <c r="E14" i="11"/>
  <c r="E13" i="11"/>
  <c r="E28" i="11" s="1"/>
  <c r="E12" i="11"/>
  <c r="E11" i="11"/>
  <c r="D5" i="11"/>
  <c r="C5" i="11"/>
  <c r="B5" i="11"/>
  <c r="D5" i="10"/>
  <c r="C5" i="10"/>
  <c r="B5" i="10"/>
  <c r="Y256" i="9"/>
  <c r="W256" i="9"/>
  <c r="U256" i="9"/>
  <c r="S256" i="9"/>
  <c r="Q256" i="9"/>
  <c r="O256" i="9"/>
  <c r="M256" i="9"/>
  <c r="K256" i="9"/>
  <c r="I256" i="9"/>
  <c r="G256" i="9"/>
  <c r="E256" i="9"/>
  <c r="C256" i="9"/>
  <c r="B255" i="9"/>
  <c r="B254" i="9"/>
  <c r="B253" i="9"/>
  <c r="B252" i="9"/>
  <c r="B251" i="9"/>
  <c r="B250" i="9"/>
  <c r="B249" i="9"/>
  <c r="B248" i="9"/>
  <c r="B247" i="9"/>
  <c r="B246" i="9"/>
  <c r="B245" i="9"/>
  <c r="B244" i="9"/>
  <c r="B243" i="9"/>
  <c r="B242" i="9"/>
  <c r="B241" i="9"/>
  <c r="B240" i="9"/>
  <c r="B239" i="9"/>
  <c r="B238" i="9"/>
  <c r="B237" i="9"/>
  <c r="B236" i="9"/>
  <c r="B235" i="9"/>
  <c r="B234" i="9"/>
  <c r="B233" i="9"/>
  <c r="B232" i="9"/>
  <c r="B231" i="9"/>
  <c r="B230" i="9"/>
  <c r="B229" i="9"/>
  <c r="B228" i="9"/>
  <c r="B227" i="9"/>
  <c r="B226" i="9"/>
  <c r="B225" i="9"/>
  <c r="B224" i="9"/>
  <c r="B223" i="9"/>
  <c r="B222" i="9"/>
  <c r="B221" i="9"/>
  <c r="B220" i="9"/>
  <c r="B219" i="9"/>
  <c r="B218" i="9"/>
  <c r="B217" i="9"/>
  <c r="B216" i="9"/>
  <c r="B215" i="9"/>
  <c r="B214" i="9"/>
  <c r="B213" i="9"/>
  <c r="B212" i="9"/>
  <c r="B211" i="9"/>
  <c r="B210" i="9"/>
  <c r="B209" i="9"/>
  <c r="B208" i="9"/>
  <c r="B207" i="9"/>
  <c r="B206" i="9"/>
  <c r="B205" i="9"/>
  <c r="B204" i="9"/>
  <c r="B203" i="9"/>
  <c r="B202" i="9"/>
  <c r="B201" i="9"/>
  <c r="B200" i="9"/>
  <c r="Y195" i="9"/>
  <c r="W195" i="9"/>
  <c r="U195" i="9"/>
  <c r="S195" i="9"/>
  <c r="Q195" i="9"/>
  <c r="O195" i="9"/>
  <c r="M195" i="9"/>
  <c r="K195" i="9"/>
  <c r="I195" i="9"/>
  <c r="G195" i="9"/>
  <c r="E195" i="9"/>
  <c r="C195" i="9"/>
  <c r="B194" i="9"/>
  <c r="B193" i="9"/>
  <c r="B192" i="9"/>
  <c r="B191" i="9"/>
  <c r="B190" i="9"/>
  <c r="B189" i="9"/>
  <c r="B188" i="9"/>
  <c r="B187" i="9"/>
  <c r="B186" i="9"/>
  <c r="B185" i="9"/>
  <c r="B184" i="9"/>
  <c r="B183" i="9"/>
  <c r="B182" i="9"/>
  <c r="B181" i="9"/>
  <c r="B180" i="9"/>
  <c r="B179" i="9"/>
  <c r="B178" i="9"/>
  <c r="B177" i="9"/>
  <c r="B176" i="9"/>
  <c r="B175" i="9"/>
  <c r="B174" i="9"/>
  <c r="B173" i="9"/>
  <c r="B172" i="9"/>
  <c r="B171" i="9"/>
  <c r="B170" i="9"/>
  <c r="B169" i="9"/>
  <c r="B168" i="9"/>
  <c r="B167" i="9"/>
  <c r="B166" i="9"/>
  <c r="B165" i="9"/>
  <c r="B164" i="9"/>
  <c r="B163" i="9"/>
  <c r="B162" i="9"/>
  <c r="B161" i="9"/>
  <c r="B160" i="9"/>
  <c r="B159" i="9"/>
  <c r="B158" i="9"/>
  <c r="B157" i="9"/>
  <c r="B156" i="9"/>
  <c r="B155" i="9"/>
  <c r="B154" i="9"/>
  <c r="B153" i="9"/>
  <c r="B152" i="9"/>
  <c r="B151" i="9"/>
  <c r="B150" i="9"/>
  <c r="B149" i="9"/>
  <c r="B148" i="9"/>
  <c r="B147" i="9"/>
  <c r="B146" i="9"/>
  <c r="B145" i="9"/>
  <c r="B144" i="9"/>
  <c r="B143" i="9"/>
  <c r="B142" i="9"/>
  <c r="B141" i="9"/>
  <c r="B140" i="9"/>
  <c r="B139" i="9"/>
  <c r="Y134" i="9"/>
  <c r="W134" i="9"/>
  <c r="U134" i="9"/>
  <c r="S134" i="9"/>
  <c r="Q134" i="9"/>
  <c r="O134" i="9"/>
  <c r="M134" i="9"/>
  <c r="K134" i="9"/>
  <c r="I134" i="9"/>
  <c r="G134" i="9"/>
  <c r="E134" i="9"/>
  <c r="C134" i="9"/>
  <c r="B133" i="9"/>
  <c r="B132" i="9"/>
  <c r="B131" i="9"/>
  <c r="B130" i="9"/>
  <c r="B129" i="9"/>
  <c r="B128" i="9"/>
  <c r="B127" i="9"/>
  <c r="B126" i="9"/>
  <c r="B125" i="9"/>
  <c r="B124" i="9"/>
  <c r="B123" i="9"/>
  <c r="B122" i="9"/>
  <c r="B121" i="9"/>
  <c r="B120" i="9"/>
  <c r="B119" i="9"/>
  <c r="B118" i="9"/>
  <c r="B117" i="9"/>
  <c r="B116" i="9"/>
  <c r="B115" i="9"/>
  <c r="B114" i="9"/>
  <c r="B113" i="9"/>
  <c r="B112" i="9"/>
  <c r="N111" i="9"/>
  <c r="B111" i="9"/>
  <c r="B110" i="9"/>
  <c r="B109" i="9"/>
  <c r="B108" i="9"/>
  <c r="B107" i="9"/>
  <c r="B106" i="9"/>
  <c r="B105" i="9"/>
  <c r="R104" i="9"/>
  <c r="B104" i="9"/>
  <c r="B103" i="9"/>
  <c r="B102" i="9"/>
  <c r="B101" i="9"/>
  <c r="B100" i="9"/>
  <c r="B99" i="9"/>
  <c r="B98" i="9"/>
  <c r="B97" i="9"/>
  <c r="T96" i="9"/>
  <c r="B96" i="9"/>
  <c r="B95" i="9"/>
  <c r="B94" i="9"/>
  <c r="B93" i="9"/>
  <c r="T92" i="9"/>
  <c r="D92" i="9"/>
  <c r="B92" i="9"/>
  <c r="B91" i="9"/>
  <c r="B90" i="9"/>
  <c r="B89" i="9"/>
  <c r="B88" i="9"/>
  <c r="B87" i="9"/>
  <c r="B86" i="9"/>
  <c r="B85" i="9"/>
  <c r="B84" i="9"/>
  <c r="P83" i="9"/>
  <c r="B83" i="9"/>
  <c r="B82" i="9"/>
  <c r="B81" i="9"/>
  <c r="B80" i="9"/>
  <c r="B79" i="9"/>
  <c r="B78" i="9"/>
  <c r="J71" i="9"/>
  <c r="H71" i="9"/>
  <c r="G71" i="9"/>
  <c r="F71" i="9"/>
  <c r="E71" i="9"/>
  <c r="J70" i="9"/>
  <c r="H70" i="9"/>
  <c r="G70" i="9"/>
  <c r="F70" i="9"/>
  <c r="E70" i="9"/>
  <c r="K69" i="9"/>
  <c r="L69" i="9" s="1"/>
  <c r="J69" i="9"/>
  <c r="H69" i="9"/>
  <c r="G69" i="9"/>
  <c r="F69" i="9"/>
  <c r="E69" i="9"/>
  <c r="J68" i="9"/>
  <c r="H68" i="9"/>
  <c r="G68" i="9"/>
  <c r="F68" i="9"/>
  <c r="E68" i="9"/>
  <c r="J67" i="9"/>
  <c r="H67" i="9"/>
  <c r="G67" i="9"/>
  <c r="F67" i="9"/>
  <c r="E67" i="9"/>
  <c r="J66" i="9"/>
  <c r="H66" i="9"/>
  <c r="G66" i="9"/>
  <c r="F66" i="9"/>
  <c r="K66" i="9" s="1"/>
  <c r="L66" i="9" s="1"/>
  <c r="E66" i="9"/>
  <c r="L65" i="9"/>
  <c r="K65" i="9"/>
  <c r="J65" i="9"/>
  <c r="H65" i="9"/>
  <c r="G65" i="9"/>
  <c r="F65" i="9"/>
  <c r="E65" i="9"/>
  <c r="K64" i="9"/>
  <c r="L64" i="9" s="1"/>
  <c r="J64" i="9"/>
  <c r="H64" i="9"/>
  <c r="G64" i="9"/>
  <c r="F64" i="9"/>
  <c r="E64" i="9"/>
  <c r="J63" i="9"/>
  <c r="H63" i="9"/>
  <c r="G63" i="9"/>
  <c r="F63" i="9"/>
  <c r="E63" i="9"/>
  <c r="J62" i="9"/>
  <c r="H62" i="9"/>
  <c r="G62" i="9"/>
  <c r="F62" i="9"/>
  <c r="E62" i="9"/>
  <c r="K62" i="9" s="1"/>
  <c r="L62" i="9" s="1"/>
  <c r="J61" i="9"/>
  <c r="H61" i="9"/>
  <c r="G61" i="9"/>
  <c r="K61" i="9" s="1"/>
  <c r="L61" i="9" s="1"/>
  <c r="F61" i="9"/>
  <c r="E61" i="9"/>
  <c r="J60" i="9"/>
  <c r="H60" i="9"/>
  <c r="G60" i="9"/>
  <c r="F60" i="9"/>
  <c r="E60" i="9"/>
  <c r="J59" i="9"/>
  <c r="H59" i="9"/>
  <c r="G59" i="9"/>
  <c r="F59" i="9"/>
  <c r="E59" i="9"/>
  <c r="K59" i="9" s="1"/>
  <c r="L59" i="9" s="1"/>
  <c r="J58" i="9"/>
  <c r="H58" i="9"/>
  <c r="G58" i="9"/>
  <c r="K58" i="9" s="1"/>
  <c r="L58" i="9" s="1"/>
  <c r="F58" i="9"/>
  <c r="E58" i="9"/>
  <c r="L57" i="9"/>
  <c r="K57" i="9"/>
  <c r="J57" i="9"/>
  <c r="H57" i="9"/>
  <c r="G57" i="9"/>
  <c r="F57" i="9"/>
  <c r="E57" i="9"/>
  <c r="J56" i="9"/>
  <c r="H56" i="9"/>
  <c r="G56" i="9"/>
  <c r="F56" i="9"/>
  <c r="E56" i="9"/>
  <c r="J55" i="9"/>
  <c r="H55" i="9"/>
  <c r="G55" i="9"/>
  <c r="F55" i="9"/>
  <c r="E55" i="9"/>
  <c r="K55" i="9" s="1"/>
  <c r="L55" i="9" s="1"/>
  <c r="J54" i="9"/>
  <c r="H54" i="9"/>
  <c r="G54" i="9"/>
  <c r="F54" i="9"/>
  <c r="E54" i="9"/>
  <c r="K53" i="9"/>
  <c r="L53" i="9" s="1"/>
  <c r="J53" i="9"/>
  <c r="H53" i="9"/>
  <c r="G53" i="9"/>
  <c r="F53" i="9"/>
  <c r="E53" i="9"/>
  <c r="J52" i="9"/>
  <c r="H52" i="9"/>
  <c r="G52" i="9"/>
  <c r="F52" i="9"/>
  <c r="E52" i="9"/>
  <c r="J51" i="9"/>
  <c r="H51" i="9"/>
  <c r="G51" i="9"/>
  <c r="F51" i="9"/>
  <c r="E51" i="9"/>
  <c r="L50" i="9"/>
  <c r="J50" i="9"/>
  <c r="H50" i="9"/>
  <c r="G50" i="9"/>
  <c r="K50" i="9" s="1"/>
  <c r="F50" i="9"/>
  <c r="E50" i="9"/>
  <c r="L49" i="9"/>
  <c r="K49" i="9"/>
  <c r="J49" i="9"/>
  <c r="H49" i="9"/>
  <c r="G49" i="9"/>
  <c r="F49" i="9"/>
  <c r="E49" i="9"/>
  <c r="J48" i="9"/>
  <c r="H48" i="9"/>
  <c r="G48" i="9"/>
  <c r="F48" i="9"/>
  <c r="E48" i="9"/>
  <c r="K48" i="9" s="1"/>
  <c r="L48" i="9" s="1"/>
  <c r="J47" i="9"/>
  <c r="H47" i="9"/>
  <c r="G47" i="9"/>
  <c r="F47" i="9"/>
  <c r="E47" i="9"/>
  <c r="L46" i="9"/>
  <c r="J46" i="9"/>
  <c r="H46" i="9"/>
  <c r="G46" i="9"/>
  <c r="F46" i="9"/>
  <c r="E46" i="9"/>
  <c r="K46" i="9" s="1"/>
  <c r="J45" i="9"/>
  <c r="H45" i="9"/>
  <c r="G45" i="9"/>
  <c r="F45" i="9"/>
  <c r="K45" i="9" s="1"/>
  <c r="L45" i="9" s="1"/>
  <c r="E45" i="9"/>
  <c r="J44" i="9"/>
  <c r="H44" i="9"/>
  <c r="G44" i="9"/>
  <c r="F44" i="9"/>
  <c r="E44" i="9"/>
  <c r="K44" i="9" s="1"/>
  <c r="L44" i="9" s="1"/>
  <c r="J43" i="9"/>
  <c r="H43" i="9"/>
  <c r="G43" i="9"/>
  <c r="F43" i="9"/>
  <c r="E43" i="9"/>
  <c r="K43" i="9" s="1"/>
  <c r="L43" i="9" s="1"/>
  <c r="L105" i="9" s="1"/>
  <c r="J42" i="9"/>
  <c r="H42" i="9"/>
  <c r="G42" i="9"/>
  <c r="K42" i="9" s="1"/>
  <c r="L42" i="9" s="1"/>
  <c r="F42" i="9"/>
  <c r="E42" i="9"/>
  <c r="J41" i="9"/>
  <c r="H41" i="9"/>
  <c r="G41" i="9"/>
  <c r="F41" i="9"/>
  <c r="K41" i="9" s="1"/>
  <c r="L41" i="9" s="1"/>
  <c r="E41" i="9"/>
  <c r="J40" i="9"/>
  <c r="H40" i="9"/>
  <c r="G40" i="9"/>
  <c r="F40" i="9"/>
  <c r="E40" i="9"/>
  <c r="K40" i="9" s="1"/>
  <c r="L40" i="9" s="1"/>
  <c r="J39" i="9"/>
  <c r="H39" i="9"/>
  <c r="G39" i="9"/>
  <c r="F39" i="9"/>
  <c r="E39" i="9"/>
  <c r="J38" i="9"/>
  <c r="H38" i="9"/>
  <c r="G38" i="9"/>
  <c r="F38" i="9"/>
  <c r="E38" i="9"/>
  <c r="J37" i="9"/>
  <c r="H37" i="9"/>
  <c r="G37" i="9"/>
  <c r="F37" i="9"/>
  <c r="K37" i="9" s="1"/>
  <c r="L37" i="9" s="1"/>
  <c r="E37" i="9"/>
  <c r="J36" i="9"/>
  <c r="H36" i="9"/>
  <c r="G36" i="9"/>
  <c r="F36" i="9"/>
  <c r="E36" i="9"/>
  <c r="J35" i="9"/>
  <c r="H35" i="9"/>
  <c r="G35" i="9"/>
  <c r="F35" i="9"/>
  <c r="E35" i="9"/>
  <c r="L34" i="9"/>
  <c r="D96" i="9" s="1"/>
  <c r="J34" i="9"/>
  <c r="H34" i="9"/>
  <c r="G34" i="9"/>
  <c r="K34" i="9" s="1"/>
  <c r="F34" i="9"/>
  <c r="E34" i="9"/>
  <c r="J33" i="9"/>
  <c r="H33" i="9"/>
  <c r="G33" i="9"/>
  <c r="F33" i="9"/>
  <c r="K33" i="9" s="1"/>
  <c r="L33" i="9" s="1"/>
  <c r="E33" i="9"/>
  <c r="K32" i="9"/>
  <c r="L32" i="9" s="1"/>
  <c r="J32" i="9"/>
  <c r="H32" i="9"/>
  <c r="G32" i="9"/>
  <c r="F32" i="9"/>
  <c r="E32" i="9"/>
  <c r="J31" i="9"/>
  <c r="H31" i="9"/>
  <c r="G31" i="9"/>
  <c r="F31" i="9"/>
  <c r="E31" i="9"/>
  <c r="J30" i="9"/>
  <c r="H30" i="9"/>
  <c r="G30" i="9"/>
  <c r="F30" i="9"/>
  <c r="E30" i="9"/>
  <c r="K30" i="9" s="1"/>
  <c r="L30" i="9" s="1"/>
  <c r="J29" i="9"/>
  <c r="H29" i="9"/>
  <c r="G29" i="9"/>
  <c r="K29" i="9" s="1"/>
  <c r="L29" i="9" s="1"/>
  <c r="F29" i="9"/>
  <c r="E29" i="9"/>
  <c r="J28" i="9"/>
  <c r="H28" i="9"/>
  <c r="G28" i="9"/>
  <c r="F28" i="9"/>
  <c r="E28" i="9"/>
  <c r="J27" i="9"/>
  <c r="H27" i="9"/>
  <c r="G27" i="9"/>
  <c r="F27" i="9"/>
  <c r="E27" i="9"/>
  <c r="K27" i="9" s="1"/>
  <c r="L27" i="9" s="1"/>
  <c r="X89" i="9" s="1"/>
  <c r="J26" i="9"/>
  <c r="H26" i="9"/>
  <c r="G26" i="9"/>
  <c r="K26" i="9" s="1"/>
  <c r="L26" i="9" s="1"/>
  <c r="F26" i="9"/>
  <c r="E26" i="9"/>
  <c r="L25" i="9"/>
  <c r="K25" i="9"/>
  <c r="J25" i="9"/>
  <c r="H25" i="9"/>
  <c r="G25" i="9"/>
  <c r="F25" i="9"/>
  <c r="E25" i="9"/>
  <c r="J24" i="9"/>
  <c r="H24" i="9"/>
  <c r="G24" i="9"/>
  <c r="F24" i="9"/>
  <c r="E24" i="9"/>
  <c r="J23" i="9"/>
  <c r="H23" i="9"/>
  <c r="G23" i="9"/>
  <c r="F23" i="9"/>
  <c r="E23" i="9"/>
  <c r="K23" i="9" s="1"/>
  <c r="L23" i="9" s="1"/>
  <c r="J22" i="9"/>
  <c r="H22" i="9"/>
  <c r="G22" i="9"/>
  <c r="F22" i="9"/>
  <c r="E22" i="9"/>
  <c r="K21" i="9"/>
  <c r="L21" i="9" s="1"/>
  <c r="J21" i="9"/>
  <c r="H21" i="9"/>
  <c r="G21" i="9"/>
  <c r="F21" i="9"/>
  <c r="E21" i="9"/>
  <c r="J20" i="9"/>
  <c r="H20" i="9"/>
  <c r="G20" i="9"/>
  <c r="F20" i="9"/>
  <c r="E20" i="9"/>
  <c r="J19" i="9"/>
  <c r="H19" i="9"/>
  <c r="G19" i="9"/>
  <c r="F19" i="9"/>
  <c r="E19" i="9"/>
  <c r="L18" i="9"/>
  <c r="T80" i="9" s="1"/>
  <c r="J18" i="9"/>
  <c r="H18" i="9"/>
  <c r="G18" i="9"/>
  <c r="K18" i="9" s="1"/>
  <c r="F18" i="9"/>
  <c r="E18" i="9"/>
  <c r="L17" i="9"/>
  <c r="K17" i="9"/>
  <c r="J17" i="9"/>
  <c r="H17" i="9"/>
  <c r="G17" i="9"/>
  <c r="F17" i="9"/>
  <c r="E17" i="9"/>
  <c r="K16" i="9"/>
  <c r="L16" i="9" s="1"/>
  <c r="L78" i="9" s="1"/>
  <c r="J16" i="9"/>
  <c r="H16" i="9"/>
  <c r="G16" i="9"/>
  <c r="F16" i="9"/>
  <c r="E16" i="9"/>
  <c r="D6" i="9"/>
  <c r="C6" i="9"/>
  <c r="B6" i="9"/>
  <c r="AB76" i="8"/>
  <c r="C75" i="8"/>
  <c r="P74" i="8"/>
  <c r="Q74" i="8" s="1"/>
  <c r="C74" i="8"/>
  <c r="C73" i="8"/>
  <c r="C72" i="8"/>
  <c r="C71" i="8"/>
  <c r="R70" i="8"/>
  <c r="S70" i="8" s="1"/>
  <c r="C70" i="8"/>
  <c r="AA69" i="8"/>
  <c r="Y69" i="8"/>
  <c r="W69" i="8"/>
  <c r="U69" i="8"/>
  <c r="S69" i="8"/>
  <c r="Q69" i="8"/>
  <c r="O69" i="8"/>
  <c r="M69" i="8"/>
  <c r="K69" i="8"/>
  <c r="I69" i="8"/>
  <c r="G69" i="8"/>
  <c r="E69" i="8"/>
  <c r="AA68" i="8"/>
  <c r="Y68" i="8"/>
  <c r="W68" i="8"/>
  <c r="U68" i="8"/>
  <c r="S68" i="8"/>
  <c r="Q68" i="8"/>
  <c r="O68" i="8"/>
  <c r="M68" i="8"/>
  <c r="K68" i="8"/>
  <c r="I68" i="8"/>
  <c r="G68" i="8"/>
  <c r="AB68" i="8" s="1"/>
  <c r="E68" i="8"/>
  <c r="AA67" i="8"/>
  <c r="Y67" i="8"/>
  <c r="W67" i="8"/>
  <c r="U67" i="8"/>
  <c r="S67" i="8"/>
  <c r="Q67" i="8"/>
  <c r="O67" i="8"/>
  <c r="M67" i="8"/>
  <c r="K67" i="8"/>
  <c r="I67" i="8"/>
  <c r="G67" i="8"/>
  <c r="AB67" i="8" s="1"/>
  <c r="E67" i="8"/>
  <c r="B66" i="8"/>
  <c r="B65" i="8"/>
  <c r="B64" i="8"/>
  <c r="B63" i="8"/>
  <c r="B62" i="8"/>
  <c r="B61" i="8"/>
  <c r="AB53" i="8"/>
  <c r="C52" i="8"/>
  <c r="V51" i="8"/>
  <c r="W51" i="8" s="1"/>
  <c r="C51" i="8"/>
  <c r="C50" i="8"/>
  <c r="R49" i="8"/>
  <c r="S49" i="8" s="1"/>
  <c r="C49" i="8"/>
  <c r="C48" i="8"/>
  <c r="C47" i="8"/>
  <c r="AA46" i="8"/>
  <c r="Y46" i="8"/>
  <c r="W46" i="8"/>
  <c r="U46" i="8"/>
  <c r="S46" i="8"/>
  <c r="Q46" i="8"/>
  <c r="O46" i="8"/>
  <c r="M46" i="8"/>
  <c r="K46" i="8"/>
  <c r="I46" i="8"/>
  <c r="G46" i="8"/>
  <c r="E46" i="8"/>
  <c r="AB46" i="8" s="1"/>
  <c r="AA45" i="8"/>
  <c r="Y45" i="8"/>
  <c r="W45" i="8"/>
  <c r="U45" i="8"/>
  <c r="S45" i="8"/>
  <c r="Q45" i="8"/>
  <c r="O45" i="8"/>
  <c r="M45" i="8"/>
  <c r="K45" i="8"/>
  <c r="I45" i="8"/>
  <c r="G45" i="8"/>
  <c r="AB45" i="8" s="1"/>
  <c r="E45" i="8"/>
  <c r="AA44" i="8"/>
  <c r="Y44" i="8"/>
  <c r="W44" i="8"/>
  <c r="U44" i="8"/>
  <c r="S44" i="8"/>
  <c r="Q44" i="8"/>
  <c r="O44" i="8"/>
  <c r="M44" i="8"/>
  <c r="K44" i="8"/>
  <c r="I44" i="8"/>
  <c r="G44" i="8"/>
  <c r="E44" i="8"/>
  <c r="AB44" i="8" s="1"/>
  <c r="B43" i="8"/>
  <c r="B42" i="8"/>
  <c r="B41" i="8"/>
  <c r="P40" i="8"/>
  <c r="B40" i="8"/>
  <c r="T39" i="8"/>
  <c r="B39" i="8"/>
  <c r="N38" i="8"/>
  <c r="B38" i="8"/>
  <c r="C29" i="8"/>
  <c r="C28" i="8"/>
  <c r="C27" i="8"/>
  <c r="C26" i="8"/>
  <c r="C25" i="8"/>
  <c r="C24" i="8"/>
  <c r="AA23" i="8"/>
  <c r="Y23" i="8"/>
  <c r="W23" i="8"/>
  <c r="U23" i="8"/>
  <c r="S23" i="8"/>
  <c r="Q23" i="8"/>
  <c r="O23" i="8"/>
  <c r="M23" i="8"/>
  <c r="K23" i="8"/>
  <c r="I23" i="8"/>
  <c r="G23" i="8"/>
  <c r="E23" i="8"/>
  <c r="AA22" i="8"/>
  <c r="Y22" i="8"/>
  <c r="W22" i="8"/>
  <c r="U22" i="8"/>
  <c r="S22" i="8"/>
  <c r="Q22" i="8"/>
  <c r="O22" i="8"/>
  <c r="M22" i="8"/>
  <c r="K22" i="8"/>
  <c r="I22" i="8"/>
  <c r="G22" i="8"/>
  <c r="E22" i="8"/>
  <c r="AA21" i="8"/>
  <c r="Y21" i="8"/>
  <c r="W21" i="8"/>
  <c r="U21" i="8"/>
  <c r="S21" i="8"/>
  <c r="Q21" i="8"/>
  <c r="O21" i="8"/>
  <c r="M21" i="8"/>
  <c r="AB21" i="8" s="1"/>
  <c r="K21" i="8"/>
  <c r="I21" i="8"/>
  <c r="G21" i="8"/>
  <c r="E21" i="8"/>
  <c r="Z20" i="8"/>
  <c r="X20" i="8"/>
  <c r="V20" i="8"/>
  <c r="T20" i="8"/>
  <c r="R20" i="8"/>
  <c r="P20" i="8"/>
  <c r="N20" i="8"/>
  <c r="L20" i="8"/>
  <c r="J20" i="8"/>
  <c r="H20" i="8"/>
  <c r="F20" i="8"/>
  <c r="D20" i="8"/>
  <c r="B20" i="8"/>
  <c r="Z19" i="8"/>
  <c r="X19" i="8"/>
  <c r="V19" i="8"/>
  <c r="T19" i="8"/>
  <c r="R19" i="8"/>
  <c r="P19" i="8"/>
  <c r="N19" i="8"/>
  <c r="L19" i="8"/>
  <c r="J19" i="8"/>
  <c r="H19" i="8"/>
  <c r="F19" i="8"/>
  <c r="B19" i="8"/>
  <c r="Z18" i="8"/>
  <c r="X18" i="8"/>
  <c r="V18" i="8"/>
  <c r="T18" i="8"/>
  <c r="R18" i="8"/>
  <c r="P18" i="8"/>
  <c r="N18" i="8"/>
  <c r="L18" i="8"/>
  <c r="J18" i="8"/>
  <c r="H18" i="8"/>
  <c r="F18" i="8"/>
  <c r="B18" i="8"/>
  <c r="B17" i="8"/>
  <c r="B16" i="8"/>
  <c r="B15" i="8"/>
  <c r="D6" i="8"/>
  <c r="C6" i="8"/>
  <c r="B6" i="8"/>
  <c r="O60" i="7"/>
  <c r="N60" i="7"/>
  <c r="M60" i="7"/>
  <c r="L60" i="7"/>
  <c r="K60" i="7"/>
  <c r="J60" i="7"/>
  <c r="I60" i="7"/>
  <c r="H60" i="7"/>
  <c r="G60" i="7"/>
  <c r="F60" i="7"/>
  <c r="E60" i="7"/>
  <c r="D60" i="7"/>
  <c r="P59" i="7"/>
  <c r="P58" i="7"/>
  <c r="I9" i="7" s="1"/>
  <c r="P57" i="7"/>
  <c r="P56" i="7"/>
  <c r="P55" i="7"/>
  <c r="P54" i="7"/>
  <c r="P53" i="7"/>
  <c r="P52" i="7"/>
  <c r="P51" i="7"/>
  <c r="P50" i="7"/>
  <c r="P49" i="7"/>
  <c r="P48" i="7"/>
  <c r="N42" i="7"/>
  <c r="M42" i="7"/>
  <c r="L42" i="7"/>
  <c r="F42" i="7"/>
  <c r="E42" i="7"/>
  <c r="D42" i="7"/>
  <c r="O41" i="7"/>
  <c r="O42" i="7" s="1"/>
  <c r="N41" i="7"/>
  <c r="M41" i="7"/>
  <c r="L41" i="7"/>
  <c r="K41" i="7"/>
  <c r="K42" i="7" s="1"/>
  <c r="J41" i="7"/>
  <c r="J42" i="7" s="1"/>
  <c r="I41" i="7"/>
  <c r="I42" i="7" s="1"/>
  <c r="H41" i="7"/>
  <c r="P41" i="7" s="1"/>
  <c r="G41" i="7"/>
  <c r="G42" i="7" s="1"/>
  <c r="F41" i="7"/>
  <c r="E41" i="7"/>
  <c r="D41" i="7"/>
  <c r="P40" i="7"/>
  <c r="P39" i="7"/>
  <c r="P38" i="7"/>
  <c r="P37" i="7"/>
  <c r="P36" i="7"/>
  <c r="P35" i="7"/>
  <c r="P34" i="7"/>
  <c r="P33" i="7"/>
  <c r="P32" i="7"/>
  <c r="P31" i="7"/>
  <c r="P30" i="7"/>
  <c r="P42" i="7" s="1"/>
  <c r="H5" i="7" s="1"/>
  <c r="O25" i="7"/>
  <c r="N25" i="7"/>
  <c r="M25" i="7"/>
  <c r="L25" i="7"/>
  <c r="K25" i="7"/>
  <c r="J25" i="7"/>
  <c r="I25" i="7"/>
  <c r="H25" i="7"/>
  <c r="G25" i="7"/>
  <c r="F25" i="7"/>
  <c r="E25" i="7"/>
  <c r="D25" i="7"/>
  <c r="P24" i="7"/>
  <c r="P23" i="7"/>
  <c r="G9" i="7" s="1"/>
  <c r="P22" i="7"/>
  <c r="P21" i="7"/>
  <c r="P20" i="7"/>
  <c r="P19" i="7"/>
  <c r="P18" i="7"/>
  <c r="P17" i="7"/>
  <c r="P16" i="7"/>
  <c r="P15" i="7"/>
  <c r="P14" i="7"/>
  <c r="P13" i="7"/>
  <c r="P25" i="7" s="1"/>
  <c r="G5" i="7" s="1"/>
  <c r="E5" i="7"/>
  <c r="D5" i="7"/>
  <c r="C5" i="7"/>
  <c r="B22" i="6"/>
  <c r="B21" i="6"/>
  <c r="B20" i="6"/>
  <c r="B19" i="6"/>
  <c r="E18" i="6"/>
  <c r="B18" i="6"/>
  <c r="B17" i="6"/>
  <c r="D9" i="6"/>
  <c r="C9" i="6"/>
  <c r="B9" i="6"/>
  <c r="Y107" i="5"/>
  <c r="A107" i="5"/>
  <c r="C106" i="5"/>
  <c r="A106" i="5"/>
  <c r="U105" i="5"/>
  <c r="A105" i="5"/>
  <c r="Y104" i="5"/>
  <c r="Z63" i="8" s="1"/>
  <c r="W104" i="5"/>
  <c r="U104" i="5"/>
  <c r="S104" i="5"/>
  <c r="T63" i="8" s="1"/>
  <c r="Q104" i="5"/>
  <c r="R63" i="8" s="1"/>
  <c r="O104" i="5"/>
  <c r="M104" i="5"/>
  <c r="K104" i="5"/>
  <c r="L63" i="8" s="1"/>
  <c r="I104" i="5"/>
  <c r="J63" i="8" s="1"/>
  <c r="G104" i="5"/>
  <c r="E104" i="5"/>
  <c r="F63" i="8" s="1"/>
  <c r="C104" i="5"/>
  <c r="D63" i="8" s="1"/>
  <c r="A104" i="5"/>
  <c r="Y103" i="5"/>
  <c r="W103" i="5"/>
  <c r="X62" i="8" s="1"/>
  <c r="U103" i="5"/>
  <c r="V62" i="8" s="1"/>
  <c r="S103" i="5"/>
  <c r="T62" i="8" s="1"/>
  <c r="Q103" i="5"/>
  <c r="O103" i="5"/>
  <c r="P62" i="8" s="1"/>
  <c r="P71" i="8" s="1"/>
  <c r="Q71" i="8" s="1"/>
  <c r="M103" i="5"/>
  <c r="N62" i="8" s="1"/>
  <c r="K103" i="5"/>
  <c r="L62" i="8" s="1"/>
  <c r="I103" i="5"/>
  <c r="G103" i="5"/>
  <c r="H62" i="8" s="1"/>
  <c r="E103" i="5"/>
  <c r="F62" i="8" s="1"/>
  <c r="C103" i="5"/>
  <c r="D62" i="8" s="1"/>
  <c r="A103" i="5"/>
  <c r="Y102" i="5"/>
  <c r="Z61" i="8" s="1"/>
  <c r="W102" i="5"/>
  <c r="X61" i="8" s="1"/>
  <c r="U102" i="5"/>
  <c r="V61" i="8" s="1"/>
  <c r="S102" i="5"/>
  <c r="Q102" i="5"/>
  <c r="R61" i="8" s="1"/>
  <c r="O102" i="5"/>
  <c r="P61" i="8" s="1"/>
  <c r="M102" i="5"/>
  <c r="N61" i="8" s="1"/>
  <c r="K102" i="5"/>
  <c r="I102" i="5"/>
  <c r="J61" i="8" s="1"/>
  <c r="J73" i="8" s="1"/>
  <c r="K73" i="8" s="1"/>
  <c r="G102" i="5"/>
  <c r="H61" i="8" s="1"/>
  <c r="E102" i="5"/>
  <c r="F61" i="8" s="1"/>
  <c r="C102" i="5"/>
  <c r="D61" i="8" s="1"/>
  <c r="A102" i="5"/>
  <c r="C96" i="5"/>
  <c r="D43" i="8" s="1"/>
  <c r="A96" i="5"/>
  <c r="A95" i="5"/>
  <c r="A94" i="5"/>
  <c r="Y93" i="5"/>
  <c r="Z40" i="8" s="1"/>
  <c r="Z49" i="8" s="1"/>
  <c r="AA49" i="8" s="1"/>
  <c r="W93" i="5"/>
  <c r="U93" i="5"/>
  <c r="V40" i="8" s="1"/>
  <c r="S93" i="5"/>
  <c r="T40" i="8" s="1"/>
  <c r="Q93" i="5"/>
  <c r="R40" i="8" s="1"/>
  <c r="O93" i="5"/>
  <c r="M93" i="5"/>
  <c r="N40" i="8" s="1"/>
  <c r="K93" i="5"/>
  <c r="L40" i="8" s="1"/>
  <c r="L52" i="8" s="1"/>
  <c r="M52" i="8" s="1"/>
  <c r="I93" i="5"/>
  <c r="J40" i="8" s="1"/>
  <c r="G93" i="5"/>
  <c r="H40" i="8" s="1"/>
  <c r="E93" i="5"/>
  <c r="F40" i="8" s="1"/>
  <c r="C93" i="5"/>
  <c r="D40" i="8" s="1"/>
  <c r="A93" i="5"/>
  <c r="Y92" i="5"/>
  <c r="Z39" i="8" s="1"/>
  <c r="W92" i="5"/>
  <c r="X39" i="8" s="1"/>
  <c r="U92" i="5"/>
  <c r="V39" i="8" s="1"/>
  <c r="V48" i="8" s="1"/>
  <c r="W48" i="8" s="1"/>
  <c r="S92" i="5"/>
  <c r="Q92" i="5"/>
  <c r="R39" i="8" s="1"/>
  <c r="O92" i="5"/>
  <c r="P39" i="8" s="1"/>
  <c r="M92" i="5"/>
  <c r="N39" i="8" s="1"/>
  <c r="N48" i="8" s="1"/>
  <c r="O48" i="8" s="1"/>
  <c r="K92" i="5"/>
  <c r="I92" i="5"/>
  <c r="G92" i="5"/>
  <c r="H39" i="8" s="1"/>
  <c r="F92" i="5"/>
  <c r="E92" i="5"/>
  <c r="F39" i="8" s="1"/>
  <c r="F48" i="8" s="1"/>
  <c r="G48" i="8" s="1"/>
  <c r="C92" i="5"/>
  <c r="A92" i="5"/>
  <c r="Y91" i="5"/>
  <c r="Z38" i="8" s="1"/>
  <c r="W91" i="5"/>
  <c r="X38" i="8" s="1"/>
  <c r="X50" i="8" s="1"/>
  <c r="Y50" i="8" s="1"/>
  <c r="U91" i="5"/>
  <c r="V38" i="8" s="1"/>
  <c r="S91" i="5"/>
  <c r="T38" i="8" s="1"/>
  <c r="Q91" i="5"/>
  <c r="O91" i="5"/>
  <c r="P38" i="8" s="1"/>
  <c r="M91" i="5"/>
  <c r="K91" i="5"/>
  <c r="L38" i="8" s="1"/>
  <c r="I91" i="5"/>
  <c r="J38" i="8" s="1"/>
  <c r="G91" i="5"/>
  <c r="H38" i="8" s="1"/>
  <c r="H50" i="8" s="1"/>
  <c r="I50" i="8" s="1"/>
  <c r="E91" i="5"/>
  <c r="F38" i="8" s="1"/>
  <c r="C91" i="5"/>
  <c r="D38" i="8" s="1"/>
  <c r="A91" i="5"/>
  <c r="L85" i="5"/>
  <c r="A85" i="5"/>
  <c r="A84" i="5"/>
  <c r="A83" i="5"/>
  <c r="W82" i="5"/>
  <c r="C82" i="5"/>
  <c r="D17" i="8" s="1"/>
  <c r="D29" i="8" s="1"/>
  <c r="E29" i="8" s="1"/>
  <c r="A82" i="5"/>
  <c r="I81" i="5"/>
  <c r="C81" i="5"/>
  <c r="D16" i="8" s="1"/>
  <c r="A81" i="5"/>
  <c r="C80" i="5"/>
  <c r="A80" i="5"/>
  <c r="E69" i="5"/>
  <c r="E68" i="5"/>
  <c r="E67" i="5"/>
  <c r="E66" i="5"/>
  <c r="L65" i="5"/>
  <c r="E65" i="5"/>
  <c r="V64" i="5"/>
  <c r="L64" i="5"/>
  <c r="E64" i="5"/>
  <c r="W63" i="5"/>
  <c r="L63" i="5"/>
  <c r="E63" i="5"/>
  <c r="W62" i="5"/>
  <c r="L62" i="5"/>
  <c r="E62" i="5"/>
  <c r="W61" i="5"/>
  <c r="L61" i="5"/>
  <c r="E61" i="5"/>
  <c r="W60" i="5"/>
  <c r="L60" i="5"/>
  <c r="E60" i="5"/>
  <c r="W59" i="5"/>
  <c r="L59" i="5"/>
  <c r="L70" i="5" s="1"/>
  <c r="E59" i="5"/>
  <c r="AB58" i="5"/>
  <c r="AC58" i="5" s="1"/>
  <c r="AC65" i="5" s="1"/>
  <c r="W58" i="5"/>
  <c r="L58" i="5"/>
  <c r="E58" i="5"/>
  <c r="E50" i="5"/>
  <c r="E49" i="5"/>
  <c r="E48" i="5"/>
  <c r="E47" i="5"/>
  <c r="E46" i="5"/>
  <c r="E45" i="5"/>
  <c r="L44" i="5"/>
  <c r="E44" i="5"/>
  <c r="L43" i="5"/>
  <c r="E43" i="5"/>
  <c r="V42" i="5"/>
  <c r="L42" i="5"/>
  <c r="E42" i="5"/>
  <c r="W41" i="5"/>
  <c r="L41" i="5"/>
  <c r="E41" i="5"/>
  <c r="W40" i="5"/>
  <c r="L40" i="5"/>
  <c r="E40" i="5"/>
  <c r="AB39" i="5"/>
  <c r="W39" i="5"/>
  <c r="L39" i="5"/>
  <c r="L51" i="5" s="1"/>
  <c r="E39" i="5"/>
  <c r="E51" i="5" s="1"/>
  <c r="N92" i="5" s="1"/>
  <c r="E31" i="5"/>
  <c r="E30" i="5"/>
  <c r="E29" i="5"/>
  <c r="E28" i="5"/>
  <c r="E27" i="5"/>
  <c r="E26" i="5"/>
  <c r="E25" i="5"/>
  <c r="L24" i="5"/>
  <c r="E24" i="5"/>
  <c r="L23" i="5"/>
  <c r="E23" i="5"/>
  <c r="AB22" i="5"/>
  <c r="V22" i="5"/>
  <c r="L22" i="5"/>
  <c r="E22" i="5"/>
  <c r="W21" i="5"/>
  <c r="L21" i="5"/>
  <c r="E21" i="5"/>
  <c r="AB20" i="5"/>
  <c r="W20" i="5"/>
  <c r="L20" i="5"/>
  <c r="L32" i="5" s="1"/>
  <c r="E20" i="5"/>
  <c r="B10" i="5"/>
  <c r="B12" i="5" s="1"/>
  <c r="W163" i="4"/>
  <c r="Q163" i="4"/>
  <c r="G163" i="4"/>
  <c r="C163" i="4"/>
  <c r="Q162" i="4"/>
  <c r="C162" i="4"/>
  <c r="AA160" i="4"/>
  <c r="Y160" i="4"/>
  <c r="W160" i="4"/>
  <c r="U160" i="4"/>
  <c r="S160" i="4"/>
  <c r="Q160" i="4"/>
  <c r="O160" i="4"/>
  <c r="M160" i="4"/>
  <c r="K160" i="4"/>
  <c r="I160" i="4"/>
  <c r="G160" i="4"/>
  <c r="E160" i="4"/>
  <c r="AA159" i="4"/>
  <c r="Y159" i="4"/>
  <c r="W159" i="4"/>
  <c r="U159" i="4"/>
  <c r="S159" i="4"/>
  <c r="Q159" i="4"/>
  <c r="O159" i="4"/>
  <c r="M159" i="4"/>
  <c r="K159" i="4"/>
  <c r="I159" i="4"/>
  <c r="G159" i="4"/>
  <c r="E159" i="4"/>
  <c r="AA158" i="4"/>
  <c r="Y158" i="4"/>
  <c r="W158" i="4"/>
  <c r="U158" i="4"/>
  <c r="S158" i="4"/>
  <c r="Q158" i="4"/>
  <c r="O158" i="4"/>
  <c r="M158" i="4"/>
  <c r="K158" i="4"/>
  <c r="I158" i="4"/>
  <c r="G158" i="4"/>
  <c r="E158" i="4"/>
  <c r="AA156" i="4"/>
  <c r="AA163" i="4" s="1"/>
  <c r="Y156" i="4"/>
  <c r="Y163" i="4" s="1"/>
  <c r="W156" i="4"/>
  <c r="U156" i="4"/>
  <c r="U163" i="4" s="1"/>
  <c r="S156" i="4"/>
  <c r="S163" i="4" s="1"/>
  <c r="Q156" i="4"/>
  <c r="O156" i="4"/>
  <c r="O163" i="4" s="1"/>
  <c r="M156" i="4"/>
  <c r="M163" i="4" s="1"/>
  <c r="K156" i="4"/>
  <c r="K163" i="4" s="1"/>
  <c r="I156" i="4"/>
  <c r="I163" i="4" s="1"/>
  <c r="G156" i="4"/>
  <c r="E156" i="4"/>
  <c r="E163" i="4" s="1"/>
  <c r="B156" i="4"/>
  <c r="D156" i="4" s="1"/>
  <c r="AA155" i="4"/>
  <c r="Y155" i="4"/>
  <c r="W155" i="4"/>
  <c r="U155" i="4"/>
  <c r="S155" i="4"/>
  <c r="Q155" i="4"/>
  <c r="O155" i="4"/>
  <c r="M155" i="4"/>
  <c r="K155" i="4"/>
  <c r="I155" i="4"/>
  <c r="G155" i="4"/>
  <c r="E155" i="4"/>
  <c r="D155" i="4"/>
  <c r="B155" i="4"/>
  <c r="AA154" i="4"/>
  <c r="Y154" i="4"/>
  <c r="W154" i="4"/>
  <c r="U154" i="4"/>
  <c r="S154" i="4"/>
  <c r="Q154" i="4"/>
  <c r="O154" i="4"/>
  <c r="M154" i="4"/>
  <c r="K154" i="4"/>
  <c r="I154" i="4"/>
  <c r="G154" i="4"/>
  <c r="E154" i="4"/>
  <c r="B154" i="4"/>
  <c r="D154" i="4" s="1"/>
  <c r="AA153" i="4"/>
  <c r="Y153" i="4"/>
  <c r="W153" i="4"/>
  <c r="U153" i="4"/>
  <c r="S153" i="4"/>
  <c r="Q153" i="4"/>
  <c r="O153" i="4"/>
  <c r="M153" i="4"/>
  <c r="K153" i="4"/>
  <c r="I153" i="4"/>
  <c r="G153" i="4"/>
  <c r="E153" i="4"/>
  <c r="B153" i="4"/>
  <c r="D153" i="4" s="1"/>
  <c r="AA152" i="4"/>
  <c r="Y152" i="4"/>
  <c r="W152" i="4"/>
  <c r="U152" i="4"/>
  <c r="S152" i="4"/>
  <c r="Q152" i="4"/>
  <c r="O152" i="4"/>
  <c r="M152" i="4"/>
  <c r="K152" i="4"/>
  <c r="I152" i="4"/>
  <c r="G152" i="4"/>
  <c r="E152" i="4"/>
  <c r="B152" i="4"/>
  <c r="D152" i="4" s="1"/>
  <c r="AA151" i="4"/>
  <c r="Y151" i="4"/>
  <c r="Y162" i="4" s="1"/>
  <c r="W151" i="4"/>
  <c r="U151" i="4"/>
  <c r="S151" i="4"/>
  <c r="S162" i="4" s="1"/>
  <c r="Q151" i="4"/>
  <c r="O151" i="4"/>
  <c r="O162" i="4" s="1"/>
  <c r="M151" i="4"/>
  <c r="K151" i="4"/>
  <c r="I151" i="4"/>
  <c r="I162" i="4" s="1"/>
  <c r="G151" i="4"/>
  <c r="E151" i="4"/>
  <c r="D151" i="4"/>
  <c r="B151" i="4"/>
  <c r="V150" i="4"/>
  <c r="F150" i="4"/>
  <c r="B150" i="4"/>
  <c r="T150" i="4" s="1"/>
  <c r="B149" i="4"/>
  <c r="A149" i="4"/>
  <c r="B148" i="4"/>
  <c r="A148" i="4"/>
  <c r="B147" i="4"/>
  <c r="A147" i="4"/>
  <c r="Z146" i="4"/>
  <c r="V146" i="4"/>
  <c r="T146" i="4"/>
  <c r="N146" i="4"/>
  <c r="J146" i="4"/>
  <c r="F146" i="4"/>
  <c r="D146" i="4"/>
  <c r="E19" i="6" s="1"/>
  <c r="C146" i="4"/>
  <c r="C160" i="4" s="1"/>
  <c r="B146" i="4"/>
  <c r="X146" i="4" s="1"/>
  <c r="A146" i="4"/>
  <c r="Z145" i="4"/>
  <c r="V145" i="4"/>
  <c r="T145" i="4"/>
  <c r="N145" i="4"/>
  <c r="J145" i="4"/>
  <c r="F145" i="4"/>
  <c r="D145" i="4"/>
  <c r="C145" i="4"/>
  <c r="C159" i="4" s="1"/>
  <c r="B145" i="4"/>
  <c r="X145" i="4" s="1"/>
  <c r="A145" i="4"/>
  <c r="Z144" i="4"/>
  <c r="V144" i="4"/>
  <c r="T144" i="4"/>
  <c r="N144" i="4"/>
  <c r="J144" i="4"/>
  <c r="F144" i="4"/>
  <c r="D144" i="4"/>
  <c r="E17" i="6" s="1"/>
  <c r="C144" i="4"/>
  <c r="C158" i="4" s="1"/>
  <c r="B144" i="4"/>
  <c r="X144" i="4" s="1"/>
  <c r="A144" i="4"/>
  <c r="W101" i="4"/>
  <c r="S101" i="4"/>
  <c r="O101" i="4"/>
  <c r="M101" i="4"/>
  <c r="I101" i="4"/>
  <c r="G101" i="4"/>
  <c r="C101" i="4"/>
  <c r="M100" i="4"/>
  <c r="C100" i="4"/>
  <c r="AA98" i="4"/>
  <c r="Y98" i="4"/>
  <c r="W98" i="4"/>
  <c r="U98" i="4"/>
  <c r="S98" i="4"/>
  <c r="Q98" i="4"/>
  <c r="O98" i="4"/>
  <c r="M98" i="4"/>
  <c r="K98" i="4"/>
  <c r="I98" i="4"/>
  <c r="G98" i="4"/>
  <c r="E98" i="4"/>
  <c r="AA97" i="4"/>
  <c r="Y97" i="4"/>
  <c r="W97" i="4"/>
  <c r="U97" i="4"/>
  <c r="S97" i="4"/>
  <c r="Q97" i="4"/>
  <c r="O97" i="4"/>
  <c r="M97" i="4"/>
  <c r="K97" i="4"/>
  <c r="I97" i="4"/>
  <c r="G97" i="4"/>
  <c r="E97" i="4"/>
  <c r="AA96" i="4"/>
  <c r="Y96" i="4"/>
  <c r="W96" i="4"/>
  <c r="U96" i="4"/>
  <c r="S96" i="4"/>
  <c r="Q96" i="4"/>
  <c r="O96" i="4"/>
  <c r="M96" i="4"/>
  <c r="K96" i="4"/>
  <c r="I96" i="4"/>
  <c r="G96" i="4"/>
  <c r="E96" i="4"/>
  <c r="AA94" i="4"/>
  <c r="AA101" i="4" s="1"/>
  <c r="Y94" i="4"/>
  <c r="Y101" i="4" s="1"/>
  <c r="W94" i="4"/>
  <c r="U94" i="4"/>
  <c r="U101" i="4" s="1"/>
  <c r="S94" i="4"/>
  <c r="Q94" i="4"/>
  <c r="Q101" i="4" s="1"/>
  <c r="O94" i="4"/>
  <c r="M94" i="4"/>
  <c r="K94" i="4"/>
  <c r="K101" i="4" s="1"/>
  <c r="I94" i="4"/>
  <c r="G94" i="4"/>
  <c r="B94" i="4"/>
  <c r="D94" i="4" s="1"/>
  <c r="AA93" i="4"/>
  <c r="Y93" i="4"/>
  <c r="W93" i="4"/>
  <c r="U93" i="4"/>
  <c r="S93" i="4"/>
  <c r="Q93" i="4"/>
  <c r="O93" i="4"/>
  <c r="M93" i="4"/>
  <c r="K93" i="4"/>
  <c r="I93" i="4"/>
  <c r="G93" i="4"/>
  <c r="E93" i="4"/>
  <c r="B93" i="4"/>
  <c r="D93" i="4" s="1"/>
  <c r="AA92" i="4"/>
  <c r="Y92" i="4"/>
  <c r="W92" i="4"/>
  <c r="U92" i="4"/>
  <c r="S92" i="4"/>
  <c r="Q92" i="4"/>
  <c r="O92" i="4"/>
  <c r="M92" i="4"/>
  <c r="K92" i="4"/>
  <c r="I92" i="4"/>
  <c r="G92" i="4"/>
  <c r="E92" i="4"/>
  <c r="D92" i="4"/>
  <c r="B92" i="4"/>
  <c r="AA91" i="4"/>
  <c r="Y91" i="4"/>
  <c r="W91" i="4"/>
  <c r="U91" i="4"/>
  <c r="S91" i="4"/>
  <c r="Q91" i="4"/>
  <c r="O91" i="4"/>
  <c r="M91" i="4"/>
  <c r="K91" i="4"/>
  <c r="I91" i="4"/>
  <c r="G91" i="4"/>
  <c r="G100" i="4" s="1"/>
  <c r="E91" i="4"/>
  <c r="B91" i="4"/>
  <c r="D91" i="4" s="1"/>
  <c r="AA90" i="4"/>
  <c r="Y90" i="4"/>
  <c r="Y100" i="4" s="1"/>
  <c r="W90" i="4"/>
  <c r="U90" i="4"/>
  <c r="S90" i="4"/>
  <c r="Q90" i="4"/>
  <c r="O90" i="4"/>
  <c r="M90" i="4"/>
  <c r="K90" i="4"/>
  <c r="I90" i="4"/>
  <c r="G90" i="4"/>
  <c r="E90" i="4"/>
  <c r="B90" i="4"/>
  <c r="D90" i="4" s="1"/>
  <c r="AA89" i="4"/>
  <c r="Y89" i="4"/>
  <c r="W89" i="4"/>
  <c r="W100" i="4" s="1"/>
  <c r="U89" i="4"/>
  <c r="S89" i="4"/>
  <c r="S100" i="4" s="1"/>
  <c r="Q89" i="4"/>
  <c r="O89" i="4"/>
  <c r="O100" i="4" s="1"/>
  <c r="M89" i="4"/>
  <c r="K89" i="4"/>
  <c r="I89" i="4"/>
  <c r="G89" i="4"/>
  <c r="E89" i="4"/>
  <c r="E100" i="4" s="1"/>
  <c r="B89" i="4"/>
  <c r="D89" i="4" s="1"/>
  <c r="V88" i="4"/>
  <c r="N88" i="4"/>
  <c r="L88" i="4"/>
  <c r="J88" i="4"/>
  <c r="D88" i="4"/>
  <c r="D23" i="6" s="1"/>
  <c r="B88" i="4"/>
  <c r="R88" i="4" s="1"/>
  <c r="B87" i="4"/>
  <c r="A87" i="4"/>
  <c r="B86" i="4"/>
  <c r="A86" i="4"/>
  <c r="B85" i="4"/>
  <c r="A85" i="4"/>
  <c r="C84" i="4"/>
  <c r="C98" i="4" s="1"/>
  <c r="B84" i="4"/>
  <c r="N84" i="4" s="1"/>
  <c r="A84" i="4"/>
  <c r="P83" i="4"/>
  <c r="C83" i="4"/>
  <c r="C97" i="4" s="1"/>
  <c r="B83" i="4"/>
  <c r="N83" i="4" s="1"/>
  <c r="A83" i="4"/>
  <c r="C82" i="4"/>
  <c r="C96" i="4" s="1"/>
  <c r="B82" i="4"/>
  <c r="N82" i="4" s="1"/>
  <c r="A82" i="4"/>
  <c r="AA38" i="4"/>
  <c r="Y38" i="4"/>
  <c r="W38" i="4"/>
  <c r="U38" i="4"/>
  <c r="S38" i="4"/>
  <c r="Q38" i="4"/>
  <c r="O38" i="4"/>
  <c r="M38" i="4"/>
  <c r="K38" i="4"/>
  <c r="I38" i="4"/>
  <c r="G38" i="4"/>
  <c r="E38" i="4"/>
  <c r="C38" i="4"/>
  <c r="AA37" i="4"/>
  <c r="Y37" i="4"/>
  <c r="W37" i="4"/>
  <c r="U37" i="4"/>
  <c r="S37" i="4"/>
  <c r="Q37" i="4"/>
  <c r="O37" i="4"/>
  <c r="M37" i="4"/>
  <c r="K37" i="4"/>
  <c r="I37" i="4"/>
  <c r="G37" i="4"/>
  <c r="E37" i="4"/>
  <c r="C37" i="4"/>
  <c r="E36" i="4"/>
  <c r="AA35" i="4"/>
  <c r="Y82" i="5" s="1"/>
  <c r="Y35" i="4"/>
  <c r="W35" i="4"/>
  <c r="U82" i="5" s="1"/>
  <c r="U35" i="4"/>
  <c r="S82" i="5" s="1"/>
  <c r="S35" i="4"/>
  <c r="Q82" i="5" s="1"/>
  <c r="Q35" i="4"/>
  <c r="O82" i="5" s="1"/>
  <c r="O35" i="4"/>
  <c r="M82" i="5" s="1"/>
  <c r="N17" i="8" s="1"/>
  <c r="M35" i="4"/>
  <c r="K82" i="5" s="1"/>
  <c r="K35" i="4"/>
  <c r="I82" i="5" s="1"/>
  <c r="I107" i="5" s="1"/>
  <c r="I35" i="4"/>
  <c r="G82" i="5" s="1"/>
  <c r="G35" i="4"/>
  <c r="E82" i="5" s="1"/>
  <c r="E35" i="4"/>
  <c r="AA34" i="4"/>
  <c r="Y81" i="5" s="1"/>
  <c r="Y34" i="4"/>
  <c r="W81" i="5" s="1"/>
  <c r="W34" i="4"/>
  <c r="U81" i="5" s="1"/>
  <c r="U34" i="4"/>
  <c r="S81" i="5" s="1"/>
  <c r="S106" i="5" s="1"/>
  <c r="S34" i="4"/>
  <c r="Q81" i="5" s="1"/>
  <c r="Q34" i="4"/>
  <c r="O81" i="5" s="1"/>
  <c r="O34" i="4"/>
  <c r="M81" i="5" s="1"/>
  <c r="M34" i="4"/>
  <c r="K81" i="5" s="1"/>
  <c r="K34" i="4"/>
  <c r="I34" i="4"/>
  <c r="G81" i="5" s="1"/>
  <c r="G34" i="4"/>
  <c r="E81" i="5" s="1"/>
  <c r="E34" i="4"/>
  <c r="AA33" i="4"/>
  <c r="Y80" i="5" s="1"/>
  <c r="Z15" i="8" s="1"/>
  <c r="Y33" i="4"/>
  <c r="W80" i="5" s="1"/>
  <c r="W33" i="4"/>
  <c r="U80" i="5" s="1"/>
  <c r="U33" i="4"/>
  <c r="S80" i="5" s="1"/>
  <c r="S33" i="4"/>
  <c r="Q80" i="5" s="1"/>
  <c r="Q33" i="4"/>
  <c r="O80" i="5" s="1"/>
  <c r="O33" i="4"/>
  <c r="M80" i="5" s="1"/>
  <c r="M33" i="4"/>
  <c r="K80" i="5" s="1"/>
  <c r="K33" i="4"/>
  <c r="I80" i="5" s="1"/>
  <c r="J15" i="8" s="1"/>
  <c r="I33" i="4"/>
  <c r="G80" i="5" s="1"/>
  <c r="G33" i="4"/>
  <c r="E80" i="5" s="1"/>
  <c r="E33" i="4"/>
  <c r="D31" i="4"/>
  <c r="C29" i="6" s="1"/>
  <c r="B31" i="4"/>
  <c r="B30" i="4"/>
  <c r="D30" i="4" s="1"/>
  <c r="C28" i="6" s="1"/>
  <c r="D29" i="4"/>
  <c r="C27" i="6" s="1"/>
  <c r="B29" i="4"/>
  <c r="B28" i="4"/>
  <c r="D28" i="4" s="1"/>
  <c r="C26" i="6" s="1"/>
  <c r="D27" i="4"/>
  <c r="C25" i="6" s="1"/>
  <c r="B27" i="4"/>
  <c r="B26" i="4"/>
  <c r="D26" i="4" s="1"/>
  <c r="C24" i="6" s="1"/>
  <c r="AB25" i="4"/>
  <c r="V25" i="4"/>
  <c r="T25" i="4"/>
  <c r="P25" i="4"/>
  <c r="N25" i="4"/>
  <c r="L25" i="4"/>
  <c r="F25" i="4"/>
  <c r="D25" i="4"/>
  <c r="C23" i="6" s="1"/>
  <c r="B25" i="4"/>
  <c r="Z25" i="4" s="1"/>
  <c r="G24" i="4"/>
  <c r="I24" i="4" s="1"/>
  <c r="E24" i="4"/>
  <c r="B24" i="4"/>
  <c r="F24" i="4" s="1"/>
  <c r="A24" i="4"/>
  <c r="G23" i="4"/>
  <c r="H23" i="4" s="1"/>
  <c r="F23" i="4"/>
  <c r="E23" i="4"/>
  <c r="C84" i="5" s="1"/>
  <c r="B23" i="4"/>
  <c r="A23" i="4"/>
  <c r="G22" i="4"/>
  <c r="I22" i="4" s="1"/>
  <c r="E22" i="4"/>
  <c r="C83" i="5" s="1"/>
  <c r="B22" i="4"/>
  <c r="F22" i="4" s="1"/>
  <c r="A22" i="4"/>
  <c r="T21" i="4"/>
  <c r="R21" i="4"/>
  <c r="C21" i="4"/>
  <c r="D21" i="4" s="1"/>
  <c r="C19" i="6" s="1"/>
  <c r="B21" i="4"/>
  <c r="P21" i="4" s="1"/>
  <c r="A21" i="4"/>
  <c r="T20" i="4"/>
  <c r="R20" i="4"/>
  <c r="C20" i="4"/>
  <c r="C34" i="4" s="1"/>
  <c r="B20" i="4"/>
  <c r="P20" i="4" s="1"/>
  <c r="A20" i="4"/>
  <c r="T19" i="4"/>
  <c r="R19" i="4"/>
  <c r="C19" i="4"/>
  <c r="D19" i="4" s="1"/>
  <c r="B19" i="4"/>
  <c r="P19" i="4" s="1"/>
  <c r="A19" i="4"/>
  <c r="D7" i="4"/>
  <c r="C7" i="4"/>
  <c r="B7" i="4"/>
  <c r="D12" i="3"/>
  <c r="D26" i="3" s="1"/>
  <c r="J66" i="8" l="1"/>
  <c r="J107" i="5"/>
  <c r="D25" i="6"/>
  <c r="D70" i="8"/>
  <c r="E70" i="8" s="1"/>
  <c r="D73" i="8"/>
  <c r="E73" i="8" s="1"/>
  <c r="J24" i="8"/>
  <c r="K24" i="8" s="1"/>
  <c r="J27" i="8"/>
  <c r="K27" i="8" s="1"/>
  <c r="R16" i="8"/>
  <c r="Q95" i="5"/>
  <c r="Q97" i="5" s="1"/>
  <c r="R81" i="5"/>
  <c r="C17" i="6"/>
  <c r="T65" i="8"/>
  <c r="T106" i="5"/>
  <c r="J24" i="4"/>
  <c r="K24" i="4"/>
  <c r="N26" i="8"/>
  <c r="O26" i="8" s="1"/>
  <c r="N29" i="8"/>
  <c r="O29" i="8" s="1"/>
  <c r="H17" i="8"/>
  <c r="G96" i="5"/>
  <c r="Z24" i="8"/>
  <c r="AA24" i="8" s="1"/>
  <c r="Z27" i="8"/>
  <c r="AA27" i="8" s="1"/>
  <c r="J22" i="4"/>
  <c r="I36" i="4"/>
  <c r="K22" i="4"/>
  <c r="L15" i="8"/>
  <c r="K94" i="5"/>
  <c r="K86" i="5"/>
  <c r="M6" i="13"/>
  <c r="D6" i="11"/>
  <c r="D6" i="12"/>
  <c r="D6" i="10"/>
  <c r="D7" i="9"/>
  <c r="D7" i="8"/>
  <c r="E6" i="7"/>
  <c r="D10" i="6"/>
  <c r="D8" i="4"/>
  <c r="P17" i="8"/>
  <c r="O96" i="5"/>
  <c r="Z16" i="8"/>
  <c r="Y95" i="5"/>
  <c r="Y97" i="5" s="1"/>
  <c r="Z81" i="5"/>
  <c r="D26" i="6"/>
  <c r="D29" i="6"/>
  <c r="T15" i="8"/>
  <c r="S94" i="5"/>
  <c r="S86" i="5"/>
  <c r="P15" i="8"/>
  <c r="O94" i="5"/>
  <c r="O86" i="5"/>
  <c r="V84" i="5"/>
  <c r="F84" i="5"/>
  <c r="L52" i="5"/>
  <c r="T84" i="5"/>
  <c r="R84" i="5"/>
  <c r="P84" i="5"/>
  <c r="N84" i="5"/>
  <c r="L84" i="5"/>
  <c r="Z84" i="5"/>
  <c r="J84" i="5"/>
  <c r="AA39" i="5"/>
  <c r="AC39" i="5" s="1"/>
  <c r="AC47" i="5" s="1"/>
  <c r="V64" i="8"/>
  <c r="V105" i="5"/>
  <c r="D24" i="3"/>
  <c r="Q94" i="5"/>
  <c r="Q86" i="5"/>
  <c r="V50" i="8"/>
  <c r="W50" i="8" s="1"/>
  <c r="V47" i="8"/>
  <c r="W47" i="8" s="1"/>
  <c r="H49" i="8"/>
  <c r="I49" i="8" s="1"/>
  <c r="H52" i="8"/>
  <c r="I52" i="8" s="1"/>
  <c r="P49" i="8"/>
  <c r="Q49" i="8" s="1"/>
  <c r="Q54" i="8"/>
  <c r="P52" i="8"/>
  <c r="Q52" i="8" s="1"/>
  <c r="E27" i="6"/>
  <c r="T83" i="5"/>
  <c r="R83" i="5"/>
  <c r="P83" i="5"/>
  <c r="L33" i="5"/>
  <c r="N83" i="5"/>
  <c r="L83" i="5"/>
  <c r="Z83" i="5"/>
  <c r="J83" i="5"/>
  <c r="X83" i="5"/>
  <c r="H83" i="5"/>
  <c r="C10" i="10"/>
  <c r="L10" i="13"/>
  <c r="U20" i="8"/>
  <c r="C33" i="4"/>
  <c r="R84" i="4"/>
  <c r="J16" i="8"/>
  <c r="I95" i="5"/>
  <c r="J81" i="5"/>
  <c r="D25" i="3"/>
  <c r="F19" i="4"/>
  <c r="V19" i="4"/>
  <c r="F20" i="4"/>
  <c r="V20" i="4"/>
  <c r="F21" i="4"/>
  <c r="V21" i="4"/>
  <c r="D18" i="8"/>
  <c r="D83" i="5"/>
  <c r="I23" i="4"/>
  <c r="R25" i="4"/>
  <c r="G36" i="4"/>
  <c r="D82" i="4"/>
  <c r="T82" i="4"/>
  <c r="D83" i="4"/>
  <c r="D18" i="6" s="1"/>
  <c r="T83" i="4"/>
  <c r="D84" i="4"/>
  <c r="D19" i="6" s="1"/>
  <c r="T84" i="4"/>
  <c r="D28" i="6"/>
  <c r="E162" i="4"/>
  <c r="U162" i="4"/>
  <c r="K162" i="4"/>
  <c r="AA162" i="4"/>
  <c r="AA20" i="5"/>
  <c r="AC20" i="5" s="1"/>
  <c r="AC28" i="5" s="1"/>
  <c r="F83" i="5"/>
  <c r="J47" i="8"/>
  <c r="K47" i="8" s="1"/>
  <c r="J50" i="8"/>
  <c r="K50" i="8" s="1"/>
  <c r="I106" i="5"/>
  <c r="V92" i="5"/>
  <c r="F72" i="8"/>
  <c r="G72" i="8" s="1"/>
  <c r="F75" i="8"/>
  <c r="G75" i="8" s="1"/>
  <c r="D65" i="8"/>
  <c r="D106" i="5"/>
  <c r="H9" i="7"/>
  <c r="T149" i="9"/>
  <c r="D149" i="9"/>
  <c r="P149" i="9"/>
  <c r="N149" i="9"/>
  <c r="L149" i="9"/>
  <c r="R149" i="9"/>
  <c r="J149" i="9"/>
  <c r="H149" i="9"/>
  <c r="F149" i="9"/>
  <c r="Z149" i="9"/>
  <c r="X149" i="9"/>
  <c r="V149" i="9"/>
  <c r="R88" i="9"/>
  <c r="P88" i="9"/>
  <c r="N88" i="9"/>
  <c r="L88" i="9"/>
  <c r="Z88" i="9"/>
  <c r="J88" i="9"/>
  <c r="X88" i="9"/>
  <c r="H88" i="9"/>
  <c r="V88" i="9"/>
  <c r="F88" i="9"/>
  <c r="T88" i="9"/>
  <c r="D88" i="9"/>
  <c r="AA88" i="9" s="1"/>
  <c r="L221" i="9"/>
  <c r="T211" i="9"/>
  <c r="D211" i="9"/>
  <c r="Z221" i="9"/>
  <c r="J221" i="9"/>
  <c r="V221" i="9"/>
  <c r="F221" i="9"/>
  <c r="T221" i="9"/>
  <c r="D221" i="9"/>
  <c r="L211" i="9"/>
  <c r="V211" i="9"/>
  <c r="R211" i="9"/>
  <c r="X221" i="9"/>
  <c r="P211" i="9"/>
  <c r="R221" i="9"/>
  <c r="N211" i="9"/>
  <c r="P221" i="9"/>
  <c r="N221" i="9"/>
  <c r="H211" i="9"/>
  <c r="H221" i="9"/>
  <c r="Z211" i="9"/>
  <c r="F211" i="9"/>
  <c r="T160" i="9"/>
  <c r="D160" i="9"/>
  <c r="AA160" i="9" s="1"/>
  <c r="X211" i="9"/>
  <c r="J211" i="9"/>
  <c r="P160" i="9"/>
  <c r="N160" i="9"/>
  <c r="L160" i="9"/>
  <c r="Z160" i="9"/>
  <c r="J160" i="9"/>
  <c r="X160" i="9"/>
  <c r="H160" i="9"/>
  <c r="V160" i="9"/>
  <c r="R160" i="9"/>
  <c r="F160" i="9"/>
  <c r="N99" i="9"/>
  <c r="L99" i="9"/>
  <c r="Z99" i="9"/>
  <c r="J99" i="9"/>
  <c r="X99" i="9"/>
  <c r="H99" i="9"/>
  <c r="V99" i="9"/>
  <c r="F99" i="9"/>
  <c r="T99" i="9"/>
  <c r="D99" i="9"/>
  <c r="R99" i="9"/>
  <c r="P99" i="9"/>
  <c r="X229" i="9"/>
  <c r="H229" i="9"/>
  <c r="T229" i="9"/>
  <c r="R229" i="9"/>
  <c r="P229" i="9"/>
  <c r="N229" i="9"/>
  <c r="L229" i="9"/>
  <c r="J229" i="9"/>
  <c r="Z229" i="9"/>
  <c r="V229" i="9"/>
  <c r="F229" i="9"/>
  <c r="D229" i="9"/>
  <c r="X168" i="9"/>
  <c r="T168" i="9"/>
  <c r="D168" i="9"/>
  <c r="R168" i="9"/>
  <c r="P168" i="9"/>
  <c r="N168" i="9"/>
  <c r="L168" i="9"/>
  <c r="J168" i="9"/>
  <c r="Z168" i="9"/>
  <c r="H168" i="9"/>
  <c r="P107" i="9"/>
  <c r="V168" i="9"/>
  <c r="X107" i="9"/>
  <c r="H107" i="9"/>
  <c r="F168" i="9"/>
  <c r="R107" i="9"/>
  <c r="N107" i="9"/>
  <c r="L107" i="9"/>
  <c r="J107" i="9"/>
  <c r="F107" i="9"/>
  <c r="Z107" i="9"/>
  <c r="D107" i="9"/>
  <c r="V107" i="9"/>
  <c r="T107" i="9"/>
  <c r="L234" i="9"/>
  <c r="X234" i="9"/>
  <c r="H234" i="9"/>
  <c r="N234" i="9"/>
  <c r="J234" i="9"/>
  <c r="F234" i="9"/>
  <c r="Z234" i="9"/>
  <c r="D234" i="9"/>
  <c r="V234" i="9"/>
  <c r="T234" i="9"/>
  <c r="R234" i="9"/>
  <c r="P234" i="9"/>
  <c r="L173" i="9"/>
  <c r="Z173" i="9"/>
  <c r="H173" i="9"/>
  <c r="X173" i="9"/>
  <c r="F173" i="9"/>
  <c r="V173" i="9"/>
  <c r="D173" i="9"/>
  <c r="T173" i="9"/>
  <c r="R173" i="9"/>
  <c r="P173" i="9"/>
  <c r="N173" i="9"/>
  <c r="T112" i="9"/>
  <c r="D112" i="9"/>
  <c r="J173" i="9"/>
  <c r="P112" i="9"/>
  <c r="L112" i="9"/>
  <c r="F112" i="9"/>
  <c r="Z112" i="9"/>
  <c r="X112" i="9"/>
  <c r="V112" i="9"/>
  <c r="R112" i="9"/>
  <c r="N112" i="9"/>
  <c r="J112" i="9"/>
  <c r="H112" i="9"/>
  <c r="X237" i="9"/>
  <c r="H237" i="9"/>
  <c r="T237" i="9"/>
  <c r="D237" i="9"/>
  <c r="P237" i="9"/>
  <c r="Z237" i="9"/>
  <c r="V237" i="9"/>
  <c r="R237" i="9"/>
  <c r="N237" i="9"/>
  <c r="L237" i="9"/>
  <c r="F237" i="9"/>
  <c r="X176" i="9"/>
  <c r="H176" i="9"/>
  <c r="P176" i="9"/>
  <c r="N176" i="9"/>
  <c r="L176" i="9"/>
  <c r="J176" i="9"/>
  <c r="Z176" i="9"/>
  <c r="F176" i="9"/>
  <c r="V176" i="9"/>
  <c r="D176" i="9"/>
  <c r="T176" i="9"/>
  <c r="J237" i="9"/>
  <c r="P115" i="9"/>
  <c r="R176" i="9"/>
  <c r="L115" i="9"/>
  <c r="X115" i="9"/>
  <c r="H115" i="9"/>
  <c r="V115" i="9"/>
  <c r="F115" i="9"/>
  <c r="Z115" i="9"/>
  <c r="T115" i="9"/>
  <c r="R115" i="9"/>
  <c r="N115" i="9"/>
  <c r="J115" i="9"/>
  <c r="D115" i="9"/>
  <c r="X245" i="9"/>
  <c r="H245" i="9"/>
  <c r="T245" i="9"/>
  <c r="D245" i="9"/>
  <c r="P245" i="9"/>
  <c r="J245" i="9"/>
  <c r="F245" i="9"/>
  <c r="Z245" i="9"/>
  <c r="V245" i="9"/>
  <c r="R245" i="9"/>
  <c r="N245" i="9"/>
  <c r="L245" i="9"/>
  <c r="R184" i="9"/>
  <c r="P184" i="9"/>
  <c r="N184" i="9"/>
  <c r="Z184" i="9"/>
  <c r="J184" i="9"/>
  <c r="X184" i="9"/>
  <c r="H184" i="9"/>
  <c r="V184" i="9"/>
  <c r="T184" i="9"/>
  <c r="L184" i="9"/>
  <c r="F184" i="9"/>
  <c r="D184" i="9"/>
  <c r="P123" i="9"/>
  <c r="N123" i="9"/>
  <c r="L123" i="9"/>
  <c r="X123" i="9"/>
  <c r="H123" i="9"/>
  <c r="V123" i="9"/>
  <c r="F123" i="9"/>
  <c r="Z123" i="9"/>
  <c r="T123" i="9"/>
  <c r="R123" i="9"/>
  <c r="J123" i="9"/>
  <c r="D123" i="9"/>
  <c r="AA123" i="9" s="1"/>
  <c r="F16" i="8"/>
  <c r="E95" i="5"/>
  <c r="F81" i="5"/>
  <c r="D25" i="8"/>
  <c r="E25" i="8" s="1"/>
  <c r="D28" i="8"/>
  <c r="E28" i="8" s="1"/>
  <c r="W95" i="5"/>
  <c r="X81" i="5"/>
  <c r="X16" i="8"/>
  <c r="R82" i="4"/>
  <c r="C43" i="8"/>
  <c r="C66" i="8"/>
  <c r="C20" i="8"/>
  <c r="H19" i="4"/>
  <c r="X19" i="4"/>
  <c r="H20" i="4"/>
  <c r="X20" i="4"/>
  <c r="H21" i="4"/>
  <c r="X21" i="4"/>
  <c r="F15" i="8"/>
  <c r="E94" i="5"/>
  <c r="E86" i="5"/>
  <c r="V15" i="8"/>
  <c r="U94" i="5"/>
  <c r="U86" i="5"/>
  <c r="L16" i="8"/>
  <c r="K95" i="5"/>
  <c r="L81" i="5"/>
  <c r="C35" i="4"/>
  <c r="R17" i="8"/>
  <c r="Q96" i="5"/>
  <c r="F82" i="4"/>
  <c r="V82" i="4"/>
  <c r="F83" i="4"/>
  <c r="V83" i="4"/>
  <c r="F84" i="4"/>
  <c r="V84" i="4"/>
  <c r="P88" i="4"/>
  <c r="Z88" i="4"/>
  <c r="T88" i="4"/>
  <c r="Q100" i="4"/>
  <c r="I100" i="4"/>
  <c r="G162" i="4"/>
  <c r="W162" i="4"/>
  <c r="E26" i="6"/>
  <c r="E29" i="6"/>
  <c r="Z85" i="5"/>
  <c r="J85" i="5"/>
  <c r="D96" i="5"/>
  <c r="X85" i="5"/>
  <c r="H85" i="5"/>
  <c r="V85" i="5"/>
  <c r="F85" i="5"/>
  <c r="L71" i="5"/>
  <c r="T85" i="5"/>
  <c r="D85" i="5"/>
  <c r="B85" i="5" s="1"/>
  <c r="R85" i="5"/>
  <c r="P85" i="5"/>
  <c r="N85" i="5"/>
  <c r="V83" i="5"/>
  <c r="W107" i="5"/>
  <c r="L61" i="8"/>
  <c r="R62" i="8"/>
  <c r="R103" i="5"/>
  <c r="H63" i="8"/>
  <c r="X63" i="8"/>
  <c r="X104" i="5"/>
  <c r="K106" i="5"/>
  <c r="K108" i="5" s="1"/>
  <c r="R15" i="8"/>
  <c r="V16" i="8"/>
  <c r="U95" i="5"/>
  <c r="V81" i="5"/>
  <c r="K10" i="13"/>
  <c r="B10" i="10"/>
  <c r="G95" i="5"/>
  <c r="H81" i="5"/>
  <c r="H16" i="8"/>
  <c r="J19" i="4"/>
  <c r="J21" i="4"/>
  <c r="H15" i="8"/>
  <c r="G94" i="5"/>
  <c r="G97" i="5" s="1"/>
  <c r="G86" i="5"/>
  <c r="N16" i="8"/>
  <c r="O31" i="8" s="1"/>
  <c r="M95" i="5"/>
  <c r="N81" i="5"/>
  <c r="T17" i="8"/>
  <c r="S96" i="5"/>
  <c r="T82" i="5"/>
  <c r="H82" i="4"/>
  <c r="X82" i="4"/>
  <c r="X83" i="4"/>
  <c r="H84" i="4"/>
  <c r="X84" i="4"/>
  <c r="AA100" i="4"/>
  <c r="D27" i="6"/>
  <c r="D15" i="8"/>
  <c r="C94" i="5"/>
  <c r="C86" i="5"/>
  <c r="Z47" i="8"/>
  <c r="AA47" i="8" s="1"/>
  <c r="Z50" i="8"/>
  <c r="AA50" i="8" s="1"/>
  <c r="N50" i="8"/>
  <c r="O50" i="8" s="1"/>
  <c r="N47" i="8"/>
  <c r="O47" i="8" s="1"/>
  <c r="X17" i="8"/>
  <c r="W96" i="5"/>
  <c r="D20" i="4"/>
  <c r="C18" i="6" s="1"/>
  <c r="M96" i="5"/>
  <c r="N82" i="5"/>
  <c r="R83" i="4"/>
  <c r="J20" i="4"/>
  <c r="X15" i="8"/>
  <c r="W94" i="5"/>
  <c r="W86" i="5"/>
  <c r="H83" i="4"/>
  <c r="L19" i="4"/>
  <c r="AB19" i="4"/>
  <c r="L20" i="4"/>
  <c r="AB20" i="4"/>
  <c r="L21" i="4"/>
  <c r="AB21" i="4"/>
  <c r="H22" i="4"/>
  <c r="H24" i="4"/>
  <c r="H25" i="4"/>
  <c r="X25" i="4"/>
  <c r="I94" i="5"/>
  <c r="I86" i="5"/>
  <c r="Y94" i="5"/>
  <c r="Y86" i="5"/>
  <c r="O95" i="5"/>
  <c r="P81" i="5"/>
  <c r="P16" i="8"/>
  <c r="E96" i="5"/>
  <c r="F17" i="8"/>
  <c r="V17" i="8"/>
  <c r="U96" i="5"/>
  <c r="V82" i="5"/>
  <c r="J82" i="4"/>
  <c r="Z82" i="4"/>
  <c r="J83" i="4"/>
  <c r="Z83" i="4"/>
  <c r="J84" i="4"/>
  <c r="Z84" i="4"/>
  <c r="F88" i="4"/>
  <c r="X88" i="4"/>
  <c r="H84" i="5"/>
  <c r="P60" i="7"/>
  <c r="I5" i="7" s="1"/>
  <c r="Z19" i="4"/>
  <c r="Z20" i="4"/>
  <c r="Z21" i="4"/>
  <c r="N19" i="4"/>
  <c r="N20" i="4"/>
  <c r="N21" i="4"/>
  <c r="D84" i="5"/>
  <c r="D19" i="8"/>
  <c r="J25" i="4"/>
  <c r="L82" i="4"/>
  <c r="AB82" i="4"/>
  <c r="L83" i="4"/>
  <c r="AB83" i="4"/>
  <c r="L84" i="4"/>
  <c r="AB84" i="4"/>
  <c r="H88" i="4"/>
  <c r="AB88" i="4"/>
  <c r="K100" i="4"/>
  <c r="U100" i="4"/>
  <c r="M162" i="4"/>
  <c r="E25" i="6"/>
  <c r="E70" i="5"/>
  <c r="P82" i="5" s="1"/>
  <c r="X84" i="5"/>
  <c r="D49" i="8"/>
  <c r="E49" i="8" s="1"/>
  <c r="D52" i="8"/>
  <c r="E52" i="8" s="1"/>
  <c r="O107" i="5"/>
  <c r="N104" i="5"/>
  <c r="E105" i="5"/>
  <c r="L17" i="8"/>
  <c r="K96" i="5"/>
  <c r="L82" i="5"/>
  <c r="P82" i="4"/>
  <c r="P84" i="4"/>
  <c r="Z66" i="8"/>
  <c r="Z107" i="5"/>
  <c r="N15" i="8"/>
  <c r="M94" i="5"/>
  <c r="M86" i="5"/>
  <c r="T16" i="8"/>
  <c r="S95" i="5"/>
  <c r="S97" i="5" s="1"/>
  <c r="T81" i="5"/>
  <c r="J17" i="8"/>
  <c r="I96" i="5"/>
  <c r="Z17" i="8"/>
  <c r="Y96" i="5"/>
  <c r="D24" i="6"/>
  <c r="E32" i="5"/>
  <c r="P80" i="5" s="1"/>
  <c r="P86" i="5" s="1"/>
  <c r="T92" i="5"/>
  <c r="L92" i="5"/>
  <c r="D92" i="5"/>
  <c r="F52" i="5"/>
  <c r="V103" i="5"/>
  <c r="N103" i="5"/>
  <c r="F103" i="5"/>
  <c r="E52" i="5"/>
  <c r="U42" i="5"/>
  <c r="W42" i="5" s="1"/>
  <c r="W47" i="5" s="1"/>
  <c r="X92" i="5"/>
  <c r="P92" i="5"/>
  <c r="H92" i="5"/>
  <c r="F50" i="8"/>
  <c r="G50" i="8" s="1"/>
  <c r="F47" i="8"/>
  <c r="G47" i="8" s="1"/>
  <c r="Q105" i="5"/>
  <c r="Q108" i="5" s="1"/>
  <c r="T61" i="8"/>
  <c r="J62" i="8"/>
  <c r="J103" i="5"/>
  <c r="Z62" i="8"/>
  <c r="Z103" i="5"/>
  <c r="P63" i="8"/>
  <c r="M105" i="5"/>
  <c r="Q107" i="5"/>
  <c r="E20" i="8"/>
  <c r="T51" i="8"/>
  <c r="U51" i="8" s="1"/>
  <c r="T48" i="8"/>
  <c r="U48" i="8" s="1"/>
  <c r="L144" i="4"/>
  <c r="AB144" i="4"/>
  <c r="L145" i="4"/>
  <c r="AB145" i="4"/>
  <c r="L146" i="4"/>
  <c r="AB146" i="4"/>
  <c r="H150" i="4"/>
  <c r="X150" i="4"/>
  <c r="H48" i="8"/>
  <c r="I48" i="8" s="1"/>
  <c r="H51" i="8"/>
  <c r="I51" i="8" s="1"/>
  <c r="P48" i="8"/>
  <c r="Q48" i="8" s="1"/>
  <c r="P51" i="8"/>
  <c r="Q51" i="8" s="1"/>
  <c r="X48" i="8"/>
  <c r="Y48" i="8" s="1"/>
  <c r="X51" i="8"/>
  <c r="Y51" i="8" s="1"/>
  <c r="F49" i="8"/>
  <c r="G49" i="8" s="1"/>
  <c r="G54" i="8"/>
  <c r="F52" i="8"/>
  <c r="G52" i="8" s="1"/>
  <c r="O54" i="8"/>
  <c r="N49" i="8"/>
  <c r="O49" i="8" s="1"/>
  <c r="N52" i="8"/>
  <c r="O52" i="8" s="1"/>
  <c r="V49" i="8"/>
  <c r="W49" i="8" s="1"/>
  <c r="V52" i="8"/>
  <c r="W52" i="8" s="1"/>
  <c r="S20" i="8"/>
  <c r="D39" i="8"/>
  <c r="N63" i="8"/>
  <c r="AB69" i="8"/>
  <c r="X216" i="9"/>
  <c r="H216" i="9"/>
  <c r="P206" i="9"/>
  <c r="V216" i="9"/>
  <c r="F216" i="9"/>
  <c r="R216" i="9"/>
  <c r="P216" i="9"/>
  <c r="X206" i="9"/>
  <c r="H206" i="9"/>
  <c r="T216" i="9"/>
  <c r="N216" i="9"/>
  <c r="J206" i="9"/>
  <c r="L216" i="9"/>
  <c r="F206" i="9"/>
  <c r="J216" i="9"/>
  <c r="Z206" i="9"/>
  <c r="D206" i="9"/>
  <c r="T206" i="9"/>
  <c r="R206" i="9"/>
  <c r="Z216" i="9"/>
  <c r="L206" i="9"/>
  <c r="D216" i="9"/>
  <c r="L155" i="9"/>
  <c r="Z155" i="9"/>
  <c r="J155" i="9"/>
  <c r="X155" i="9"/>
  <c r="H155" i="9"/>
  <c r="V155" i="9"/>
  <c r="F155" i="9"/>
  <c r="V206" i="9"/>
  <c r="T155" i="9"/>
  <c r="D155" i="9"/>
  <c r="P155" i="9"/>
  <c r="N155" i="9"/>
  <c r="N206" i="9"/>
  <c r="Z94" i="9"/>
  <c r="J94" i="9"/>
  <c r="X94" i="9"/>
  <c r="H94" i="9"/>
  <c r="V94" i="9"/>
  <c r="F94" i="9"/>
  <c r="T94" i="9"/>
  <c r="D94" i="9"/>
  <c r="R94" i="9"/>
  <c r="P94" i="9"/>
  <c r="R155" i="9"/>
  <c r="N94" i="9"/>
  <c r="L94" i="9"/>
  <c r="L230" i="9"/>
  <c r="J230" i="9"/>
  <c r="Z230" i="9"/>
  <c r="H230" i="9"/>
  <c r="X230" i="9"/>
  <c r="F230" i="9"/>
  <c r="V230" i="9"/>
  <c r="D230" i="9"/>
  <c r="T230" i="9"/>
  <c r="R230" i="9"/>
  <c r="N230" i="9"/>
  <c r="L169" i="9"/>
  <c r="P230" i="9"/>
  <c r="J169" i="9"/>
  <c r="Z169" i="9"/>
  <c r="H169" i="9"/>
  <c r="X169" i="9"/>
  <c r="F169" i="9"/>
  <c r="V169" i="9"/>
  <c r="D169" i="9"/>
  <c r="T169" i="9"/>
  <c r="R169" i="9"/>
  <c r="P169" i="9"/>
  <c r="T108" i="9"/>
  <c r="D108" i="9"/>
  <c r="N169" i="9"/>
  <c r="L108" i="9"/>
  <c r="J108" i="9"/>
  <c r="H108" i="9"/>
  <c r="Z108" i="9"/>
  <c r="F108" i="9"/>
  <c r="X108" i="9"/>
  <c r="V108" i="9"/>
  <c r="R108" i="9"/>
  <c r="P108" i="9"/>
  <c r="L242" i="9"/>
  <c r="X242" i="9"/>
  <c r="H242" i="9"/>
  <c r="T242" i="9"/>
  <c r="D242" i="9"/>
  <c r="P242" i="9"/>
  <c r="N242" i="9"/>
  <c r="J242" i="9"/>
  <c r="F242" i="9"/>
  <c r="Z242" i="9"/>
  <c r="V242" i="9"/>
  <c r="V181" i="9"/>
  <c r="R242" i="9"/>
  <c r="T181" i="9"/>
  <c r="D181" i="9"/>
  <c r="R181" i="9"/>
  <c r="L181" i="9"/>
  <c r="F181" i="9"/>
  <c r="Z181" i="9"/>
  <c r="X181" i="9"/>
  <c r="P181" i="9"/>
  <c r="N181" i="9"/>
  <c r="J181" i="9"/>
  <c r="H181" i="9"/>
  <c r="T120" i="9"/>
  <c r="D120" i="9"/>
  <c r="AA120" i="9" s="1"/>
  <c r="R120" i="9"/>
  <c r="P120" i="9"/>
  <c r="L120" i="9"/>
  <c r="Z120" i="9"/>
  <c r="J120" i="9"/>
  <c r="X120" i="9"/>
  <c r="V120" i="9"/>
  <c r="N120" i="9"/>
  <c r="H120" i="9"/>
  <c r="F120" i="9"/>
  <c r="H89" i="9"/>
  <c r="J150" i="4"/>
  <c r="Z150" i="4"/>
  <c r="O97" i="5"/>
  <c r="W97" i="5"/>
  <c r="F73" i="8"/>
  <c r="G73" i="8" s="1"/>
  <c r="F70" i="8"/>
  <c r="G70" i="8" s="1"/>
  <c r="N73" i="8"/>
  <c r="O73" i="8" s="1"/>
  <c r="N70" i="8"/>
  <c r="O70" i="8" s="1"/>
  <c r="V73" i="8"/>
  <c r="W73" i="8" s="1"/>
  <c r="V70" i="8"/>
  <c r="W70" i="8" s="1"/>
  <c r="D74" i="8"/>
  <c r="E74" i="8" s="1"/>
  <c r="L71" i="8"/>
  <c r="M71" i="8" s="1"/>
  <c r="L74" i="8"/>
  <c r="M74" i="8" s="1"/>
  <c r="T71" i="8"/>
  <c r="U71" i="8" s="1"/>
  <c r="T74" i="8"/>
  <c r="U74" i="8" s="1"/>
  <c r="J72" i="8"/>
  <c r="K72" i="8" s="1"/>
  <c r="J75" i="8"/>
  <c r="K75" i="8" s="1"/>
  <c r="R72" i="8"/>
  <c r="S72" i="8" s="1"/>
  <c r="R75" i="8"/>
  <c r="S75" i="8" s="1"/>
  <c r="Z72" i="8"/>
  <c r="AA72" i="8" s="1"/>
  <c r="Z75" i="8"/>
  <c r="AA75" i="8" s="1"/>
  <c r="G105" i="5"/>
  <c r="O105" i="5"/>
  <c r="W105" i="5"/>
  <c r="E106" i="5"/>
  <c r="M106" i="5"/>
  <c r="U106" i="5"/>
  <c r="C107" i="5"/>
  <c r="K107" i="5"/>
  <c r="S107" i="5"/>
  <c r="E28" i="6"/>
  <c r="H42" i="7"/>
  <c r="AB23" i="8"/>
  <c r="D26" i="8"/>
  <c r="E26" i="8" s="1"/>
  <c r="R38" i="8"/>
  <c r="X40" i="8"/>
  <c r="K24" i="9"/>
  <c r="L24" i="9" s="1"/>
  <c r="T153" i="9"/>
  <c r="D153" i="9"/>
  <c r="AA153" i="9" s="1"/>
  <c r="R153" i="9"/>
  <c r="P153" i="9"/>
  <c r="N153" i="9"/>
  <c r="L153" i="9"/>
  <c r="Z153" i="9"/>
  <c r="X153" i="9"/>
  <c r="V153" i="9"/>
  <c r="J153" i="9"/>
  <c r="H153" i="9"/>
  <c r="F153" i="9"/>
  <c r="R92" i="9"/>
  <c r="P92" i="9"/>
  <c r="N92" i="9"/>
  <c r="L92" i="9"/>
  <c r="Z92" i="9"/>
  <c r="J92" i="9"/>
  <c r="AA92" i="9" s="1"/>
  <c r="X92" i="9"/>
  <c r="H92" i="9"/>
  <c r="V92" i="9"/>
  <c r="F92" i="9"/>
  <c r="R226" i="9"/>
  <c r="P226" i="9"/>
  <c r="N226" i="9"/>
  <c r="L226" i="9"/>
  <c r="Z226" i="9"/>
  <c r="J226" i="9"/>
  <c r="X226" i="9"/>
  <c r="H226" i="9"/>
  <c r="T226" i="9"/>
  <c r="F226" i="9"/>
  <c r="D226" i="9"/>
  <c r="X165" i="9"/>
  <c r="H165" i="9"/>
  <c r="V165" i="9"/>
  <c r="F165" i="9"/>
  <c r="T165" i="9"/>
  <c r="D165" i="9"/>
  <c r="R165" i="9"/>
  <c r="P165" i="9"/>
  <c r="N165" i="9"/>
  <c r="V226" i="9"/>
  <c r="L165" i="9"/>
  <c r="T104" i="9"/>
  <c r="D104" i="9"/>
  <c r="Z165" i="9"/>
  <c r="J165" i="9"/>
  <c r="L104" i="9"/>
  <c r="P104" i="9"/>
  <c r="N104" i="9"/>
  <c r="J104" i="9"/>
  <c r="H104" i="9"/>
  <c r="Z104" i="9"/>
  <c r="F104" i="9"/>
  <c r="X104" i="9"/>
  <c r="V104" i="9"/>
  <c r="T228" i="9"/>
  <c r="D228" i="9"/>
  <c r="L228" i="9"/>
  <c r="J228" i="9"/>
  <c r="Z228" i="9"/>
  <c r="H228" i="9"/>
  <c r="X228" i="9"/>
  <c r="F228" i="9"/>
  <c r="V228" i="9"/>
  <c r="R228" i="9"/>
  <c r="N228" i="9"/>
  <c r="P167" i="9"/>
  <c r="N167" i="9"/>
  <c r="L167" i="9"/>
  <c r="P228" i="9"/>
  <c r="Z167" i="9"/>
  <c r="J167" i="9"/>
  <c r="X167" i="9"/>
  <c r="H167" i="9"/>
  <c r="V167" i="9"/>
  <c r="F167" i="9"/>
  <c r="T167" i="9"/>
  <c r="D167" i="9"/>
  <c r="R167" i="9"/>
  <c r="L106" i="9"/>
  <c r="T106" i="9"/>
  <c r="D106" i="9"/>
  <c r="X106" i="9"/>
  <c r="V106" i="9"/>
  <c r="R106" i="9"/>
  <c r="P106" i="9"/>
  <c r="N106" i="9"/>
  <c r="J106" i="9"/>
  <c r="H106" i="9"/>
  <c r="Z106" i="9"/>
  <c r="F106" i="9"/>
  <c r="T248" i="9"/>
  <c r="D248" i="9"/>
  <c r="P248" i="9"/>
  <c r="L248" i="9"/>
  <c r="Z248" i="9"/>
  <c r="X248" i="9"/>
  <c r="V248" i="9"/>
  <c r="R248" i="9"/>
  <c r="N248" i="9"/>
  <c r="J248" i="9"/>
  <c r="F248" i="9"/>
  <c r="N187" i="9"/>
  <c r="L187" i="9"/>
  <c r="Z187" i="9"/>
  <c r="J187" i="9"/>
  <c r="V187" i="9"/>
  <c r="F187" i="9"/>
  <c r="T187" i="9"/>
  <c r="D187" i="9"/>
  <c r="R187" i="9"/>
  <c r="H248" i="9"/>
  <c r="P187" i="9"/>
  <c r="H187" i="9"/>
  <c r="L126" i="9"/>
  <c r="Z126" i="9"/>
  <c r="J126" i="9"/>
  <c r="X126" i="9"/>
  <c r="H126" i="9"/>
  <c r="T126" i="9"/>
  <c r="D126" i="9"/>
  <c r="X187" i="9"/>
  <c r="R126" i="9"/>
  <c r="P126" i="9"/>
  <c r="N126" i="9"/>
  <c r="F126" i="9"/>
  <c r="V126" i="9"/>
  <c r="P144" i="4"/>
  <c r="P145" i="4"/>
  <c r="P146" i="4"/>
  <c r="L150" i="4"/>
  <c r="AB150" i="4"/>
  <c r="D81" i="5"/>
  <c r="D47" i="8"/>
  <c r="E47" i="8" s="1"/>
  <c r="D50" i="8"/>
  <c r="E50" i="8" s="1"/>
  <c r="L47" i="8"/>
  <c r="M47" i="8" s="1"/>
  <c r="L50" i="8"/>
  <c r="M50" i="8" s="1"/>
  <c r="T47" i="8"/>
  <c r="U47" i="8" s="1"/>
  <c r="T50" i="8"/>
  <c r="U50" i="8" s="1"/>
  <c r="R48" i="8"/>
  <c r="S48" i="8" s="1"/>
  <c r="R51" i="8"/>
  <c r="S51" i="8" s="1"/>
  <c r="Z48" i="8"/>
  <c r="AA48" i="8" s="1"/>
  <c r="Z51" i="8"/>
  <c r="AA51" i="8" s="1"/>
  <c r="C95" i="5"/>
  <c r="N102" i="5"/>
  <c r="D103" i="5"/>
  <c r="L103" i="5"/>
  <c r="T103" i="5"/>
  <c r="J104" i="5"/>
  <c r="R104" i="5"/>
  <c r="Z104" i="5"/>
  <c r="K20" i="8"/>
  <c r="J39" i="8"/>
  <c r="V63" i="8"/>
  <c r="D71" i="8"/>
  <c r="E71" i="8" s="1"/>
  <c r="X150" i="9"/>
  <c r="H150" i="9"/>
  <c r="T150" i="9"/>
  <c r="D150" i="9"/>
  <c r="R150" i="9"/>
  <c r="P150" i="9"/>
  <c r="N150" i="9"/>
  <c r="L150" i="9"/>
  <c r="J150" i="9"/>
  <c r="F150" i="9"/>
  <c r="Z150" i="9"/>
  <c r="V89" i="9"/>
  <c r="F89" i="9"/>
  <c r="T89" i="9"/>
  <c r="D89" i="9"/>
  <c r="R89" i="9"/>
  <c r="P89" i="9"/>
  <c r="N89" i="9"/>
  <c r="L89" i="9"/>
  <c r="V150" i="9"/>
  <c r="Z89" i="9"/>
  <c r="J89" i="9"/>
  <c r="L217" i="9"/>
  <c r="T207" i="9"/>
  <c r="D207" i="9"/>
  <c r="Z217" i="9"/>
  <c r="J217" i="9"/>
  <c r="V217" i="9"/>
  <c r="F217" i="9"/>
  <c r="T217" i="9"/>
  <c r="D217" i="9"/>
  <c r="L207" i="9"/>
  <c r="X217" i="9"/>
  <c r="R217" i="9"/>
  <c r="X207" i="9"/>
  <c r="P217" i="9"/>
  <c r="V207" i="9"/>
  <c r="N217" i="9"/>
  <c r="R207" i="9"/>
  <c r="N207" i="9"/>
  <c r="J207" i="9"/>
  <c r="T156" i="9"/>
  <c r="Z207" i="9"/>
  <c r="P207" i="9"/>
  <c r="P156" i="9"/>
  <c r="H207" i="9"/>
  <c r="N156" i="9"/>
  <c r="F207" i="9"/>
  <c r="L156" i="9"/>
  <c r="Z156" i="9"/>
  <c r="J156" i="9"/>
  <c r="H217" i="9"/>
  <c r="X156" i="9"/>
  <c r="H156" i="9"/>
  <c r="V156" i="9"/>
  <c r="R156" i="9"/>
  <c r="F156" i="9"/>
  <c r="D156" i="9"/>
  <c r="AA156" i="9" s="1"/>
  <c r="N95" i="9"/>
  <c r="L95" i="9"/>
  <c r="Z95" i="9"/>
  <c r="J95" i="9"/>
  <c r="X95" i="9"/>
  <c r="H95" i="9"/>
  <c r="V95" i="9"/>
  <c r="F95" i="9"/>
  <c r="T95" i="9"/>
  <c r="D95" i="9"/>
  <c r="R95" i="9"/>
  <c r="K56" i="9"/>
  <c r="L56" i="9" s="1"/>
  <c r="L246" i="9"/>
  <c r="X246" i="9"/>
  <c r="H246" i="9"/>
  <c r="T246" i="9"/>
  <c r="D246" i="9"/>
  <c r="F246" i="9"/>
  <c r="Z246" i="9"/>
  <c r="V246" i="9"/>
  <c r="R246" i="9"/>
  <c r="P246" i="9"/>
  <c r="V185" i="9"/>
  <c r="F185" i="9"/>
  <c r="T185" i="9"/>
  <c r="D185" i="9"/>
  <c r="R185" i="9"/>
  <c r="N246" i="9"/>
  <c r="N185" i="9"/>
  <c r="J246" i="9"/>
  <c r="L185" i="9"/>
  <c r="Z185" i="9"/>
  <c r="X185" i="9"/>
  <c r="P185" i="9"/>
  <c r="J185" i="9"/>
  <c r="H185" i="9"/>
  <c r="T124" i="9"/>
  <c r="D124" i="9"/>
  <c r="R124" i="9"/>
  <c r="P124" i="9"/>
  <c r="L124" i="9"/>
  <c r="Z124" i="9"/>
  <c r="J124" i="9"/>
  <c r="X124" i="9"/>
  <c r="V124" i="9"/>
  <c r="N124" i="9"/>
  <c r="H124" i="9"/>
  <c r="F124" i="9"/>
  <c r="L250" i="9"/>
  <c r="X250" i="9"/>
  <c r="H250" i="9"/>
  <c r="T250" i="9"/>
  <c r="D250" i="9"/>
  <c r="V250" i="9"/>
  <c r="R250" i="9"/>
  <c r="P250" i="9"/>
  <c r="N250" i="9"/>
  <c r="J250" i="9"/>
  <c r="F250" i="9"/>
  <c r="V189" i="9"/>
  <c r="F189" i="9"/>
  <c r="Z250" i="9"/>
  <c r="T189" i="9"/>
  <c r="D189" i="9"/>
  <c r="AA189" i="9" s="1"/>
  <c r="R189" i="9"/>
  <c r="N189" i="9"/>
  <c r="L189" i="9"/>
  <c r="Z189" i="9"/>
  <c r="X189" i="9"/>
  <c r="P189" i="9"/>
  <c r="J189" i="9"/>
  <c r="H189" i="9"/>
  <c r="T128" i="9"/>
  <c r="D128" i="9"/>
  <c r="R128" i="9"/>
  <c r="P128" i="9"/>
  <c r="L128" i="9"/>
  <c r="Z128" i="9"/>
  <c r="J128" i="9"/>
  <c r="X128" i="9"/>
  <c r="V128" i="9"/>
  <c r="N128" i="9"/>
  <c r="H128" i="9"/>
  <c r="F128" i="9"/>
  <c r="P95" i="9"/>
  <c r="R144" i="4"/>
  <c r="R145" i="4"/>
  <c r="R146" i="4"/>
  <c r="N150" i="4"/>
  <c r="J92" i="5"/>
  <c r="R92" i="5"/>
  <c r="Z92" i="5"/>
  <c r="H93" i="5"/>
  <c r="P93" i="5"/>
  <c r="X93" i="5"/>
  <c r="I97" i="5"/>
  <c r="H73" i="8"/>
  <c r="I73" i="8" s="1"/>
  <c r="P73" i="8"/>
  <c r="Q73" i="8" s="1"/>
  <c r="P70" i="8"/>
  <c r="Q70" i="8" s="1"/>
  <c r="X73" i="8"/>
  <c r="Y73" i="8" s="1"/>
  <c r="X70" i="8"/>
  <c r="Y70" i="8" s="1"/>
  <c r="F74" i="8"/>
  <c r="G74" i="8" s="1"/>
  <c r="F71" i="8"/>
  <c r="G71" i="8" s="1"/>
  <c r="N74" i="8"/>
  <c r="O74" i="8" s="1"/>
  <c r="N71" i="8"/>
  <c r="O71" i="8" s="1"/>
  <c r="V74" i="8"/>
  <c r="W74" i="8" s="1"/>
  <c r="V71" i="8"/>
  <c r="W71" i="8" s="1"/>
  <c r="D75" i="8"/>
  <c r="E75" i="8" s="1"/>
  <c r="D72" i="8"/>
  <c r="E72" i="8" s="1"/>
  <c r="L75" i="8"/>
  <c r="M75" i="8" s="1"/>
  <c r="L72" i="8"/>
  <c r="M72" i="8" s="1"/>
  <c r="T75" i="8"/>
  <c r="U75" i="8" s="1"/>
  <c r="T72" i="8"/>
  <c r="U72" i="8" s="1"/>
  <c r="I105" i="5"/>
  <c r="I108" i="5" s="1"/>
  <c r="Y105" i="5"/>
  <c r="Y108" i="5" s="1"/>
  <c r="G106" i="5"/>
  <c r="O106" i="5"/>
  <c r="W106" i="5"/>
  <c r="E107" i="5"/>
  <c r="M107" i="5"/>
  <c r="U107" i="5"/>
  <c r="W20" i="8"/>
  <c r="F51" i="8"/>
  <c r="G51" i="8" s="1"/>
  <c r="L225" i="9"/>
  <c r="T215" i="9"/>
  <c r="D215" i="9"/>
  <c r="Z225" i="9"/>
  <c r="J225" i="9"/>
  <c r="R215" i="9"/>
  <c r="V225" i="9"/>
  <c r="F225" i="9"/>
  <c r="N215" i="9"/>
  <c r="T225" i="9"/>
  <c r="D225" i="9"/>
  <c r="L215" i="9"/>
  <c r="H225" i="9"/>
  <c r="V215" i="9"/>
  <c r="P215" i="9"/>
  <c r="J215" i="9"/>
  <c r="H215" i="9"/>
  <c r="X225" i="9"/>
  <c r="R225" i="9"/>
  <c r="P225" i="9"/>
  <c r="Z215" i="9"/>
  <c r="N225" i="9"/>
  <c r="T164" i="9"/>
  <c r="D164" i="9"/>
  <c r="R164" i="9"/>
  <c r="P164" i="9"/>
  <c r="X215" i="9"/>
  <c r="N164" i="9"/>
  <c r="F215" i="9"/>
  <c r="L164" i="9"/>
  <c r="Z164" i="9"/>
  <c r="J164" i="9"/>
  <c r="X164" i="9"/>
  <c r="H164" i="9"/>
  <c r="F164" i="9"/>
  <c r="P103" i="9"/>
  <c r="X103" i="9"/>
  <c r="H103" i="9"/>
  <c r="V103" i="9"/>
  <c r="V164" i="9"/>
  <c r="T103" i="9"/>
  <c r="R103" i="9"/>
  <c r="N103" i="9"/>
  <c r="L103" i="9"/>
  <c r="J103" i="9"/>
  <c r="F103" i="9"/>
  <c r="Z103" i="9"/>
  <c r="D103" i="9"/>
  <c r="P243" i="9"/>
  <c r="L243" i="9"/>
  <c r="X243" i="9"/>
  <c r="H243" i="9"/>
  <c r="N243" i="9"/>
  <c r="J243" i="9"/>
  <c r="F243" i="9"/>
  <c r="D243" i="9"/>
  <c r="Z243" i="9"/>
  <c r="V243" i="9"/>
  <c r="Z182" i="9"/>
  <c r="J182" i="9"/>
  <c r="X182" i="9"/>
  <c r="H182" i="9"/>
  <c r="V182" i="9"/>
  <c r="F182" i="9"/>
  <c r="R182" i="9"/>
  <c r="T243" i="9"/>
  <c r="P182" i="9"/>
  <c r="D182" i="9"/>
  <c r="T182" i="9"/>
  <c r="N182" i="9"/>
  <c r="X121" i="9"/>
  <c r="H121" i="9"/>
  <c r="R243" i="9"/>
  <c r="V121" i="9"/>
  <c r="F121" i="9"/>
  <c r="T121" i="9"/>
  <c r="D121" i="9"/>
  <c r="P121" i="9"/>
  <c r="L182" i="9"/>
  <c r="N121" i="9"/>
  <c r="Z121" i="9"/>
  <c r="R121" i="9"/>
  <c r="L121" i="9"/>
  <c r="J121" i="9"/>
  <c r="P150" i="4"/>
  <c r="J52" i="8"/>
  <c r="K52" i="8" s="1"/>
  <c r="S54" i="8"/>
  <c r="R52" i="8"/>
  <c r="S52" i="8" s="1"/>
  <c r="AA54" i="8"/>
  <c r="Z52" i="8"/>
  <c r="AA52" i="8" s="1"/>
  <c r="E43" i="8"/>
  <c r="E108" i="5"/>
  <c r="M108" i="5"/>
  <c r="L39" i="8"/>
  <c r="T146" i="9"/>
  <c r="D146" i="9"/>
  <c r="R146" i="9"/>
  <c r="P146" i="9"/>
  <c r="J146" i="9"/>
  <c r="H146" i="9"/>
  <c r="F146" i="9"/>
  <c r="Z146" i="9"/>
  <c r="X146" i="9"/>
  <c r="V146" i="9"/>
  <c r="N146" i="9"/>
  <c r="V85" i="9"/>
  <c r="F85" i="9"/>
  <c r="T85" i="9"/>
  <c r="D85" i="9"/>
  <c r="R85" i="9"/>
  <c r="P85" i="9"/>
  <c r="N85" i="9"/>
  <c r="L85" i="9"/>
  <c r="L146" i="9"/>
  <c r="Z85" i="9"/>
  <c r="J85" i="9"/>
  <c r="X85" i="9"/>
  <c r="H85" i="9"/>
  <c r="P148" i="9"/>
  <c r="L148" i="9"/>
  <c r="Z148" i="9"/>
  <c r="J148" i="9"/>
  <c r="X148" i="9"/>
  <c r="H148" i="9"/>
  <c r="N148" i="9"/>
  <c r="F148" i="9"/>
  <c r="D148" i="9"/>
  <c r="V148" i="9"/>
  <c r="T148" i="9"/>
  <c r="N87" i="9"/>
  <c r="L87" i="9"/>
  <c r="R148" i="9"/>
  <c r="Z87" i="9"/>
  <c r="J87" i="9"/>
  <c r="X87" i="9"/>
  <c r="H87" i="9"/>
  <c r="V87" i="9"/>
  <c r="F87" i="9"/>
  <c r="T87" i="9"/>
  <c r="D87" i="9"/>
  <c r="R87" i="9"/>
  <c r="P87" i="9"/>
  <c r="N108" i="9"/>
  <c r="R150" i="4"/>
  <c r="J70" i="8"/>
  <c r="K70" i="8" s="1"/>
  <c r="R73" i="8"/>
  <c r="S73" i="8" s="1"/>
  <c r="Z70" i="8"/>
  <c r="AA70" i="8" s="1"/>
  <c r="H71" i="8"/>
  <c r="I71" i="8" s="1"/>
  <c r="H74" i="8"/>
  <c r="I74" i="8" s="1"/>
  <c r="X71" i="8"/>
  <c r="Y71" i="8" s="1"/>
  <c r="X74" i="8"/>
  <c r="Y74" i="8" s="1"/>
  <c r="C105" i="5"/>
  <c r="K105" i="5"/>
  <c r="S105" i="5"/>
  <c r="S108" i="5" s="1"/>
  <c r="Q106" i="5"/>
  <c r="Y106" i="5"/>
  <c r="G107" i="5"/>
  <c r="E24" i="6"/>
  <c r="O20" i="8"/>
  <c r="AB22" i="8"/>
  <c r="J49" i="8"/>
  <c r="K49" i="8" s="1"/>
  <c r="N51" i="8"/>
  <c r="O51" i="8" s="1"/>
  <c r="Z73" i="8"/>
  <c r="AA73" i="8" s="1"/>
  <c r="X224" i="9"/>
  <c r="H224" i="9"/>
  <c r="P214" i="9"/>
  <c r="V224" i="9"/>
  <c r="F224" i="9"/>
  <c r="R224" i="9"/>
  <c r="P224" i="9"/>
  <c r="X214" i="9"/>
  <c r="H214" i="9"/>
  <c r="D224" i="9"/>
  <c r="V214" i="9"/>
  <c r="T214" i="9"/>
  <c r="R214" i="9"/>
  <c r="Z224" i="9"/>
  <c r="N214" i="9"/>
  <c r="T224" i="9"/>
  <c r="N224" i="9"/>
  <c r="J214" i="9"/>
  <c r="L224" i="9"/>
  <c r="F214" i="9"/>
  <c r="D214" i="9"/>
  <c r="P163" i="9"/>
  <c r="N163" i="9"/>
  <c r="J224" i="9"/>
  <c r="L163" i="9"/>
  <c r="Z163" i="9"/>
  <c r="J163" i="9"/>
  <c r="X163" i="9"/>
  <c r="H163" i="9"/>
  <c r="V163" i="9"/>
  <c r="F163" i="9"/>
  <c r="Z214" i="9"/>
  <c r="T163" i="9"/>
  <c r="D163" i="9"/>
  <c r="L214" i="9"/>
  <c r="L102" i="9"/>
  <c r="R163" i="9"/>
  <c r="T102" i="9"/>
  <c r="D102" i="9"/>
  <c r="H102" i="9"/>
  <c r="Z102" i="9"/>
  <c r="F102" i="9"/>
  <c r="X102" i="9"/>
  <c r="V102" i="9"/>
  <c r="R102" i="9"/>
  <c r="P102" i="9"/>
  <c r="N102" i="9"/>
  <c r="J102" i="9"/>
  <c r="P239" i="9"/>
  <c r="L239" i="9"/>
  <c r="X239" i="9"/>
  <c r="H239" i="9"/>
  <c r="V239" i="9"/>
  <c r="T239" i="9"/>
  <c r="R239" i="9"/>
  <c r="N239" i="9"/>
  <c r="J239" i="9"/>
  <c r="F239" i="9"/>
  <c r="Z239" i="9"/>
  <c r="X178" i="9"/>
  <c r="D239" i="9"/>
  <c r="V178" i="9"/>
  <c r="P178" i="9"/>
  <c r="N178" i="9"/>
  <c r="L178" i="9"/>
  <c r="J178" i="9"/>
  <c r="H178" i="9"/>
  <c r="F178" i="9"/>
  <c r="Z178" i="9"/>
  <c r="D178" i="9"/>
  <c r="T178" i="9"/>
  <c r="X117" i="9"/>
  <c r="H117" i="9"/>
  <c r="T117" i="9"/>
  <c r="D117" i="9"/>
  <c r="AA117" i="9" s="1"/>
  <c r="P117" i="9"/>
  <c r="R178" i="9"/>
  <c r="N117" i="9"/>
  <c r="J117" i="9"/>
  <c r="F117" i="9"/>
  <c r="Z117" i="9"/>
  <c r="V117" i="9"/>
  <c r="R117" i="9"/>
  <c r="L117" i="9"/>
  <c r="X241" i="9"/>
  <c r="H241" i="9"/>
  <c r="T241" i="9"/>
  <c r="D241" i="9"/>
  <c r="P241" i="9"/>
  <c r="R241" i="9"/>
  <c r="N241" i="9"/>
  <c r="L241" i="9"/>
  <c r="J241" i="9"/>
  <c r="F241" i="9"/>
  <c r="P180" i="9"/>
  <c r="N180" i="9"/>
  <c r="Z241" i="9"/>
  <c r="V241" i="9"/>
  <c r="X180" i="9"/>
  <c r="H180" i="9"/>
  <c r="J180" i="9"/>
  <c r="F180" i="9"/>
  <c r="D180" i="9"/>
  <c r="Z180" i="9"/>
  <c r="V180" i="9"/>
  <c r="T180" i="9"/>
  <c r="R180" i="9"/>
  <c r="P119" i="9"/>
  <c r="L180" i="9"/>
  <c r="N119" i="9"/>
  <c r="L119" i="9"/>
  <c r="X119" i="9"/>
  <c r="H119" i="9"/>
  <c r="V119" i="9"/>
  <c r="F119" i="9"/>
  <c r="T119" i="9"/>
  <c r="R119" i="9"/>
  <c r="J119" i="9"/>
  <c r="D119" i="9"/>
  <c r="Z119" i="9"/>
  <c r="H144" i="4"/>
  <c r="H145" i="4"/>
  <c r="H146" i="4"/>
  <c r="D150" i="4"/>
  <c r="E23" i="6" s="1"/>
  <c r="H47" i="8"/>
  <c r="I47" i="8" s="1"/>
  <c r="P47" i="8"/>
  <c r="Q47" i="8" s="1"/>
  <c r="X47" i="8"/>
  <c r="Y47" i="8" s="1"/>
  <c r="M54" i="8"/>
  <c r="L49" i="8"/>
  <c r="M49" i="8" s="1"/>
  <c r="T49" i="8"/>
  <c r="U49" i="8" s="1"/>
  <c r="H103" i="5"/>
  <c r="P103" i="5"/>
  <c r="X103" i="5"/>
  <c r="F104" i="5"/>
  <c r="G108" i="5"/>
  <c r="O108" i="5"/>
  <c r="W108" i="5"/>
  <c r="AA20" i="8"/>
  <c r="P50" i="8"/>
  <c r="Q50" i="8" s="1"/>
  <c r="T52" i="8"/>
  <c r="U52" i="8" s="1"/>
  <c r="H70" i="8"/>
  <c r="I70" i="8" s="1"/>
  <c r="T202" i="9"/>
  <c r="D202" i="9"/>
  <c r="R202" i="9"/>
  <c r="P202" i="9"/>
  <c r="L202" i="9"/>
  <c r="Z202" i="9"/>
  <c r="J202" i="9"/>
  <c r="X202" i="9"/>
  <c r="V202" i="9"/>
  <c r="N202" i="9"/>
  <c r="H202" i="9"/>
  <c r="F202" i="9"/>
  <c r="P141" i="9"/>
  <c r="T141" i="9"/>
  <c r="R141" i="9"/>
  <c r="N141" i="9"/>
  <c r="J141" i="9"/>
  <c r="Z141" i="9"/>
  <c r="H141" i="9"/>
  <c r="L141" i="9"/>
  <c r="R80" i="9"/>
  <c r="F141" i="9"/>
  <c r="P80" i="9"/>
  <c r="D141" i="9"/>
  <c r="N80" i="9"/>
  <c r="L80" i="9"/>
  <c r="Z80" i="9"/>
  <c r="J80" i="9"/>
  <c r="X80" i="9"/>
  <c r="H80" i="9"/>
  <c r="X141" i="9"/>
  <c r="V80" i="9"/>
  <c r="F80" i="9"/>
  <c r="V141" i="9"/>
  <c r="D80" i="9"/>
  <c r="L205" i="9"/>
  <c r="T205" i="9"/>
  <c r="D205" i="9"/>
  <c r="P205" i="9"/>
  <c r="N205" i="9"/>
  <c r="J205" i="9"/>
  <c r="Z205" i="9"/>
  <c r="F205" i="9"/>
  <c r="X205" i="9"/>
  <c r="V205" i="9"/>
  <c r="R205" i="9"/>
  <c r="H205" i="9"/>
  <c r="L144" i="9"/>
  <c r="Z144" i="9"/>
  <c r="X144" i="9"/>
  <c r="H144" i="9"/>
  <c r="R144" i="9"/>
  <c r="P144" i="9"/>
  <c r="N144" i="9"/>
  <c r="J144" i="9"/>
  <c r="D144" i="9"/>
  <c r="V144" i="9"/>
  <c r="N83" i="9"/>
  <c r="L83" i="9"/>
  <c r="T144" i="9"/>
  <c r="Z83" i="9"/>
  <c r="J83" i="9"/>
  <c r="F144" i="9"/>
  <c r="X83" i="9"/>
  <c r="H83" i="9"/>
  <c r="V83" i="9"/>
  <c r="F83" i="9"/>
  <c r="T83" i="9"/>
  <c r="D83" i="9"/>
  <c r="R83" i="9"/>
  <c r="P152" i="9"/>
  <c r="L152" i="9"/>
  <c r="Z152" i="9"/>
  <c r="J152" i="9"/>
  <c r="X152" i="9"/>
  <c r="H152" i="9"/>
  <c r="V152" i="9"/>
  <c r="T152" i="9"/>
  <c r="R152" i="9"/>
  <c r="N152" i="9"/>
  <c r="F152" i="9"/>
  <c r="D152" i="9"/>
  <c r="N91" i="9"/>
  <c r="L91" i="9"/>
  <c r="Z91" i="9"/>
  <c r="J91" i="9"/>
  <c r="X91" i="9"/>
  <c r="H91" i="9"/>
  <c r="V91" i="9"/>
  <c r="F91" i="9"/>
  <c r="T91" i="9"/>
  <c r="D91" i="9"/>
  <c r="R91" i="9"/>
  <c r="P91" i="9"/>
  <c r="T232" i="9"/>
  <c r="D232" i="9"/>
  <c r="J232" i="9"/>
  <c r="Z232" i="9"/>
  <c r="H232" i="9"/>
  <c r="X232" i="9"/>
  <c r="F232" i="9"/>
  <c r="V232" i="9"/>
  <c r="R232" i="9"/>
  <c r="P232" i="9"/>
  <c r="L232" i="9"/>
  <c r="T171" i="9"/>
  <c r="D171" i="9"/>
  <c r="J171" i="9"/>
  <c r="Z171" i="9"/>
  <c r="H171" i="9"/>
  <c r="X171" i="9"/>
  <c r="F171" i="9"/>
  <c r="V171" i="9"/>
  <c r="R171" i="9"/>
  <c r="N232" i="9"/>
  <c r="P171" i="9"/>
  <c r="N171" i="9"/>
  <c r="L110" i="9"/>
  <c r="T110" i="9"/>
  <c r="D110" i="9"/>
  <c r="L171" i="9"/>
  <c r="R110" i="9"/>
  <c r="P110" i="9"/>
  <c r="N110" i="9"/>
  <c r="J110" i="9"/>
  <c r="H110" i="9"/>
  <c r="Z110" i="9"/>
  <c r="F110" i="9"/>
  <c r="X110" i="9"/>
  <c r="V110" i="9"/>
  <c r="K19" i="9"/>
  <c r="L19" i="9" s="1"/>
  <c r="K22" i="9"/>
  <c r="L22" i="9" s="1"/>
  <c r="K47" i="9"/>
  <c r="L47" i="9" s="1"/>
  <c r="K51" i="9"/>
  <c r="L51" i="9" s="1"/>
  <c r="K54" i="9"/>
  <c r="L54" i="9" s="1"/>
  <c r="P201" i="9"/>
  <c r="N201" i="9"/>
  <c r="L201" i="9"/>
  <c r="X201" i="9"/>
  <c r="H201" i="9"/>
  <c r="V201" i="9"/>
  <c r="F201" i="9"/>
  <c r="R201" i="9"/>
  <c r="J201" i="9"/>
  <c r="D201" i="9"/>
  <c r="Z201" i="9"/>
  <c r="N140" i="9"/>
  <c r="L140" i="9"/>
  <c r="Z140" i="9"/>
  <c r="J140" i="9"/>
  <c r="T201" i="9"/>
  <c r="V140" i="9"/>
  <c r="F140" i="9"/>
  <c r="T140" i="9"/>
  <c r="D140" i="9"/>
  <c r="N79" i="9"/>
  <c r="L79" i="9"/>
  <c r="Z79" i="9"/>
  <c r="J79" i="9"/>
  <c r="X79" i="9"/>
  <c r="H79" i="9"/>
  <c r="X140" i="9"/>
  <c r="V79" i="9"/>
  <c r="F79" i="9"/>
  <c r="R140" i="9"/>
  <c r="T79" i="9"/>
  <c r="D79" i="9"/>
  <c r="AA79" i="9" s="1"/>
  <c r="P140" i="9"/>
  <c r="R79" i="9"/>
  <c r="K36" i="9"/>
  <c r="L36" i="9" s="1"/>
  <c r="X233" i="9"/>
  <c r="H233" i="9"/>
  <c r="T233" i="9"/>
  <c r="R233" i="9"/>
  <c r="P233" i="9"/>
  <c r="N233" i="9"/>
  <c r="L233" i="9"/>
  <c r="J233" i="9"/>
  <c r="F233" i="9"/>
  <c r="Z233" i="9"/>
  <c r="V233" i="9"/>
  <c r="D233" i="9"/>
  <c r="X172" i="9"/>
  <c r="H172" i="9"/>
  <c r="R172" i="9"/>
  <c r="P172" i="9"/>
  <c r="N172" i="9"/>
  <c r="L172" i="9"/>
  <c r="J172" i="9"/>
  <c r="Z172" i="9"/>
  <c r="F172" i="9"/>
  <c r="V172" i="9"/>
  <c r="D172" i="9"/>
  <c r="P111" i="9"/>
  <c r="T172" i="9"/>
  <c r="X111" i="9"/>
  <c r="H111" i="9"/>
  <c r="L111" i="9"/>
  <c r="J111" i="9"/>
  <c r="F111" i="9"/>
  <c r="Z111" i="9"/>
  <c r="D111" i="9"/>
  <c r="V111" i="9"/>
  <c r="T111" i="9"/>
  <c r="R111" i="9"/>
  <c r="K68" i="9"/>
  <c r="L68" i="9" s="1"/>
  <c r="L200" i="9"/>
  <c r="Z200" i="9"/>
  <c r="J200" i="9"/>
  <c r="X200" i="9"/>
  <c r="H200" i="9"/>
  <c r="T200" i="9"/>
  <c r="D200" i="9"/>
  <c r="R200" i="9"/>
  <c r="V200" i="9"/>
  <c r="P200" i="9"/>
  <c r="N200" i="9"/>
  <c r="Z139" i="9"/>
  <c r="J139" i="9"/>
  <c r="X139" i="9"/>
  <c r="H139" i="9"/>
  <c r="V139" i="9"/>
  <c r="F139" i="9"/>
  <c r="R139" i="9"/>
  <c r="F200" i="9"/>
  <c r="P139" i="9"/>
  <c r="Z78" i="9"/>
  <c r="J78" i="9"/>
  <c r="X78" i="9"/>
  <c r="H78" i="9"/>
  <c r="T139" i="9"/>
  <c r="V78" i="9"/>
  <c r="F78" i="9"/>
  <c r="N139" i="9"/>
  <c r="T78" i="9"/>
  <c r="D78" i="9"/>
  <c r="L139" i="9"/>
  <c r="R78" i="9"/>
  <c r="D139" i="9"/>
  <c r="P78" i="9"/>
  <c r="N78" i="9"/>
  <c r="K39" i="9"/>
  <c r="L39" i="9" s="1"/>
  <c r="V227" i="9"/>
  <c r="F227" i="9"/>
  <c r="T227" i="9"/>
  <c r="D227" i="9"/>
  <c r="R227" i="9"/>
  <c r="P227" i="9"/>
  <c r="N227" i="9"/>
  <c r="L227" i="9"/>
  <c r="Z227" i="9"/>
  <c r="X227" i="9"/>
  <c r="J227" i="9"/>
  <c r="H227" i="9"/>
  <c r="L166" i="9"/>
  <c r="Z166" i="9"/>
  <c r="J166" i="9"/>
  <c r="X166" i="9"/>
  <c r="H166" i="9"/>
  <c r="V166" i="9"/>
  <c r="F166" i="9"/>
  <c r="T166" i="9"/>
  <c r="D166" i="9"/>
  <c r="AA166" i="9" s="1"/>
  <c r="R166" i="9"/>
  <c r="P166" i="9"/>
  <c r="X105" i="9"/>
  <c r="H105" i="9"/>
  <c r="N166" i="9"/>
  <c r="P105" i="9"/>
  <c r="J105" i="9"/>
  <c r="F105" i="9"/>
  <c r="Z105" i="9"/>
  <c r="D105" i="9"/>
  <c r="V105" i="9"/>
  <c r="T105" i="9"/>
  <c r="R105" i="9"/>
  <c r="N105" i="9"/>
  <c r="K71" i="9"/>
  <c r="L71" i="9" s="1"/>
  <c r="K28" i="9"/>
  <c r="L28" i="9" s="1"/>
  <c r="P218" i="9"/>
  <c r="X208" i="9"/>
  <c r="H208" i="9"/>
  <c r="N218" i="9"/>
  <c r="Z218" i="9"/>
  <c r="J218" i="9"/>
  <c r="X218" i="9"/>
  <c r="H218" i="9"/>
  <c r="P208" i="9"/>
  <c r="V218" i="9"/>
  <c r="R208" i="9"/>
  <c r="T218" i="9"/>
  <c r="N208" i="9"/>
  <c r="R218" i="9"/>
  <c r="L208" i="9"/>
  <c r="F218" i="9"/>
  <c r="F208" i="9"/>
  <c r="D218" i="9"/>
  <c r="Z208" i="9"/>
  <c r="D208" i="9"/>
  <c r="X157" i="9"/>
  <c r="H157" i="9"/>
  <c r="T157" i="9"/>
  <c r="D157" i="9"/>
  <c r="R157" i="9"/>
  <c r="L218" i="9"/>
  <c r="P157" i="9"/>
  <c r="V208" i="9"/>
  <c r="N157" i="9"/>
  <c r="T208" i="9"/>
  <c r="L157" i="9"/>
  <c r="F157" i="9"/>
  <c r="J208" i="9"/>
  <c r="Z157" i="9"/>
  <c r="V157" i="9"/>
  <c r="R96" i="9"/>
  <c r="P96" i="9"/>
  <c r="N96" i="9"/>
  <c r="J157" i="9"/>
  <c r="L96" i="9"/>
  <c r="Z96" i="9"/>
  <c r="J96" i="9"/>
  <c r="X96" i="9"/>
  <c r="H96" i="9"/>
  <c r="V96" i="9"/>
  <c r="F96" i="9"/>
  <c r="AA96" i="9" s="1"/>
  <c r="K60" i="9"/>
  <c r="L60" i="9" s="1"/>
  <c r="X253" i="9"/>
  <c r="H253" i="9"/>
  <c r="V253" i="9"/>
  <c r="F253" i="9"/>
  <c r="T253" i="9"/>
  <c r="D253" i="9"/>
  <c r="P253" i="9"/>
  <c r="Z253" i="9"/>
  <c r="R253" i="9"/>
  <c r="N253" i="9"/>
  <c r="L253" i="9"/>
  <c r="J253" i="9"/>
  <c r="R192" i="9"/>
  <c r="P192" i="9"/>
  <c r="N192" i="9"/>
  <c r="Z192" i="9"/>
  <c r="J192" i="9"/>
  <c r="X192" i="9"/>
  <c r="H192" i="9"/>
  <c r="V192" i="9"/>
  <c r="T192" i="9"/>
  <c r="L192" i="9"/>
  <c r="F192" i="9"/>
  <c r="D192" i="9"/>
  <c r="P131" i="9"/>
  <c r="N131" i="9"/>
  <c r="L131" i="9"/>
  <c r="X131" i="9"/>
  <c r="H131" i="9"/>
  <c r="V131" i="9"/>
  <c r="F131" i="9"/>
  <c r="Z131" i="9"/>
  <c r="T131" i="9"/>
  <c r="R131" i="9"/>
  <c r="J131" i="9"/>
  <c r="D131" i="9"/>
  <c r="P79" i="9"/>
  <c r="H140" i="9"/>
  <c r="K31" i="9"/>
  <c r="L31" i="9" s="1"/>
  <c r="K35" i="9"/>
  <c r="L35" i="9" s="1"/>
  <c r="K38" i="9"/>
  <c r="L38" i="9" s="1"/>
  <c r="K63" i="9"/>
  <c r="L63" i="9" s="1"/>
  <c r="K67" i="9"/>
  <c r="L67" i="9" s="1"/>
  <c r="K70" i="9"/>
  <c r="L70" i="9" s="1"/>
  <c r="K20" i="9"/>
  <c r="L20" i="9" s="1"/>
  <c r="K52" i="9"/>
  <c r="L52" i="9" s="1"/>
  <c r="X249" i="9"/>
  <c r="H249" i="9"/>
  <c r="T249" i="9"/>
  <c r="D249" i="9"/>
  <c r="P249" i="9"/>
  <c r="Z249" i="9"/>
  <c r="V249" i="9"/>
  <c r="R249" i="9"/>
  <c r="N249" i="9"/>
  <c r="L249" i="9"/>
  <c r="J249" i="9"/>
  <c r="R188" i="9"/>
  <c r="P188" i="9"/>
  <c r="N188" i="9"/>
  <c r="F249" i="9"/>
  <c r="Z188" i="9"/>
  <c r="J188" i="9"/>
  <c r="X188" i="9"/>
  <c r="H188" i="9"/>
  <c r="V188" i="9"/>
  <c r="T188" i="9"/>
  <c r="L188" i="9"/>
  <c r="F188" i="9"/>
  <c r="D188" i="9"/>
  <c r="P127" i="9"/>
  <c r="N127" i="9"/>
  <c r="L127" i="9"/>
  <c r="X127" i="9"/>
  <c r="H127" i="9"/>
  <c r="V127" i="9"/>
  <c r="F127" i="9"/>
  <c r="Z127" i="9"/>
  <c r="T127" i="9"/>
  <c r="R127" i="9"/>
  <c r="J127" i="9"/>
  <c r="D127" i="9"/>
  <c r="D21" i="21"/>
  <c r="D22" i="21" s="1"/>
  <c r="D13" i="19"/>
  <c r="D14" i="19" s="1"/>
  <c r="G5" i="11"/>
  <c r="J20" i="13" s="1"/>
  <c r="D21" i="13" s="1"/>
  <c r="D22" i="13" s="1"/>
  <c r="D13" i="20"/>
  <c r="D14" i="20" s="1"/>
  <c r="D13" i="18"/>
  <c r="D14" i="18" s="1"/>
  <c r="E21" i="21"/>
  <c r="E13" i="19"/>
  <c r="H5" i="11"/>
  <c r="K20" i="13" s="1"/>
  <c r="E21" i="13" s="1"/>
  <c r="E13" i="20"/>
  <c r="E13" i="18"/>
  <c r="M18" i="12"/>
  <c r="L18" i="12"/>
  <c r="K18" i="12"/>
  <c r="E81" i="11"/>
  <c r="K15" i="12"/>
  <c r="M15" i="12"/>
  <c r="L15" i="12"/>
  <c r="E63" i="11"/>
  <c r="M11" i="12"/>
  <c r="L11" i="12"/>
  <c r="K11" i="12"/>
  <c r="K27" i="12" s="1"/>
  <c r="I5" i="12" s="1"/>
  <c r="K16" i="13" s="1"/>
  <c r="H12" i="12"/>
  <c r="L22" i="12"/>
  <c r="L24" i="12"/>
  <c r="L26" i="12"/>
  <c r="C62" i="8" l="1"/>
  <c r="C16" i="8"/>
  <c r="E16" i="8" s="1"/>
  <c r="C39" i="8"/>
  <c r="C65" i="8"/>
  <c r="C42" i="8"/>
  <c r="C19" i="8"/>
  <c r="V65" i="8"/>
  <c r="W65" i="8" s="1"/>
  <c r="V106" i="5"/>
  <c r="T219" i="9"/>
  <c r="D219" i="9"/>
  <c r="L209" i="9"/>
  <c r="R219" i="9"/>
  <c r="N219" i="9"/>
  <c r="L219" i="9"/>
  <c r="T209" i="9"/>
  <c r="D209" i="9"/>
  <c r="Z219" i="9"/>
  <c r="X219" i="9"/>
  <c r="J209" i="9"/>
  <c r="V219" i="9"/>
  <c r="H209" i="9"/>
  <c r="P219" i="9"/>
  <c r="Z209" i="9"/>
  <c r="F209" i="9"/>
  <c r="H219" i="9"/>
  <c r="V209" i="9"/>
  <c r="F219" i="9"/>
  <c r="R209" i="9"/>
  <c r="L158" i="9"/>
  <c r="X209" i="9"/>
  <c r="J219" i="9"/>
  <c r="P209" i="9"/>
  <c r="X158" i="9"/>
  <c r="H158" i="9"/>
  <c r="N209" i="9"/>
  <c r="V158" i="9"/>
  <c r="F158" i="9"/>
  <c r="T158" i="9"/>
  <c r="D158" i="9"/>
  <c r="R158" i="9"/>
  <c r="P158" i="9"/>
  <c r="Z158" i="9"/>
  <c r="N158" i="9"/>
  <c r="J158" i="9"/>
  <c r="V97" i="9"/>
  <c r="F97" i="9"/>
  <c r="T97" i="9"/>
  <c r="D97" i="9"/>
  <c r="R97" i="9"/>
  <c r="P97" i="9"/>
  <c r="N97" i="9"/>
  <c r="L97" i="9"/>
  <c r="Z97" i="9"/>
  <c r="J97" i="9"/>
  <c r="X97" i="9"/>
  <c r="H97" i="9"/>
  <c r="AA224" i="9"/>
  <c r="V66" i="8"/>
  <c r="W66" i="8" s="1"/>
  <c r="V107" i="5"/>
  <c r="H32" i="4"/>
  <c r="X154" i="9"/>
  <c r="H154" i="9"/>
  <c r="V154" i="9"/>
  <c r="F154" i="9"/>
  <c r="T154" i="9"/>
  <c r="D154" i="9"/>
  <c r="AA154" i="9" s="1"/>
  <c r="R154" i="9"/>
  <c r="P154" i="9"/>
  <c r="Z154" i="9"/>
  <c r="N154" i="9"/>
  <c r="L154" i="9"/>
  <c r="J154" i="9"/>
  <c r="V93" i="9"/>
  <c r="F93" i="9"/>
  <c r="T93" i="9"/>
  <c r="D93" i="9"/>
  <c r="R93" i="9"/>
  <c r="P93" i="9"/>
  <c r="N93" i="9"/>
  <c r="L93" i="9"/>
  <c r="Z93" i="9"/>
  <c r="J93" i="9"/>
  <c r="X93" i="9"/>
  <c r="H93" i="9"/>
  <c r="AA200" i="9"/>
  <c r="P231" i="9"/>
  <c r="T231" i="9"/>
  <c r="R231" i="9"/>
  <c r="N231" i="9"/>
  <c r="L231" i="9"/>
  <c r="J231" i="9"/>
  <c r="Z231" i="9"/>
  <c r="H231" i="9"/>
  <c r="X231" i="9"/>
  <c r="V231" i="9"/>
  <c r="F231" i="9"/>
  <c r="D231" i="9"/>
  <c r="P170" i="9"/>
  <c r="T170" i="9"/>
  <c r="R170" i="9"/>
  <c r="N170" i="9"/>
  <c r="L170" i="9"/>
  <c r="J170" i="9"/>
  <c r="Z170" i="9"/>
  <c r="H170" i="9"/>
  <c r="X170" i="9"/>
  <c r="F170" i="9"/>
  <c r="V170" i="9"/>
  <c r="D170" i="9"/>
  <c r="X109" i="9"/>
  <c r="H109" i="9"/>
  <c r="P109" i="9"/>
  <c r="Z109" i="9"/>
  <c r="D109" i="9"/>
  <c r="V109" i="9"/>
  <c r="T109" i="9"/>
  <c r="R109" i="9"/>
  <c r="N109" i="9"/>
  <c r="L109" i="9"/>
  <c r="J109" i="9"/>
  <c r="F109" i="9"/>
  <c r="AA83" i="9"/>
  <c r="AA182" i="9"/>
  <c r="N66" i="8"/>
  <c r="N107" i="5"/>
  <c r="AA124" i="9"/>
  <c r="D42" i="8"/>
  <c r="E42" i="8" s="1"/>
  <c r="D95" i="5"/>
  <c r="AA187" i="9"/>
  <c r="AA167" i="9"/>
  <c r="L147" i="9"/>
  <c r="X147" i="9"/>
  <c r="H147" i="9"/>
  <c r="V147" i="9"/>
  <c r="F147" i="9"/>
  <c r="T147" i="9"/>
  <c r="D147" i="9"/>
  <c r="J147" i="9"/>
  <c r="Z147" i="9"/>
  <c r="R147" i="9"/>
  <c r="P147" i="9"/>
  <c r="Z86" i="9"/>
  <c r="J86" i="9"/>
  <c r="X86" i="9"/>
  <c r="H86" i="9"/>
  <c r="V86" i="9"/>
  <c r="F86" i="9"/>
  <c r="T86" i="9"/>
  <c r="D86" i="9"/>
  <c r="N147" i="9"/>
  <c r="R86" i="9"/>
  <c r="P86" i="9"/>
  <c r="N86" i="9"/>
  <c r="L86" i="9"/>
  <c r="F65" i="8"/>
  <c r="G65" i="8" s="1"/>
  <c r="F106" i="5"/>
  <c r="AA94" i="9"/>
  <c r="J71" i="8"/>
  <c r="K71" i="8" s="1"/>
  <c r="AB71" i="8" s="1"/>
  <c r="J74" i="8"/>
  <c r="K74" i="8" s="1"/>
  <c r="K62" i="8"/>
  <c r="Z82" i="5"/>
  <c r="T25" i="8"/>
  <c r="U25" i="8" s="1"/>
  <c r="U16" i="8"/>
  <c r="T28" i="8"/>
  <c r="U28" i="8" s="1"/>
  <c r="C97" i="5"/>
  <c r="V43" i="8"/>
  <c r="W43" i="8" s="1"/>
  <c r="V96" i="5"/>
  <c r="Z80" i="5"/>
  <c r="Z86" i="5" s="1"/>
  <c r="N43" i="8"/>
  <c r="O43" i="8" s="1"/>
  <c r="N96" i="5"/>
  <c r="T43" i="8"/>
  <c r="U43" i="8" s="1"/>
  <c r="T96" i="5"/>
  <c r="H27" i="8"/>
  <c r="I27" i="8" s="1"/>
  <c r="H24" i="8"/>
  <c r="I24" i="8" s="1"/>
  <c r="X72" i="8"/>
  <c r="Y72" i="8" s="1"/>
  <c r="X75" i="8"/>
  <c r="Y75" i="8" s="1"/>
  <c r="X66" i="8"/>
  <c r="Y66" i="8" s="1"/>
  <c r="X107" i="5"/>
  <c r="L42" i="8"/>
  <c r="M42" i="8" s="1"/>
  <c r="L95" i="5"/>
  <c r="F41" i="8"/>
  <c r="F94" i="5"/>
  <c r="E97" i="5"/>
  <c r="Y20" i="8"/>
  <c r="M20" i="8"/>
  <c r="I20" i="8"/>
  <c r="Q20" i="8"/>
  <c r="AA99" i="9"/>
  <c r="T41" i="8"/>
  <c r="T94" i="5"/>
  <c r="D64" i="8"/>
  <c r="D105" i="5"/>
  <c r="Z71" i="8"/>
  <c r="AA71" i="8" s="1"/>
  <c r="Z74" i="8"/>
  <c r="AA74" i="8" s="1"/>
  <c r="AA62" i="8"/>
  <c r="AA188" i="9"/>
  <c r="T236" i="9"/>
  <c r="D236" i="9"/>
  <c r="P236" i="9"/>
  <c r="L236" i="9"/>
  <c r="F236" i="9"/>
  <c r="Z236" i="9"/>
  <c r="X236" i="9"/>
  <c r="V236" i="9"/>
  <c r="R236" i="9"/>
  <c r="N236" i="9"/>
  <c r="J236" i="9"/>
  <c r="H236" i="9"/>
  <c r="T175" i="9"/>
  <c r="D175" i="9"/>
  <c r="Z175" i="9"/>
  <c r="H175" i="9"/>
  <c r="X175" i="9"/>
  <c r="F175" i="9"/>
  <c r="V175" i="9"/>
  <c r="R175" i="9"/>
  <c r="P175" i="9"/>
  <c r="N175" i="9"/>
  <c r="L175" i="9"/>
  <c r="L114" i="9"/>
  <c r="X114" i="9"/>
  <c r="H114" i="9"/>
  <c r="T114" i="9"/>
  <c r="D114" i="9"/>
  <c r="J175" i="9"/>
  <c r="R114" i="9"/>
  <c r="Z114" i="9"/>
  <c r="V114" i="9"/>
  <c r="P114" i="9"/>
  <c r="N114" i="9"/>
  <c r="J114" i="9"/>
  <c r="F114" i="9"/>
  <c r="AA253" i="9"/>
  <c r="AA78" i="9"/>
  <c r="P145" i="9"/>
  <c r="N145" i="9"/>
  <c r="L145" i="9"/>
  <c r="R145" i="9"/>
  <c r="J145" i="9"/>
  <c r="H145" i="9"/>
  <c r="F145" i="9"/>
  <c r="Z145" i="9"/>
  <c r="D145" i="9"/>
  <c r="X145" i="9"/>
  <c r="V145" i="9"/>
  <c r="T145" i="9"/>
  <c r="R84" i="9"/>
  <c r="P84" i="9"/>
  <c r="N84" i="9"/>
  <c r="L84" i="9"/>
  <c r="Z84" i="9"/>
  <c r="J84" i="9"/>
  <c r="X84" i="9"/>
  <c r="H84" i="9"/>
  <c r="V84" i="9"/>
  <c r="F84" i="9"/>
  <c r="T84" i="9"/>
  <c r="D84" i="9"/>
  <c r="AA91" i="9"/>
  <c r="AA241" i="9"/>
  <c r="H66" i="8"/>
  <c r="I66" i="8" s="1"/>
  <c r="H107" i="5"/>
  <c r="AA146" i="9"/>
  <c r="AA225" i="9"/>
  <c r="AA215" i="9"/>
  <c r="F66" i="8"/>
  <c r="G66" i="8" s="1"/>
  <c r="F107" i="5"/>
  <c r="AA250" i="9"/>
  <c r="AA217" i="9"/>
  <c r="AA89" i="9"/>
  <c r="V72" i="8"/>
  <c r="W72" i="8" s="1"/>
  <c r="V75" i="8"/>
  <c r="W75" i="8" s="1"/>
  <c r="AA248" i="9"/>
  <c r="AA165" i="9"/>
  <c r="X64" i="8"/>
  <c r="X105" i="5"/>
  <c r="AA181" i="9"/>
  <c r="R66" i="8"/>
  <c r="R107" i="5"/>
  <c r="T102" i="5"/>
  <c r="Z43" i="8"/>
  <c r="AA43" i="8" s="1"/>
  <c r="Z96" i="5"/>
  <c r="N80" i="5"/>
  <c r="N86" i="5" s="1"/>
  <c r="F64" i="8"/>
  <c r="F105" i="5"/>
  <c r="E19" i="8"/>
  <c r="D10" i="10"/>
  <c r="M10" i="13"/>
  <c r="V26" i="8"/>
  <c r="W26" i="8" s="1"/>
  <c r="V29" i="8"/>
  <c r="W29" i="8" s="1"/>
  <c r="X80" i="5"/>
  <c r="D41" i="8"/>
  <c r="D94" i="5"/>
  <c r="T29" i="8"/>
  <c r="U29" i="8" s="1"/>
  <c r="T26" i="8"/>
  <c r="U26" i="8" s="1"/>
  <c r="H104" i="5"/>
  <c r="K97" i="5"/>
  <c r="L25" i="8"/>
  <c r="M25" i="8" s="1"/>
  <c r="M16" i="8"/>
  <c r="L28" i="8"/>
  <c r="M28" i="8" s="1"/>
  <c r="F24" i="8"/>
  <c r="G24" i="8" s="1"/>
  <c r="F27" i="8"/>
  <c r="G27" i="8" s="1"/>
  <c r="AA176" i="9"/>
  <c r="AA112" i="9"/>
  <c r="E65" i="8"/>
  <c r="K23" i="4"/>
  <c r="J23" i="4"/>
  <c r="F32" i="4"/>
  <c r="R41" i="8"/>
  <c r="R94" i="5"/>
  <c r="T27" i="8"/>
  <c r="U27" i="8" s="1"/>
  <c r="T24" i="8"/>
  <c r="U24" i="8" s="1"/>
  <c r="L41" i="8"/>
  <c r="L94" i="5"/>
  <c r="P222" i="9"/>
  <c r="X212" i="9"/>
  <c r="H212" i="9"/>
  <c r="N222" i="9"/>
  <c r="Z222" i="9"/>
  <c r="J222" i="9"/>
  <c r="X222" i="9"/>
  <c r="H222" i="9"/>
  <c r="P212" i="9"/>
  <c r="D222" i="9"/>
  <c r="N212" i="9"/>
  <c r="L212" i="9"/>
  <c r="J212" i="9"/>
  <c r="V222" i="9"/>
  <c r="F212" i="9"/>
  <c r="T222" i="9"/>
  <c r="R222" i="9"/>
  <c r="V212" i="9"/>
  <c r="L222" i="9"/>
  <c r="T212" i="9"/>
  <c r="X161" i="9"/>
  <c r="H161" i="9"/>
  <c r="V161" i="9"/>
  <c r="T161" i="9"/>
  <c r="D161" i="9"/>
  <c r="R161" i="9"/>
  <c r="P161" i="9"/>
  <c r="Z212" i="9"/>
  <c r="N161" i="9"/>
  <c r="F222" i="9"/>
  <c r="R212" i="9"/>
  <c r="L161" i="9"/>
  <c r="F161" i="9"/>
  <c r="T100" i="9"/>
  <c r="D212" i="9"/>
  <c r="L100" i="9"/>
  <c r="Z161" i="9"/>
  <c r="V100" i="9"/>
  <c r="R100" i="9"/>
  <c r="P100" i="9"/>
  <c r="N100" i="9"/>
  <c r="J100" i="9"/>
  <c r="J161" i="9"/>
  <c r="H100" i="9"/>
  <c r="Z100" i="9"/>
  <c r="F100" i="9"/>
  <c r="X100" i="9"/>
  <c r="D100" i="9"/>
  <c r="AA100" i="9" s="1"/>
  <c r="L151" i="9"/>
  <c r="X151" i="9"/>
  <c r="H151" i="9"/>
  <c r="V151" i="9"/>
  <c r="F151" i="9"/>
  <c r="T151" i="9"/>
  <c r="D151" i="9"/>
  <c r="R151" i="9"/>
  <c r="P151" i="9"/>
  <c r="N151" i="9"/>
  <c r="J151" i="9"/>
  <c r="Z90" i="9"/>
  <c r="J90" i="9"/>
  <c r="X90" i="9"/>
  <c r="H90" i="9"/>
  <c r="V90" i="9"/>
  <c r="F90" i="9"/>
  <c r="T90" i="9"/>
  <c r="D90" i="9"/>
  <c r="Z151" i="9"/>
  <c r="R90" i="9"/>
  <c r="P90" i="9"/>
  <c r="N90" i="9"/>
  <c r="L90" i="9"/>
  <c r="AA139" i="9"/>
  <c r="L238" i="9"/>
  <c r="X238" i="9"/>
  <c r="H238" i="9"/>
  <c r="T238" i="9"/>
  <c r="D238" i="9"/>
  <c r="Z238" i="9"/>
  <c r="V238" i="9"/>
  <c r="R238" i="9"/>
  <c r="P238" i="9"/>
  <c r="N238" i="9"/>
  <c r="J238" i="9"/>
  <c r="F238" i="9"/>
  <c r="L177" i="9"/>
  <c r="X177" i="9"/>
  <c r="F177" i="9"/>
  <c r="V177" i="9"/>
  <c r="D177" i="9"/>
  <c r="T177" i="9"/>
  <c r="R177" i="9"/>
  <c r="P177" i="9"/>
  <c r="N177" i="9"/>
  <c r="J177" i="9"/>
  <c r="Z177" i="9"/>
  <c r="H177" i="9"/>
  <c r="T116" i="9"/>
  <c r="D116" i="9"/>
  <c r="P116" i="9"/>
  <c r="L116" i="9"/>
  <c r="Z116" i="9"/>
  <c r="J116" i="9"/>
  <c r="F116" i="9"/>
  <c r="X116" i="9"/>
  <c r="V116" i="9"/>
  <c r="R116" i="9"/>
  <c r="N116" i="9"/>
  <c r="H116" i="9"/>
  <c r="V91" i="5"/>
  <c r="N91" i="5"/>
  <c r="F91" i="5"/>
  <c r="X102" i="5"/>
  <c r="P102" i="5"/>
  <c r="H102" i="5"/>
  <c r="F33" i="5"/>
  <c r="E33" i="5"/>
  <c r="Z91" i="5"/>
  <c r="R91" i="5"/>
  <c r="J91" i="5"/>
  <c r="P91" i="5"/>
  <c r="X91" i="5"/>
  <c r="H91" i="5"/>
  <c r="U22" i="5"/>
  <c r="W22" i="5" s="1"/>
  <c r="W28" i="5" s="1"/>
  <c r="L29" i="8"/>
  <c r="M29" i="8" s="1"/>
  <c r="M31" i="8"/>
  <c r="L26" i="8"/>
  <c r="M26" i="8" s="1"/>
  <c r="J65" i="8"/>
  <c r="K65" i="8" s="1"/>
  <c r="J106" i="5"/>
  <c r="P255" i="9"/>
  <c r="N255" i="9"/>
  <c r="L255" i="9"/>
  <c r="X255" i="9"/>
  <c r="H255" i="9"/>
  <c r="Z255" i="9"/>
  <c r="V255" i="9"/>
  <c r="T255" i="9"/>
  <c r="R255" i="9"/>
  <c r="J255" i="9"/>
  <c r="Z194" i="9"/>
  <c r="J194" i="9"/>
  <c r="X194" i="9"/>
  <c r="H194" i="9"/>
  <c r="V194" i="9"/>
  <c r="F194" i="9"/>
  <c r="R194" i="9"/>
  <c r="F255" i="9"/>
  <c r="P194" i="9"/>
  <c r="D255" i="9"/>
  <c r="D194" i="9"/>
  <c r="AA194" i="9" s="1"/>
  <c r="T194" i="9"/>
  <c r="N194" i="9"/>
  <c r="X133" i="9"/>
  <c r="H133" i="9"/>
  <c r="V133" i="9"/>
  <c r="F133" i="9"/>
  <c r="T133" i="9"/>
  <c r="D133" i="9"/>
  <c r="AA133" i="9" s="1"/>
  <c r="L194" i="9"/>
  <c r="P133" i="9"/>
  <c r="N133" i="9"/>
  <c r="R133" i="9"/>
  <c r="L133" i="9"/>
  <c r="J133" i="9"/>
  <c r="Z133" i="9"/>
  <c r="T252" i="9"/>
  <c r="D252" i="9"/>
  <c r="R252" i="9"/>
  <c r="P252" i="9"/>
  <c r="L252" i="9"/>
  <c r="V252" i="9"/>
  <c r="N252" i="9"/>
  <c r="J252" i="9"/>
  <c r="H252" i="9"/>
  <c r="F252" i="9"/>
  <c r="N191" i="9"/>
  <c r="L191" i="9"/>
  <c r="Z191" i="9"/>
  <c r="J191" i="9"/>
  <c r="Z252" i="9"/>
  <c r="X252" i="9"/>
  <c r="V191" i="9"/>
  <c r="F191" i="9"/>
  <c r="T191" i="9"/>
  <c r="D191" i="9"/>
  <c r="R191" i="9"/>
  <c r="P191" i="9"/>
  <c r="H191" i="9"/>
  <c r="X191" i="9"/>
  <c r="L130" i="9"/>
  <c r="Z130" i="9"/>
  <c r="J130" i="9"/>
  <c r="X130" i="9"/>
  <c r="H130" i="9"/>
  <c r="T130" i="9"/>
  <c r="D130" i="9"/>
  <c r="R130" i="9"/>
  <c r="V130" i="9"/>
  <c r="P130" i="9"/>
  <c r="N130" i="9"/>
  <c r="F130" i="9"/>
  <c r="P235" i="9"/>
  <c r="L235" i="9"/>
  <c r="X235" i="9"/>
  <c r="H235" i="9"/>
  <c r="F235" i="9"/>
  <c r="D235" i="9"/>
  <c r="Z235" i="9"/>
  <c r="V235" i="9"/>
  <c r="T235" i="9"/>
  <c r="R235" i="9"/>
  <c r="N235" i="9"/>
  <c r="J235" i="9"/>
  <c r="P174" i="9"/>
  <c r="R174" i="9"/>
  <c r="N174" i="9"/>
  <c r="L174" i="9"/>
  <c r="J174" i="9"/>
  <c r="Z174" i="9"/>
  <c r="H174" i="9"/>
  <c r="X174" i="9"/>
  <c r="F174" i="9"/>
  <c r="V174" i="9"/>
  <c r="D174" i="9"/>
  <c r="T174" i="9"/>
  <c r="X113" i="9"/>
  <c r="H113" i="9"/>
  <c r="T113" i="9"/>
  <c r="D113" i="9"/>
  <c r="P113" i="9"/>
  <c r="Z113" i="9"/>
  <c r="V113" i="9"/>
  <c r="R113" i="9"/>
  <c r="N113" i="9"/>
  <c r="L113" i="9"/>
  <c r="J113" i="9"/>
  <c r="F113" i="9"/>
  <c r="AA163" i="9"/>
  <c r="F102" i="5"/>
  <c r="F108" i="5" s="1"/>
  <c r="N65" i="8"/>
  <c r="O65" i="8" s="1"/>
  <c r="N106" i="5"/>
  <c r="P42" i="8"/>
  <c r="Q42" i="8" s="1"/>
  <c r="P95" i="5"/>
  <c r="D80" i="5"/>
  <c r="E13" i="13"/>
  <c r="AA168" i="9"/>
  <c r="R80" i="5"/>
  <c r="X204" i="9"/>
  <c r="H204" i="9"/>
  <c r="H256" i="9" s="1"/>
  <c r="P204" i="9"/>
  <c r="V204" i="9"/>
  <c r="T204" i="9"/>
  <c r="R204" i="9"/>
  <c r="L204" i="9"/>
  <c r="J204" i="9"/>
  <c r="N204" i="9"/>
  <c r="F204" i="9"/>
  <c r="D204" i="9"/>
  <c r="X143" i="9"/>
  <c r="H143" i="9"/>
  <c r="T143" i="9"/>
  <c r="D143" i="9"/>
  <c r="Z204" i="9"/>
  <c r="V143" i="9"/>
  <c r="R143" i="9"/>
  <c r="P143" i="9"/>
  <c r="L143" i="9"/>
  <c r="J143" i="9"/>
  <c r="F143" i="9"/>
  <c r="Z82" i="9"/>
  <c r="J82" i="9"/>
  <c r="X82" i="9"/>
  <c r="H82" i="9"/>
  <c r="V82" i="9"/>
  <c r="F82" i="9"/>
  <c r="T82" i="9"/>
  <c r="D82" i="9"/>
  <c r="R82" i="9"/>
  <c r="P82" i="9"/>
  <c r="Z143" i="9"/>
  <c r="N82" i="9"/>
  <c r="L82" i="9"/>
  <c r="N143" i="9"/>
  <c r="AA208" i="9"/>
  <c r="AA140" i="9"/>
  <c r="T203" i="9"/>
  <c r="T256" i="9" s="1"/>
  <c r="L203" i="9"/>
  <c r="H203" i="9"/>
  <c r="Z203" i="9"/>
  <c r="F203" i="9"/>
  <c r="X203" i="9"/>
  <c r="D203" i="9"/>
  <c r="D256" i="9" s="1"/>
  <c r="R203" i="9"/>
  <c r="P203" i="9"/>
  <c r="V203" i="9"/>
  <c r="V256" i="9" s="1"/>
  <c r="T142" i="9"/>
  <c r="D142" i="9"/>
  <c r="N203" i="9"/>
  <c r="J203" i="9"/>
  <c r="J142" i="9"/>
  <c r="Z142" i="9"/>
  <c r="H142" i="9"/>
  <c r="H195" i="9" s="1"/>
  <c r="X142" i="9"/>
  <c r="X195" i="9" s="1"/>
  <c r="F142" i="9"/>
  <c r="F195" i="9" s="1"/>
  <c r="R142" i="9"/>
  <c r="P142" i="9"/>
  <c r="V81" i="9"/>
  <c r="F81" i="9"/>
  <c r="T81" i="9"/>
  <c r="T134" i="9" s="1"/>
  <c r="D81" i="9"/>
  <c r="D134" i="9" s="1"/>
  <c r="V142" i="9"/>
  <c r="R81" i="9"/>
  <c r="R134" i="9" s="1"/>
  <c r="N142" i="9"/>
  <c r="P81" i="9"/>
  <c r="L142" i="9"/>
  <c r="L195" i="9" s="1"/>
  <c r="N81" i="9"/>
  <c r="L81" i="9"/>
  <c r="L134" i="9" s="1"/>
  <c r="Z81" i="9"/>
  <c r="Z134" i="9" s="1"/>
  <c r="J81" i="9"/>
  <c r="J134" i="9" s="1"/>
  <c r="X81" i="9"/>
  <c r="X134" i="9" s="1"/>
  <c r="H81" i="9"/>
  <c r="H134" i="9" s="1"/>
  <c r="AA171" i="9"/>
  <c r="AA80" i="9"/>
  <c r="Z102" i="5"/>
  <c r="AA119" i="9"/>
  <c r="AA180" i="9"/>
  <c r="AA102" i="9"/>
  <c r="Z65" i="8"/>
  <c r="AA65" i="8" s="1"/>
  <c r="Z106" i="5"/>
  <c r="AA148" i="9"/>
  <c r="X65" i="8"/>
  <c r="Y65" i="8" s="1"/>
  <c r="X106" i="5"/>
  <c r="T91" i="5"/>
  <c r="T240" i="9"/>
  <c r="D240" i="9"/>
  <c r="P240" i="9"/>
  <c r="L240" i="9"/>
  <c r="V240" i="9"/>
  <c r="R240" i="9"/>
  <c r="N240" i="9"/>
  <c r="J240" i="9"/>
  <c r="H240" i="9"/>
  <c r="F240" i="9"/>
  <c r="X240" i="9"/>
  <c r="L179" i="9"/>
  <c r="Z179" i="9"/>
  <c r="J179" i="9"/>
  <c r="T179" i="9"/>
  <c r="D179" i="9"/>
  <c r="N179" i="9"/>
  <c r="H179" i="9"/>
  <c r="F179" i="9"/>
  <c r="Z240" i="9"/>
  <c r="X179" i="9"/>
  <c r="V179" i="9"/>
  <c r="R179" i="9"/>
  <c r="L118" i="9"/>
  <c r="Z118" i="9"/>
  <c r="X118" i="9"/>
  <c r="H118" i="9"/>
  <c r="P179" i="9"/>
  <c r="T118" i="9"/>
  <c r="D118" i="9"/>
  <c r="R118" i="9"/>
  <c r="J118" i="9"/>
  <c r="F118" i="9"/>
  <c r="V118" i="9"/>
  <c r="P118" i="9"/>
  <c r="N118" i="9"/>
  <c r="J48" i="8"/>
  <c r="K48" i="8" s="1"/>
  <c r="J51" i="8"/>
  <c r="K51" i="8" s="1"/>
  <c r="K39" i="8"/>
  <c r="AA104" i="9"/>
  <c r="P64" i="8"/>
  <c r="P105" i="5"/>
  <c r="AA108" i="9"/>
  <c r="AA206" i="9"/>
  <c r="N64" i="8"/>
  <c r="N105" i="5"/>
  <c r="Z26" i="8"/>
  <c r="AA26" i="8" s="1"/>
  <c r="AA31" i="8"/>
  <c r="Z29" i="8"/>
  <c r="AA29" i="8" s="1"/>
  <c r="Z93" i="5"/>
  <c r="R93" i="5"/>
  <c r="J93" i="5"/>
  <c r="U64" i="5"/>
  <c r="W64" i="5" s="1"/>
  <c r="W65" i="5" s="1"/>
  <c r="T104" i="5"/>
  <c r="L104" i="5"/>
  <c r="D104" i="5"/>
  <c r="D82" i="5"/>
  <c r="F71" i="5"/>
  <c r="E71" i="5"/>
  <c r="V93" i="5"/>
  <c r="N93" i="5"/>
  <c r="F93" i="5"/>
  <c r="D93" i="5"/>
  <c r="L93" i="5"/>
  <c r="T93" i="5"/>
  <c r="B84" i="5"/>
  <c r="F26" i="8"/>
  <c r="G26" i="8" s="1"/>
  <c r="F29" i="8"/>
  <c r="G29" i="8" s="1"/>
  <c r="Z41" i="8"/>
  <c r="Z94" i="5"/>
  <c r="D27" i="8"/>
  <c r="E27" i="8" s="1"/>
  <c r="D24" i="8"/>
  <c r="E24" i="8" s="1"/>
  <c r="V42" i="8"/>
  <c r="W42" i="8" s="1"/>
  <c r="V95" i="5"/>
  <c r="H72" i="8"/>
  <c r="I72" i="8" s="1"/>
  <c r="AB72" i="8" s="1"/>
  <c r="H75" i="8"/>
  <c r="I75" i="8" s="1"/>
  <c r="AB75" i="8" s="1"/>
  <c r="V80" i="5"/>
  <c r="V86" i="5" s="1"/>
  <c r="AA184" i="9"/>
  <c r="AA115" i="9"/>
  <c r="AA237" i="9"/>
  <c r="AA234" i="9"/>
  <c r="AA229" i="9"/>
  <c r="V104" i="5"/>
  <c r="B83" i="5"/>
  <c r="L6" i="13"/>
  <c r="C6" i="10"/>
  <c r="C6" i="11"/>
  <c r="C6" i="12"/>
  <c r="C7" i="9"/>
  <c r="C10" i="6"/>
  <c r="C7" i="8"/>
  <c r="D6" i="7"/>
  <c r="C8" i="4"/>
  <c r="B6" i="12"/>
  <c r="K6" i="13"/>
  <c r="B6" i="11"/>
  <c r="B6" i="10"/>
  <c r="B7" i="9"/>
  <c r="C6" i="7"/>
  <c r="B10" i="6"/>
  <c r="B7" i="8"/>
  <c r="B8" i="4"/>
  <c r="P43" i="8"/>
  <c r="Q43" i="8" s="1"/>
  <c r="P96" i="5"/>
  <c r="L27" i="8"/>
  <c r="M27" i="8" s="1"/>
  <c r="L24" i="8"/>
  <c r="M24" i="8" s="1"/>
  <c r="U65" i="8"/>
  <c r="R64" i="8"/>
  <c r="R105" i="5"/>
  <c r="L65" i="8"/>
  <c r="M65" i="8" s="1"/>
  <c r="L106" i="5"/>
  <c r="F80" i="5"/>
  <c r="AA245" i="9"/>
  <c r="T80" i="5"/>
  <c r="T86" i="5" s="1"/>
  <c r="T244" i="9"/>
  <c r="D244" i="9"/>
  <c r="P244" i="9"/>
  <c r="L244" i="9"/>
  <c r="J244" i="9"/>
  <c r="H244" i="9"/>
  <c r="F244" i="9"/>
  <c r="Z244" i="9"/>
  <c r="X244" i="9"/>
  <c r="V244" i="9"/>
  <c r="N183" i="9"/>
  <c r="L183" i="9"/>
  <c r="R244" i="9"/>
  <c r="Z183" i="9"/>
  <c r="J183" i="9"/>
  <c r="N244" i="9"/>
  <c r="V183" i="9"/>
  <c r="F183" i="9"/>
  <c r="T183" i="9"/>
  <c r="D183" i="9"/>
  <c r="R183" i="9"/>
  <c r="P183" i="9"/>
  <c r="P195" i="9" s="1"/>
  <c r="H183" i="9"/>
  <c r="L122" i="9"/>
  <c r="Z122" i="9"/>
  <c r="J122" i="9"/>
  <c r="X122" i="9"/>
  <c r="H122" i="9"/>
  <c r="X183" i="9"/>
  <c r="T122" i="9"/>
  <c r="D122" i="9"/>
  <c r="R122" i="9"/>
  <c r="N122" i="9"/>
  <c r="F122" i="9"/>
  <c r="V122" i="9"/>
  <c r="P122" i="9"/>
  <c r="AA169" i="9"/>
  <c r="H41" i="8"/>
  <c r="H94" i="5"/>
  <c r="AA173" i="9"/>
  <c r="R28" i="8"/>
  <c r="S28" i="8" s="1"/>
  <c r="R25" i="8"/>
  <c r="S25" i="8" s="1"/>
  <c r="S16" i="8"/>
  <c r="F13" i="20"/>
  <c r="F13" i="18"/>
  <c r="F21" i="21"/>
  <c r="F13" i="19"/>
  <c r="I5" i="11"/>
  <c r="L20" i="13" s="1"/>
  <c r="F21" i="13" s="1"/>
  <c r="L254" i="9"/>
  <c r="Z254" i="9"/>
  <c r="J254" i="9"/>
  <c r="X254" i="9"/>
  <c r="H254" i="9"/>
  <c r="T254" i="9"/>
  <c r="D254" i="9"/>
  <c r="V254" i="9"/>
  <c r="R254" i="9"/>
  <c r="P254" i="9"/>
  <c r="N254" i="9"/>
  <c r="F254" i="9"/>
  <c r="V193" i="9"/>
  <c r="F193" i="9"/>
  <c r="T193" i="9"/>
  <c r="D193" i="9"/>
  <c r="R193" i="9"/>
  <c r="N193" i="9"/>
  <c r="L193" i="9"/>
  <c r="Z193" i="9"/>
  <c r="X193" i="9"/>
  <c r="P193" i="9"/>
  <c r="J193" i="9"/>
  <c r="H193" i="9"/>
  <c r="T132" i="9"/>
  <c r="D132" i="9"/>
  <c r="R132" i="9"/>
  <c r="P132" i="9"/>
  <c r="L132" i="9"/>
  <c r="Z132" i="9"/>
  <c r="J132" i="9"/>
  <c r="F132" i="9"/>
  <c r="X132" i="9"/>
  <c r="V132" i="9"/>
  <c r="N132" i="9"/>
  <c r="H132" i="9"/>
  <c r="AA131" i="9"/>
  <c r="T223" i="9"/>
  <c r="D223" i="9"/>
  <c r="L213" i="9"/>
  <c r="R223" i="9"/>
  <c r="N223" i="9"/>
  <c r="L223" i="9"/>
  <c r="T213" i="9"/>
  <c r="D213" i="9"/>
  <c r="F223" i="9"/>
  <c r="H213" i="9"/>
  <c r="Z213" i="9"/>
  <c r="F213" i="9"/>
  <c r="Z223" i="9"/>
  <c r="X213" i="9"/>
  <c r="X223" i="9"/>
  <c r="V213" i="9"/>
  <c r="V223" i="9"/>
  <c r="P223" i="9"/>
  <c r="P213" i="9"/>
  <c r="J223" i="9"/>
  <c r="N213" i="9"/>
  <c r="N256" i="9" s="1"/>
  <c r="L162" i="9"/>
  <c r="Z162" i="9"/>
  <c r="J162" i="9"/>
  <c r="R213" i="9"/>
  <c r="X162" i="9"/>
  <c r="H162" i="9"/>
  <c r="J213" i="9"/>
  <c r="V162" i="9"/>
  <c r="V195" i="9" s="1"/>
  <c r="F162" i="9"/>
  <c r="H223" i="9"/>
  <c r="T162" i="9"/>
  <c r="D162" i="9"/>
  <c r="R162" i="9"/>
  <c r="P162" i="9"/>
  <c r="X101" i="9"/>
  <c r="H101" i="9"/>
  <c r="N162" i="9"/>
  <c r="N195" i="9" s="1"/>
  <c r="P101" i="9"/>
  <c r="N101" i="9"/>
  <c r="L101" i="9"/>
  <c r="J101" i="9"/>
  <c r="F101" i="9"/>
  <c r="Z101" i="9"/>
  <c r="D101" i="9"/>
  <c r="V101" i="9"/>
  <c r="T101" i="9"/>
  <c r="R101" i="9"/>
  <c r="AA111" i="9"/>
  <c r="X220" i="9"/>
  <c r="H220" i="9"/>
  <c r="P210" i="9"/>
  <c r="V220" i="9"/>
  <c r="F220" i="9"/>
  <c r="R220" i="9"/>
  <c r="P220" i="9"/>
  <c r="X210" i="9"/>
  <c r="X256" i="9" s="1"/>
  <c r="H210" i="9"/>
  <c r="Z220" i="9"/>
  <c r="Z210" i="9"/>
  <c r="D210" i="9"/>
  <c r="T220" i="9"/>
  <c r="V210" i="9"/>
  <c r="N220" i="9"/>
  <c r="T210" i="9"/>
  <c r="L220" i="9"/>
  <c r="J220" i="9"/>
  <c r="N210" i="9"/>
  <c r="D220" i="9"/>
  <c r="L210" i="9"/>
  <c r="P159" i="9"/>
  <c r="L159" i="9"/>
  <c r="Z159" i="9"/>
  <c r="Z195" i="9" s="1"/>
  <c r="J159" i="9"/>
  <c r="J195" i="9" s="1"/>
  <c r="X159" i="9"/>
  <c r="H159" i="9"/>
  <c r="R210" i="9"/>
  <c r="V159" i="9"/>
  <c r="F159" i="9"/>
  <c r="J210" i="9"/>
  <c r="T159" i="9"/>
  <c r="D159" i="9"/>
  <c r="AA159" i="9" s="1"/>
  <c r="R159" i="9"/>
  <c r="N159" i="9"/>
  <c r="Z98" i="9"/>
  <c r="J98" i="9"/>
  <c r="X98" i="9"/>
  <c r="H98" i="9"/>
  <c r="V98" i="9"/>
  <c r="F98" i="9"/>
  <c r="F134" i="9" s="1"/>
  <c r="F210" i="9"/>
  <c r="T98" i="9"/>
  <c r="D98" i="9"/>
  <c r="R98" i="9"/>
  <c r="P98" i="9"/>
  <c r="N98" i="9"/>
  <c r="L98" i="9"/>
  <c r="AA152" i="9"/>
  <c r="AA202" i="9"/>
  <c r="R102" i="5"/>
  <c r="AA178" i="9"/>
  <c r="R106" i="5"/>
  <c r="R65" i="8"/>
  <c r="S65" i="8" s="1"/>
  <c r="L51" i="8"/>
  <c r="M51" i="8" s="1"/>
  <c r="M39" i="8"/>
  <c r="L48" i="8"/>
  <c r="M48" i="8" s="1"/>
  <c r="P65" i="8"/>
  <c r="Q65" i="8" s="1"/>
  <c r="P106" i="5"/>
  <c r="L91" i="5"/>
  <c r="B81" i="5"/>
  <c r="X49" i="8"/>
  <c r="Y49" i="8" s="1"/>
  <c r="AB49" i="8" s="1"/>
  <c r="X52" i="8"/>
  <c r="Y52" i="8" s="1"/>
  <c r="T66" i="8"/>
  <c r="U66" i="8" s="1"/>
  <c r="T107" i="5"/>
  <c r="H64" i="8"/>
  <c r="H105" i="5"/>
  <c r="AA242" i="9"/>
  <c r="AA230" i="9"/>
  <c r="AA155" i="9"/>
  <c r="AB54" i="8"/>
  <c r="P104" i="5"/>
  <c r="T70" i="8"/>
  <c r="U70" i="8" s="1"/>
  <c r="T73" i="8"/>
  <c r="U73" i="8" s="1"/>
  <c r="B92" i="5"/>
  <c r="J82" i="5"/>
  <c r="N94" i="5"/>
  <c r="M97" i="5"/>
  <c r="N41" i="8"/>
  <c r="F82" i="5"/>
  <c r="J80" i="5"/>
  <c r="X41" i="8"/>
  <c r="X94" i="5"/>
  <c r="X82" i="5"/>
  <c r="N42" i="8"/>
  <c r="O42" i="8" s="1"/>
  <c r="N95" i="5"/>
  <c r="J32" i="4"/>
  <c r="V28" i="8"/>
  <c r="W28" i="8" s="1"/>
  <c r="V25" i="8"/>
  <c r="W25" i="8" s="1"/>
  <c r="W16" i="8"/>
  <c r="R82" i="5"/>
  <c r="AA211" i="9"/>
  <c r="G20" i="8"/>
  <c r="AB20" i="8" s="1"/>
  <c r="P41" i="8"/>
  <c r="P94" i="5"/>
  <c r="P29" i="8"/>
  <c r="Q29" i="8" s="1"/>
  <c r="P26" i="8"/>
  <c r="Q26" i="8" s="1"/>
  <c r="K36" i="4"/>
  <c r="L22" i="4"/>
  <c r="M22" i="4"/>
  <c r="H82" i="5"/>
  <c r="AA157" i="9"/>
  <c r="L70" i="8"/>
  <c r="M70" i="8" s="1"/>
  <c r="L73" i="8"/>
  <c r="M73" i="8" s="1"/>
  <c r="R42" i="8"/>
  <c r="S42" i="8" s="1"/>
  <c r="R95" i="5"/>
  <c r="AA227" i="9"/>
  <c r="AA233" i="9"/>
  <c r="AA205" i="9"/>
  <c r="AA207" i="9"/>
  <c r="AA66" i="8"/>
  <c r="Z28" i="8"/>
  <c r="AA28" i="8" s="1"/>
  <c r="AA16" i="8"/>
  <c r="Z25" i="8"/>
  <c r="AA25" i="8" s="1"/>
  <c r="L80" i="5"/>
  <c r="L86" i="5" s="1"/>
  <c r="M12" i="12"/>
  <c r="M27" i="12" s="1"/>
  <c r="K5" i="12" s="1"/>
  <c r="M16" i="13" s="1"/>
  <c r="L12" i="12"/>
  <c r="P251" i="9"/>
  <c r="L251" i="9"/>
  <c r="X251" i="9"/>
  <c r="H251" i="9"/>
  <c r="T251" i="9"/>
  <c r="R251" i="9"/>
  <c r="N251" i="9"/>
  <c r="J251" i="9"/>
  <c r="F251" i="9"/>
  <c r="D251" i="9"/>
  <c r="V251" i="9"/>
  <c r="Z190" i="9"/>
  <c r="J190" i="9"/>
  <c r="X190" i="9"/>
  <c r="H190" i="9"/>
  <c r="V190" i="9"/>
  <c r="F190" i="9"/>
  <c r="R190" i="9"/>
  <c r="P190" i="9"/>
  <c r="D190" i="9"/>
  <c r="Z251" i="9"/>
  <c r="Z256" i="9" s="1"/>
  <c r="T190" i="9"/>
  <c r="N190" i="9"/>
  <c r="X129" i="9"/>
  <c r="H129" i="9"/>
  <c r="L190" i="9"/>
  <c r="V129" i="9"/>
  <c r="F129" i="9"/>
  <c r="T129" i="9"/>
  <c r="D129" i="9"/>
  <c r="P129" i="9"/>
  <c r="N129" i="9"/>
  <c r="L129" i="9"/>
  <c r="J129" i="9"/>
  <c r="Z129" i="9"/>
  <c r="R129" i="9"/>
  <c r="AA218" i="9"/>
  <c r="AA105" i="9"/>
  <c r="AA172" i="9"/>
  <c r="AA201" i="9"/>
  <c r="J102" i="5"/>
  <c r="AA239" i="9"/>
  <c r="AA214" i="9"/>
  <c r="T105" i="5"/>
  <c r="T64" i="8"/>
  <c r="AA85" i="9"/>
  <c r="AA243" i="9"/>
  <c r="AA103" i="9"/>
  <c r="AA164" i="9"/>
  <c r="H65" i="8"/>
  <c r="I65" i="8" s="1"/>
  <c r="H106" i="5"/>
  <c r="B106" i="5" s="1"/>
  <c r="D91" i="5"/>
  <c r="AA128" i="9"/>
  <c r="AA185" i="9"/>
  <c r="AA95" i="9"/>
  <c r="AA150" i="9"/>
  <c r="B103" i="5"/>
  <c r="AA106" i="9"/>
  <c r="L66" i="8"/>
  <c r="L107" i="5"/>
  <c r="N72" i="8"/>
  <c r="O72" i="8" s="1"/>
  <c r="N75" i="8"/>
  <c r="O75" i="8" s="1"/>
  <c r="P72" i="8"/>
  <c r="Q72" i="8" s="1"/>
  <c r="P75" i="8"/>
  <c r="Q75" i="8" s="1"/>
  <c r="D102" i="5"/>
  <c r="J43" i="8"/>
  <c r="K43" i="8" s="1"/>
  <c r="J96" i="5"/>
  <c r="B96" i="5" s="1"/>
  <c r="N24" i="8"/>
  <c r="O24" i="8" s="1"/>
  <c r="N27" i="8"/>
  <c r="O27" i="8" s="1"/>
  <c r="P66" i="8"/>
  <c r="Q66" i="8" s="1"/>
  <c r="P107" i="5"/>
  <c r="F43" i="8"/>
  <c r="G43" i="8" s="1"/>
  <c r="AB43" i="8" s="1"/>
  <c r="F96" i="5"/>
  <c r="X27" i="8"/>
  <c r="Y27" i="8" s="1"/>
  <c r="X24" i="8"/>
  <c r="Y24" i="8" s="1"/>
  <c r="X96" i="5"/>
  <c r="X43" i="8"/>
  <c r="Y43" i="8" s="1"/>
  <c r="N28" i="8"/>
  <c r="O28" i="8" s="1"/>
  <c r="N25" i="8"/>
  <c r="O25" i="8" s="1"/>
  <c r="O16" i="8"/>
  <c r="H25" i="8"/>
  <c r="I25" i="8" s="1"/>
  <c r="H28" i="8"/>
  <c r="I28" i="8" s="1"/>
  <c r="I16" i="8"/>
  <c r="R71" i="8"/>
  <c r="S71" i="8" s="1"/>
  <c r="R74" i="8"/>
  <c r="S74" i="8" s="1"/>
  <c r="AB74" i="8" s="1"/>
  <c r="S62" i="8"/>
  <c r="R43" i="8"/>
  <c r="S43" i="8" s="1"/>
  <c r="R96" i="5"/>
  <c r="V94" i="5"/>
  <c r="V41" i="8"/>
  <c r="W41" i="8" s="1"/>
  <c r="U97" i="5"/>
  <c r="X25" i="8"/>
  <c r="Y25" i="8" s="1"/>
  <c r="X28" i="8"/>
  <c r="Y28" i="8" s="1"/>
  <c r="Y16" i="8"/>
  <c r="F42" i="8"/>
  <c r="G42" i="8" s="1"/>
  <c r="F95" i="5"/>
  <c r="AA107" i="9"/>
  <c r="AA149" i="9"/>
  <c r="C41" i="8"/>
  <c r="C64" i="8"/>
  <c r="C18" i="8"/>
  <c r="J42" i="8"/>
  <c r="K42" i="8" s="1"/>
  <c r="J95" i="5"/>
  <c r="F13" i="13"/>
  <c r="P27" i="8"/>
  <c r="Q27" i="8" s="1"/>
  <c r="P24" i="8"/>
  <c r="Q24" i="8" s="1"/>
  <c r="H43" i="8"/>
  <c r="I43" i="8" s="1"/>
  <c r="H96" i="5"/>
  <c r="AB73" i="8"/>
  <c r="G21" i="21"/>
  <c r="G13" i="19"/>
  <c r="G13" i="20"/>
  <c r="G13" i="18"/>
  <c r="J5" i="11"/>
  <c r="M20" i="13" s="1"/>
  <c r="G21" i="13" s="1"/>
  <c r="J64" i="8"/>
  <c r="K64" i="8" s="1"/>
  <c r="J105" i="5"/>
  <c r="N108" i="5"/>
  <c r="D51" i="8"/>
  <c r="E51" i="8" s="1"/>
  <c r="AB51" i="8" s="1"/>
  <c r="E39" i="8"/>
  <c r="D48" i="8"/>
  <c r="E48" i="8" s="1"/>
  <c r="H42" i="8"/>
  <c r="I42" i="8" s="1"/>
  <c r="H95" i="5"/>
  <c r="X42" i="8"/>
  <c r="Y42" i="8" s="1"/>
  <c r="X95" i="5"/>
  <c r="D17" i="6"/>
  <c r="Z95" i="5"/>
  <c r="Z42" i="8"/>
  <c r="AA42" i="8" s="1"/>
  <c r="L27" i="12"/>
  <c r="J5" i="12" s="1"/>
  <c r="L16" i="13" s="1"/>
  <c r="AA192" i="9"/>
  <c r="AA121" i="9"/>
  <c r="AA226" i="9"/>
  <c r="T42" i="8"/>
  <c r="U42" i="8" s="1"/>
  <c r="T95" i="5"/>
  <c r="AA127" i="9"/>
  <c r="AA249" i="9"/>
  <c r="P247" i="9"/>
  <c r="P256" i="9" s="1"/>
  <c r="L247" i="9"/>
  <c r="L256" i="9" s="1"/>
  <c r="X247" i="9"/>
  <c r="H247" i="9"/>
  <c r="D247" i="9"/>
  <c r="Z247" i="9"/>
  <c r="V247" i="9"/>
  <c r="T247" i="9"/>
  <c r="R247" i="9"/>
  <c r="R256" i="9" s="1"/>
  <c r="N247" i="9"/>
  <c r="Z186" i="9"/>
  <c r="J186" i="9"/>
  <c r="J247" i="9"/>
  <c r="J256" i="9" s="1"/>
  <c r="X186" i="9"/>
  <c r="H186" i="9"/>
  <c r="F247" i="9"/>
  <c r="F256" i="9" s="1"/>
  <c r="V186" i="9"/>
  <c r="F186" i="9"/>
  <c r="R186" i="9"/>
  <c r="R195" i="9" s="1"/>
  <c r="P186" i="9"/>
  <c r="D186" i="9"/>
  <c r="T186" i="9"/>
  <c r="T195" i="9" s="1"/>
  <c r="N186" i="9"/>
  <c r="L186" i="9"/>
  <c r="X125" i="9"/>
  <c r="H125" i="9"/>
  <c r="V125" i="9"/>
  <c r="V134" i="9" s="1"/>
  <c r="F125" i="9"/>
  <c r="T125" i="9"/>
  <c r="D125" i="9"/>
  <c r="P125" i="9"/>
  <c r="P134" i="9" s="1"/>
  <c r="N125" i="9"/>
  <c r="N134" i="9" s="1"/>
  <c r="J125" i="9"/>
  <c r="Z125" i="9"/>
  <c r="R125" i="9"/>
  <c r="L125" i="9"/>
  <c r="AA110" i="9"/>
  <c r="AA232" i="9"/>
  <c r="AA144" i="9"/>
  <c r="AA141" i="9"/>
  <c r="L105" i="5"/>
  <c r="L64" i="8"/>
  <c r="M64" i="8" s="1"/>
  <c r="AA87" i="9"/>
  <c r="U108" i="5"/>
  <c r="Z64" i="8"/>
  <c r="AA64" i="8" s="1"/>
  <c r="Z105" i="5"/>
  <c r="AA246" i="9"/>
  <c r="V102" i="5"/>
  <c r="V108" i="5" s="1"/>
  <c r="AA126" i="9"/>
  <c r="AA228" i="9"/>
  <c r="R47" i="8"/>
  <c r="S47" i="8" s="1"/>
  <c r="AB47" i="8" s="1"/>
  <c r="R50" i="8"/>
  <c r="S50" i="8" s="1"/>
  <c r="AB50" i="8" s="1"/>
  <c r="D66" i="8"/>
  <c r="E66" i="8" s="1"/>
  <c r="D107" i="5"/>
  <c r="B107" i="5" s="1"/>
  <c r="AA216" i="9"/>
  <c r="C108" i="5"/>
  <c r="J26" i="8"/>
  <c r="K26" i="8" s="1"/>
  <c r="J29" i="8"/>
  <c r="K29" i="8" s="1"/>
  <c r="L43" i="8"/>
  <c r="M43" i="8" s="1"/>
  <c r="L96" i="5"/>
  <c r="AB52" i="8"/>
  <c r="P25" i="8"/>
  <c r="Q25" i="8" s="1"/>
  <c r="P28" i="8"/>
  <c r="Q28" i="8" s="1"/>
  <c r="Q16" i="8"/>
  <c r="J41" i="8"/>
  <c r="K41" i="8" s="1"/>
  <c r="J94" i="5"/>
  <c r="X29" i="8"/>
  <c r="Y29" i="8" s="1"/>
  <c r="X26" i="8"/>
  <c r="Y26" i="8" s="1"/>
  <c r="H80" i="5"/>
  <c r="H86" i="5" s="1"/>
  <c r="R24" i="8"/>
  <c r="S24" i="8" s="1"/>
  <c r="R27" i="8"/>
  <c r="S27" i="8" s="1"/>
  <c r="L102" i="5"/>
  <c r="R26" i="8"/>
  <c r="S26" i="8" s="1"/>
  <c r="S31" i="8"/>
  <c r="R29" i="8"/>
  <c r="S29" i="8" s="1"/>
  <c r="V24" i="8"/>
  <c r="W24" i="8" s="1"/>
  <c r="V27" i="8"/>
  <c r="W27" i="8" s="1"/>
  <c r="F28" i="8"/>
  <c r="G28" i="8" s="1"/>
  <c r="AB28" i="8" s="1"/>
  <c r="F25" i="8"/>
  <c r="G25" i="8" s="1"/>
  <c r="AB25" i="8" s="1"/>
  <c r="G16" i="8"/>
  <c r="AA221" i="9"/>
  <c r="J28" i="8"/>
  <c r="K28" i="8" s="1"/>
  <c r="K16" i="8"/>
  <c r="J25" i="8"/>
  <c r="K25" i="8" s="1"/>
  <c r="W64" i="8"/>
  <c r="H29" i="8"/>
  <c r="I29" i="8" s="1"/>
  <c r="H26" i="8"/>
  <c r="I26" i="8" s="1"/>
  <c r="AB26" i="8" s="1"/>
  <c r="I31" i="8"/>
  <c r="AB31" i="8" s="1"/>
  <c r="L24" i="4"/>
  <c r="M24" i="4"/>
  <c r="AB70" i="8"/>
  <c r="J10" i="8" s="1"/>
  <c r="G24" i="13" s="1"/>
  <c r="K66" i="8"/>
  <c r="I10" i="8" l="1"/>
  <c r="F24" i="13" s="1"/>
  <c r="Y41" i="8"/>
  <c r="AA183" i="9"/>
  <c r="AA41" i="8"/>
  <c r="AA179" i="9"/>
  <c r="T97" i="5"/>
  <c r="B80" i="5"/>
  <c r="D86" i="5"/>
  <c r="AA130" i="9"/>
  <c r="AB65" i="8"/>
  <c r="E41" i="8"/>
  <c r="G41" i="8"/>
  <c r="AA147" i="9"/>
  <c r="AA219" i="9"/>
  <c r="W19" i="8"/>
  <c r="O19" i="8"/>
  <c r="G19" i="8"/>
  <c r="U19" i="8"/>
  <c r="M19" i="8"/>
  <c r="AA19" i="8"/>
  <c r="S19" i="8"/>
  <c r="K19" i="8"/>
  <c r="I19" i="8"/>
  <c r="Q19" i="8"/>
  <c r="Y19" i="8"/>
  <c r="B102" i="5"/>
  <c r="D108" i="5"/>
  <c r="U64" i="8"/>
  <c r="AA251" i="9"/>
  <c r="J86" i="5"/>
  <c r="AA193" i="9"/>
  <c r="C63" i="8"/>
  <c r="C40" i="8"/>
  <c r="C17" i="8"/>
  <c r="Z108" i="5"/>
  <c r="AA203" i="9"/>
  <c r="C61" i="8"/>
  <c r="C38" i="8"/>
  <c r="C15" i="8"/>
  <c r="X86" i="5"/>
  <c r="G64" i="8"/>
  <c r="AA175" i="9"/>
  <c r="B105" i="5"/>
  <c r="B95" i="5"/>
  <c r="AA78" i="8"/>
  <c r="D97" i="5"/>
  <c r="B91" i="5"/>
  <c r="Q41" i="8"/>
  <c r="AA223" i="9"/>
  <c r="AA254" i="9"/>
  <c r="AA244" i="9"/>
  <c r="AB29" i="8"/>
  <c r="O64" i="8"/>
  <c r="AA118" i="9"/>
  <c r="H97" i="5"/>
  <c r="H108" i="5"/>
  <c r="AA116" i="9"/>
  <c r="Y64" i="8"/>
  <c r="E64" i="8"/>
  <c r="AB42" i="8"/>
  <c r="AA109" i="9"/>
  <c r="AA97" i="9"/>
  <c r="AA209" i="9"/>
  <c r="AA125" i="9"/>
  <c r="W18" i="8"/>
  <c r="S18" i="8"/>
  <c r="AA18" i="8"/>
  <c r="Q18" i="8"/>
  <c r="M18" i="8"/>
  <c r="K18" i="8"/>
  <c r="O18" i="8"/>
  <c r="Y18" i="8"/>
  <c r="U18" i="8"/>
  <c r="G18" i="8"/>
  <c r="I18" i="8"/>
  <c r="M66" i="8"/>
  <c r="AB66" i="8" s="1"/>
  <c r="M77" i="8"/>
  <c r="AB77" i="8" s="1"/>
  <c r="AA77" i="8"/>
  <c r="O22" i="4"/>
  <c r="N22" i="4"/>
  <c r="L97" i="5"/>
  <c r="AA98" i="9"/>
  <c r="AA220" i="9"/>
  <c r="AA210" i="9"/>
  <c r="AA162" i="9"/>
  <c r="S64" i="8"/>
  <c r="AA143" i="9"/>
  <c r="AA191" i="9"/>
  <c r="X97" i="5"/>
  <c r="P108" i="5"/>
  <c r="AA177" i="9"/>
  <c r="AA90" i="9"/>
  <c r="AA212" i="9"/>
  <c r="AA114" i="9"/>
  <c r="AA231" i="9"/>
  <c r="AA158" i="9"/>
  <c r="W39" i="8"/>
  <c r="G39" i="8"/>
  <c r="O39" i="8"/>
  <c r="U39" i="8"/>
  <c r="AA39" i="8"/>
  <c r="Q39" i="8"/>
  <c r="I39" i="8"/>
  <c r="Y39" i="8"/>
  <c r="S39" i="8"/>
  <c r="AA186" i="9"/>
  <c r="AA195" i="9" s="1"/>
  <c r="I6" i="9" s="1"/>
  <c r="AA247" i="9"/>
  <c r="AB48" i="8"/>
  <c r="E18" i="8"/>
  <c r="O41" i="8"/>
  <c r="I64" i="8"/>
  <c r="R108" i="5"/>
  <c r="AA213" i="9"/>
  <c r="I41" i="8"/>
  <c r="AA142" i="9"/>
  <c r="AA82" i="9"/>
  <c r="R86" i="5"/>
  <c r="AA174" i="9"/>
  <c r="P97" i="5"/>
  <c r="X108" i="5"/>
  <c r="AA222" i="9"/>
  <c r="AA256" i="9" s="1"/>
  <c r="J6" i="9" s="1"/>
  <c r="S41" i="8"/>
  <c r="AA145" i="9"/>
  <c r="AA86" i="9"/>
  <c r="AA93" i="9"/>
  <c r="AB16" i="8"/>
  <c r="L108" i="5"/>
  <c r="AB39" i="8"/>
  <c r="J108" i="5"/>
  <c r="AA129" i="9"/>
  <c r="AA122" i="9"/>
  <c r="AB24" i="8"/>
  <c r="B82" i="5"/>
  <c r="AA235" i="9"/>
  <c r="AA252" i="9"/>
  <c r="J97" i="5"/>
  <c r="F97" i="5"/>
  <c r="D195" i="9"/>
  <c r="AA161" i="9"/>
  <c r="T108" i="5"/>
  <c r="AA84" i="9"/>
  <c r="AA236" i="9"/>
  <c r="U41" i="8"/>
  <c r="I62" i="8"/>
  <c r="U62" i="8"/>
  <c r="Y62" i="8"/>
  <c r="E62" i="8"/>
  <c r="O62" i="8"/>
  <c r="G62" i="8"/>
  <c r="Q62" i="8"/>
  <c r="W62" i="8"/>
  <c r="M62" i="8"/>
  <c r="O24" i="4"/>
  <c r="N24" i="4"/>
  <c r="F86" i="5"/>
  <c r="AB27" i="8"/>
  <c r="B104" i="5"/>
  <c r="Q64" i="8"/>
  <c r="AA240" i="9"/>
  <c r="E13" i="21"/>
  <c r="E5" i="19"/>
  <c r="E5" i="20"/>
  <c r="E5" i="18"/>
  <c r="R97" i="5"/>
  <c r="N97" i="5"/>
  <c r="G13" i="13"/>
  <c r="F5" i="20"/>
  <c r="F5" i="18"/>
  <c r="F13" i="21"/>
  <c r="F5" i="19"/>
  <c r="AA190" i="9"/>
  <c r="AA101" i="9"/>
  <c r="AA132" i="9"/>
  <c r="B93" i="5"/>
  <c r="AA81" i="9"/>
  <c r="AA134" i="9" s="1"/>
  <c r="H6" i="9" s="1"/>
  <c r="AA204" i="9"/>
  <c r="AA113" i="9"/>
  <c r="AA255" i="9"/>
  <c r="Z97" i="5"/>
  <c r="V97" i="5"/>
  <c r="AA238" i="9"/>
  <c r="AA151" i="9"/>
  <c r="M41" i="8"/>
  <c r="M23" i="4"/>
  <c r="L23" i="4"/>
  <c r="L32" i="4" s="1"/>
  <c r="B94" i="5"/>
  <c r="AB19" i="8"/>
  <c r="S77" i="8"/>
  <c r="S66" i="8"/>
  <c r="O77" i="8"/>
  <c r="O66" i="8"/>
  <c r="AA170" i="9"/>
  <c r="B12" i="10" l="1"/>
  <c r="E15" i="13" s="1"/>
  <c r="K12" i="13"/>
  <c r="C12" i="10"/>
  <c r="F15" i="13" s="1"/>
  <c r="L12" i="13"/>
  <c r="D12" i="10"/>
  <c r="G15" i="13" s="1"/>
  <c r="M12" i="13"/>
  <c r="N23" i="4"/>
  <c r="N32" i="4" s="1"/>
  <c r="O23" i="4"/>
  <c r="O36" i="4" s="1"/>
  <c r="B108" i="5"/>
  <c r="AB62" i="8"/>
  <c r="H10" i="8"/>
  <c r="E24" i="13" s="1"/>
  <c r="E17" i="8"/>
  <c r="O17" i="8"/>
  <c r="Q17" i="8"/>
  <c r="M17" i="8"/>
  <c r="U17" i="8"/>
  <c r="AA17" i="8"/>
  <c r="S17" i="8"/>
  <c r="Y17" i="8"/>
  <c r="W17" i="8"/>
  <c r="G17" i="8"/>
  <c r="I17" i="8"/>
  <c r="K17" i="8"/>
  <c r="AB41" i="8"/>
  <c r="AB18" i="8"/>
  <c r="Q22" i="4"/>
  <c r="P22" i="4"/>
  <c r="G40" i="8"/>
  <c r="W40" i="8"/>
  <c r="U40" i="8"/>
  <c r="Q40" i="8"/>
  <c r="S40" i="8"/>
  <c r="E40" i="8"/>
  <c r="K40" i="8"/>
  <c r="I40" i="8"/>
  <c r="O40" i="8"/>
  <c r="AA40" i="8"/>
  <c r="M40" i="8"/>
  <c r="Y40" i="8"/>
  <c r="G5" i="20"/>
  <c r="G5" i="18"/>
  <c r="G13" i="21"/>
  <c r="G5" i="19"/>
  <c r="Q24" i="4"/>
  <c r="P24" i="4"/>
  <c r="M36" i="4"/>
  <c r="E63" i="8"/>
  <c r="AA63" i="8"/>
  <c r="S63" i="8"/>
  <c r="U63" i="8"/>
  <c r="M63" i="8"/>
  <c r="K63" i="8"/>
  <c r="G63" i="8"/>
  <c r="I63" i="8"/>
  <c r="W63" i="8"/>
  <c r="O63" i="8"/>
  <c r="Y63" i="8"/>
  <c r="Q63" i="8"/>
  <c r="AB64" i="8"/>
  <c r="B97" i="5"/>
  <c r="O30" i="8"/>
  <c r="AB30" i="8" s="1"/>
  <c r="AA15" i="8"/>
  <c r="AA32" i="8" s="1"/>
  <c r="K15" i="8"/>
  <c r="M15" i="8"/>
  <c r="Y15" i="8"/>
  <c r="Y32" i="8" s="1"/>
  <c r="O15" i="8"/>
  <c r="Q15" i="8"/>
  <c r="W15" i="8"/>
  <c r="W32" i="8" s="1"/>
  <c r="G15" i="8"/>
  <c r="G32" i="8" s="1"/>
  <c r="E15" i="8"/>
  <c r="I15" i="8"/>
  <c r="U15" i="8"/>
  <c r="U32" i="8" s="1"/>
  <c r="S15" i="8"/>
  <c r="S32" i="8" s="1"/>
  <c r="B86" i="5"/>
  <c r="W38" i="8"/>
  <c r="Q38" i="8"/>
  <c r="Q55" i="8" s="1"/>
  <c r="AA38" i="8"/>
  <c r="AA55" i="8" s="1"/>
  <c r="E38" i="8"/>
  <c r="G38" i="8"/>
  <c r="O38" i="8"/>
  <c r="U38" i="8"/>
  <c r="Y38" i="8"/>
  <c r="Y55" i="8" s="1"/>
  <c r="K38" i="8"/>
  <c r="K55" i="8" s="1"/>
  <c r="M38" i="8"/>
  <c r="I38" i="8"/>
  <c r="I55" i="8" s="1"/>
  <c r="S38" i="8"/>
  <c r="S55" i="8" s="1"/>
  <c r="W61" i="8"/>
  <c r="W78" i="8" s="1"/>
  <c r="I61" i="8"/>
  <c r="I78" i="8" s="1"/>
  <c r="Q61" i="8"/>
  <c r="Q78" i="8" s="1"/>
  <c r="AA61" i="8"/>
  <c r="E61" i="8"/>
  <c r="G61" i="8"/>
  <c r="S61" i="8"/>
  <c r="S78" i="8" s="1"/>
  <c r="Y61" i="8"/>
  <c r="Y78" i="8" s="1"/>
  <c r="O61" i="8"/>
  <c r="O78" i="8" s="1"/>
  <c r="K61" i="8"/>
  <c r="M61" i="8"/>
  <c r="U61" i="8"/>
  <c r="U78" i="8" s="1"/>
  <c r="G78" i="8" l="1"/>
  <c r="R24" i="4"/>
  <c r="S24" i="4"/>
  <c r="E78" i="8"/>
  <c r="AB61" i="8"/>
  <c r="O32" i="8"/>
  <c r="P32" i="4"/>
  <c r="AB17" i="8"/>
  <c r="G15" i="21"/>
  <c r="G7" i="19"/>
  <c r="G7" i="20"/>
  <c r="G7" i="18"/>
  <c r="W55" i="8"/>
  <c r="U55" i="8"/>
  <c r="R22" i="4"/>
  <c r="S22" i="4"/>
  <c r="E15" i="21"/>
  <c r="E7" i="19"/>
  <c r="E7" i="18"/>
  <c r="E7" i="20"/>
  <c r="M55" i="8"/>
  <c r="M78" i="8"/>
  <c r="O55" i="8"/>
  <c r="M32" i="8"/>
  <c r="AB40" i="8"/>
  <c r="F7" i="20"/>
  <c r="F7" i="18"/>
  <c r="F7" i="19"/>
  <c r="F15" i="21"/>
  <c r="G55" i="8"/>
  <c r="I32" i="8"/>
  <c r="K32" i="8"/>
  <c r="AB63" i="8"/>
  <c r="P23" i="4"/>
  <c r="Q23" i="4"/>
  <c r="Q32" i="8"/>
  <c r="K78" i="8"/>
  <c r="AB38" i="8"/>
  <c r="E55" i="8"/>
  <c r="AB55" i="8" s="1"/>
  <c r="I6" i="8" s="1"/>
  <c r="E32" i="8"/>
  <c r="AB32" i="8" s="1"/>
  <c r="H6" i="8" s="1"/>
  <c r="AB15" i="8"/>
  <c r="B11" i="10" l="1"/>
  <c r="K11" i="13"/>
  <c r="C11" i="10"/>
  <c r="L11" i="13"/>
  <c r="U22" i="4"/>
  <c r="T22" i="4"/>
  <c r="T24" i="4"/>
  <c r="U24" i="4"/>
  <c r="S23" i="4"/>
  <c r="R23" i="4"/>
  <c r="R32" i="4"/>
  <c r="AB78" i="8"/>
  <c r="J6" i="8" s="1"/>
  <c r="Q36" i="4"/>
  <c r="W24" i="4" l="1"/>
  <c r="V24" i="4"/>
  <c r="W22" i="4"/>
  <c r="U36" i="4"/>
  <c r="V22" i="4"/>
  <c r="U23" i="4"/>
  <c r="T23" i="4"/>
  <c r="T32" i="4" s="1"/>
  <c r="E14" i="13"/>
  <c r="B13" i="10"/>
  <c r="M11" i="13"/>
  <c r="D11" i="10"/>
  <c r="S36" i="4"/>
  <c r="F14" i="13"/>
  <c r="C13" i="10"/>
  <c r="E14" i="21" l="1"/>
  <c r="E6" i="19"/>
  <c r="E6" i="20"/>
  <c r="E6" i="18"/>
  <c r="Y22" i="4"/>
  <c r="X22" i="4"/>
  <c r="V23" i="4"/>
  <c r="V32" i="4" s="1"/>
  <c r="W23" i="4"/>
  <c r="Y24" i="4"/>
  <c r="X24" i="4"/>
  <c r="G14" i="13"/>
  <c r="D13" i="10"/>
  <c r="F6" i="20"/>
  <c r="F6" i="18"/>
  <c r="F14" i="21"/>
  <c r="F6" i="19"/>
  <c r="X32" i="4" l="1"/>
  <c r="G14" i="21"/>
  <c r="G6" i="19"/>
  <c r="G6" i="20"/>
  <c r="G6" i="18"/>
  <c r="Y23" i="4"/>
  <c r="X23" i="4"/>
  <c r="Z22" i="4"/>
  <c r="AA22" i="4"/>
  <c r="E85" i="4"/>
  <c r="C22" i="4"/>
  <c r="Z24" i="4"/>
  <c r="E87" i="4"/>
  <c r="AA24" i="4"/>
  <c r="AB24" i="4" s="1"/>
  <c r="C24" i="4"/>
  <c r="D24" i="4" s="1"/>
  <c r="C22" i="6" s="1"/>
  <c r="W36" i="4"/>
  <c r="G85" i="4" l="1"/>
  <c r="F85" i="4"/>
  <c r="AB22" i="4"/>
  <c r="E86" i="4"/>
  <c r="AA23" i="4"/>
  <c r="AB23" i="4" s="1"/>
  <c r="Z23" i="4"/>
  <c r="Y36" i="4"/>
  <c r="D22" i="4"/>
  <c r="Z32" i="4"/>
  <c r="C23" i="4"/>
  <c r="D23" i="4" s="1"/>
  <c r="C21" i="6" s="1"/>
  <c r="G87" i="4"/>
  <c r="F87" i="4"/>
  <c r="C36" i="4" l="1"/>
  <c r="AB32" i="4"/>
  <c r="C20" i="6"/>
  <c r="C30" i="6" s="1"/>
  <c r="D32" i="4"/>
  <c r="I85" i="4"/>
  <c r="H85" i="4"/>
  <c r="I87" i="4"/>
  <c r="H87" i="4"/>
  <c r="F86" i="4"/>
  <c r="G86" i="4"/>
  <c r="AA36" i="4"/>
  <c r="E99" i="4"/>
  <c r="I86" i="4" l="1"/>
  <c r="H86" i="4"/>
  <c r="AA17" i="4"/>
  <c r="G99" i="4"/>
  <c r="I17" i="4"/>
  <c r="E17" i="4"/>
  <c r="G17" i="4"/>
  <c r="K17" i="4"/>
  <c r="M17" i="4"/>
  <c r="O17" i="4"/>
  <c r="Q17" i="4"/>
  <c r="S17" i="4"/>
  <c r="U17" i="4"/>
  <c r="W17" i="4"/>
  <c r="E12" i="13"/>
  <c r="B14" i="10"/>
  <c r="J87" i="4"/>
  <c r="K87" i="4"/>
  <c r="Y17" i="4"/>
  <c r="K85" i="4"/>
  <c r="I99" i="4"/>
  <c r="J85" i="4"/>
  <c r="F93" i="4" l="1"/>
  <c r="F89" i="4"/>
  <c r="E94" i="4"/>
  <c r="E101" i="4" s="1"/>
  <c r="F94" i="4"/>
  <c r="F154" i="4"/>
  <c r="F92" i="4"/>
  <c r="F152" i="4"/>
  <c r="F151" i="4"/>
  <c r="F90" i="4"/>
  <c r="F155" i="4"/>
  <c r="F91" i="4"/>
  <c r="F153" i="4"/>
  <c r="F156" i="4"/>
  <c r="V90" i="4"/>
  <c r="V152" i="4"/>
  <c r="V94" i="4"/>
  <c r="V155" i="4"/>
  <c r="V89" i="4"/>
  <c r="V91" i="4"/>
  <c r="V92" i="4"/>
  <c r="V93" i="4"/>
  <c r="V153" i="4"/>
  <c r="V156" i="4"/>
  <c r="V154" i="4"/>
  <c r="V151" i="4"/>
  <c r="T93" i="4"/>
  <c r="T89" i="4"/>
  <c r="T151" i="4"/>
  <c r="T92" i="4"/>
  <c r="T152" i="4"/>
  <c r="T94" i="4"/>
  <c r="T154" i="4"/>
  <c r="T156" i="4"/>
  <c r="T90" i="4"/>
  <c r="T91" i="4"/>
  <c r="T155" i="4"/>
  <c r="T153" i="4"/>
  <c r="AB92" i="4"/>
  <c r="AB154" i="4"/>
  <c r="AB156" i="4"/>
  <c r="AB151" i="4"/>
  <c r="AB153" i="4"/>
  <c r="AB93" i="4"/>
  <c r="AB91" i="4"/>
  <c r="AB94" i="4"/>
  <c r="AB155" i="4"/>
  <c r="AB90" i="4"/>
  <c r="AB152" i="4"/>
  <c r="AB89" i="4"/>
  <c r="E12" i="21"/>
  <c r="E4" i="19"/>
  <c r="E16" i="13"/>
  <c r="E4" i="20"/>
  <c r="E4" i="18"/>
  <c r="E17" i="13"/>
  <c r="E27" i="13"/>
  <c r="E29" i="13"/>
  <c r="E25" i="13"/>
  <c r="E28" i="13"/>
  <c r="J92" i="4"/>
  <c r="J93" i="4"/>
  <c r="J94" i="4"/>
  <c r="J89" i="4"/>
  <c r="J155" i="4"/>
  <c r="J152" i="4"/>
  <c r="J156" i="4"/>
  <c r="J154" i="4"/>
  <c r="J153" i="4"/>
  <c r="J151" i="4"/>
  <c r="J90" i="4"/>
  <c r="J91" i="4"/>
  <c r="R93" i="4"/>
  <c r="R92" i="4"/>
  <c r="R91" i="4"/>
  <c r="R94" i="4"/>
  <c r="R155" i="4"/>
  <c r="R156" i="4"/>
  <c r="R152" i="4"/>
  <c r="R90" i="4"/>
  <c r="R89" i="4"/>
  <c r="R154" i="4"/>
  <c r="R153" i="4"/>
  <c r="R151" i="4"/>
  <c r="M87" i="4"/>
  <c r="L87" i="4"/>
  <c r="P153" i="4"/>
  <c r="P93" i="4"/>
  <c r="P92" i="4"/>
  <c r="P156" i="4"/>
  <c r="P91" i="4"/>
  <c r="P151" i="4"/>
  <c r="P94" i="4"/>
  <c r="P90" i="4"/>
  <c r="P154" i="4"/>
  <c r="P152" i="4"/>
  <c r="P89" i="4"/>
  <c r="P155" i="4"/>
  <c r="H153" i="4"/>
  <c r="H93" i="4"/>
  <c r="H151" i="4"/>
  <c r="H156" i="4"/>
  <c r="H91" i="4"/>
  <c r="H92" i="4"/>
  <c r="H89" i="4"/>
  <c r="H95" i="4" s="1"/>
  <c r="H155" i="4"/>
  <c r="H94" i="4"/>
  <c r="H154" i="4"/>
  <c r="H152" i="4"/>
  <c r="H90" i="4"/>
  <c r="K99" i="4"/>
  <c r="M85" i="4"/>
  <c r="L85" i="4"/>
  <c r="Z152" i="4"/>
  <c r="Z155" i="4"/>
  <c r="Z89" i="4"/>
  <c r="Z151" i="4"/>
  <c r="Z91" i="4"/>
  <c r="Z93" i="4"/>
  <c r="Z90" i="4"/>
  <c r="Z94" i="4"/>
  <c r="Z154" i="4"/>
  <c r="Z153" i="4"/>
  <c r="Z92" i="4"/>
  <c r="Z156" i="4"/>
  <c r="N89" i="4"/>
  <c r="N93" i="4"/>
  <c r="N92" i="4"/>
  <c r="N152" i="4"/>
  <c r="N154" i="4"/>
  <c r="N94" i="4"/>
  <c r="N151" i="4"/>
  <c r="N91" i="4"/>
  <c r="N153" i="4"/>
  <c r="N156" i="4"/>
  <c r="N90" i="4"/>
  <c r="N155" i="4"/>
  <c r="K86" i="4"/>
  <c r="J86" i="4"/>
  <c r="J95" i="4" s="1"/>
  <c r="X93" i="4"/>
  <c r="X89" i="4"/>
  <c r="X156" i="4"/>
  <c r="X153" i="4"/>
  <c r="X91" i="4"/>
  <c r="X94" i="4"/>
  <c r="X92" i="4"/>
  <c r="X90" i="4"/>
  <c r="X154" i="4"/>
  <c r="X152" i="4"/>
  <c r="X151" i="4"/>
  <c r="X155" i="4"/>
  <c r="L153" i="4"/>
  <c r="L90" i="4"/>
  <c r="L91" i="4"/>
  <c r="L93" i="4"/>
  <c r="L89" i="4"/>
  <c r="L155" i="4"/>
  <c r="L94" i="4"/>
  <c r="L154" i="4"/>
  <c r="L156" i="4"/>
  <c r="L151" i="4"/>
  <c r="L92" i="4"/>
  <c r="L152" i="4"/>
  <c r="O85" i="4" l="1"/>
  <c r="N85" i="4"/>
  <c r="E9" i="20"/>
  <c r="E8" i="20"/>
  <c r="E12" i="20" s="1"/>
  <c r="E14" i="20" s="1"/>
  <c r="E9" i="18"/>
  <c r="E8" i="18"/>
  <c r="E12" i="18" s="1"/>
  <c r="E14" i="18" s="1"/>
  <c r="O87" i="4"/>
  <c r="N87" i="4"/>
  <c r="E20" i="13"/>
  <c r="E22" i="13" s="1"/>
  <c r="L23" i="13"/>
  <c r="E9" i="19"/>
  <c r="E8" i="19"/>
  <c r="E12" i="19" s="1"/>
  <c r="E14" i="19" s="1"/>
  <c r="E17" i="21"/>
  <c r="E16" i="21"/>
  <c r="M86" i="4"/>
  <c r="M99" i="4" s="1"/>
  <c r="L86" i="4"/>
  <c r="L95" i="4" s="1"/>
  <c r="F95" i="4"/>
  <c r="N95" i="4" l="1"/>
  <c r="O86" i="4"/>
  <c r="N86" i="4"/>
  <c r="O99" i="4"/>
  <c r="Q85" i="4"/>
  <c r="P85" i="4"/>
  <c r="E20" i="21"/>
  <c r="E22" i="21" s="1"/>
  <c r="Q87" i="4"/>
  <c r="P87" i="4"/>
  <c r="S85" i="4" l="1"/>
  <c r="R85" i="4"/>
  <c r="R87" i="4"/>
  <c r="S87" i="4"/>
  <c r="Q86" i="4"/>
  <c r="P86" i="4"/>
  <c r="P95" i="4" s="1"/>
  <c r="S86" i="4" l="1"/>
  <c r="R86" i="4"/>
  <c r="R95" i="4"/>
  <c r="U87" i="4"/>
  <c r="T87" i="4"/>
  <c r="S99" i="4"/>
  <c r="U85" i="4"/>
  <c r="T85" i="4"/>
  <c r="Q99" i="4"/>
  <c r="W87" i="4" l="1"/>
  <c r="V87" i="4"/>
  <c r="W85" i="4"/>
  <c r="V85" i="4"/>
  <c r="U86" i="4"/>
  <c r="U99" i="4" s="1"/>
  <c r="T86" i="4"/>
  <c r="T95" i="4" s="1"/>
  <c r="V86" i="4" l="1"/>
  <c r="V95" i="4" s="1"/>
  <c r="W86" i="4"/>
  <c r="W99" i="4" s="1"/>
  <c r="Y85" i="4"/>
  <c r="X85" i="4"/>
  <c r="Y87" i="4"/>
  <c r="X87" i="4"/>
  <c r="Y86" i="4" l="1"/>
  <c r="X86" i="4"/>
  <c r="X95" i="4"/>
  <c r="E147" i="4"/>
  <c r="Y99" i="4"/>
  <c r="AA85" i="4"/>
  <c r="Z85" i="4"/>
  <c r="C85" i="4"/>
  <c r="E149" i="4"/>
  <c r="Z87" i="4"/>
  <c r="AA87" i="4"/>
  <c r="F147" i="4" l="1"/>
  <c r="G147" i="4"/>
  <c r="D85" i="4"/>
  <c r="AB85" i="4"/>
  <c r="AB87" i="4"/>
  <c r="C87" i="4"/>
  <c r="D87" i="4" s="1"/>
  <c r="D22" i="6" s="1"/>
  <c r="F149" i="4"/>
  <c r="G149" i="4"/>
  <c r="E148" i="4"/>
  <c r="E161" i="4" s="1"/>
  <c r="AA86" i="4"/>
  <c r="AA99" i="4" s="1"/>
  <c r="Z86" i="4"/>
  <c r="Z95" i="4" s="1"/>
  <c r="D20" i="6" l="1"/>
  <c r="I147" i="4"/>
  <c r="H147" i="4"/>
  <c r="AB86" i="4"/>
  <c r="C86" i="4"/>
  <c r="F157" i="4"/>
  <c r="G148" i="4"/>
  <c r="G161" i="4" s="1"/>
  <c r="F148" i="4"/>
  <c r="I149" i="4"/>
  <c r="H149" i="4"/>
  <c r="AB95" i="4"/>
  <c r="K147" i="4" l="1"/>
  <c r="J147" i="4"/>
  <c r="D86" i="4"/>
  <c r="C99" i="4"/>
  <c r="H157" i="4"/>
  <c r="K149" i="4"/>
  <c r="J149" i="4"/>
  <c r="H148" i="4"/>
  <c r="I148" i="4"/>
  <c r="L149" i="4" l="1"/>
  <c r="M149" i="4"/>
  <c r="L147" i="4"/>
  <c r="M147" i="4"/>
  <c r="D21" i="6"/>
  <c r="D30" i="6" s="1"/>
  <c r="D95" i="4"/>
  <c r="J148" i="4"/>
  <c r="J157" i="4" s="1"/>
  <c r="K148" i="4"/>
  <c r="K161" i="4" s="1"/>
  <c r="I161" i="4"/>
  <c r="N147" i="4" l="1"/>
  <c r="O147" i="4"/>
  <c r="M148" i="4"/>
  <c r="L148" i="4"/>
  <c r="L157" i="4" s="1"/>
  <c r="F12" i="13"/>
  <c r="C14" i="10"/>
  <c r="N149" i="4"/>
  <c r="O149" i="4"/>
  <c r="O148" i="4" l="1"/>
  <c r="N148" i="4"/>
  <c r="Q149" i="4"/>
  <c r="P149" i="4"/>
  <c r="O161" i="4"/>
  <c r="Q147" i="4"/>
  <c r="P147" i="4"/>
  <c r="M161" i="4"/>
  <c r="F12" i="21"/>
  <c r="F4" i="19"/>
  <c r="F16" i="13"/>
  <c r="F4" i="20"/>
  <c r="F17" i="13"/>
  <c r="F4" i="18"/>
  <c r="F27" i="13"/>
  <c r="F25" i="13"/>
  <c r="F29" i="13"/>
  <c r="F28" i="13"/>
  <c r="N157" i="4"/>
  <c r="F8" i="18" l="1"/>
  <c r="F12" i="18" s="1"/>
  <c r="F14" i="18" s="1"/>
  <c r="F9" i="18"/>
  <c r="S147" i="4"/>
  <c r="R147" i="4"/>
  <c r="F8" i="20"/>
  <c r="F12" i="20" s="1"/>
  <c r="F14" i="20" s="1"/>
  <c r="F9" i="20"/>
  <c r="F20" i="13"/>
  <c r="F22" i="13" s="1"/>
  <c r="M23" i="13"/>
  <c r="G19" i="13" s="1"/>
  <c r="F9" i="19"/>
  <c r="F8" i="19"/>
  <c r="F12" i="19" s="1"/>
  <c r="F14" i="19" s="1"/>
  <c r="S149" i="4"/>
  <c r="R149" i="4"/>
  <c r="P157" i="4"/>
  <c r="F17" i="21"/>
  <c r="F16" i="21"/>
  <c r="P148" i="4"/>
  <c r="Q148" i="4"/>
  <c r="Q161" i="4" s="1"/>
  <c r="T149" i="4" l="1"/>
  <c r="U149" i="4"/>
  <c r="R148" i="4"/>
  <c r="R157" i="4" s="1"/>
  <c r="S148" i="4"/>
  <c r="T147" i="4"/>
  <c r="U147" i="4"/>
  <c r="G10" i="20"/>
  <c r="G10" i="18"/>
  <c r="G18" i="21"/>
  <c r="G10" i="19"/>
  <c r="F20" i="21"/>
  <c r="F22" i="21" s="1"/>
  <c r="V149" i="4" l="1"/>
  <c r="W149" i="4"/>
  <c r="V147" i="4"/>
  <c r="W147" i="4"/>
  <c r="U148" i="4"/>
  <c r="U161" i="4" s="1"/>
  <c r="T148" i="4"/>
  <c r="S161" i="4"/>
  <c r="T157" i="4"/>
  <c r="Y147" i="4" l="1"/>
  <c r="X147" i="4"/>
  <c r="W148" i="4"/>
  <c r="V148" i="4"/>
  <c r="V157" i="4"/>
  <c r="Y149" i="4"/>
  <c r="X149" i="4"/>
  <c r="AA149" i="4" l="1"/>
  <c r="AB149" i="4" s="1"/>
  <c r="Z149" i="4"/>
  <c r="X148" i="4"/>
  <c r="Y148" i="4"/>
  <c r="Y161" i="4" s="1"/>
  <c r="AA147" i="4"/>
  <c r="Z147" i="4"/>
  <c r="C147" i="4"/>
  <c r="X157" i="4"/>
  <c r="W161" i="4"/>
  <c r="Z148" i="4" l="1"/>
  <c r="Z157" i="4" s="1"/>
  <c r="AA148" i="4"/>
  <c r="AB148" i="4" s="1"/>
  <c r="C148" i="4"/>
  <c r="D148" i="4" s="1"/>
  <c r="E21" i="6" s="1"/>
  <c r="D147" i="4"/>
  <c r="AB147" i="4"/>
  <c r="AB157" i="4" s="1"/>
  <c r="AA161" i="4"/>
  <c r="C149" i="4"/>
  <c r="D149" i="4" s="1"/>
  <c r="E22" i="6" s="1"/>
  <c r="C161" i="4" l="1"/>
  <c r="E20" i="6"/>
  <c r="E30" i="6" s="1"/>
  <c r="D157" i="4"/>
  <c r="G12" i="13" l="1"/>
  <c r="D14" i="10"/>
  <c r="G16" i="13" l="1"/>
  <c r="G4" i="20"/>
  <c r="G4" i="18"/>
  <c r="G17" i="13"/>
  <c r="G4" i="19"/>
  <c r="G12" i="21"/>
  <c r="G25" i="13"/>
  <c r="G27" i="13"/>
  <c r="G29" i="13"/>
  <c r="G28" i="13"/>
  <c r="G9" i="19" l="1"/>
  <c r="G8" i="19"/>
  <c r="G12" i="19" s="1"/>
  <c r="G14" i="19" s="1"/>
  <c r="G9" i="18"/>
  <c r="G8" i="18"/>
  <c r="G17" i="21"/>
  <c r="G16" i="21"/>
  <c r="G20" i="21" s="1"/>
  <c r="G22" i="21" s="1"/>
  <c r="G9" i="20"/>
  <c r="G8" i="20"/>
  <c r="G12" i="20" s="1"/>
  <c r="G14" i="20" s="1"/>
  <c r="N23" i="13"/>
  <c r="G20" i="13"/>
  <c r="G22" i="13" s="1"/>
  <c r="F19" i="20" l="1" a="1"/>
  <c r="F19" i="20" s="1"/>
  <c r="F20" i="20"/>
  <c r="F28" i="21"/>
  <c r="F27" i="21" a="1"/>
  <c r="F27" i="21" s="1"/>
  <c r="F20" i="19"/>
  <c r="F19" i="19" a="1"/>
  <c r="F19" i="19" s="1"/>
  <c r="G12" i="18"/>
  <c r="G14" i="18" s="1"/>
  <c r="G34" i="13" a="1"/>
  <c r="G34" i="13" s="1"/>
  <c r="G35" i="13"/>
  <c r="F20" i="18" l="1"/>
  <c r="F19" i="18" a="1"/>
  <c r="F19" i="18" s="1"/>
</calcChain>
</file>

<file path=xl/comments1.xml><?xml version="1.0" encoding="utf-8"?>
<comments xmlns="http://schemas.openxmlformats.org/spreadsheetml/2006/main">
  <authors>
    <author/>
  </authors>
  <commentList>
    <comment ref="C17" authorId="0" shapeId="0">
      <text>
        <r>
          <rPr>
            <sz val="11"/>
            <color theme="1"/>
            <rFont val="Arial"/>
            <scheme val="minor"/>
          </rPr>
          <t>Este puesto cubrirá los siguientes puestos:
Jefe de compras, jefe de finanzas, jefe de ventas, subjefe de ventas, analista de compras, administrativo de ventas, administrativo de cobranzas, administrativo de compras, auxiliar administrativo</t>
        </r>
      </text>
    </comment>
    <comment ref="C21" authorId="0" shapeId="0">
      <text>
        <r>
          <rPr>
            <sz val="11"/>
            <color theme="1"/>
            <rFont val="Arial"/>
            <scheme val="minor"/>
          </rPr>
          <t>Este puesto sera tercerizado</t>
        </r>
      </text>
    </comment>
    <comment ref="C23" authorId="0" shapeId="0">
      <text>
        <r>
          <rPr>
            <sz val="11"/>
            <color theme="1"/>
            <rFont val="Arial"/>
            <scheme val="minor"/>
          </rPr>
          <t>Este puesto sera tercerizado</t>
        </r>
      </text>
    </comment>
    <comment ref="C26" authorId="0" shapeId="0">
      <text>
        <r>
          <rPr>
            <sz val="11"/>
            <color theme="1"/>
            <rFont val="Arial"/>
            <scheme val="minor"/>
          </rPr>
          <t>Este puesto sera tercerizado</t>
        </r>
      </text>
    </comment>
    <comment ref="C29" authorId="0" shapeId="0">
      <text>
        <r>
          <rPr>
            <sz val="11"/>
            <color theme="1"/>
            <rFont val="Arial"/>
            <scheme val="minor"/>
          </rPr>
          <t>Este puesto sera tercerizado</t>
        </r>
      </text>
    </comment>
    <comment ref="C30" authorId="0" shapeId="0">
      <text>
        <r>
          <rPr>
            <sz val="11"/>
            <color theme="1"/>
            <rFont val="Arial"/>
            <scheme val="minor"/>
          </rPr>
          <t>Este puesto sera tercerizado</t>
        </r>
      </text>
    </comment>
    <comment ref="C32" authorId="0" shapeId="0">
      <text>
        <r>
          <rPr>
            <sz val="11"/>
            <color theme="1"/>
            <rFont val="Arial"/>
            <scheme val="minor"/>
          </rPr>
          <t>Este puesto cubrirá las siguientes posiciones:
Lider de finanzas, lider de operacions comerciales, coordinador de instalaciones, analista de producto, ejecutivo comercial, analista de logistica, analista de marketing, diseñador de contenido, asistente de marketing</t>
        </r>
      </text>
    </comment>
    <comment ref="C42" authorId="0" shapeId="0">
      <text>
        <r>
          <rPr>
            <sz val="11"/>
            <color theme="1"/>
            <rFont val="Arial"/>
            <scheme val="minor"/>
          </rPr>
          <t>Este puesto cubrira las siguientes posiciones:
Gerente general, Devops, arquitecto cloud, especialista en hardware, desarrollador backend SR, desarrollador frontend SR, coordinador tecnico, especialista en redes, QA, auxiliar tecnico</t>
        </r>
      </text>
    </comment>
    <comment ref="C50" authorId="0" shapeId="0">
      <text>
        <r>
          <rPr>
            <sz val="11"/>
            <color theme="1"/>
            <rFont val="Arial"/>
            <scheme val="minor"/>
          </rPr>
          <t>Este puesto sera tercerizado</t>
        </r>
      </text>
    </comment>
    <comment ref="C57" authorId="0" shapeId="0">
      <text>
        <r>
          <rPr>
            <sz val="11"/>
            <color theme="1"/>
            <rFont val="Arial"/>
            <scheme val="minor"/>
          </rPr>
          <t>Este puesto sera tercerizado</t>
        </r>
      </text>
    </comment>
    <comment ref="C58" authorId="0" shapeId="0">
      <text>
        <r>
          <rPr>
            <sz val="11"/>
            <color theme="1"/>
            <rFont val="Arial"/>
            <scheme val="minor"/>
          </rPr>
          <t>Este puesto se encargara de cubrir las siguientes posiciones:
Gerente de servicio tecnico, coordinador tecnico, coordinador de operaciones, tecnico de plataforma, operador de monitoreo y tecnico de soporte</t>
        </r>
      </text>
    </comment>
    <comment ref="C62" authorId="0" shapeId="0">
      <text>
        <r>
          <rPr>
            <sz val="11"/>
            <color theme="1"/>
            <rFont val="Arial"/>
            <scheme val="minor"/>
          </rPr>
          <t>Este puesto se encargara de cubrir las siguientes posiciones:
Tecnico de inventario, auxiliar administrativo, auxiliar logístico, auxiliar operativo</t>
        </r>
      </text>
    </comment>
    <comment ref="C64" authorId="0" shapeId="0">
      <text>
        <r>
          <rPr>
            <sz val="11"/>
            <color theme="1"/>
            <rFont val="Arial"/>
            <scheme val="minor"/>
          </rPr>
          <t>Este puesto sera tercerizado</t>
        </r>
      </text>
    </comment>
    <comment ref="C68" authorId="0" shapeId="0">
      <text>
        <r>
          <rPr>
            <sz val="11"/>
            <color theme="1"/>
            <rFont val="Arial"/>
            <scheme val="minor"/>
          </rPr>
          <t>Este puesto se encargará de cubrir los siguientes puestos:
Ejecutivo de cuentas, representante de posventa</t>
        </r>
      </text>
    </comment>
  </commentList>
</comments>
</file>

<file path=xl/sharedStrings.xml><?xml version="1.0" encoding="utf-8"?>
<sst xmlns="http://schemas.openxmlformats.org/spreadsheetml/2006/main" count="2681" uniqueCount="612">
  <si>
    <t>TRABAJO FINAL DE INGENIERÍA</t>
  </si>
  <si>
    <r>
      <rPr>
        <b/>
        <sz val="14"/>
        <color theme="1"/>
        <rFont val="Arial"/>
      </rPr>
      <t xml:space="preserve">Docentes: </t>
    </r>
    <r>
      <rPr>
        <sz val="14"/>
        <color theme="1"/>
        <rFont val="Arial"/>
      </rPr>
      <t>Scali, Jorge</t>
    </r>
  </si>
  <si>
    <t>Índice</t>
  </si>
  <si>
    <t>Hipótesis</t>
  </si>
  <si>
    <t>Proyección de ventas</t>
  </si>
  <si>
    <t>Modelo de ingresos</t>
  </si>
  <si>
    <t>Estructura de costos fijos</t>
  </si>
  <si>
    <t>Estructura de costos variables</t>
  </si>
  <si>
    <t>Estructura de costos de RRHH</t>
  </si>
  <si>
    <t>Modelo de egresos</t>
  </si>
  <si>
    <t>Modelo de inversión</t>
  </si>
  <si>
    <t>Amortizaciones</t>
  </si>
  <si>
    <t>Presupuesto Financiero</t>
  </si>
  <si>
    <t>Matriz de riesgos</t>
  </si>
  <si>
    <t>Escenario 1</t>
  </si>
  <si>
    <t>Escenario 2</t>
  </si>
  <si>
    <t>Escenario 3</t>
  </si>
  <si>
    <t>Plan de contingencia</t>
  </si>
  <si>
    <t>1 - Descripción del negocio</t>
  </si>
  <si>
    <t>2 - Mercado meta</t>
  </si>
  <si>
    <t>Clientes</t>
  </si>
  <si>
    <t>Gasto promedio (anual)</t>
  </si>
  <si>
    <t>Total mercado</t>
  </si>
  <si>
    <t>3 - Participación del mercado</t>
  </si>
  <si>
    <t>Evolución de la participación en el mercado</t>
  </si>
  <si>
    <t>Año</t>
  </si>
  <si>
    <t>Cantidad</t>
  </si>
  <si>
    <t>Porcentaje</t>
  </si>
  <si>
    <t>Total</t>
  </si>
  <si>
    <t>6 empresas medianas</t>
  </si>
  <si>
    <t>15 empresas medianas</t>
  </si>
  <si>
    <t>33 empresas medianas</t>
  </si>
  <si>
    <t>Detalle: Consideramos que una empresa mediana contrata unos 15 vehiculos promedio</t>
  </si>
  <si>
    <t>4 - Otros datos</t>
  </si>
  <si>
    <t>Líneas de servicios</t>
  </si>
  <si>
    <t>AMPLITUD DE LA MEZCLA DE SERVICIOS</t>
  </si>
  <si>
    <t>Linea A</t>
  </si>
  <si>
    <t>Linea B</t>
  </si>
  <si>
    <t>PROFUNDIDAD DE LAS LÍNEAS DE SERVICIOS</t>
  </si>
  <si>
    <t>Plan plata</t>
  </si>
  <si>
    <t>Lista de precios por vehiculo</t>
  </si>
  <si>
    <t>Servicio</t>
  </si>
  <si>
    <t>Precio</t>
  </si>
  <si>
    <t>Detalle</t>
  </si>
  <si>
    <t>Instalación de unidad central + sensor temperatura</t>
  </si>
  <si>
    <t>Instalación sensor apertura puertas + bronce</t>
  </si>
  <si>
    <t>Instalación gps, humedad y sensor motor + plata</t>
  </si>
  <si>
    <t>Monitoreo de temperatura</t>
  </si>
  <si>
    <t xml:space="preserve"> Cobro mensual</t>
  </si>
  <si>
    <t>Incluye control de apertura de puertas + bronce</t>
  </si>
  <si>
    <t>Incluye geolocalización, humedad y sensor de funcionamiento del motor + plata</t>
  </si>
  <si>
    <t>Evolución de la participación</t>
  </si>
  <si>
    <t>Justificación ingresos</t>
  </si>
  <si>
    <t xml:space="preserve">En la proyección de ventas se podrá apreciar el efecto de la estacionalidad remarcada por las siguientes situaciones:
a) Efecto temporada alta: Preveemos mayores ventas en los meses de septiembre, octubre y noviembre ya que las empresas de logística refrigerada se preparan para la temporada alta en el verano. Así mismo preveemos un incremento en las ventas en el mes de abril por esta misma causa.
b) Estrategia de promoción:
30% de descuento en el precio de instalación para todos los planes durante los 3 años
30% de descuento en el mantenimiento del primer mes post-contratación durante el primer año y luego 100% bonificado el primer mes de mantenimiento.
</t>
  </si>
  <si>
    <t>.</t>
  </si>
  <si>
    <t>Proyección de ventas 2026</t>
  </si>
  <si>
    <t>Producto</t>
  </si>
  <si>
    <t>Anual</t>
  </si>
  <si>
    <t>Enero</t>
  </si>
  <si>
    <t>Febrero</t>
  </si>
  <si>
    <t>Marzo</t>
  </si>
  <si>
    <t>Abril</t>
  </si>
  <si>
    <t>Mayo</t>
  </si>
  <si>
    <t>Junio</t>
  </si>
  <si>
    <t>Julio</t>
  </si>
  <si>
    <t>Agosto</t>
  </si>
  <si>
    <t>Septiembre</t>
  </si>
  <si>
    <t>Octubre</t>
  </si>
  <si>
    <t>Noviembre</t>
  </si>
  <si>
    <t>Diciembre</t>
  </si>
  <si>
    <t>Cantidad de vehiculos</t>
  </si>
  <si>
    <t>Ingresos</t>
  </si>
  <si>
    <t>Ingreso Total</t>
  </si>
  <si>
    <t>Capacidad operativa Kick off - Año 2026</t>
  </si>
  <si>
    <t>Comentarios</t>
  </si>
  <si>
    <t>El emprendimiento saldrá al mercado habiendo invertido previamente en:
* La plataforma digital, cuyo desarrollo fue realizado por los 2 socios fundadores, sumado a 2 desarrolladores jr tercerizados con una consultora. Será mantenido y ampliado por este equipo en una primera instancia.
* Infraestructura: Oficina con sector de atención al público y depósito del hardware necesario para los clientes.
* Capital de trabajo: se deberá contar con un stock inicial de sensores que irá incrementándose para cubrir las instalaciones de los nuevos clientes y posibles fallos que puedan suceder de clientes ya existentes.
Además:
* En Julio se contratará un encargado de soporte que trabajará de forma remota y rotando horarios con el anterior para cubrir una mayor franja horaria de soporte.</t>
  </si>
  <si>
    <t>Concepto</t>
  </si>
  <si>
    <t>Año cero - Kick off</t>
  </si>
  <si>
    <t>Año 2026</t>
  </si>
  <si>
    <t>RRHH</t>
  </si>
  <si>
    <t>Gerente de administración</t>
  </si>
  <si>
    <t>Gerente de administración (+1)</t>
  </si>
  <si>
    <t>Sin cambios</t>
  </si>
  <si>
    <t>Gerente de marketing</t>
  </si>
  <si>
    <t>Gerente de sistemas</t>
  </si>
  <si>
    <t>Gerente de sistemas (+1)</t>
  </si>
  <si>
    <t>Coordinador de soporte</t>
  </si>
  <si>
    <t>Coordinador de soporte (+1)</t>
  </si>
  <si>
    <t>Soporte de nivel 1</t>
  </si>
  <si>
    <t>Auxiliar de ventas</t>
  </si>
  <si>
    <t>Gerente comercial</t>
  </si>
  <si>
    <t>Infraestructura</t>
  </si>
  <si>
    <t>Oficina</t>
  </si>
  <si>
    <t>Oficina (+1 alquiler)</t>
  </si>
  <si>
    <t>Notebooks</t>
  </si>
  <si>
    <t>Notebooks (+3)</t>
  </si>
  <si>
    <t>Notebooks (+1)</t>
  </si>
  <si>
    <t>Escritorios</t>
  </si>
  <si>
    <t>Escritorios (+2)</t>
  </si>
  <si>
    <t>Sillas de escritorio</t>
  </si>
  <si>
    <t>Sillas de escritorio (+4)</t>
  </si>
  <si>
    <t>Capital de trabajo</t>
  </si>
  <si>
    <t>Sensores temperatura</t>
  </si>
  <si>
    <t>Sesores temperatura (+30)</t>
  </si>
  <si>
    <t>Sesores temperatura (+15)</t>
  </si>
  <si>
    <t>Sesores temperatura (+60)</t>
  </si>
  <si>
    <t>Sensores puertas</t>
  </si>
  <si>
    <t>Sensores puertas (+30)</t>
  </si>
  <si>
    <t>Sensores puertas (+15)</t>
  </si>
  <si>
    <t>Sensores puertas (+60)</t>
  </si>
  <si>
    <t>Sensores humedad</t>
  </si>
  <si>
    <t>Sensores humedad (+30)</t>
  </si>
  <si>
    <t>Sensores humedad (+15)</t>
  </si>
  <si>
    <t>Sensores humedad (+60)</t>
  </si>
  <si>
    <t>Sensores geolocalizacion</t>
  </si>
  <si>
    <t>Sensores geolocalización (+30)</t>
  </si>
  <si>
    <t>Sensores geolocalización (+15)</t>
  </si>
  <si>
    <t>Sensores geolocalización (+60)</t>
  </si>
  <si>
    <t>Sensores motor refrigeración</t>
  </si>
  <si>
    <t>Sensores motor refrigeracion (+30)</t>
  </si>
  <si>
    <t>Sensores motor refrigeracion (+15)</t>
  </si>
  <si>
    <t>Sensores motor refrigeracion (+60)</t>
  </si>
  <si>
    <t>Unidad central</t>
  </si>
  <si>
    <t>Unidad central (+5)</t>
  </si>
  <si>
    <t xml:space="preserve">Unidad central (+3)        </t>
  </si>
  <si>
    <t xml:space="preserve">Unidad central (+10)        </t>
  </si>
  <si>
    <t>Proyección de ventas 2027</t>
  </si>
  <si>
    <t>Capacidad operativa - Año 2027</t>
  </si>
  <si>
    <t>* En enero se contratará un auxiliar de soporte que trabajará con horarios rotativos en conjunto con el anterior empleado para cubrir una mayor franja horaria de soporte.
* En marzo se contratará un auxiliar de ventas para poder cumplir con los objetivos del nuevo año.
* Capital de trabajo: se seguira incrementando el stock de sensores para cubrir las instalaciones de los nuevos clientes y posibles fallos que puedan suceder de clientes ya existentes.</t>
  </si>
  <si>
    <t>Gerente de marketing (+1)</t>
  </si>
  <si>
    <t>Soporte de nivel 1 (+1)</t>
  </si>
  <si>
    <t>Auxiliar de ventas (+1)</t>
  </si>
  <si>
    <t>Escritorios (+1)</t>
  </si>
  <si>
    <t>Sillas de escritorio (+2)</t>
  </si>
  <si>
    <t>Sensores temperatura 30</t>
  </si>
  <si>
    <t>Sesores temperatura (+100)</t>
  </si>
  <si>
    <t>Sesores temperatura (+50)</t>
  </si>
  <si>
    <t>Sensores puertas 20</t>
  </si>
  <si>
    <t>Sensores puertas (+80)</t>
  </si>
  <si>
    <t>Sensores puertas (+50)</t>
  </si>
  <si>
    <t>Sensores humedad 15</t>
  </si>
  <si>
    <t>Sensores humedad (+50)</t>
  </si>
  <si>
    <t>Sensores geolocalizacion 15</t>
  </si>
  <si>
    <t>Sensores geolocalización (+50)</t>
  </si>
  <si>
    <t>Sensores motor refrigeración 15</t>
  </si>
  <si>
    <t>Sensores motor refrigeracion (+50)</t>
  </si>
  <si>
    <t>Unidad central (+10)</t>
  </si>
  <si>
    <t>Unidad central (+8)</t>
  </si>
  <si>
    <t>Proyección de ventas 2028</t>
  </si>
  <si>
    <t>Capacidad operativa - Año 2028</t>
  </si>
  <si>
    <t>* En febrero y junio se contratarán 3 auxiliares de soporte para cubrir la demanda de los nuevos clientes.
* En enero se contratará un gerente comercial para poder cumplir con los objetivos del nuevo año.
* Capital de trabajo: se seguira incrementando el stock de sensores para cubrir las instalaciones de los nuevos clientes y posibles fallos que puedan suceder de clientes ya existentes.</t>
  </si>
  <si>
    <t>Soporte de nivel 1 (+2)</t>
  </si>
  <si>
    <t>Gerente comercial (+1)</t>
  </si>
  <si>
    <t>Notebooks (+5)</t>
  </si>
  <si>
    <t>Sesores temperatura (+200)</t>
  </si>
  <si>
    <t>Sensores puertas (+150)</t>
  </si>
  <si>
    <t>Sensores humedad (+120)</t>
  </si>
  <si>
    <t>Sensores geolocalización (+120)</t>
  </si>
  <si>
    <t>Sensores motor refrigeracion (+120)</t>
  </si>
  <si>
    <t>Unidad central (+20)</t>
  </si>
  <si>
    <t>Anexo capacidad operativa</t>
  </si>
  <si>
    <t>Instalación de sensores PuntoSens</t>
  </si>
  <si>
    <t>Sueldo tecnico por hora:</t>
  </si>
  <si>
    <t>Cálculo de horas laborables de un empleado por mes</t>
  </si>
  <si>
    <t>Semanas por año</t>
  </si>
  <si>
    <t>semanas</t>
  </si>
  <si>
    <t>Semanas de licencias varias al año</t>
  </si>
  <si>
    <t>Días festivos</t>
  </si>
  <si>
    <t>días</t>
  </si>
  <si>
    <t>Días laborales totales</t>
  </si>
  <si>
    <t>Jornada laboral</t>
  </si>
  <si>
    <t>horas</t>
  </si>
  <si>
    <t>Horas laborables anuales por empleado</t>
  </si>
  <si>
    <t>Consideraremos en promedio:</t>
  </si>
  <si>
    <t>Horas laborables anuales / empleado</t>
  </si>
  <si>
    <t>Instalación gps y sensor motor + plata</t>
  </si>
  <si>
    <t>Horas laborables mensuales / empleado
[HsLaboralesXMes]</t>
  </si>
  <si>
    <t>N° de tarea</t>
  </si>
  <si>
    <t>Descripción</t>
  </si>
  <si>
    <t>Base horaria [BH]</t>
  </si>
  <si>
    <t>Cantidad requerida
[Cant]</t>
  </si>
  <si>
    <r>
      <rPr>
        <b/>
        <sz val="11"/>
        <color theme="1"/>
        <rFont val="Calibri"/>
      </rPr>
      <t xml:space="preserve">Horas por tarea
</t>
    </r>
    <r>
      <rPr>
        <sz val="11"/>
        <color theme="1"/>
        <rFont val="Calibri"/>
      </rPr>
      <t>Fórmula = Cant * BH</t>
    </r>
  </si>
  <si>
    <r>
      <rPr>
        <b/>
        <sz val="11"/>
        <color theme="1"/>
        <rFont val="Calibri"/>
      </rPr>
      <t xml:space="preserve">Horas por tarea
</t>
    </r>
    <r>
      <rPr>
        <sz val="11"/>
        <color theme="1"/>
        <rFont val="Calibri"/>
      </rPr>
      <t>Fórmula = Cant * BH</t>
    </r>
  </si>
  <si>
    <t>Componente</t>
  </si>
  <si>
    <t>Precio unitario</t>
  </si>
  <si>
    <t>Subtotal</t>
  </si>
  <si>
    <t>Preparación</t>
  </si>
  <si>
    <t>Revisión de sensores temp</t>
  </si>
  <si>
    <t>Servicio tecnico</t>
  </si>
  <si>
    <t>Instalación sensores temperatura</t>
  </si>
  <si>
    <t>Calibración remota</t>
  </si>
  <si>
    <t>Sensor temperatura</t>
  </si>
  <si>
    <t>Cableado/conexión</t>
  </si>
  <si>
    <t>Monitoreo de alertas</t>
  </si>
  <si>
    <t>Instalación</t>
  </si>
  <si>
    <t>Calibración/pruebas</t>
  </si>
  <si>
    <t>Reporte preventivo</t>
  </si>
  <si>
    <t xml:space="preserve">Comentarios: </t>
  </si>
  <si>
    <r>
      <rPr>
        <b/>
        <sz val="11"/>
        <color theme="1"/>
        <rFont val="Calibri"/>
      </rPr>
      <t>Horas totales por servicio
[HsTotalesXServicio]</t>
    </r>
    <r>
      <rPr>
        <sz val="11"/>
        <color theme="1"/>
        <rFont val="Calibri"/>
      </rPr>
      <t xml:space="preserve">
Fórmula = Σ Horas por tarea del servicio</t>
    </r>
  </si>
  <si>
    <t>Coste por instalación</t>
  </si>
  <si>
    <t>Horas totales por servicio [HsTotalesXServicio]</t>
  </si>
  <si>
    <r>
      <rPr>
        <b/>
        <sz val="11"/>
        <color theme="1"/>
        <rFont val="Calibri"/>
      </rPr>
      <t xml:space="preserve">Capacidad operativa mensual por proyecto
</t>
    </r>
    <r>
      <rPr>
        <sz val="11"/>
        <color theme="1"/>
        <rFont val="Calibri"/>
      </rPr>
      <t xml:space="preserve">Fórmula = </t>
    </r>
    <r>
      <rPr>
        <b/>
        <sz val="11"/>
        <color theme="1"/>
        <rFont val="Calibri"/>
      </rPr>
      <t xml:space="preserve">HsTotalesXSer </t>
    </r>
    <r>
      <rPr>
        <sz val="11"/>
        <color theme="1"/>
        <rFont val="Calibri"/>
      </rPr>
      <t xml:space="preserve">/ </t>
    </r>
    <r>
      <rPr>
        <b/>
        <sz val="11"/>
        <color theme="1"/>
        <rFont val="Calibri"/>
      </rPr>
      <t xml:space="preserve">HsLaboralesXMes </t>
    </r>
  </si>
  <si>
    <t xml:space="preserve">Capacidad operativa mensual por proyecto
</t>
  </si>
  <si>
    <r>
      <rPr>
        <b/>
        <sz val="11"/>
        <color theme="1"/>
        <rFont val="Calibri"/>
      </rPr>
      <t xml:space="preserve">Horas por tarea
</t>
    </r>
    <r>
      <rPr>
        <sz val="11"/>
        <color theme="1"/>
        <rFont val="Calibri"/>
      </rPr>
      <t>Fórmula = Cant * BH</t>
    </r>
  </si>
  <si>
    <r>
      <rPr>
        <b/>
        <sz val="11"/>
        <color theme="1"/>
        <rFont val="Calibri"/>
      </rPr>
      <t xml:space="preserve">Horas por tarea
</t>
    </r>
    <r>
      <rPr>
        <sz val="11"/>
        <color theme="1"/>
        <rFont val="Calibri"/>
      </rPr>
      <t>Fórmula = Cant * BH</t>
    </r>
  </si>
  <si>
    <t>Revision sensores temp</t>
  </si>
  <si>
    <t>Revision sensores puertas</t>
  </si>
  <si>
    <t>Instalación sensores puertas</t>
  </si>
  <si>
    <t>Sensor apertura puertas</t>
  </si>
  <si>
    <r>
      <rPr>
        <b/>
        <sz val="11"/>
        <color theme="1"/>
        <rFont val="Calibri"/>
      </rPr>
      <t>Horas totales por servicio
[HsTotalesXServicio]</t>
    </r>
    <r>
      <rPr>
        <sz val="11"/>
        <color theme="1"/>
        <rFont val="Calibri"/>
      </rPr>
      <t xml:space="preserve">
Fórmula = Σ Horas por tarea del servicio</t>
    </r>
  </si>
  <si>
    <r>
      <rPr>
        <b/>
        <sz val="11"/>
        <color theme="1"/>
        <rFont val="Calibri"/>
      </rPr>
      <t xml:space="preserve">Capacidad operativa mensual por empleado
</t>
    </r>
    <r>
      <rPr>
        <sz val="11"/>
        <color theme="1"/>
        <rFont val="Calibri"/>
      </rPr>
      <t xml:space="preserve">Fórmula = </t>
    </r>
    <r>
      <rPr>
        <b/>
        <sz val="11"/>
        <color theme="1"/>
        <rFont val="Calibri"/>
      </rPr>
      <t xml:space="preserve">HsTotalesXSer </t>
    </r>
    <r>
      <rPr>
        <sz val="11"/>
        <color theme="1"/>
        <rFont val="Calibri"/>
      </rPr>
      <t xml:space="preserve">/ </t>
    </r>
    <r>
      <rPr>
        <b/>
        <sz val="11"/>
        <color theme="1"/>
        <rFont val="Calibri"/>
      </rPr>
      <t xml:space="preserve">HsLaboralesXMes </t>
    </r>
  </si>
  <si>
    <r>
      <rPr>
        <b/>
        <sz val="11"/>
        <color theme="1"/>
        <rFont val="Calibri"/>
      </rPr>
      <t xml:space="preserve">Horas por tarea
</t>
    </r>
    <r>
      <rPr>
        <sz val="11"/>
        <color theme="1"/>
        <rFont val="Calibri"/>
      </rPr>
      <t>Fórmula = Cant * BH</t>
    </r>
  </si>
  <si>
    <r>
      <rPr>
        <b/>
        <sz val="11"/>
        <color theme="1"/>
        <rFont val="Calibri"/>
      </rPr>
      <t xml:space="preserve">Horas por tarea
</t>
    </r>
    <r>
      <rPr>
        <sz val="11"/>
        <color theme="1"/>
        <rFont val="Calibri"/>
      </rPr>
      <t>Fórmula = Cant * BH</t>
    </r>
  </si>
  <si>
    <t>Preparación avanzada</t>
  </si>
  <si>
    <t>Revisión sensores temp</t>
  </si>
  <si>
    <t>Instalacion sensores temp</t>
  </si>
  <si>
    <t>Instalacion sensores puertas</t>
  </si>
  <si>
    <t>Revision GPS</t>
  </si>
  <si>
    <t>Instalacion modulo GPS</t>
  </si>
  <si>
    <t>Revision sensores humedad</t>
  </si>
  <si>
    <t>Gps</t>
  </si>
  <si>
    <t>Instalacion sensores de humedad</t>
  </si>
  <si>
    <t>Chequeo de conexion motor</t>
  </si>
  <si>
    <t>Sensor motor</t>
  </si>
  <si>
    <t>Conexión a motor</t>
  </si>
  <si>
    <t>Sensor humedad</t>
  </si>
  <si>
    <t>Cableado/conexión general</t>
  </si>
  <si>
    <t>Pruebas integrales</t>
  </si>
  <si>
    <r>
      <rPr>
        <b/>
        <sz val="11"/>
        <color theme="1"/>
        <rFont val="Calibri"/>
      </rPr>
      <t>Horas totales por servicio
[HsTotalesXServicio]</t>
    </r>
    <r>
      <rPr>
        <sz val="11"/>
        <color theme="1"/>
        <rFont val="Calibri"/>
      </rPr>
      <t xml:space="preserve">
Fórmula = Σ Horas por tarea del servicio</t>
    </r>
  </si>
  <si>
    <r>
      <rPr>
        <b/>
        <sz val="11"/>
        <color theme="1"/>
        <rFont val="Calibri"/>
      </rPr>
      <t xml:space="preserve">Capacidad operativa mensual por empleado
</t>
    </r>
    <r>
      <rPr>
        <sz val="11"/>
        <color theme="1"/>
        <rFont val="Calibri"/>
      </rPr>
      <t xml:space="preserve">Fórmula = </t>
    </r>
    <r>
      <rPr>
        <b/>
        <sz val="11"/>
        <color theme="1"/>
        <rFont val="Calibri"/>
      </rPr>
      <t xml:space="preserve">HsTotalesXSer </t>
    </r>
    <r>
      <rPr>
        <sz val="11"/>
        <color theme="1"/>
        <rFont val="Calibri"/>
      </rPr>
      <t xml:space="preserve">/ </t>
    </r>
    <r>
      <rPr>
        <b/>
        <sz val="11"/>
        <color theme="1"/>
        <rFont val="Calibri"/>
      </rPr>
      <t xml:space="preserve">HsLaboralesXMes </t>
    </r>
  </si>
  <si>
    <t>Detalle: El mantenimiento por plan es anual</t>
  </si>
  <si>
    <t>ANALISIS CAPACIDAD OPERATIVA ANUAL POR SERVICIO EN HORAS HOMBRE</t>
  </si>
  <si>
    <t>CAPACIDAD OPERATIVA AÑO 2026</t>
  </si>
  <si>
    <t>Unidades requeridas</t>
  </si>
  <si>
    <t>Horas Hombre requeridas</t>
  </si>
  <si>
    <t>Horas Hombre requeridos</t>
  </si>
  <si>
    <t>TOTALES</t>
  </si>
  <si>
    <t>CAPACIDAD OPERATIVA AÑO 2027</t>
  </si>
  <si>
    <t>CAPACIDAD OPERATIVA AÑO 2028</t>
  </si>
  <si>
    <t>CONCLUSIÓN</t>
  </si>
  <si>
    <t>El costo de instalación por plan nos queda en:
Plan bronce: $100200
Plan plata: $130000
Plan oro: $238000
Se puede observar que tanto para el mantenimiento, como para la instalación de los servicios, la capacidad operativa proyectada es mucho menor a la que podría realizar un empleado a tiempo completo. Por este motivo se tercerizará la operatoria.</t>
  </si>
  <si>
    <t>Ingresos por servicios</t>
  </si>
  <si>
    <t>Ingresos 2026</t>
  </si>
  <si>
    <t>Ingresos 2027</t>
  </si>
  <si>
    <t>Ingresos 2028</t>
  </si>
  <si>
    <t>Costos fijos - Totales</t>
  </si>
  <si>
    <t>Costos fijos promocion - Totales</t>
  </si>
  <si>
    <t>Costos fijos - Año 2026</t>
  </si>
  <si>
    <t>Conceptos</t>
  </si>
  <si>
    <t>Total anual</t>
  </si>
  <si>
    <t>Observaciones</t>
  </si>
  <si>
    <t>Servicios</t>
  </si>
  <si>
    <t>Luz</t>
  </si>
  <si>
    <t>Agua</t>
  </si>
  <si>
    <t>Telefonía móvil</t>
  </si>
  <si>
    <t>Internet + Telefonía</t>
  </si>
  <si>
    <t>Infraestructura cloud</t>
  </si>
  <si>
    <t>Impuesto municipal (Indicado en alquiler)</t>
  </si>
  <si>
    <t>Alquiler</t>
  </si>
  <si>
    <t>En agosto, debido al crecimiento de empleados contratados, se adquiere una segunda oficina.</t>
  </si>
  <si>
    <t>Expensas (no posee)</t>
  </si>
  <si>
    <t>Honorarios</t>
  </si>
  <si>
    <t>Estudio Contable</t>
  </si>
  <si>
    <t>Consultora de RRHH - Liquidación sueldos y nuevas búsquedas</t>
  </si>
  <si>
    <t>Publicidad online</t>
  </si>
  <si>
    <t>MetaAds</t>
  </si>
  <si>
    <t>GoogleAds</t>
  </si>
  <si>
    <t>Costos fijos - Año 2027</t>
  </si>
  <si>
    <t>Debido a la incorporación de 2 recursos de Soporte técnico, se agregan 2 lineas más en Marzo y Julio.</t>
  </si>
  <si>
    <t>Internet + Telfonía</t>
  </si>
  <si>
    <t>Costos fijos - Año 2028</t>
  </si>
  <si>
    <t>Debido a la incorporación de 4 recursos de Soporte técnico, se agregan 4 lineas más en enero, abril y Julio.</t>
  </si>
  <si>
    <t>Internet + Telefonia</t>
  </si>
  <si>
    <t>Oficinas</t>
  </si>
  <si>
    <t>Costos variables - Totales</t>
  </si>
  <si>
    <t>Costos de promoción - Totales</t>
  </si>
  <si>
    <t>Costos variables - Año 2026</t>
  </si>
  <si>
    <t>Costo unitario</t>
  </si>
  <si>
    <t>Costo</t>
  </si>
  <si>
    <t>Tipo de servicio</t>
  </si>
  <si>
    <t>Publicidad y promoción</t>
  </si>
  <si>
    <t>Ferias</t>
  </si>
  <si>
    <t>Carteleria</t>
  </si>
  <si>
    <t>Radio</t>
  </si>
  <si>
    <t>TOTAL</t>
  </si>
  <si>
    <t>Costos variables - Año 2027</t>
  </si>
  <si>
    <t>Costos variables - Año 2028</t>
  </si>
  <si>
    <t>Costos de RRHH - Totales</t>
  </si>
  <si>
    <t>Posición cubierta por otro puesto</t>
  </si>
  <si>
    <t>Posicion tercerizada</t>
  </si>
  <si>
    <t>Costo mensual por puesto</t>
  </si>
  <si>
    <t>Area</t>
  </si>
  <si>
    <t>Puesto</t>
  </si>
  <si>
    <t>Sueldo bruto</t>
  </si>
  <si>
    <t>Jubilación</t>
  </si>
  <si>
    <t>Ley 1932</t>
  </si>
  <si>
    <t>Obra social</t>
  </si>
  <si>
    <t>F. Nac. Des.</t>
  </si>
  <si>
    <t>S. de Vida</t>
  </si>
  <si>
    <t>ART (Aprox.)</t>
  </si>
  <si>
    <t>Total aportes</t>
  </si>
  <si>
    <t>Costo mensual para empresa</t>
  </si>
  <si>
    <t>$ 18,57 c/u</t>
  </si>
  <si>
    <t>Gerencia</t>
  </si>
  <si>
    <t>Gerente general</t>
  </si>
  <si>
    <t>Administracion</t>
  </si>
  <si>
    <t>Jefe de compras</t>
  </si>
  <si>
    <t>Jefe de finanzas</t>
  </si>
  <si>
    <t>Jefe de ventas</t>
  </si>
  <si>
    <t>Jefe de RRHH</t>
  </si>
  <si>
    <t>Subjefe de ventas</t>
  </si>
  <si>
    <t>Analista contable</t>
  </si>
  <si>
    <t>Analista de compras</t>
  </si>
  <si>
    <t>Administrativo de ventas</t>
  </si>
  <si>
    <t>Administrativo contable</t>
  </si>
  <si>
    <t>Administrativo de cobranzas</t>
  </si>
  <si>
    <t>Administrativo de compras</t>
  </si>
  <si>
    <t>Administrativo de pagos</t>
  </si>
  <si>
    <t>Administrativo de RRHH</t>
  </si>
  <si>
    <t>Auxiliar administrativo</t>
  </si>
  <si>
    <t>Marketing</t>
  </si>
  <si>
    <t>Lider de finanzas</t>
  </si>
  <si>
    <t>Lider de operaciones comerciales</t>
  </si>
  <si>
    <t>Coordinador de instalaciones</t>
  </si>
  <si>
    <t>Analista de producto</t>
  </si>
  <si>
    <t>Ejecutivo comercial</t>
  </si>
  <si>
    <t>Analista de logística</t>
  </si>
  <si>
    <t>Analista de marketing</t>
  </si>
  <si>
    <t>Diseñador de contenido</t>
  </si>
  <si>
    <t>Asistente de marketing</t>
  </si>
  <si>
    <t>Tecnología</t>
  </si>
  <si>
    <t>DevOps</t>
  </si>
  <si>
    <t>Arquitecto cloud</t>
  </si>
  <si>
    <t>Especialista en hardware</t>
  </si>
  <si>
    <t>Desarrollador backend SR</t>
  </si>
  <si>
    <t>Desarrollador frontend SR</t>
  </si>
  <si>
    <t>Coordinador tecnico</t>
  </si>
  <si>
    <t>Especialista en redes</t>
  </si>
  <si>
    <t>Tecnico instalador tecnología</t>
  </si>
  <si>
    <t>Soporte tecnico</t>
  </si>
  <si>
    <t>QA</t>
  </si>
  <si>
    <t>Auxiliar tecnico</t>
  </si>
  <si>
    <t>Gerente de servicio tecnico</t>
  </si>
  <si>
    <t>Coordinador de operaciones</t>
  </si>
  <si>
    <t>Tecnico instalador servicios</t>
  </si>
  <si>
    <t>Tecnico de plataforma</t>
  </si>
  <si>
    <t>Operador de monitoreo</t>
  </si>
  <si>
    <t>Tecnico de soporte</t>
  </si>
  <si>
    <t>Tecnico de inventario</t>
  </si>
  <si>
    <t>Tecnico de apoyo</t>
  </si>
  <si>
    <t>Auxiliar logístico</t>
  </si>
  <si>
    <t>Auxiliar operativo</t>
  </si>
  <si>
    <t>Comercial</t>
  </si>
  <si>
    <t>Ejecutivo de cuentas</t>
  </si>
  <si>
    <t>Representante de posventa</t>
  </si>
  <si>
    <t>Asistente de ventas</t>
  </si>
  <si>
    <t>Costos de RRHH - Año 2026</t>
  </si>
  <si>
    <t>Junio + SAC</t>
  </si>
  <si>
    <t>Diciembre + SAC</t>
  </si>
  <si>
    <t>Totales</t>
  </si>
  <si>
    <t>Costos de RRHH - Año 2027</t>
  </si>
  <si>
    <t>Costos de RRHH - Año 2028</t>
  </si>
  <si>
    <t>Costos totales</t>
  </si>
  <si>
    <t>Costos Fijos</t>
  </si>
  <si>
    <t>Costos variables</t>
  </si>
  <si>
    <t>Costos de RRHH</t>
  </si>
  <si>
    <t>Objetivo ingresos</t>
  </si>
  <si>
    <t>Modelo de Inversión</t>
  </si>
  <si>
    <t>Inversión Inicial</t>
  </si>
  <si>
    <t>Inversión inicial - Año cero</t>
  </si>
  <si>
    <t>Referencia</t>
  </si>
  <si>
    <t>Notebook Hp 255 G10 Amd Ryzen 5 7520u 16gb Ram 512gb Ssd 15.6 Full Hd Gráficos Integrados Radeon 610m</t>
  </si>
  <si>
    <t>Sistema</t>
  </si>
  <si>
    <t>Inversión - Año 2026</t>
  </si>
  <si>
    <t>Inversión - Año 2027</t>
  </si>
  <si>
    <t>Inversión - Año 2028</t>
  </si>
  <si>
    <t>Rubro</t>
  </si>
  <si>
    <t>Amortización
( en años )</t>
  </si>
  <si>
    <t>Valor de adquisiciones</t>
  </si>
  <si>
    <t>Amortización</t>
  </si>
  <si>
    <t>Año cero</t>
  </si>
  <si>
    <t>Año 2027</t>
  </si>
  <si>
    <t>Año 2028</t>
  </si>
  <si>
    <t>Informática y comunicaciones</t>
  </si>
  <si>
    <t>Notebook</t>
  </si>
  <si>
    <t>Muebles de oficina</t>
  </si>
  <si>
    <t>Escritorio de oficina</t>
  </si>
  <si>
    <t>Silla de escritorio</t>
  </si>
  <si>
    <t>Sensores y unidad de procesamiento</t>
  </si>
  <si>
    <t>Presupuesto financiero</t>
  </si>
  <si>
    <t>Costos</t>
  </si>
  <si>
    <t>Costos fijos</t>
  </si>
  <si>
    <t>Ejercicio</t>
  </si>
  <si>
    <t>-</t>
  </si>
  <si>
    <t>Egresos</t>
  </si>
  <si>
    <t>Utilidad Antes de Impuestos (UAII)</t>
  </si>
  <si>
    <t>Impuesto Ingresos Brutos (3%) (IIB)</t>
  </si>
  <si>
    <t>Impuesto a las ganancias (35%) (IIGG)</t>
  </si>
  <si>
    <t>Utilidad despues de Impuestos (UDII)</t>
  </si>
  <si>
    <t>Inversión</t>
  </si>
  <si>
    <t>Flujo de Fondos (FF)</t>
  </si>
  <si>
    <t>Monto Imponible</t>
  </si>
  <si>
    <t>Costo de promoción y publicidad</t>
  </si>
  <si>
    <t>Costo de promocion relacionado con ventas</t>
  </si>
  <si>
    <t>Costos fijos relacionadoc con ingresos</t>
  </si>
  <si>
    <t>Costos variables relacionado con ingresos</t>
  </si>
  <si>
    <t>Costos de RRHH relacionado con ingresos</t>
  </si>
  <si>
    <t>Se recupera la inversión en el 3er año</t>
  </si>
  <si>
    <t>Tasa de Corte</t>
  </si>
  <si>
    <t>VAN</t>
  </si>
  <si>
    <t>TIR</t>
  </si>
  <si>
    <t>Escalas Comunes</t>
  </si>
  <si>
    <t>Probabilidad (1 a 5):</t>
  </si>
  <si>
    <t>1: Muy improbable</t>
  </si>
  <si>
    <t>2: No es probable</t>
  </si>
  <si>
    <t>3: Posible</t>
  </si>
  <si>
    <t>4: Probable</t>
  </si>
  <si>
    <t>5: Muy probable</t>
  </si>
  <si>
    <t>Impacto (1 a 5):</t>
  </si>
  <si>
    <t>1: Insignificante</t>
  </si>
  <si>
    <t>2: Menor</t>
  </si>
  <si>
    <t>3: Moderado</t>
  </si>
  <si>
    <t>4: Importante</t>
  </si>
  <si>
    <t>5: Catastrófico</t>
  </si>
  <si>
    <t>Cálculo del Impacto del Riesgo</t>
  </si>
  <si>
    <t>El impacto total del riesgo se calcula multiplicando la probabilidad por el impacto. Por ejemplo:</t>
  </si>
  <si>
    <t xml:space="preserve">Impacto=Probabilidad×Impacto=3×4=12 </t>
  </si>
  <si>
    <t>Esto indica que el riesgo tiene un nivel moderado-alto y debe ser monitoreado y gestionado adecuadamente.</t>
  </si>
  <si>
    <t>Interpretación del Nivel de Riesgo</t>
  </si>
  <si>
    <t>Impacto \ Probabilidad</t>
  </si>
  <si>
    <t>Muy improbable (1)</t>
  </si>
  <si>
    <t>No es probable (2)</t>
  </si>
  <si>
    <t>Posible (3)</t>
  </si>
  <si>
    <t>Probable (4)</t>
  </si>
  <si>
    <t>Muy probable (5)</t>
  </si>
  <si>
    <t>Catastrófico (5)</t>
  </si>
  <si>
    <r>
      <rPr>
        <sz val="10"/>
        <color theme="1"/>
        <rFont val="Quattrocento Sans"/>
      </rPr>
      <t>Bajo (1-6)</t>
    </r>
    <r>
      <rPr>
        <sz val="10"/>
        <color theme="1"/>
        <rFont val="Segoe UI"/>
      </rPr>
      <t> : Riesgos que probablemente no sucederán o que, si lo hacen, no tendrán consecuencias significativas.</t>
    </r>
  </si>
  <si>
    <t>Importante (4)</t>
  </si>
  <si>
    <r>
      <rPr>
        <sz val="10"/>
        <color theme="1"/>
        <rFont val="Quattrocento Sans"/>
      </rPr>
      <t>Moderado (7-12)</t>
    </r>
    <r>
      <rPr>
        <sz val="10"/>
        <color theme="1"/>
        <rFont val="Segoe UI"/>
      </rPr>
      <t> : Riesgos que pueden causar contratiempos en el proyecto, pero son manejables con medidas adecuadas.</t>
    </r>
  </si>
  <si>
    <t>Moderado (3)</t>
  </si>
  <si>
    <r>
      <rPr>
        <sz val="10"/>
        <color theme="1"/>
        <rFont val="Quattrocento Sans"/>
      </rPr>
      <t>Alto (13-20)</t>
    </r>
    <r>
      <rPr>
        <sz val="10"/>
        <color theme="1"/>
        <rFont val="Segoe UI"/>
      </rPr>
      <t> : Riesgos que requieren atención inmediata y estrategias de mitigación rigurosas.</t>
    </r>
  </si>
  <si>
    <t>Menor (2)</t>
  </si>
  <si>
    <r>
      <rPr>
        <sz val="10"/>
        <color theme="1"/>
        <rFont val="Quattrocento Sans"/>
      </rPr>
      <t>Crítico (21-25)</t>
    </r>
    <r>
      <rPr>
        <sz val="10"/>
        <color theme="1"/>
        <rFont val="Segoe UI"/>
      </rPr>
      <t> : Riesgos extremadamente altos que pueden poner en peligro la viabilidad del proyecto y requieren acciones urgentes.</t>
    </r>
  </si>
  <si>
    <t>Insignificante (1)</t>
  </si>
  <si>
    <t>Posibles riesgos</t>
  </si>
  <si>
    <t>R1: Pérdida total de datos críticos</t>
  </si>
  <si>
    <t>R2: Retraso en la entrega del proyecto por problemas técnicos</t>
  </si>
  <si>
    <t>R3: Problemas de comunicación entre equipos</t>
  </si>
  <si>
    <t>R4: Fallo en la infraestructura tecnológica</t>
  </si>
  <si>
    <t>R5: Desviaciones en el presupuesto por incremento de costos de hardware o conectividad</t>
  </si>
  <si>
    <t>R6: Cambios en los requisitos del cliente durante la implementación</t>
  </si>
  <si>
    <t>R7: Problemas con proveedores de sensores o conectividad M2M</t>
  </si>
  <si>
    <t>R8: Cambios regulatorios o aduaneros que afecten la importación de equipos IoT</t>
  </si>
  <si>
    <t>R9: Incumplimiento de pago o baja anticipada de clientes</t>
  </si>
  <si>
    <t>R10: Interrupción del servicio por pérdida de conectividad móvil</t>
  </si>
  <si>
    <t>Riesgo</t>
  </si>
  <si>
    <t>Causas</t>
  </si>
  <si>
    <t>Efectos cuantitativos</t>
  </si>
  <si>
    <t>Efectos Cualitativos (en $)</t>
  </si>
  <si>
    <t>Probabilidad (1-5)</t>
  </si>
  <si>
    <t>Impacto (1-5)</t>
  </si>
  <si>
    <t>Nivel de Riesgo (P x I)</t>
  </si>
  <si>
    <t>R1</t>
  </si>
  <si>
    <t xml:space="preserve">Pérdida total de datos críticos </t>
  </si>
  <si>
    <t>- Fallos en el sistema</t>
  </si>
  <si>
    <t>- vCostos de recuperación de datos y reinstalación de servicios: $500.000</t>
  </si>
  <si>
    <t>-Deterioro de la reputación: $2000000 (costos de marketing para recuperar imagen)</t>
  </si>
  <si>
    <t>- Errores humanos</t>
  </si>
  <si>
    <t>- Pérdida de nuevos contratos por falta de confianza: $20000000</t>
  </si>
  <si>
    <t>- Ataques ciberneticos</t>
  </si>
  <si>
    <t>- Estrés y desmotivación del equipo: $12000000 (costos asociados a la rotación de personal)</t>
  </si>
  <si>
    <t>R2</t>
  </si>
  <si>
    <t>Retraso en la entrega del proyecto</t>
  </si>
  <si>
    <t>- Problemas técnicos</t>
  </si>
  <si>
    <t>- Mayor coste de desarrollo $2500000</t>
  </si>
  <si>
    <t>- Pérdida de nuevos contratos por demora en la salida: $10000000</t>
  </si>
  <si>
    <t>- Falta de recursos</t>
  </si>
  <si>
    <t>- Perdida de nuevos contratos por funcionalidad incompleta: $2500000</t>
  </si>
  <si>
    <t>- Demoras en pruebas</t>
  </si>
  <si>
    <t>R3</t>
  </si>
  <si>
    <t>Problemas de comunicación entre equipos</t>
  </si>
  <si>
    <t>- Falta de canales claros</t>
  </si>
  <si>
    <t>- Perdida de productividad $150000</t>
  </si>
  <si>
    <r>
      <rPr>
        <sz val="10"/>
        <color theme="1"/>
        <rFont val="Quattrocento Sans"/>
      </rPr>
      <t>Bajo (1-6)</t>
    </r>
    <r>
      <rPr>
        <sz val="10"/>
        <color theme="1"/>
        <rFont val="Segoe UI"/>
      </rPr>
      <t> : Riesgos que probablemente no sucederán o que, si lo hacen, no tendrán consecuencias significativas.</t>
    </r>
  </si>
  <si>
    <t>- Dispersión geográfica</t>
  </si>
  <si>
    <t>- Reduccion en la cohesion y en la dinámica del grupo $100000</t>
  </si>
  <si>
    <r>
      <rPr>
        <sz val="10"/>
        <color theme="1"/>
        <rFont val="Quattrocento Sans"/>
      </rPr>
      <t>Moderado (7-12)</t>
    </r>
    <r>
      <rPr>
        <sz val="10"/>
        <color theme="1"/>
        <rFont val="Segoe UI"/>
      </rPr>
      <t> : Riesgos que pueden causar contratiempos en el proyecto, pero son manejables con medidas adecuadas.</t>
    </r>
  </si>
  <si>
    <t>R4</t>
  </si>
  <si>
    <t>Fallo en la infraestructura tecnológica</t>
  </si>
  <si>
    <t>- Falta de mantenimiento</t>
  </si>
  <si>
    <t>- Reparación o substitución de equipos $700000</t>
  </si>
  <si>
    <t>- Perdida de confianza con clientes $500000</t>
  </si>
  <si>
    <r>
      <rPr>
        <sz val="10"/>
        <color theme="1"/>
        <rFont val="Quattrocento Sans"/>
      </rPr>
      <t>Alto (13-20)</t>
    </r>
    <r>
      <rPr>
        <sz val="10"/>
        <color theme="1"/>
        <rFont val="Segoe UI"/>
      </rPr>
      <t> : Riesgos que requieren atención inmediata y estrategias de mitigación rigurosas.</t>
    </r>
  </si>
  <si>
    <t>- Deterioro del servicio de nube</t>
  </si>
  <si>
    <t>- Deterioro de la imagen corporativa $100000</t>
  </si>
  <si>
    <r>
      <rPr>
        <sz val="10"/>
        <color theme="1"/>
        <rFont val="Quattrocento Sans"/>
      </rPr>
      <t>Crítico (21-25)</t>
    </r>
    <r>
      <rPr>
        <sz val="10"/>
        <color theme="1"/>
        <rFont val="Segoe UI"/>
      </rPr>
      <t> : Riesgos extremadamente altos que pueden poner en peligro la viabilidad del proyecto y requieren acciones urgentes.</t>
    </r>
  </si>
  <si>
    <t xml:space="preserve">Retraso en la entrega del proyecto por problemas técnicos </t>
  </si>
  <si>
    <t>- Fallos en el software o hardware</t>
  </si>
  <si>
    <t>- Incremento en los costos operativos: $30,000</t>
  </si>
  <si>
    <t>- Insatisfacción del cliente: $25,000 (posibles pérdidas futuras por no repetir negocio)</t>
  </si>
  <si>
    <t>3</t>
  </si>
  <si>
    <t>- Falta de capacitación del personal</t>
  </si>
  <si>
    <t>- Estrés adicional para el equipo: $5,000 (costos asociados a horas extra y agotamiento)</t>
  </si>
  <si>
    <t>- Caida completa del servicio de nube</t>
  </si>
  <si>
    <t>- Plataforma sin acceso $1000000</t>
  </si>
  <si>
    <t>- Perdida de posibles contratos $3000000</t>
  </si>
  <si>
    <t>R5</t>
  </si>
  <si>
    <t>Desviaciones en el presupuesto</t>
  </si>
  <si>
    <t>- Aumento de precios en los sensores</t>
  </si>
  <si>
    <t>- Incremento en costos operativos $1200000</t>
  </si>
  <si>
    <t>- Disminución de rentabilidad por instalación $1200000</t>
  </si>
  <si>
    <t>- Aumento en el alcance inicial del proyecto</t>
  </si>
  <si>
    <t>- Aumento en costo inicial por desarrollo de proyecto $5000000</t>
  </si>
  <si>
    <t>R6</t>
  </si>
  <si>
    <t>Cambios en los requisitos del cliente</t>
  </si>
  <si>
    <t>- Solicutudes adicionales no previstas</t>
  </si>
  <si>
    <t>- Costos de desarrollo y retrabajo $2500000</t>
  </si>
  <si>
    <t>- Deterioro de relación comercial $400000</t>
  </si>
  <si>
    <t>- Falta de claridad en roles y responsabilidades</t>
  </si>
  <si>
    <t>- Costos adicionales por retrabajo: $8,000</t>
  </si>
  <si>
    <t>R7</t>
  </si>
  <si>
    <t>Problemas con proveedores</t>
  </si>
  <si>
    <t>- Fallos de calidad en sensores</t>
  </si>
  <si>
    <t>- Costo por reemplazo de sensores $5000000</t>
  </si>
  <si>
    <t>- Impacto negativo en la experiencia del cliente $500000</t>
  </si>
  <si>
    <t>- Fallas en las instalaciones/mantenimiento</t>
  </si>
  <si>
    <t>- Costo por reparación de instalacion $1500000</t>
  </si>
  <si>
    <t>R8</t>
  </si>
  <si>
    <t>Cambios regulatorios o aduaneros</t>
  </si>
  <si>
    <t>- Restricciones de importacion o nuevas normas SENASA/AFIP</t>
  </si>
  <si>
    <t xml:space="preserve">- Costos de adecuación o sustitución de hardware: $1500000
</t>
  </si>
  <si>
    <t>- Retrasos en entregas y perdida de contratos: $20000000</t>
  </si>
  <si>
    <t>R9</t>
  </si>
  <si>
    <t>Incumplimiento de pago de clientes</t>
  </si>
  <si>
    <t>- Crisis económica, mora o disconformidad</t>
  </si>
  <si>
    <t>- Falta de ingresos $15000000</t>
  </si>
  <si>
    <t>- Afectación del flujo de caja y continuidad operativa $15000000</t>
  </si>
  <si>
    <t>R10</t>
  </si>
  <si>
    <t>Interrupción de conectividad</t>
  </si>
  <si>
    <t>- Fallas en red celular</t>
  </si>
  <si>
    <t>- Perdida de datos de los sensores $1500000</t>
  </si>
  <si>
    <t>- Perdida de la sensación de "Real time" con los datos y el cliente. $3000000 (costos asociados a marketing para recuperar la confianza)</t>
  </si>
  <si>
    <t xml:space="preserve">Desviaciones menores en el presupuesto </t>
  </si>
  <si>
    <t>- Cambios menores en los costos de materiales o servicios</t>
  </si>
  <si>
    <t>Aumento moderado en los costos totales del proyecto: $6,000</t>
  </si>
  <si>
    <t>- Preocupación leve entre los stakeholders: $2,000 (costos asociados a reuniones adicionales)</t>
  </si>
  <si>
    <t>- Errores en las estimaciones iniciales</t>
  </si>
  <si>
    <t>- Posible necesidad de reprogramar recursos financieros: $5,000</t>
  </si>
  <si>
    <t>- Necesidad de ajustes menores en la planificación: $3,000</t>
  </si>
  <si>
    <t xml:space="preserve">Cambios en los requisitos del cliente </t>
  </si>
  <si>
    <t>- Falta de claridad inicial sobre los requisitos</t>
  </si>
  <si>
    <t>- Costos adicionales para implementar cambios: $20,000</t>
  </si>
  <si>
    <t>- Frustración del cliente si no se gestionan adecuadamente los cambios: $15,000 (posibilidad de pérdida futura de contratos)</t>
  </si>
  <si>
    <t>- Cambios estratégicos por parte del cliente durante el proyecto</t>
  </si>
  <si>
    <t>- Retrasos en el cronograma debido a revisión necesaria: $10,000</t>
  </si>
  <si>
    <t>- Impacto potencial en la relación con el cliente: $10,000</t>
  </si>
  <si>
    <t xml:space="preserve">Problemas menores con proveedores </t>
  </si>
  <si>
    <t>- Retrasos en entregas por parte del proveedor</t>
  </si>
  <si>
    <t>- Costos adicionales por buscar proveedores alternativos o compensar retrasos: $5,000</t>
  </si>
  <si>
    <t>1</t>
  </si>
  <si>
    <t>- Problemas de calidad con los suministros recibidos</t>
  </si>
  <si>
    <t>- Inconvenientes menores que pueden afectar temporalmente el flujo del proyecto: $1,500</t>
  </si>
  <si>
    <t>R1 - R4 - R7</t>
  </si>
  <si>
    <t>R4 - R8  - R10</t>
  </si>
  <si>
    <r>
      <rPr>
        <sz val="10"/>
        <color theme="1"/>
        <rFont val="Quattrocento Sans"/>
      </rPr>
      <t>Bajo (1-6)</t>
    </r>
    <r>
      <rPr>
        <sz val="10"/>
        <color theme="1"/>
        <rFont val="Segoe UI"/>
      </rPr>
      <t> : Riesgos que probablemente no sucederán o que, si lo hacen, no tendrán consecuencias significativas.</t>
    </r>
  </si>
  <si>
    <t>R2 - R3 - R6</t>
  </si>
  <si>
    <r>
      <rPr>
        <sz val="10"/>
        <color theme="1"/>
        <rFont val="Quattrocento Sans"/>
      </rPr>
      <t>Moderado (7-12)</t>
    </r>
    <r>
      <rPr>
        <sz val="10"/>
        <color theme="1"/>
        <rFont val="Segoe UI"/>
      </rPr>
      <t> : Riesgos que pueden causar contratiempos en el proyecto, pero son manejables con medidas adecuadas.</t>
    </r>
  </si>
  <si>
    <r>
      <rPr>
        <sz val="10"/>
        <color theme="1"/>
        <rFont val="Quattrocento Sans"/>
      </rPr>
      <t>Alto (13-20)</t>
    </r>
    <r>
      <rPr>
        <sz val="10"/>
        <color theme="1"/>
        <rFont val="Segoe UI"/>
      </rPr>
      <t> : Riesgos que requieren atención inmediata y estrategias de mitigación rigurosas.</t>
    </r>
  </si>
  <si>
    <r>
      <rPr>
        <sz val="10"/>
        <color theme="1"/>
        <rFont val="Quattrocento Sans"/>
      </rPr>
      <t>Crítico (21-25)</t>
    </r>
    <r>
      <rPr>
        <sz val="10"/>
        <color theme="1"/>
        <rFont val="Segoe UI"/>
      </rPr>
      <t> : Riesgos extremadamente altos que pueden poner en peligro la viabilidad del proyecto y requieren acciones urgentes.</t>
    </r>
  </si>
  <si>
    <t>Inicio</t>
  </si>
  <si>
    <t>RIESGO: Fallo en la infraestructura tecnológica</t>
  </si>
  <si>
    <t>R 4</t>
  </si>
  <si>
    <t>Año 2</t>
  </si>
  <si>
    <t>Año 3</t>
  </si>
  <si>
    <t xml:space="preserve">Impuesto Ingresos Brutos </t>
  </si>
  <si>
    <t>Impuesto a las ganancias 35%</t>
  </si>
  <si>
    <t>RIESGO: Interrupción de la conectividad</t>
  </si>
  <si>
    <t>R 10</t>
  </si>
  <si>
    <t>Año 1</t>
  </si>
  <si>
    <t>RIESGO: Cambios regulatorios o aduaneros</t>
  </si>
  <si>
    <t>R 8</t>
  </si>
  <si>
    <t>- Retrasos en instalaciones: $5000000</t>
  </si>
  <si>
    <t>PLAN DE CONTINGENCIA</t>
  </si>
  <si>
    <t>Objetivos del Plan de Contingencia</t>
  </si>
  <si>
    <r>
      <rPr>
        <sz val="10"/>
        <color theme="1"/>
        <rFont val="Symbol"/>
      </rPr>
      <t>·</t>
    </r>
    <r>
      <rPr>
        <sz val="10"/>
        <color theme="1"/>
        <rFont val="Segoe UI"/>
      </rPr>
      <t xml:space="preserve"> Garantizar la continuidad operativa del proyecto.</t>
    </r>
  </si>
  <si>
    <r>
      <rPr>
        <sz val="10"/>
        <color theme="1"/>
        <rFont val="Symbol"/>
      </rPr>
      <t xml:space="preserve">· </t>
    </r>
    <r>
      <rPr>
        <sz val="10"/>
        <color theme="1"/>
        <rFont val="Segoe UI"/>
      </rPr>
      <t>Minimizar el impacto financiero y operativo del fallo tecnológico.</t>
    </r>
  </si>
  <si>
    <r>
      <rPr>
        <sz val="10"/>
        <color theme="1"/>
        <rFont val="Symbol"/>
      </rPr>
      <t>·</t>
    </r>
    <r>
      <rPr>
        <sz val="10"/>
        <color theme="1"/>
        <rFont val="Segoe UI"/>
      </rPr>
      <t xml:space="preserve"> Proteger la satisfacción del cliente y la reputación de la empresa.</t>
    </r>
  </si>
  <si>
    <r>
      <rPr>
        <sz val="11"/>
        <color theme="1"/>
        <rFont val="Calibri"/>
      </rPr>
      <t xml:space="preserve">El plan de contingencia aplicado al escenario 1, donde se trata de ajustar inversion en hardware, y realizar acciones de marketing que impulsen las ventas.
</t>
    </r>
    <r>
      <rPr>
        <b/>
        <sz val="11"/>
        <color theme="1"/>
        <rFont val="Calibri"/>
      </rPr>
      <t xml:space="preserve">
1° Medida</t>
    </r>
    <r>
      <rPr>
        <sz val="11"/>
        <color theme="1"/>
        <rFont val="Calibri"/>
      </rPr>
      <t xml:space="preserve">: Se generara un plan de fallback hacia otra nube en caso catastrófico. Suma $500.000 anuales al costo fijo por infraestructura cloud.
</t>
    </r>
    <r>
      <rPr>
        <b/>
        <sz val="11"/>
        <color theme="1"/>
        <rFont val="Calibri"/>
      </rPr>
      <t>2° Medida (año 2)</t>
    </r>
    <r>
      <rPr>
        <sz val="11"/>
        <color theme="1"/>
        <rFont val="Calibri"/>
      </rPr>
      <t xml:space="preserve">: Se implementara un plan de marketing ($1.000.000) promocionando la nueva medida de fallback y tiempo de vuelta de servicio ante un caso catastrofico (15m). Este punto busca reducir la perdida de posibles contratos en un 50%. Con lo que buscamos captar nuevas ventas por $5.000.000
Con estas medidas, logramos un aumento en los costos fijos de $ 500.000, y mitigamos una perdida de $ 15.000.000 en nuevos contratos.
</t>
    </r>
    <r>
      <rPr>
        <sz val="8"/>
        <color theme="1"/>
        <rFont val="Calibri"/>
      </rPr>
      <t xml:space="preserve">Las tareas continuarán siendo realizadas con la misma estructura de RRHH que el año anterior. </t>
    </r>
  </si>
  <si>
    <t xml:space="preserve">Alumno: </t>
  </si>
  <si>
    <t xml:space="preserve">Legajo: </t>
  </si>
  <si>
    <t>Comisión:</t>
  </si>
  <si>
    <t xml:space="preserve">Localización: </t>
  </si>
  <si>
    <t xml:space="preserve">Email: </t>
  </si>
  <si>
    <t>participación del 10%</t>
  </si>
  <si>
    <t>Instalación A</t>
  </si>
  <si>
    <t>Instalación B</t>
  </si>
  <si>
    <t>Instalación C</t>
  </si>
  <si>
    <t>Plan A</t>
  </si>
  <si>
    <t>Plan B</t>
  </si>
  <si>
    <t>Plan C</t>
  </si>
  <si>
    <t xml:space="preserve">Mantenimiento plan </t>
  </si>
  <si>
    <t>Mantenimiento plan A</t>
  </si>
  <si>
    <t xml:space="preserve">Coste instalación sensores </t>
  </si>
  <si>
    <t xml:space="preserve">Coste mantenimiento sensores </t>
  </si>
  <si>
    <t>Mantenimiento plan B</t>
  </si>
  <si>
    <t>Mantenimiento plan C</t>
  </si>
  <si>
    <t>Bonificación de mantenimiento por contratación A</t>
  </si>
  <si>
    <t>Bonificación de mantenimiento por contratación B</t>
  </si>
  <si>
    <t>Bonificación de instalación por contratación C</t>
  </si>
  <si>
    <t>Bonificación de mantenimiento por contratación C</t>
  </si>
  <si>
    <t>Bonificación de instalación por contratación A</t>
  </si>
  <si>
    <t>Bonificación de instalación por contratación B</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</si>
</sst>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8" formatCode="&quot;$&quot;\ #,##0.00;[Red]\-&quot;$&quot;\ #,##0.00"/>
    <numFmt numFmtId="164" formatCode="_-* #,##0\ _€_-;\-* #,##0\ _€_-;_-* &quot;-&quot;??\ _€_-;_-@"/>
    <numFmt numFmtId="165" formatCode="_-&quot;$&quot;\ * #,##0.00_-;\-&quot;$&quot;\ * #,##0.00_-;_-&quot;$&quot;\ * &quot;-&quot;??_-;_-@"/>
    <numFmt numFmtId="166" formatCode="0.0%"/>
    <numFmt numFmtId="167" formatCode="_ [$$-2C0A]\ * #,##0.00_ ;_ [$$-2C0A]\ * \-#,##0.00_ ;_ [$$-2C0A]\ * &quot;-&quot;??_ ;_ @_ "/>
    <numFmt numFmtId="168" formatCode="&quot;$&quot;\ #,##0.00"/>
    <numFmt numFmtId="169" formatCode="_-* #,##0.00\ _€_-;\-* #,##0.00\ _€_-;_-* &quot;-&quot;??\ _€_-;_-@"/>
    <numFmt numFmtId="170" formatCode="#,##0_ ;\-#,##0\ "/>
    <numFmt numFmtId="171" formatCode="&quot;$&quot;#,##0"/>
    <numFmt numFmtId="172" formatCode="_(&quot;$&quot;* #,##0.00_);_(&quot;$&quot;* \(#,##0.00\);_(&quot;$&quot;* &quot;-&quot;??_);_(@_)"/>
    <numFmt numFmtId="173" formatCode="&quot;$&quot;#,##0.00"/>
    <numFmt numFmtId="174" formatCode="0.000000"/>
    <numFmt numFmtId="175" formatCode="0.0000"/>
    <numFmt numFmtId="176" formatCode="_ &quot;$&quot;\ * #,##0.00_ ;_ &quot;$&quot;\ * \-#,##0.00_ ;_ &quot;$&quot;\ * &quot;-&quot;??_ ;_ @_ "/>
    <numFmt numFmtId="177" formatCode="&quot;$&quot;#,##0;[Red]\-&quot;$&quot;#,##0"/>
    <numFmt numFmtId="178" formatCode="0.0000%"/>
  </numFmts>
  <fonts count="41">
    <font>
      <sz val="11"/>
      <color theme="1"/>
      <name val="Arial"/>
      <scheme val="minor"/>
    </font>
    <font>
      <sz val="11"/>
      <color theme="1"/>
      <name val="Calibri"/>
    </font>
    <font>
      <b/>
      <sz val="22"/>
      <color theme="1"/>
      <name val="Calibri"/>
    </font>
    <font>
      <b/>
      <sz val="14"/>
      <color theme="1"/>
      <name val="Arial"/>
    </font>
    <font>
      <b/>
      <sz val="16"/>
      <color theme="1"/>
      <name val="Calibri"/>
    </font>
    <font>
      <u/>
      <sz val="14"/>
      <color theme="1"/>
      <name val="Calibri"/>
    </font>
    <font>
      <u/>
      <sz val="14"/>
      <color theme="1"/>
      <name val="Calibri"/>
    </font>
    <font>
      <u/>
      <sz val="14"/>
      <color theme="1"/>
      <name val="Calibri"/>
    </font>
    <font>
      <b/>
      <sz val="36"/>
      <color theme="1"/>
      <name val="Calibri"/>
    </font>
    <font>
      <b/>
      <sz val="48"/>
      <color theme="1"/>
      <name val="Calibri"/>
    </font>
    <font>
      <b/>
      <sz val="20"/>
      <color theme="1"/>
      <name val="Calibri"/>
    </font>
    <font>
      <sz val="11"/>
      <name val="Arial"/>
    </font>
    <font>
      <sz val="11"/>
      <color rgb="FF404040"/>
      <name val="Calibri"/>
    </font>
    <font>
      <sz val="14"/>
      <color theme="1"/>
      <name val="Calibri"/>
    </font>
    <font>
      <b/>
      <sz val="12"/>
      <color theme="1"/>
      <name val="Calibri"/>
    </font>
    <font>
      <b/>
      <sz val="14"/>
      <color theme="1"/>
      <name val="Calibri"/>
    </font>
    <font>
      <sz val="12"/>
      <color theme="1"/>
      <name val="Calibri"/>
    </font>
    <font>
      <b/>
      <sz val="12"/>
      <color theme="1"/>
      <name val="Arial"/>
    </font>
    <font>
      <b/>
      <sz val="48"/>
      <color theme="0"/>
      <name val="Calibri"/>
    </font>
    <font>
      <b/>
      <sz val="11"/>
      <color theme="1"/>
      <name val="Calibri"/>
    </font>
    <font>
      <u/>
      <sz val="12"/>
      <color theme="1"/>
      <name val="Calibri"/>
    </font>
    <font>
      <b/>
      <sz val="11"/>
      <color rgb="FF000000"/>
      <name val="Calibri"/>
    </font>
    <font>
      <sz val="11"/>
      <color theme="1"/>
      <name val="Arial"/>
      <scheme val="minor"/>
    </font>
    <font>
      <u/>
      <sz val="11"/>
      <color theme="10"/>
      <name val="Calibri"/>
    </font>
    <font>
      <b/>
      <sz val="36"/>
      <color theme="0"/>
      <name val="Calibri"/>
    </font>
    <font>
      <u/>
      <sz val="11"/>
      <color theme="10"/>
      <name val="Calibri"/>
    </font>
    <font>
      <u/>
      <sz val="11"/>
      <color theme="10"/>
      <name val="Calibri"/>
    </font>
    <font>
      <sz val="11"/>
      <color rgb="FF000000"/>
      <name val="Calibri"/>
    </font>
    <font>
      <sz val="18"/>
      <color theme="1"/>
      <name val="Var(--font-fk-grotesk)"/>
    </font>
    <font>
      <b/>
      <sz val="11"/>
      <color theme="1"/>
      <name val="Quattrocento Sans"/>
    </font>
    <font>
      <sz val="11"/>
      <color theme="1"/>
      <name val="Quattrocento Sans"/>
    </font>
    <font>
      <sz val="13"/>
      <color theme="1"/>
      <name val="Times New Roman"/>
    </font>
    <font>
      <sz val="9"/>
      <color theme="1"/>
      <name val="Quattrocento Sans"/>
    </font>
    <font>
      <sz val="10"/>
      <color theme="1"/>
      <name val="Quattrocento Sans"/>
    </font>
    <font>
      <b/>
      <sz val="9"/>
      <color theme="1"/>
      <name val="Quattrocento Sans"/>
    </font>
    <font>
      <sz val="11"/>
      <color theme="1"/>
      <name val="Arial"/>
    </font>
    <font>
      <sz val="14"/>
      <color theme="1"/>
      <name val="Arial"/>
    </font>
    <font>
      <sz val="11"/>
      <color theme="1"/>
      <name val="Quattrocento Sans"/>
    </font>
    <font>
      <sz val="10"/>
      <color theme="1"/>
      <name val="Segoe UI"/>
    </font>
    <font>
      <sz val="10"/>
      <color theme="1"/>
      <name val="Symbol"/>
    </font>
    <font>
      <sz val="8"/>
      <color theme="1"/>
      <name val="Calibri"/>
    </font>
  </fonts>
  <fills count="29">
    <fill>
      <patternFill patternType="none"/>
    </fill>
    <fill>
      <patternFill patternType="gray125"/>
    </fill>
    <fill>
      <patternFill patternType="solid">
        <fgColor theme="0"/>
        <bgColor theme="0"/>
      </patternFill>
    </fill>
    <fill>
      <patternFill patternType="solid">
        <fgColor rgb="FFFFC000"/>
        <bgColor rgb="FFFFC000"/>
      </patternFill>
    </fill>
    <fill>
      <patternFill patternType="solid">
        <fgColor rgb="FFC5E0B3"/>
        <bgColor rgb="FFC5E0B3"/>
      </patternFill>
    </fill>
    <fill>
      <patternFill patternType="solid">
        <fgColor rgb="FFE2EFD9"/>
        <bgColor rgb="FFE2EFD9"/>
      </patternFill>
    </fill>
    <fill>
      <patternFill patternType="solid">
        <fgColor rgb="FFA8D08D"/>
        <bgColor rgb="FFA8D08D"/>
      </patternFill>
    </fill>
    <fill>
      <patternFill patternType="solid">
        <fgColor rgb="FFD9E2F3"/>
        <bgColor rgb="FFD9E2F3"/>
      </patternFill>
    </fill>
    <fill>
      <patternFill patternType="solid">
        <fgColor rgb="FFFBE4D5"/>
        <bgColor rgb="FFFBE4D5"/>
      </patternFill>
    </fill>
    <fill>
      <patternFill patternType="solid">
        <fgColor rgb="FFECECEC"/>
        <bgColor rgb="FFECECEC"/>
      </patternFill>
    </fill>
    <fill>
      <patternFill patternType="solid">
        <fgColor rgb="FFFEF2CB"/>
        <bgColor rgb="FFFEF2CB"/>
      </patternFill>
    </fill>
    <fill>
      <patternFill patternType="solid">
        <fgColor rgb="FF00B0F0"/>
        <bgColor rgb="FF00B0F0"/>
      </patternFill>
    </fill>
    <fill>
      <patternFill patternType="solid">
        <fgColor rgb="FFFFFF00"/>
        <bgColor rgb="FFFFFF00"/>
      </patternFill>
    </fill>
    <fill>
      <patternFill patternType="solid">
        <fgColor theme="1"/>
        <bgColor theme="1"/>
      </patternFill>
    </fill>
    <fill>
      <patternFill patternType="solid">
        <fgColor rgb="FFEA9999"/>
        <bgColor rgb="FFEA9999"/>
      </patternFill>
    </fill>
    <fill>
      <patternFill patternType="solid">
        <fgColor rgb="FFFF9900"/>
        <bgColor rgb="FFFF9900"/>
      </patternFill>
    </fill>
    <fill>
      <patternFill patternType="solid">
        <fgColor rgb="FFF4CCCC"/>
        <bgColor rgb="FFF4CCCC"/>
      </patternFill>
    </fill>
    <fill>
      <patternFill patternType="solid">
        <fgColor rgb="FFFCE5CD"/>
        <bgColor rgb="FFFCE5CD"/>
      </patternFill>
    </fill>
    <fill>
      <patternFill patternType="solid">
        <fgColor rgb="FFDEEAF6"/>
        <bgColor rgb="FFDEEAF6"/>
      </patternFill>
    </fill>
    <fill>
      <patternFill patternType="solid">
        <fgColor rgb="FFFFFFFF"/>
        <bgColor rgb="FFFFFFFF"/>
      </patternFill>
    </fill>
    <fill>
      <patternFill patternType="solid">
        <fgColor rgb="FFFFF2CC"/>
        <bgColor rgb="FFFFF2CC"/>
      </patternFill>
    </fill>
    <fill>
      <patternFill patternType="solid">
        <fgColor theme="6"/>
        <bgColor theme="6"/>
      </patternFill>
    </fill>
    <fill>
      <patternFill patternType="solid">
        <fgColor rgb="FFCCCCCC"/>
        <bgColor rgb="FFCCCCCC"/>
      </patternFill>
    </fill>
    <fill>
      <patternFill patternType="solid">
        <fgColor rgb="FFC9DAF8"/>
        <bgColor rgb="FFC9DAF8"/>
      </patternFill>
    </fill>
    <fill>
      <patternFill patternType="solid">
        <fgColor rgb="FFF4B083"/>
        <bgColor rgb="FFF4B083"/>
      </patternFill>
    </fill>
    <fill>
      <patternFill patternType="solid">
        <fgColor rgb="FFFABF8F"/>
        <bgColor rgb="FFFABF8F"/>
      </patternFill>
    </fill>
    <fill>
      <patternFill patternType="solid">
        <fgColor rgb="FF92D050"/>
        <bgColor rgb="FF92D050"/>
      </patternFill>
    </fill>
    <fill>
      <patternFill patternType="solid">
        <fgColor rgb="FFFF0000"/>
        <bgColor rgb="FFFF0000"/>
      </patternFill>
    </fill>
    <fill>
      <patternFill patternType="solid">
        <fgColor rgb="FFB6DDE8"/>
        <bgColor rgb="FFB6DDE8"/>
      </patternFill>
    </fill>
  </fills>
  <borders count="216">
    <border>
      <left/>
      <right/>
      <top/>
      <bottom/>
      <diagonal/>
    </border>
    <border>
      <left/>
      <right/>
      <top/>
      <bottom/>
      <diagonal/>
    </border>
    <border>
      <left style="medium">
        <color theme="9"/>
      </left>
      <right style="medium">
        <color theme="9"/>
      </right>
      <top style="medium">
        <color theme="9"/>
      </top>
      <bottom style="medium">
        <color theme="9"/>
      </bottom>
      <diagonal/>
    </border>
    <border>
      <left style="medium">
        <color theme="9"/>
      </left>
      <right style="medium">
        <color theme="9"/>
      </right>
      <top style="medium">
        <color theme="9"/>
      </top>
      <bottom/>
      <diagonal/>
    </border>
    <border>
      <left style="medium">
        <color theme="9"/>
      </left>
      <right style="medium">
        <color theme="9"/>
      </right>
      <top/>
      <bottom/>
      <diagonal/>
    </border>
    <border>
      <left style="medium">
        <color theme="9"/>
      </left>
      <right style="medium">
        <color theme="9"/>
      </right>
      <top/>
      <bottom style="medium">
        <color theme="9"/>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top style="medium">
        <color rgb="FF000000"/>
      </top>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top style="thin">
        <color rgb="FF000000"/>
      </top>
      <bottom style="medium">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medium">
        <color rgb="FF000000"/>
      </top>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top/>
      <bottom/>
      <diagonal/>
    </border>
    <border>
      <left/>
      <right style="medium">
        <color rgb="FF000000"/>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medium">
        <color rgb="FF000000"/>
      </bottom>
      <diagonal/>
    </border>
    <border>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thin">
        <color rgb="FF000000"/>
      </left>
      <right/>
      <top/>
      <bottom/>
      <diagonal/>
    </border>
    <border>
      <left style="medium">
        <color rgb="FF000000"/>
      </left>
      <right/>
      <top/>
      <bottom style="medium">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diagonal/>
    </border>
    <border>
      <left/>
      <right style="thin">
        <color rgb="FF000000"/>
      </right>
      <top style="thin">
        <color rgb="FF000000"/>
      </top>
      <bottom/>
      <diagonal/>
    </border>
    <border>
      <left/>
      <right style="thin">
        <color rgb="FF000000"/>
      </right>
      <top style="medium">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right style="thin">
        <color rgb="FF000000"/>
      </right>
      <top style="thin">
        <color rgb="FF000000"/>
      </top>
      <bottom style="medium">
        <color rgb="FF000000"/>
      </bottom>
      <diagonal/>
    </border>
    <border>
      <left style="medium">
        <color rgb="FF000000"/>
      </left>
      <right/>
      <top/>
      <bottom/>
      <diagonal/>
    </border>
    <border>
      <left style="thin">
        <color rgb="FF000000"/>
      </left>
      <right/>
      <top/>
      <bottom/>
      <diagonal/>
    </border>
    <border>
      <left style="thin">
        <color rgb="FF000000"/>
      </left>
      <right style="thin">
        <color rgb="FF000000"/>
      </right>
      <top style="thin">
        <color rgb="FF000000"/>
      </top>
      <bottom/>
      <diagonal/>
    </border>
    <border>
      <left/>
      <right style="thin">
        <color rgb="FF000000"/>
      </right>
      <top style="medium">
        <color rgb="FF000000"/>
      </top>
      <bottom/>
      <diagonal/>
    </border>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n">
        <color rgb="FF000000"/>
      </left>
      <right style="thin">
        <color rgb="FF000000"/>
      </right>
      <top style="medium">
        <color rgb="FF000000"/>
      </top>
      <bottom/>
      <diagonal/>
    </border>
    <border>
      <left style="thick">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ck">
        <color rgb="FF000000"/>
      </right>
      <top style="medium">
        <color rgb="FF000000"/>
      </top>
      <bottom/>
      <diagonal/>
    </border>
    <border>
      <left style="thick">
        <color rgb="FF000000"/>
      </left>
      <right/>
      <top style="medium">
        <color rgb="FF000000"/>
      </top>
      <bottom style="thin">
        <color rgb="FF000000"/>
      </bottom>
      <diagonal/>
    </border>
    <border>
      <left style="thin">
        <color rgb="FF000000"/>
      </left>
      <right style="thick">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n">
        <color rgb="FF000000"/>
      </left>
      <right style="thick">
        <color rgb="FF000000"/>
      </right>
      <top style="thin">
        <color rgb="FF000000"/>
      </top>
      <bottom style="medium">
        <color rgb="FF000000"/>
      </bottom>
      <diagonal/>
    </border>
    <border>
      <left style="thick">
        <color rgb="FF000000"/>
      </left>
      <right/>
      <top/>
      <bottom style="thick">
        <color rgb="FF000000"/>
      </bottom>
      <diagonal/>
    </border>
    <border>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style="thick">
        <color rgb="FF000000"/>
      </right>
      <top/>
      <bottom style="thick">
        <color rgb="FF000000"/>
      </bottom>
      <diagonal/>
    </border>
    <border>
      <left style="thin">
        <color rgb="FF000000"/>
      </left>
      <right style="thin">
        <color rgb="FF000000"/>
      </right>
      <top/>
      <bottom style="thin">
        <color rgb="FF000000"/>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style="thick">
        <color rgb="FF000000"/>
      </left>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right/>
      <top style="medium">
        <color rgb="FF000000"/>
      </top>
      <bottom/>
      <diagonal/>
    </border>
    <border>
      <left/>
      <right/>
      <top style="medium">
        <color rgb="FF000000"/>
      </top>
      <bottom/>
      <diagonal/>
    </border>
    <border>
      <left style="thin">
        <color rgb="FF000000"/>
      </left>
      <right/>
      <top/>
      <bottom/>
      <diagonal/>
    </border>
    <border>
      <left/>
      <right/>
      <top/>
      <bottom/>
      <diagonal/>
    </border>
    <border>
      <left style="thin">
        <color rgb="FF000000"/>
      </left>
      <right/>
      <top/>
      <bottom/>
      <diagonal/>
    </border>
    <border>
      <left/>
      <right/>
      <top/>
      <bottom/>
      <diagonal/>
    </border>
    <border>
      <left style="thin">
        <color rgb="FF000000"/>
      </left>
      <right/>
      <top/>
      <bottom/>
      <diagonal/>
    </border>
    <border>
      <left/>
      <right/>
      <top/>
      <bottom/>
      <diagonal/>
    </border>
    <border>
      <left/>
      <right/>
      <top/>
      <bottom/>
      <diagonal/>
    </border>
    <border>
      <left style="thin">
        <color rgb="FF000000"/>
      </left>
      <right style="medium">
        <color rgb="FF000000"/>
      </right>
      <top/>
      <bottom style="thin">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right style="thin">
        <color rgb="FF000000"/>
      </right>
      <top style="medium">
        <color rgb="FF000000"/>
      </top>
      <bottom style="medium">
        <color rgb="FF000000"/>
      </bottom>
      <diagonal/>
    </border>
    <border>
      <left/>
      <right style="thin">
        <color rgb="FF000000"/>
      </right>
      <top/>
      <bottom/>
      <diagonal/>
    </border>
    <border>
      <left/>
      <right style="medium">
        <color rgb="FF000000"/>
      </right>
      <top/>
      <bottom/>
      <diagonal/>
    </border>
    <border>
      <left style="medium">
        <color rgb="FF000000"/>
      </left>
      <right style="medium">
        <color rgb="FF000000"/>
      </right>
      <top style="thin">
        <color rgb="FF000000"/>
      </top>
      <bottom/>
      <diagonal/>
    </border>
    <border>
      <left/>
      <right/>
      <top/>
      <bottom style="thin">
        <color rgb="FF000000"/>
      </bottom>
      <diagonal/>
    </border>
    <border>
      <left/>
      <right/>
      <top/>
      <bottom style="thin">
        <color rgb="FF000000"/>
      </bottom>
      <diagonal/>
    </border>
    <border>
      <left style="medium">
        <color rgb="FF000000"/>
      </left>
      <right style="medium">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bottom/>
      <diagonal/>
    </border>
    <border>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thin">
        <color rgb="FF000000"/>
      </right>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style="medium">
        <color rgb="FF000000"/>
      </left>
      <right style="thin">
        <color rgb="FF000000"/>
      </right>
      <top/>
      <bottom style="medium">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style="medium">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bottom style="thin">
        <color rgb="FF000000"/>
      </bottom>
      <diagonal/>
    </border>
    <border>
      <left/>
      <right/>
      <top/>
      <bottom style="medium">
        <color rgb="FF000000"/>
      </bottom>
      <diagonal/>
    </border>
    <border>
      <left style="medium">
        <color rgb="FF000000"/>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s>
  <cellStyleXfs count="1">
    <xf numFmtId="0" fontId="0" fillId="0" borderId="0"/>
  </cellStyleXfs>
  <cellXfs count="1024">
    <xf numFmtId="0" fontId="0" fillId="0" borderId="0" xfId="0" applyFont="1" applyAlignment="1"/>
    <xf numFmtId="0" fontId="1" fillId="2" borderId="1" xfId="0" applyFont="1" applyFill="1" applyBorder="1"/>
    <xf numFmtId="0" fontId="2" fillId="2" borderId="1" xfId="0" applyFont="1" applyFill="1" applyBorder="1"/>
    <xf numFmtId="0" fontId="3" fillId="2" borderId="1" xfId="0" applyFont="1" applyFill="1" applyBorder="1" applyAlignment="1">
      <alignment horizontal="left" vertical="center"/>
    </xf>
    <xf numFmtId="0" fontId="1" fillId="2" borderId="1" xfId="0" applyFont="1" applyFill="1" applyBorder="1" applyAlignment="1"/>
    <xf numFmtId="0" fontId="3" fillId="2" borderId="1" xfId="0" applyFont="1" applyFill="1" applyBorder="1" applyAlignment="1">
      <alignment horizontal="left" vertical="center"/>
    </xf>
    <xf numFmtId="0" fontId="4" fillId="0" borderId="2" xfId="0" applyFont="1" applyBorder="1" applyAlignment="1">
      <alignment horizontal="center"/>
    </xf>
    <xf numFmtId="0" fontId="5" fillId="0" borderId="3" xfId="0" applyFont="1" applyBorder="1" applyAlignment="1">
      <alignment horizontal="center" vertical="center"/>
    </xf>
    <xf numFmtId="0" fontId="6" fillId="0" borderId="4" xfId="0" applyFont="1" applyBorder="1" applyAlignment="1">
      <alignment horizontal="center" vertical="center"/>
    </xf>
    <xf numFmtId="0" fontId="7" fillId="0" borderId="5" xfId="0" applyFont="1" applyBorder="1" applyAlignment="1">
      <alignment horizontal="center" vertical="center"/>
    </xf>
    <xf numFmtId="0" fontId="1" fillId="3" borderId="1" xfId="0" applyFont="1" applyFill="1" applyBorder="1"/>
    <xf numFmtId="0" fontId="8" fillId="3" borderId="1" xfId="0" applyFont="1" applyFill="1" applyBorder="1" applyAlignment="1">
      <alignment horizontal="center" vertical="center"/>
    </xf>
    <xf numFmtId="0" fontId="9" fillId="3" borderId="1" xfId="0" applyFont="1" applyFill="1" applyBorder="1" applyAlignment="1">
      <alignment horizontal="center" vertical="center"/>
    </xf>
    <xf numFmtId="0" fontId="1" fillId="2" borderId="9" xfId="0" applyFont="1" applyFill="1" applyBorder="1"/>
    <xf numFmtId="0" fontId="1" fillId="2" borderId="13" xfId="0" applyFont="1" applyFill="1" applyBorder="1" applyAlignment="1">
      <alignment vertical="center" wrapText="1"/>
    </xf>
    <xf numFmtId="0" fontId="1" fillId="2" borderId="14" xfId="0" applyFont="1" applyFill="1" applyBorder="1"/>
    <xf numFmtId="0" fontId="13" fillId="2" borderId="1" xfId="0" applyFont="1" applyFill="1" applyBorder="1" applyAlignment="1">
      <alignment horizontal="left" vertical="top" wrapText="1"/>
    </xf>
    <xf numFmtId="0" fontId="14" fillId="5" borderId="18" xfId="0" applyFont="1" applyFill="1" applyBorder="1" applyAlignment="1">
      <alignment horizontal="center" vertical="center" wrapText="1"/>
    </xf>
    <xf numFmtId="164" fontId="13" fillId="2" borderId="18" xfId="0" applyNumberFormat="1" applyFont="1" applyFill="1" applyBorder="1" applyAlignment="1">
      <alignment horizontal="left" vertical="top" wrapText="1"/>
    </xf>
    <xf numFmtId="165" fontId="15" fillId="4" borderId="18" xfId="0" applyNumberFormat="1" applyFont="1" applyFill="1" applyBorder="1" applyAlignment="1">
      <alignment horizontal="left" vertical="top" wrapText="1"/>
    </xf>
    <xf numFmtId="0" fontId="16" fillId="2" borderId="1" xfId="0" applyFont="1" applyFill="1" applyBorder="1" applyAlignment="1">
      <alignment horizontal="left" vertical="top" wrapText="1"/>
    </xf>
    <xf numFmtId="0" fontId="15" fillId="5" borderId="18" xfId="0" applyFont="1" applyFill="1" applyBorder="1" applyAlignment="1">
      <alignment horizontal="left" vertical="top" wrapText="1"/>
    </xf>
    <xf numFmtId="0" fontId="16" fillId="2" borderId="18" xfId="0" applyFont="1" applyFill="1" applyBorder="1" applyAlignment="1">
      <alignment horizontal="left" vertical="top" wrapText="1"/>
    </xf>
    <xf numFmtId="166" fontId="16" fillId="2" borderId="18" xfId="0" applyNumberFormat="1" applyFont="1" applyFill="1" applyBorder="1" applyAlignment="1">
      <alignment horizontal="left" vertical="top" wrapText="1"/>
    </xf>
    <xf numFmtId="165" fontId="16" fillId="2" borderId="18" xfId="0" applyNumberFormat="1" applyFont="1" applyFill="1" applyBorder="1" applyAlignment="1">
      <alignment horizontal="left" vertical="top" wrapText="1"/>
    </xf>
    <xf numFmtId="9" fontId="16" fillId="2" borderId="18" xfId="0" applyNumberFormat="1" applyFont="1" applyFill="1" applyBorder="1" applyAlignment="1">
      <alignment horizontal="left" vertical="top" wrapText="1"/>
    </xf>
    <xf numFmtId="9" fontId="16" fillId="2" borderId="1" xfId="0" applyNumberFormat="1" applyFont="1" applyFill="1" applyBorder="1" applyAlignment="1">
      <alignment horizontal="left" vertical="top" wrapText="1"/>
    </xf>
    <xf numFmtId="165" fontId="16" fillId="2" borderId="1" xfId="0" applyNumberFormat="1" applyFont="1" applyFill="1" applyBorder="1" applyAlignment="1">
      <alignment horizontal="left" vertical="top" wrapText="1"/>
    </xf>
    <xf numFmtId="0" fontId="10" fillId="2" borderId="1" xfId="0" applyFont="1" applyFill="1" applyBorder="1" applyAlignment="1">
      <alignment horizontal="left"/>
    </xf>
    <xf numFmtId="0" fontId="17" fillId="2" borderId="1" xfId="0" applyFont="1" applyFill="1" applyBorder="1" applyAlignment="1">
      <alignment vertical="center" textRotation="90" wrapText="1"/>
    </xf>
    <xf numFmtId="0" fontId="17" fillId="4" borderId="30" xfId="0" applyFont="1" applyFill="1" applyBorder="1" applyAlignment="1">
      <alignment horizontal="center" vertical="center" wrapText="1"/>
    </xf>
    <xf numFmtId="0" fontId="17" fillId="4" borderId="31" xfId="0" applyFont="1" applyFill="1" applyBorder="1" applyAlignment="1">
      <alignment horizontal="center" vertical="center" wrapText="1"/>
    </xf>
    <xf numFmtId="0" fontId="14" fillId="5" borderId="35" xfId="0" applyFont="1" applyFill="1" applyBorder="1" applyAlignment="1">
      <alignment horizontal="center"/>
    </xf>
    <xf numFmtId="0" fontId="14" fillId="5" borderId="36" xfId="0" applyFont="1" applyFill="1" applyBorder="1" applyAlignment="1">
      <alignment horizontal="center"/>
    </xf>
    <xf numFmtId="0" fontId="14" fillId="5" borderId="37" xfId="0" applyFont="1" applyFill="1" applyBorder="1" applyAlignment="1">
      <alignment horizontal="center"/>
    </xf>
    <xf numFmtId="0" fontId="14" fillId="7" borderId="38" xfId="0" applyFont="1" applyFill="1" applyBorder="1" applyAlignment="1"/>
    <xf numFmtId="167" fontId="14" fillId="7" borderId="39" xfId="0" applyNumberFormat="1" applyFont="1" applyFill="1" applyBorder="1" applyAlignment="1"/>
    <xf numFmtId="0" fontId="1" fillId="7" borderId="40" xfId="0" applyFont="1" applyFill="1" applyBorder="1" applyAlignment="1">
      <alignment wrapText="1"/>
    </xf>
    <xf numFmtId="0" fontId="14" fillId="7" borderId="41" xfId="0" applyFont="1" applyFill="1" applyBorder="1" applyAlignment="1">
      <alignment wrapText="1"/>
    </xf>
    <xf numFmtId="167" fontId="14" fillId="7" borderId="18" xfId="0" applyNumberFormat="1" applyFont="1" applyFill="1" applyBorder="1" applyAlignment="1"/>
    <xf numFmtId="0" fontId="1" fillId="7" borderId="42" xfId="0" applyFont="1" applyFill="1" applyBorder="1" applyAlignment="1">
      <alignment wrapText="1"/>
    </xf>
    <xf numFmtId="0" fontId="14" fillId="7" borderId="43" xfId="0" applyFont="1" applyFill="1" applyBorder="1" applyAlignment="1"/>
    <xf numFmtId="167" fontId="14" fillId="7" borderId="44" xfId="0" applyNumberFormat="1" applyFont="1" applyFill="1" applyBorder="1" applyAlignment="1"/>
    <xf numFmtId="0" fontId="1" fillId="7" borderId="45" xfId="0" applyFont="1" applyFill="1" applyBorder="1" applyAlignment="1">
      <alignment wrapText="1"/>
    </xf>
    <xf numFmtId="0" fontId="14" fillId="8" borderId="38" xfId="0" applyFont="1" applyFill="1" applyBorder="1" applyAlignment="1"/>
    <xf numFmtId="167" fontId="14" fillId="8" borderId="39" xfId="0" applyNumberFormat="1" applyFont="1" applyFill="1" applyBorder="1" applyAlignment="1"/>
    <xf numFmtId="0" fontId="1" fillId="8" borderId="40" xfId="0" applyFont="1" applyFill="1" applyBorder="1" applyAlignment="1"/>
    <xf numFmtId="167" fontId="14" fillId="8" borderId="18" xfId="0" applyNumberFormat="1" applyFont="1" applyFill="1" applyBorder="1" applyAlignment="1">
      <alignment vertical="center"/>
    </xf>
    <xf numFmtId="0" fontId="1" fillId="8" borderId="40" xfId="0" applyFont="1" applyFill="1" applyBorder="1" applyAlignment="1">
      <alignment wrapText="1"/>
    </xf>
    <xf numFmtId="167" fontId="14" fillId="8" borderId="18" xfId="0" applyNumberFormat="1" applyFont="1" applyFill="1" applyBorder="1" applyAlignment="1"/>
    <xf numFmtId="0" fontId="14" fillId="8" borderId="43" xfId="0" applyFont="1" applyFill="1" applyBorder="1"/>
    <xf numFmtId="167" fontId="14" fillId="8" borderId="44" xfId="0" applyNumberFormat="1" applyFont="1" applyFill="1" applyBorder="1"/>
    <xf numFmtId="0" fontId="1" fillId="8" borderId="45" xfId="0" applyFont="1" applyFill="1" applyBorder="1"/>
    <xf numFmtId="0" fontId="14" fillId="9" borderId="38" xfId="0" applyFont="1" applyFill="1" applyBorder="1"/>
    <xf numFmtId="167" fontId="14" fillId="9" borderId="39" xfId="0" applyNumberFormat="1" applyFont="1" applyFill="1" applyBorder="1"/>
    <xf numFmtId="0" fontId="1" fillId="9" borderId="40" xfId="0" applyFont="1" applyFill="1" applyBorder="1"/>
    <xf numFmtId="0" fontId="14" fillId="9" borderId="41" xfId="0" applyFont="1" applyFill="1" applyBorder="1"/>
    <xf numFmtId="167" fontId="14" fillId="9" borderId="18" xfId="0" applyNumberFormat="1" applyFont="1" applyFill="1" applyBorder="1"/>
    <xf numFmtId="0" fontId="1" fillId="9" borderId="42" xfId="0" applyFont="1" applyFill="1" applyBorder="1"/>
    <xf numFmtId="0" fontId="14" fillId="9" borderId="43" xfId="0" applyFont="1" applyFill="1" applyBorder="1" applyAlignment="1">
      <alignment vertical="center" wrapText="1"/>
    </xf>
    <xf numFmtId="167" fontId="14" fillId="9" borderId="44" xfId="0" applyNumberFormat="1" applyFont="1" applyFill="1" applyBorder="1" applyAlignment="1">
      <alignment vertical="center"/>
    </xf>
    <xf numFmtId="0" fontId="1" fillId="9" borderId="45" xfId="0" applyFont="1" applyFill="1" applyBorder="1" applyAlignment="1">
      <alignment wrapText="1"/>
    </xf>
    <xf numFmtId="0" fontId="14" fillId="10" borderId="46" xfId="0" applyFont="1" applyFill="1" applyBorder="1" applyAlignment="1">
      <alignment vertical="center" wrapText="1"/>
    </xf>
    <xf numFmtId="167" fontId="14" fillId="10" borderId="47" xfId="0" applyNumberFormat="1" applyFont="1" applyFill="1" applyBorder="1"/>
    <xf numFmtId="0" fontId="1" fillId="10" borderId="48" xfId="0" applyFont="1" applyFill="1" applyBorder="1"/>
    <xf numFmtId="0" fontId="1" fillId="11" borderId="1" xfId="0" applyFont="1" applyFill="1" applyBorder="1"/>
    <xf numFmtId="0" fontId="8" fillId="11" borderId="1" xfId="0" applyFont="1" applyFill="1" applyBorder="1" applyAlignment="1">
      <alignment vertical="center"/>
    </xf>
    <xf numFmtId="0" fontId="18" fillId="11" borderId="1" xfId="0" applyFont="1" applyFill="1" applyBorder="1" applyAlignment="1">
      <alignment vertical="center"/>
    </xf>
    <xf numFmtId="0" fontId="1" fillId="2" borderId="1" xfId="0" applyFont="1" applyFill="1" applyBorder="1" applyAlignment="1">
      <alignment horizontal="center"/>
    </xf>
    <xf numFmtId="0" fontId="19" fillId="5" borderId="41" xfId="0" applyFont="1" applyFill="1" applyBorder="1" applyAlignment="1">
      <alignment horizontal="center"/>
    </xf>
    <xf numFmtId="0" fontId="19" fillId="5" borderId="18" xfId="0" applyFont="1" applyFill="1" applyBorder="1" applyAlignment="1">
      <alignment horizontal="center"/>
    </xf>
    <xf numFmtId="0" fontId="19" fillId="5" borderId="42" xfId="0" applyFont="1" applyFill="1" applyBorder="1" applyAlignment="1">
      <alignment horizontal="center"/>
    </xf>
    <xf numFmtId="0" fontId="1" fillId="2" borderId="1" xfId="0" applyFont="1" applyFill="1" applyBorder="1" applyAlignment="1">
      <alignment horizontal="left" vertical="top" wrapText="1"/>
    </xf>
    <xf numFmtId="9" fontId="1" fillId="2" borderId="41" xfId="0" applyNumberFormat="1" applyFont="1" applyFill="1" applyBorder="1" applyAlignment="1">
      <alignment horizontal="center"/>
    </xf>
    <xf numFmtId="9" fontId="1" fillId="2" borderId="18" xfId="0" applyNumberFormat="1" applyFont="1" applyFill="1" applyBorder="1" applyAlignment="1">
      <alignment horizontal="center"/>
    </xf>
    <xf numFmtId="9" fontId="1" fillId="2" borderId="42" xfId="0" applyNumberFormat="1" applyFont="1" applyFill="1" applyBorder="1" applyAlignment="1">
      <alignment horizontal="center"/>
    </xf>
    <xf numFmtId="168" fontId="1" fillId="2" borderId="43" xfId="0" applyNumberFormat="1" applyFont="1" applyFill="1" applyBorder="1" applyAlignment="1">
      <alignment horizontal="center"/>
    </xf>
    <xf numFmtId="168" fontId="1" fillId="2" borderId="44" xfId="0" applyNumberFormat="1" applyFont="1" applyFill="1" applyBorder="1" applyAlignment="1">
      <alignment horizontal="center"/>
    </xf>
    <xf numFmtId="168" fontId="1" fillId="2" borderId="45" xfId="0" applyNumberFormat="1" applyFont="1" applyFill="1" applyBorder="1" applyAlignment="1">
      <alignment horizontal="center"/>
    </xf>
    <xf numFmtId="0" fontId="20" fillId="0" borderId="0" xfId="0" applyFont="1" applyAlignment="1">
      <alignment horizontal="left"/>
    </xf>
    <xf numFmtId="0" fontId="13" fillId="2" borderId="1" xfId="0" applyFont="1" applyFill="1" applyBorder="1"/>
    <xf numFmtId="0" fontId="19" fillId="5" borderId="53" xfId="0" applyFont="1" applyFill="1" applyBorder="1" applyAlignment="1">
      <alignment horizontal="center" vertical="center" wrapText="1"/>
    </xf>
    <xf numFmtId="0" fontId="19" fillId="5" borderId="54" xfId="0" applyFont="1" applyFill="1" applyBorder="1" applyAlignment="1">
      <alignment horizontal="center" vertical="center" wrapText="1"/>
    </xf>
    <xf numFmtId="0" fontId="19" fillId="5" borderId="60" xfId="0" applyFont="1" applyFill="1" applyBorder="1" applyAlignment="1">
      <alignment horizontal="center" vertical="center" wrapText="1"/>
    </xf>
    <xf numFmtId="0" fontId="19" fillId="5" borderId="61" xfId="0" applyFont="1" applyFill="1" applyBorder="1" applyAlignment="1">
      <alignment horizontal="center" vertical="center" wrapText="1"/>
    </xf>
    <xf numFmtId="169" fontId="16" fillId="7" borderId="38" xfId="0" applyNumberFormat="1" applyFont="1" applyFill="1" applyBorder="1"/>
    <xf numFmtId="165" fontId="1" fillId="7" borderId="62" xfId="0" applyNumberFormat="1" applyFont="1" applyFill="1" applyBorder="1"/>
    <xf numFmtId="164" fontId="1" fillId="7" borderId="38" xfId="0" applyNumberFormat="1" applyFont="1" applyFill="1" applyBorder="1" applyAlignment="1"/>
    <xf numFmtId="165" fontId="1" fillId="7" borderId="63" xfId="0" applyNumberFormat="1" applyFont="1" applyFill="1" applyBorder="1"/>
    <xf numFmtId="164" fontId="1" fillId="7" borderId="64" xfId="0" applyNumberFormat="1" applyFont="1" applyFill="1" applyBorder="1" applyAlignment="1"/>
    <xf numFmtId="165" fontId="1" fillId="7" borderId="65" xfId="0" applyNumberFormat="1" applyFont="1" applyFill="1" applyBorder="1"/>
    <xf numFmtId="165" fontId="1" fillId="7" borderId="19" xfId="0" applyNumberFormat="1" applyFont="1" applyFill="1" applyBorder="1"/>
    <xf numFmtId="164" fontId="1" fillId="7" borderId="41" xfId="0" applyNumberFormat="1" applyFont="1" applyFill="1" applyBorder="1" applyAlignment="1"/>
    <xf numFmtId="165" fontId="1" fillId="7" borderId="20" xfId="0" applyNumberFormat="1" applyFont="1" applyFill="1" applyBorder="1"/>
    <xf numFmtId="165" fontId="1" fillId="7" borderId="42" xfId="0" applyNumberFormat="1" applyFont="1" applyFill="1" applyBorder="1"/>
    <xf numFmtId="165" fontId="1" fillId="7" borderId="66" xfId="0" applyNumberFormat="1" applyFont="1" applyFill="1" applyBorder="1"/>
    <xf numFmtId="164" fontId="1" fillId="7" borderId="43" xfId="0" applyNumberFormat="1" applyFont="1" applyFill="1" applyBorder="1" applyAlignment="1"/>
    <xf numFmtId="164" fontId="1" fillId="7" borderId="53" xfId="0" applyNumberFormat="1" applyFont="1" applyFill="1" applyBorder="1" applyAlignment="1"/>
    <xf numFmtId="165" fontId="1" fillId="7" borderId="54" xfId="0" applyNumberFormat="1" applyFont="1" applyFill="1" applyBorder="1"/>
    <xf numFmtId="169" fontId="16" fillId="8" borderId="38" xfId="0" applyNumberFormat="1" applyFont="1" applyFill="1" applyBorder="1"/>
    <xf numFmtId="165" fontId="1" fillId="8" borderId="67" xfId="0" applyNumberFormat="1" applyFont="1" applyFill="1" applyBorder="1"/>
    <xf numFmtId="164" fontId="1" fillId="8" borderId="68" xfId="0" applyNumberFormat="1" applyFont="1" applyFill="1" applyBorder="1"/>
    <xf numFmtId="165" fontId="1" fillId="8" borderId="62" xfId="0" applyNumberFormat="1" applyFont="1" applyFill="1" applyBorder="1"/>
    <xf numFmtId="164" fontId="1" fillId="8" borderId="38" xfId="0" applyNumberFormat="1" applyFont="1" applyFill="1" applyBorder="1" applyAlignment="1"/>
    <xf numFmtId="165" fontId="1" fillId="8" borderId="40" xfId="0" applyNumberFormat="1" applyFont="1" applyFill="1" applyBorder="1"/>
    <xf numFmtId="165" fontId="1" fillId="8" borderId="69" xfId="0" applyNumberFormat="1" applyFont="1" applyFill="1" applyBorder="1"/>
    <xf numFmtId="164" fontId="1" fillId="8" borderId="41" xfId="0" applyNumberFormat="1" applyFont="1" applyFill="1" applyBorder="1"/>
    <xf numFmtId="165" fontId="1" fillId="8" borderId="19" xfId="0" applyNumberFormat="1" applyFont="1" applyFill="1" applyBorder="1"/>
    <xf numFmtId="164" fontId="1" fillId="8" borderId="41" xfId="0" applyNumberFormat="1" applyFont="1" applyFill="1" applyBorder="1" applyAlignment="1"/>
    <xf numFmtId="165" fontId="1" fillId="8" borderId="42" xfId="0" applyNumberFormat="1" applyFont="1" applyFill="1" applyBorder="1"/>
    <xf numFmtId="169" fontId="16" fillId="8" borderId="43" xfId="0" applyNumberFormat="1" applyFont="1" applyFill="1" applyBorder="1"/>
    <xf numFmtId="165" fontId="1" fillId="8" borderId="70" xfId="0" applyNumberFormat="1" applyFont="1" applyFill="1" applyBorder="1"/>
    <xf numFmtId="164" fontId="1" fillId="8" borderId="43" xfId="0" applyNumberFormat="1" applyFont="1" applyFill="1" applyBorder="1"/>
    <xf numFmtId="165" fontId="1" fillId="8" borderId="66" xfId="0" applyNumberFormat="1" applyFont="1" applyFill="1" applyBorder="1"/>
    <xf numFmtId="164" fontId="1" fillId="8" borderId="43" xfId="0" applyNumberFormat="1" applyFont="1" applyFill="1" applyBorder="1" applyAlignment="1"/>
    <xf numFmtId="165" fontId="1" fillId="8" borderId="45" xfId="0" applyNumberFormat="1" applyFont="1" applyFill="1" applyBorder="1"/>
    <xf numFmtId="169" fontId="16" fillId="9" borderId="38" xfId="0" applyNumberFormat="1" applyFont="1" applyFill="1" applyBorder="1"/>
    <xf numFmtId="165" fontId="1" fillId="9" borderId="67" xfId="0" applyNumberFormat="1" applyFont="1" applyFill="1" applyBorder="1"/>
    <xf numFmtId="164" fontId="1" fillId="9" borderId="38" xfId="0" applyNumberFormat="1" applyFont="1" applyFill="1" applyBorder="1"/>
    <xf numFmtId="165" fontId="1" fillId="9" borderId="40" xfId="0" applyNumberFormat="1" applyFont="1" applyFill="1" applyBorder="1"/>
    <xf numFmtId="164" fontId="1" fillId="9" borderId="68" xfId="0" applyNumberFormat="1" applyFont="1" applyFill="1" applyBorder="1" applyAlignment="1"/>
    <xf numFmtId="165" fontId="1" fillId="9" borderId="71" xfId="0" applyNumberFormat="1" applyFont="1" applyFill="1" applyBorder="1" applyAlignment="1"/>
    <xf numFmtId="169" fontId="16" fillId="9" borderId="41" xfId="0" applyNumberFormat="1" applyFont="1" applyFill="1" applyBorder="1"/>
    <xf numFmtId="165" fontId="1" fillId="9" borderId="69" xfId="0" applyNumberFormat="1" applyFont="1" applyFill="1" applyBorder="1"/>
    <xf numFmtId="164" fontId="1" fillId="9" borderId="41" xfId="0" applyNumberFormat="1" applyFont="1" applyFill="1" applyBorder="1"/>
    <xf numFmtId="165" fontId="1" fillId="9" borderId="42" xfId="0" applyNumberFormat="1" applyFont="1" applyFill="1" applyBorder="1"/>
    <xf numFmtId="164" fontId="1" fillId="9" borderId="41" xfId="0" applyNumberFormat="1" applyFont="1" applyFill="1" applyBorder="1" applyAlignment="1"/>
    <xf numFmtId="165" fontId="1" fillId="9" borderId="42" xfId="0" applyNumberFormat="1" applyFont="1" applyFill="1" applyBorder="1" applyAlignment="1"/>
    <xf numFmtId="169" fontId="16" fillId="9" borderId="43" xfId="0" applyNumberFormat="1" applyFont="1" applyFill="1" applyBorder="1" applyAlignment="1">
      <alignment vertical="center" wrapText="1"/>
    </xf>
    <xf numFmtId="165" fontId="1" fillId="9" borderId="70" xfId="0" applyNumberFormat="1" applyFont="1" applyFill="1" applyBorder="1"/>
    <xf numFmtId="164" fontId="1" fillId="9" borderId="43" xfId="0" applyNumberFormat="1" applyFont="1" applyFill="1" applyBorder="1"/>
    <xf numFmtId="165" fontId="1" fillId="9" borderId="45" xfId="0" applyNumberFormat="1" applyFont="1" applyFill="1" applyBorder="1"/>
    <xf numFmtId="164" fontId="1" fillId="9" borderId="43" xfId="0" applyNumberFormat="1" applyFont="1" applyFill="1" applyBorder="1" applyAlignment="1"/>
    <xf numFmtId="165" fontId="1" fillId="9" borderId="45" xfId="0" applyNumberFormat="1" applyFont="1" applyFill="1" applyBorder="1" applyAlignment="1"/>
    <xf numFmtId="169" fontId="16" fillId="10" borderId="72" xfId="0" applyNumberFormat="1" applyFont="1" applyFill="1" applyBorder="1" applyAlignment="1">
      <alignment vertical="center" wrapText="1"/>
    </xf>
    <xf numFmtId="165" fontId="1" fillId="10" borderId="73" xfId="0" applyNumberFormat="1" applyFont="1" applyFill="1" applyBorder="1"/>
    <xf numFmtId="164" fontId="1" fillId="10" borderId="72" xfId="0" applyNumberFormat="1" applyFont="1" applyFill="1" applyBorder="1"/>
    <xf numFmtId="165" fontId="1" fillId="10" borderId="74" xfId="0" applyNumberFormat="1" applyFont="1" applyFill="1" applyBorder="1"/>
    <xf numFmtId="164" fontId="1" fillId="10" borderId="75" xfId="0" applyNumberFormat="1" applyFont="1" applyFill="1" applyBorder="1" applyAlignment="1"/>
    <xf numFmtId="165" fontId="1" fillId="10" borderId="76" xfId="0" applyNumberFormat="1" applyFont="1" applyFill="1" applyBorder="1" applyAlignment="1"/>
    <xf numFmtId="0" fontId="1" fillId="13" borderId="77" xfId="0" applyFont="1" applyFill="1" applyBorder="1"/>
    <xf numFmtId="165" fontId="19" fillId="2" borderId="74" xfId="0" applyNumberFormat="1" applyFont="1" applyFill="1" applyBorder="1"/>
    <xf numFmtId="164" fontId="19" fillId="13" borderId="35" xfId="0" applyNumberFormat="1" applyFont="1" applyFill="1" applyBorder="1"/>
    <xf numFmtId="165" fontId="19" fillId="2" borderId="37" xfId="0" applyNumberFormat="1" applyFont="1" applyFill="1" applyBorder="1"/>
    <xf numFmtId="165" fontId="1" fillId="2" borderId="1" xfId="0" applyNumberFormat="1" applyFont="1" applyFill="1" applyBorder="1"/>
    <xf numFmtId="170" fontId="14" fillId="7" borderId="78" xfId="0" applyNumberFormat="1" applyFont="1" applyFill="1" applyBorder="1" applyAlignment="1">
      <alignment vertical="center"/>
    </xf>
    <xf numFmtId="169" fontId="16" fillId="13" borderId="40" xfId="0" applyNumberFormat="1" applyFont="1" applyFill="1" applyBorder="1"/>
    <xf numFmtId="170" fontId="14" fillId="7" borderId="38" xfId="0" applyNumberFormat="1" applyFont="1" applyFill="1" applyBorder="1" applyAlignment="1">
      <alignment vertical="center"/>
    </xf>
    <xf numFmtId="169" fontId="16" fillId="13" borderId="39" xfId="0" applyNumberFormat="1" applyFont="1" applyFill="1" applyBorder="1"/>
    <xf numFmtId="170" fontId="14" fillId="7" borderId="79" xfId="0" applyNumberFormat="1" applyFont="1" applyFill="1" applyBorder="1" applyAlignment="1">
      <alignment vertical="center"/>
    </xf>
    <xf numFmtId="169" fontId="16" fillId="13" borderId="42" xfId="0" applyNumberFormat="1" applyFont="1" applyFill="1" applyBorder="1"/>
    <xf numFmtId="170" fontId="14" fillId="7" borderId="41" xfId="0" applyNumberFormat="1" applyFont="1" applyFill="1" applyBorder="1" applyAlignment="1">
      <alignment vertical="center"/>
    </xf>
    <xf numFmtId="169" fontId="16" fillId="13" borderId="18" xfId="0" applyNumberFormat="1" applyFont="1" applyFill="1" applyBorder="1"/>
    <xf numFmtId="170" fontId="14" fillId="7" borderId="82" xfId="0" applyNumberFormat="1" applyFont="1" applyFill="1" applyBorder="1" applyAlignment="1">
      <alignment vertical="center"/>
    </xf>
    <xf numFmtId="169" fontId="16" fillId="13" borderId="45" xfId="0" applyNumberFormat="1" applyFont="1" applyFill="1" applyBorder="1"/>
    <xf numFmtId="170" fontId="14" fillId="7" borderId="43" xfId="0" applyNumberFormat="1" applyFont="1" applyFill="1" applyBorder="1" applyAlignment="1">
      <alignment vertical="center"/>
    </xf>
    <xf numFmtId="169" fontId="16" fillId="13" borderId="44" xfId="0" applyNumberFormat="1" applyFont="1" applyFill="1" applyBorder="1"/>
    <xf numFmtId="170" fontId="14" fillId="8" borderId="83" xfId="0" applyNumberFormat="1" applyFont="1" applyFill="1" applyBorder="1" applyAlignment="1">
      <alignment vertical="center" wrapText="1"/>
    </xf>
    <xf numFmtId="169" fontId="16" fillId="13" borderId="84" xfId="0" applyNumberFormat="1" applyFont="1" applyFill="1" applyBorder="1" applyAlignment="1">
      <alignment wrapText="1"/>
    </xf>
    <xf numFmtId="170" fontId="14" fillId="8" borderId="84" xfId="0" applyNumberFormat="1" applyFont="1" applyFill="1" applyBorder="1" applyAlignment="1">
      <alignment vertical="center" wrapText="1"/>
    </xf>
    <xf numFmtId="169" fontId="16" fillId="13" borderId="85" xfId="0" applyNumberFormat="1" applyFont="1" applyFill="1" applyBorder="1" applyAlignment="1">
      <alignment wrapText="1"/>
    </xf>
    <xf numFmtId="169" fontId="16" fillId="13" borderId="83" xfId="0" applyNumberFormat="1" applyFont="1" applyFill="1" applyBorder="1" applyAlignment="1">
      <alignment wrapText="1"/>
    </xf>
    <xf numFmtId="170" fontId="14" fillId="9" borderId="1" xfId="0" applyNumberFormat="1" applyFont="1" applyFill="1" applyBorder="1" applyAlignment="1">
      <alignment vertical="center"/>
    </xf>
    <xf numFmtId="169" fontId="16" fillId="13" borderId="88" xfId="0" applyNumberFormat="1" applyFont="1" applyFill="1" applyBorder="1"/>
    <xf numFmtId="170" fontId="14" fillId="9" borderId="84" xfId="0" applyNumberFormat="1" applyFont="1" applyFill="1" applyBorder="1" applyAlignment="1">
      <alignment vertical="center"/>
    </xf>
    <xf numFmtId="169" fontId="16" fillId="13" borderId="85" xfId="0" applyNumberFormat="1" applyFont="1" applyFill="1" applyBorder="1"/>
    <xf numFmtId="169" fontId="16" fillId="13" borderId="83" xfId="0" applyNumberFormat="1" applyFont="1" applyFill="1" applyBorder="1"/>
    <xf numFmtId="170" fontId="14" fillId="10" borderId="85" xfId="0" applyNumberFormat="1" applyFont="1" applyFill="1" applyBorder="1" applyAlignment="1">
      <alignment vertical="center" wrapText="1"/>
    </xf>
    <xf numFmtId="169" fontId="16" fillId="13" borderId="89" xfId="0" applyNumberFormat="1" applyFont="1" applyFill="1" applyBorder="1" applyAlignment="1">
      <alignment vertical="center" wrapText="1"/>
    </xf>
    <xf numFmtId="170" fontId="14" fillId="10" borderId="84" xfId="0" applyNumberFormat="1" applyFont="1" applyFill="1" applyBorder="1" applyAlignment="1">
      <alignment vertical="center" wrapText="1"/>
    </xf>
    <xf numFmtId="169" fontId="16" fillId="13" borderId="85" xfId="0" applyNumberFormat="1" applyFont="1" applyFill="1" applyBorder="1" applyAlignment="1">
      <alignment vertical="center" wrapText="1"/>
    </xf>
    <xf numFmtId="169" fontId="16" fillId="13" borderId="83" xfId="0" applyNumberFormat="1" applyFont="1" applyFill="1" applyBorder="1" applyAlignment="1">
      <alignment vertical="center" wrapText="1"/>
    </xf>
    <xf numFmtId="168" fontId="1" fillId="2" borderId="1" xfId="0" applyNumberFormat="1" applyFont="1" applyFill="1" applyBorder="1"/>
    <xf numFmtId="164" fontId="1" fillId="2" borderId="1" xfId="0" applyNumberFormat="1" applyFont="1" applyFill="1" applyBorder="1"/>
    <xf numFmtId="0" fontId="10" fillId="4" borderId="89" xfId="0" applyFont="1" applyFill="1" applyBorder="1" applyAlignment="1">
      <alignment horizontal="center" vertical="center"/>
    </xf>
    <xf numFmtId="0" fontId="1" fillId="2" borderId="13" xfId="0" applyFont="1" applyFill="1" applyBorder="1"/>
    <xf numFmtId="0" fontId="10" fillId="2" borderId="14" xfId="0" applyFont="1" applyFill="1" applyBorder="1" applyAlignment="1">
      <alignment horizontal="center" vertical="center"/>
    </xf>
    <xf numFmtId="168" fontId="1" fillId="2" borderId="14" xfId="0" applyNumberFormat="1" applyFont="1" applyFill="1" applyBorder="1"/>
    <xf numFmtId="0" fontId="1" fillId="2" borderId="14" xfId="0" applyFont="1" applyFill="1" applyBorder="1" applyAlignment="1">
      <alignment horizontal="center" vertical="center"/>
    </xf>
    <xf numFmtId="0" fontId="10" fillId="13" borderId="1" xfId="0" applyFont="1" applyFill="1" applyBorder="1" applyAlignment="1">
      <alignment horizontal="center" vertical="center"/>
    </xf>
    <xf numFmtId="0" fontId="1" fillId="13" borderId="1" xfId="0" applyFont="1" applyFill="1" applyBorder="1"/>
    <xf numFmtId="168" fontId="1" fillId="13" borderId="1" xfId="0" applyNumberFormat="1" applyFont="1" applyFill="1" applyBorder="1"/>
    <xf numFmtId="0" fontId="1" fillId="13" borderId="1" xfId="0" applyFont="1" applyFill="1" applyBorder="1" applyAlignment="1">
      <alignment horizontal="center" vertical="center"/>
    </xf>
    <xf numFmtId="0" fontId="19" fillId="5" borderId="43" xfId="0" applyFont="1" applyFill="1" applyBorder="1" applyAlignment="1">
      <alignment horizontal="center" vertical="center" wrapText="1"/>
    </xf>
    <xf numFmtId="0" fontId="19" fillId="5" borderId="45" xfId="0" applyFont="1" applyFill="1" applyBorder="1" applyAlignment="1">
      <alignment horizontal="center" vertical="center" wrapText="1"/>
    </xf>
    <xf numFmtId="165" fontId="1" fillId="7" borderId="67" xfId="0" applyNumberFormat="1" applyFont="1" applyFill="1" applyBorder="1"/>
    <xf numFmtId="165" fontId="1" fillId="7" borderId="40" xfId="0" applyNumberFormat="1" applyFont="1" applyFill="1" applyBorder="1"/>
    <xf numFmtId="165" fontId="1" fillId="7" borderId="69" xfId="0" applyNumberFormat="1" applyFont="1" applyFill="1" applyBorder="1"/>
    <xf numFmtId="165" fontId="1" fillId="7" borderId="70" xfId="0" applyNumberFormat="1" applyFont="1" applyFill="1" applyBorder="1"/>
    <xf numFmtId="165" fontId="1" fillId="7" borderId="45" xfId="0" applyNumberFormat="1" applyFont="1" applyFill="1" applyBorder="1"/>
    <xf numFmtId="165" fontId="1" fillId="8" borderId="51" xfId="0" applyNumberFormat="1" applyFont="1" applyFill="1" applyBorder="1"/>
    <xf numFmtId="165" fontId="1" fillId="8" borderId="56" xfId="0" applyNumberFormat="1" applyFont="1" applyFill="1" applyBorder="1"/>
    <xf numFmtId="164" fontId="1" fillId="8" borderId="43" xfId="0" applyNumberFormat="1" applyFont="1" applyFill="1" applyBorder="1" applyAlignment="1">
      <alignment horizontal="center"/>
    </xf>
    <xf numFmtId="164" fontId="1" fillId="9" borderId="38" xfId="0" applyNumberFormat="1" applyFont="1" applyFill="1" applyBorder="1" applyAlignment="1">
      <alignment horizontal="center"/>
    </xf>
    <xf numFmtId="164" fontId="1" fillId="9" borderId="68" xfId="0" applyNumberFormat="1" applyFont="1" applyFill="1" applyBorder="1"/>
    <xf numFmtId="164" fontId="1" fillId="9" borderId="40" xfId="0" applyNumberFormat="1" applyFont="1" applyFill="1" applyBorder="1"/>
    <xf numFmtId="164" fontId="1" fillId="9" borderId="41" xfId="0" applyNumberFormat="1" applyFont="1" applyFill="1" applyBorder="1" applyAlignment="1">
      <alignment horizontal="center"/>
    </xf>
    <xf numFmtId="164" fontId="1" fillId="9" borderId="42" xfId="0" applyNumberFormat="1" applyFont="1" applyFill="1" applyBorder="1"/>
    <xf numFmtId="164" fontId="1" fillId="9" borderId="43" xfId="0" applyNumberFormat="1" applyFont="1" applyFill="1" applyBorder="1" applyAlignment="1">
      <alignment horizontal="center"/>
    </xf>
    <xf numFmtId="164" fontId="1" fillId="9" borderId="45" xfId="0" applyNumberFormat="1" applyFont="1" applyFill="1" applyBorder="1"/>
    <xf numFmtId="169" fontId="16" fillId="8" borderId="35" xfId="0" applyNumberFormat="1" applyFont="1" applyFill="1" applyBorder="1" applyAlignment="1">
      <alignment vertical="center" wrapText="1"/>
    </xf>
    <xf numFmtId="165" fontId="1" fillId="8" borderId="112" xfId="0" applyNumberFormat="1" applyFont="1" applyFill="1" applyBorder="1"/>
    <xf numFmtId="164" fontId="1" fillId="8" borderId="46" xfId="0" applyNumberFormat="1" applyFont="1" applyFill="1" applyBorder="1" applyAlignment="1">
      <alignment horizontal="center"/>
    </xf>
    <xf numFmtId="165" fontId="1" fillId="8" borderId="48" xfId="0" applyNumberFormat="1" applyFont="1" applyFill="1" applyBorder="1"/>
    <xf numFmtId="164" fontId="1" fillId="8" borderId="46" xfId="0" applyNumberFormat="1" applyFont="1" applyFill="1" applyBorder="1"/>
    <xf numFmtId="164" fontId="1" fillId="8" borderId="48" xfId="0" applyNumberFormat="1" applyFont="1" applyFill="1" applyBorder="1"/>
    <xf numFmtId="170" fontId="14" fillId="8" borderId="85" xfId="0" applyNumberFormat="1" applyFont="1" applyFill="1" applyBorder="1" applyAlignment="1">
      <alignment vertical="center" wrapText="1"/>
    </xf>
    <xf numFmtId="170" fontId="14" fillId="9" borderId="85" xfId="0" applyNumberFormat="1" applyFont="1" applyFill="1" applyBorder="1" applyAlignment="1">
      <alignment vertical="center"/>
    </xf>
    <xf numFmtId="169" fontId="16" fillId="13" borderId="84" xfId="0" applyNumberFormat="1" applyFont="1" applyFill="1" applyBorder="1"/>
    <xf numFmtId="169" fontId="16" fillId="13" borderId="84" xfId="0" applyNumberFormat="1" applyFont="1" applyFill="1" applyBorder="1" applyAlignment="1">
      <alignment vertical="center" wrapText="1"/>
    </xf>
    <xf numFmtId="0" fontId="10" fillId="2" borderId="1" xfId="0" applyFont="1" applyFill="1" applyBorder="1" applyAlignment="1">
      <alignment horizontal="center" vertical="center"/>
    </xf>
    <xf numFmtId="0" fontId="1" fillId="2" borderId="1" xfId="0" applyFont="1" applyFill="1" applyBorder="1" applyAlignment="1">
      <alignment horizontal="center" vertical="center"/>
    </xf>
    <xf numFmtId="169" fontId="16" fillId="10" borderId="35" xfId="0" applyNumberFormat="1" applyFont="1" applyFill="1" applyBorder="1" applyAlignment="1">
      <alignment vertical="center" wrapText="1"/>
    </xf>
    <xf numFmtId="165" fontId="1" fillId="10" borderId="112" xfId="0" applyNumberFormat="1" applyFont="1" applyFill="1" applyBorder="1"/>
    <xf numFmtId="164" fontId="1" fillId="10" borderId="46" xfId="0" applyNumberFormat="1" applyFont="1" applyFill="1" applyBorder="1"/>
    <xf numFmtId="165" fontId="1" fillId="10" borderId="48" xfId="0" applyNumberFormat="1" applyFont="1" applyFill="1" applyBorder="1"/>
    <xf numFmtId="164" fontId="1" fillId="10" borderId="48" xfId="0" applyNumberFormat="1" applyFont="1" applyFill="1" applyBorder="1"/>
    <xf numFmtId="0" fontId="1" fillId="3" borderId="1" xfId="0" applyFont="1" applyFill="1" applyBorder="1" applyAlignment="1">
      <alignment wrapText="1"/>
    </xf>
    <xf numFmtId="0" fontId="8" fillId="3" borderId="1" xfId="0" applyFont="1" applyFill="1" applyBorder="1" applyAlignment="1">
      <alignment vertical="center"/>
    </xf>
    <xf numFmtId="0" fontId="1" fillId="2" borderId="0" xfId="0" applyFont="1" applyFill="1"/>
    <xf numFmtId="0" fontId="1" fillId="2" borderId="1" xfId="0" applyFont="1" applyFill="1" applyBorder="1" applyAlignment="1">
      <alignment wrapText="1"/>
    </xf>
    <xf numFmtId="171" fontId="1" fillId="2" borderId="1" xfId="0" applyNumberFormat="1" applyFont="1" applyFill="1" applyBorder="1" applyAlignment="1"/>
    <xf numFmtId="0" fontId="10" fillId="2" borderId="1" xfId="0" applyFont="1" applyFill="1" applyBorder="1"/>
    <xf numFmtId="0" fontId="1" fillId="2" borderId="18" xfId="0" applyFont="1" applyFill="1" applyBorder="1" applyAlignment="1">
      <alignment wrapText="1"/>
    </xf>
    <xf numFmtId="0" fontId="1" fillId="2" borderId="18" xfId="0" applyFont="1" applyFill="1" applyBorder="1" applyAlignment="1">
      <alignment horizontal="center" wrapText="1"/>
    </xf>
    <xf numFmtId="0" fontId="1" fillId="2" borderId="18" xfId="0" applyFont="1" applyFill="1" applyBorder="1"/>
    <xf numFmtId="0" fontId="1" fillId="2" borderId="124" xfId="0" applyFont="1" applyFill="1" applyBorder="1" applyAlignment="1">
      <alignment wrapText="1"/>
    </xf>
    <xf numFmtId="0" fontId="1" fillId="2" borderId="124" xfId="0" applyFont="1" applyFill="1" applyBorder="1" applyAlignment="1">
      <alignment horizontal="center" wrapText="1"/>
    </xf>
    <xf numFmtId="0" fontId="1" fillId="2" borderId="124" xfId="0" applyFont="1" applyFill="1" applyBorder="1"/>
    <xf numFmtId="0" fontId="19" fillId="2" borderId="125" xfId="0" applyFont="1" applyFill="1" applyBorder="1" applyAlignment="1">
      <alignment horizontal="center" vertical="center" wrapText="1"/>
    </xf>
    <xf numFmtId="0" fontId="19" fillId="2" borderId="74" xfId="0" applyFont="1" applyFill="1" applyBorder="1" applyAlignment="1">
      <alignment horizontal="center" vertical="center" wrapText="1"/>
    </xf>
    <xf numFmtId="0" fontId="19" fillId="12" borderId="75" xfId="0" applyFont="1" applyFill="1" applyBorder="1" applyAlignment="1">
      <alignment horizontal="center" vertical="center" wrapText="1"/>
    </xf>
    <xf numFmtId="0" fontId="19" fillId="12" borderId="76"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19" fillId="2" borderId="1" xfId="0" applyFont="1" applyFill="1" applyBorder="1" applyAlignment="1">
      <alignment horizontal="center" wrapText="1"/>
    </xf>
    <xf numFmtId="0" fontId="1" fillId="13" borderId="1" xfId="0" applyFont="1" applyFill="1" applyBorder="1" applyAlignment="1">
      <alignment horizontal="center" vertical="center" wrapText="1"/>
    </xf>
    <xf numFmtId="0" fontId="19" fillId="13" borderId="1" xfId="0" applyFont="1" applyFill="1" applyBorder="1" applyAlignment="1">
      <alignment horizontal="center" vertical="center" wrapText="1"/>
    </xf>
    <xf numFmtId="0" fontId="19" fillId="13" borderId="1" xfId="0" applyFont="1" applyFill="1" applyBorder="1" applyAlignment="1">
      <alignment horizontal="center" wrapText="1"/>
    </xf>
    <xf numFmtId="0" fontId="1" fillId="2" borderId="126" xfId="0" applyFont="1" applyFill="1" applyBorder="1"/>
    <xf numFmtId="0" fontId="19" fillId="4" borderId="72" xfId="0" applyFont="1" applyFill="1" applyBorder="1" applyAlignment="1">
      <alignment horizontal="center" vertical="center" wrapText="1"/>
    </xf>
    <xf numFmtId="0" fontId="19" fillId="4" borderId="130" xfId="0" applyFont="1" applyFill="1" applyBorder="1" applyAlignment="1">
      <alignment horizontal="center" vertical="center" wrapText="1"/>
    </xf>
    <xf numFmtId="0" fontId="19" fillId="4" borderId="74" xfId="0" applyFont="1" applyFill="1" applyBorder="1" applyAlignment="1">
      <alignment horizontal="center" vertical="center" wrapText="1"/>
    </xf>
    <xf numFmtId="0" fontId="19" fillId="16" borderId="72" xfId="0" applyFont="1" applyFill="1" applyBorder="1" applyAlignment="1">
      <alignment horizontal="center" vertical="center" wrapText="1"/>
    </xf>
    <xf numFmtId="0" fontId="19" fillId="16" borderId="130" xfId="0" applyFont="1" applyFill="1" applyBorder="1" applyAlignment="1">
      <alignment horizontal="center" vertical="center" wrapText="1"/>
    </xf>
    <xf numFmtId="0" fontId="19" fillId="16" borderId="74" xfId="0" applyFont="1" applyFill="1" applyBorder="1" applyAlignment="1">
      <alignment horizontal="center" vertical="center" wrapText="1"/>
    </xf>
    <xf numFmtId="0" fontId="19" fillId="17" borderId="133" xfId="0" applyFont="1" applyFill="1" applyBorder="1"/>
    <xf numFmtId="0" fontId="19" fillId="17" borderId="134" xfId="0" applyFont="1" applyFill="1" applyBorder="1"/>
    <xf numFmtId="0" fontId="1" fillId="2" borderId="38" xfId="0" applyFont="1" applyFill="1" applyBorder="1" applyAlignment="1">
      <alignment horizontal="center" vertical="center"/>
    </xf>
    <xf numFmtId="0" fontId="1" fillId="2" borderId="39" xfId="0" applyFont="1" applyFill="1" applyBorder="1" applyAlignment="1">
      <alignment horizontal="left" vertical="center"/>
    </xf>
    <xf numFmtId="0" fontId="1" fillId="2" borderId="39" xfId="0" applyFont="1" applyFill="1" applyBorder="1" applyAlignment="1">
      <alignment horizontal="center" vertical="center"/>
    </xf>
    <xf numFmtId="0" fontId="1" fillId="2" borderId="39" xfId="0" applyFont="1" applyFill="1" applyBorder="1" applyAlignment="1">
      <alignment horizontal="center" vertical="center"/>
    </xf>
    <xf numFmtId="0" fontId="1" fillId="2" borderId="40" xfId="0" applyFont="1" applyFill="1" applyBorder="1" applyAlignment="1">
      <alignment horizontal="center" vertical="center"/>
    </xf>
    <xf numFmtId="0" fontId="1" fillId="2" borderId="39" xfId="0" applyFont="1" applyFill="1" applyBorder="1" applyAlignment="1"/>
    <xf numFmtId="172" fontId="1" fillId="2" borderId="39" xfId="0" applyNumberFormat="1" applyFont="1" applyFill="1" applyBorder="1" applyAlignment="1"/>
    <xf numFmtId="172" fontId="1" fillId="2" borderId="136" xfId="0" applyNumberFormat="1" applyFont="1" applyFill="1" applyBorder="1"/>
    <xf numFmtId="2" fontId="1" fillId="2" borderId="39" xfId="0" applyNumberFormat="1" applyFont="1" applyFill="1" applyBorder="1" applyAlignment="1"/>
    <xf numFmtId="171" fontId="1" fillId="2" borderId="39" xfId="0" applyNumberFormat="1" applyFont="1" applyFill="1" applyBorder="1" applyAlignment="1"/>
    <xf numFmtId="171" fontId="1" fillId="2" borderId="136" xfId="0" applyNumberFormat="1" applyFont="1" applyFill="1" applyBorder="1"/>
    <xf numFmtId="0" fontId="1" fillId="2" borderId="137" xfId="0" applyFont="1" applyFill="1" applyBorder="1" applyAlignment="1">
      <alignment horizontal="center" vertical="center"/>
    </xf>
    <xf numFmtId="0" fontId="1" fillId="2" borderId="138" xfId="0" applyFont="1" applyFill="1" applyBorder="1" applyAlignment="1">
      <alignment vertical="center" wrapText="1"/>
    </xf>
    <xf numFmtId="0" fontId="1" fillId="2" borderId="138" xfId="0" applyFont="1" applyFill="1" applyBorder="1" applyAlignment="1">
      <alignment horizontal="center" vertical="center"/>
    </xf>
    <xf numFmtId="0" fontId="1" fillId="2" borderId="138" xfId="0" applyFont="1" applyFill="1" applyBorder="1" applyAlignment="1">
      <alignment horizontal="center" vertical="center"/>
    </xf>
    <xf numFmtId="0" fontId="1" fillId="2" borderId="139" xfId="0" applyFont="1" applyFill="1" applyBorder="1"/>
    <xf numFmtId="0" fontId="1" fillId="2" borderId="18" xfId="0" applyFont="1" applyFill="1" applyBorder="1" applyAlignment="1"/>
    <xf numFmtId="172" fontId="1" fillId="2" borderId="18" xfId="0" applyNumberFormat="1" applyFont="1" applyFill="1" applyBorder="1" applyAlignment="1"/>
    <xf numFmtId="172" fontId="1" fillId="2" borderId="140" xfId="0" applyNumberFormat="1" applyFont="1" applyFill="1" applyBorder="1"/>
    <xf numFmtId="0" fontId="1" fillId="2" borderId="140" xfId="0" applyFont="1" applyFill="1" applyBorder="1"/>
    <xf numFmtId="2" fontId="1" fillId="2" borderId="18" xfId="0" applyNumberFormat="1" applyFont="1" applyFill="1" applyBorder="1" applyAlignment="1"/>
    <xf numFmtId="0" fontId="1" fillId="2" borderId="137" xfId="0" applyFont="1" applyFill="1" applyBorder="1" applyAlignment="1">
      <alignment horizontal="center" vertical="center"/>
    </xf>
    <xf numFmtId="0" fontId="1" fillId="2" borderId="138" xfId="0" applyFont="1" applyFill="1" applyBorder="1" applyAlignment="1">
      <alignment vertical="center" wrapText="1"/>
    </xf>
    <xf numFmtId="0" fontId="1" fillId="2" borderId="41" xfId="0" applyFont="1" applyFill="1" applyBorder="1" applyAlignment="1">
      <alignment horizontal="center" vertical="center"/>
    </xf>
    <xf numFmtId="0" fontId="1" fillId="2" borderId="18" xfId="0" applyFont="1" applyFill="1" applyBorder="1" applyAlignment="1">
      <alignment vertical="center" wrapText="1"/>
    </xf>
    <xf numFmtId="0" fontId="1" fillId="2" borderId="18" xfId="0" applyFont="1" applyFill="1" applyBorder="1" applyAlignment="1">
      <alignment horizontal="center" vertical="center"/>
    </xf>
    <xf numFmtId="0" fontId="1" fillId="2" borderId="44" xfId="0" applyFont="1" applyFill="1" applyBorder="1"/>
    <xf numFmtId="0" fontId="1" fillId="2" borderId="143" xfId="0" applyFont="1" applyFill="1" applyBorder="1"/>
    <xf numFmtId="0" fontId="1" fillId="2" borderId="146" xfId="0" applyFont="1" applyFill="1" applyBorder="1"/>
    <xf numFmtId="173" fontId="1" fillId="2" borderId="147" xfId="0" applyNumberFormat="1" applyFont="1" applyFill="1" applyBorder="1"/>
    <xf numFmtId="171" fontId="1" fillId="2" borderId="147" xfId="0" applyNumberFormat="1" applyFont="1" applyFill="1" applyBorder="1"/>
    <xf numFmtId="0" fontId="1" fillId="2" borderId="60" xfId="0" applyFont="1" applyFill="1" applyBorder="1" applyAlignment="1">
      <alignment horizontal="center" vertical="center"/>
    </xf>
    <xf numFmtId="0" fontId="1" fillId="2" borderId="124" xfId="0" applyFont="1" applyFill="1" applyBorder="1" applyAlignment="1">
      <alignment vertical="center" wrapText="1"/>
    </xf>
    <xf numFmtId="0" fontId="1" fillId="2" borderId="124" xfId="0" applyFont="1" applyFill="1" applyBorder="1" applyAlignment="1">
      <alignment horizontal="center" vertical="center"/>
    </xf>
    <xf numFmtId="0" fontId="1" fillId="2" borderId="43" xfId="0" applyFont="1" applyFill="1" applyBorder="1" applyAlignment="1">
      <alignment horizontal="center" vertical="center"/>
    </xf>
    <xf numFmtId="0" fontId="1" fillId="2" borderId="44" xfId="0" applyFont="1" applyFill="1" applyBorder="1" applyAlignment="1">
      <alignment vertical="center" wrapText="1"/>
    </xf>
    <xf numFmtId="0" fontId="1" fillId="2" borderId="44" xfId="0" applyFont="1" applyFill="1" applyBorder="1" applyAlignment="1">
      <alignment horizontal="center" vertical="center"/>
    </xf>
    <xf numFmtId="2" fontId="19" fillId="2" borderId="74" xfId="0" applyNumberFormat="1" applyFont="1" applyFill="1" applyBorder="1" applyAlignment="1">
      <alignment horizontal="center" vertical="center"/>
    </xf>
    <xf numFmtId="0" fontId="19" fillId="12" borderId="75" xfId="0" applyFont="1" applyFill="1" applyBorder="1" applyAlignment="1">
      <alignment horizontal="center" vertical="center" wrapText="1"/>
    </xf>
    <xf numFmtId="174" fontId="19" fillId="2" borderId="76" xfId="0" applyNumberFormat="1" applyFont="1" applyFill="1" applyBorder="1" applyAlignment="1">
      <alignment horizontal="center" vertical="center"/>
    </xf>
    <xf numFmtId="171" fontId="1" fillId="2" borderId="1" xfId="0" applyNumberFormat="1" applyFont="1" applyFill="1" applyBorder="1" applyAlignment="1">
      <alignment horizontal="left" vertical="center"/>
    </xf>
    <xf numFmtId="0" fontId="1" fillId="2" borderId="1" xfId="0" applyFont="1" applyFill="1" applyBorder="1" applyAlignment="1">
      <alignment horizontal="left" vertical="center"/>
    </xf>
    <xf numFmtId="0" fontId="19" fillId="2" borderId="1" xfId="0" applyFont="1" applyFill="1" applyBorder="1" applyAlignment="1">
      <alignment horizontal="center"/>
    </xf>
    <xf numFmtId="1" fontId="19" fillId="2" borderId="1" xfId="0" applyNumberFormat="1" applyFont="1" applyFill="1" applyBorder="1" applyAlignment="1">
      <alignment horizontal="center"/>
    </xf>
    <xf numFmtId="0" fontId="1" fillId="13" borderId="1" xfId="0" applyFont="1" applyFill="1" applyBorder="1" applyAlignment="1">
      <alignment wrapText="1"/>
    </xf>
    <xf numFmtId="0" fontId="19" fillId="13" borderId="1" xfId="0" applyFont="1" applyFill="1" applyBorder="1" applyAlignment="1">
      <alignment horizontal="center"/>
    </xf>
    <xf numFmtId="1" fontId="19" fillId="13" borderId="1" xfId="0" applyNumberFormat="1" applyFont="1" applyFill="1" applyBorder="1" applyAlignment="1">
      <alignment horizontal="center"/>
    </xf>
    <xf numFmtId="0" fontId="22" fillId="0" borderId="18" xfId="0" applyFont="1" applyBorder="1" applyAlignment="1"/>
    <xf numFmtId="0" fontId="1" fillId="2" borderId="148" xfId="0" applyFont="1" applyFill="1" applyBorder="1" applyAlignment="1">
      <alignment vertical="center" wrapText="1"/>
    </xf>
    <xf numFmtId="0" fontId="1" fillId="2" borderId="41" xfId="0" applyFont="1" applyFill="1" applyBorder="1" applyAlignment="1">
      <alignment horizontal="center" vertical="center"/>
    </xf>
    <xf numFmtId="0" fontId="1" fillId="2" borderId="40" xfId="0" applyFont="1" applyFill="1" applyBorder="1" applyAlignment="1">
      <alignment horizontal="center" vertical="center"/>
    </xf>
    <xf numFmtId="0" fontId="1" fillId="2" borderId="60" xfId="0" applyFont="1" applyFill="1" applyBorder="1" applyAlignment="1">
      <alignment horizontal="center" vertical="center"/>
    </xf>
    <xf numFmtId="0" fontId="1" fillId="2" borderId="43" xfId="0" applyFont="1" applyFill="1" applyBorder="1" applyAlignment="1">
      <alignment horizontal="center" vertical="center"/>
    </xf>
    <xf numFmtId="2" fontId="1" fillId="2" borderId="37" xfId="0" applyNumberFormat="1" applyFont="1" applyFill="1" applyBorder="1" applyAlignment="1">
      <alignment horizontal="center" vertical="center"/>
    </xf>
    <xf numFmtId="175" fontId="19" fillId="2" borderId="76" xfId="0" applyNumberFormat="1" applyFont="1" applyFill="1" applyBorder="1" applyAlignment="1">
      <alignment horizontal="center" vertical="center"/>
    </xf>
    <xf numFmtId="0" fontId="1" fillId="2" borderId="152" xfId="0" applyFont="1" applyFill="1" applyBorder="1"/>
    <xf numFmtId="0" fontId="22" fillId="0" borderId="0" xfId="0" applyFont="1" applyAlignment="1"/>
    <xf numFmtId="0" fontId="1" fillId="2" borderId="18" xfId="0" applyFont="1" applyFill="1" applyBorder="1" applyAlignment="1">
      <alignment vertical="center" wrapText="1"/>
    </xf>
    <xf numFmtId="0" fontId="1" fillId="2" borderId="18" xfId="0" applyFont="1" applyFill="1" applyBorder="1" applyAlignment="1">
      <alignment horizontal="center" vertical="center"/>
    </xf>
    <xf numFmtId="2" fontId="1" fillId="2" borderId="44" xfId="0" applyNumberFormat="1" applyFont="1" applyFill="1" applyBorder="1"/>
    <xf numFmtId="171" fontId="1" fillId="2" borderId="44" xfId="0" applyNumberFormat="1" applyFont="1" applyFill="1" applyBorder="1"/>
    <xf numFmtId="171" fontId="1" fillId="2" borderId="143" xfId="0" applyNumberFormat="1" applyFont="1" applyFill="1" applyBorder="1"/>
    <xf numFmtId="0" fontId="1" fillId="2" borderId="155" xfId="0" applyFont="1" applyFill="1" applyBorder="1"/>
    <xf numFmtId="172" fontId="1" fillId="2" borderId="156" xfId="0" applyNumberFormat="1" applyFont="1" applyFill="1" applyBorder="1"/>
    <xf numFmtId="171" fontId="1" fillId="2" borderId="156" xfId="0" applyNumberFormat="1" applyFont="1" applyFill="1" applyBorder="1"/>
    <xf numFmtId="0" fontId="1" fillId="2" borderId="14" xfId="0" applyFont="1" applyFill="1" applyBorder="1" applyAlignment="1">
      <alignment horizontal="center" vertical="center" wrapText="1"/>
    </xf>
    <xf numFmtId="1" fontId="19" fillId="2" borderId="1" xfId="0" applyNumberFormat="1" applyFont="1" applyFill="1" applyBorder="1" applyAlignment="1">
      <alignment horizontal="center" vertical="center"/>
    </xf>
    <xf numFmtId="0" fontId="19" fillId="4" borderId="0" xfId="0" applyFont="1" applyFill="1" applyAlignment="1">
      <alignment horizontal="center" vertical="center"/>
    </xf>
    <xf numFmtId="0" fontId="19" fillId="4" borderId="18" xfId="0" applyFont="1" applyFill="1" applyBorder="1" applyAlignment="1">
      <alignment horizontal="center" vertical="center" wrapText="1"/>
    </xf>
    <xf numFmtId="0" fontId="19" fillId="4" borderId="0" xfId="0" applyFont="1" applyFill="1" applyAlignment="1">
      <alignment horizontal="center" vertical="center" wrapText="1"/>
    </xf>
    <xf numFmtId="169" fontId="16" fillId="7" borderId="157" xfId="0" applyNumberFormat="1" applyFont="1" applyFill="1" applyBorder="1"/>
    <xf numFmtId="0" fontId="19" fillId="12" borderId="21" xfId="0" applyFont="1" applyFill="1" applyBorder="1" applyAlignment="1">
      <alignment horizontal="left"/>
    </xf>
    <xf numFmtId="170" fontId="1" fillId="2" borderId="21" xfId="0" applyNumberFormat="1" applyFont="1" applyFill="1" applyBorder="1"/>
    <xf numFmtId="1" fontId="1" fillId="2" borderId="18" xfId="0" applyNumberFormat="1" applyFont="1" applyFill="1" applyBorder="1"/>
    <xf numFmtId="169" fontId="16" fillId="7" borderId="158" xfId="0" applyNumberFormat="1" applyFont="1" applyFill="1" applyBorder="1"/>
    <xf numFmtId="169" fontId="16" fillId="7" borderId="159" xfId="0" applyNumberFormat="1" applyFont="1" applyFill="1" applyBorder="1"/>
    <xf numFmtId="169" fontId="16" fillId="8" borderId="157" xfId="0" applyNumberFormat="1" applyFont="1" applyFill="1" applyBorder="1"/>
    <xf numFmtId="170" fontId="1" fillId="2" borderId="21" xfId="0" applyNumberFormat="1" applyFont="1" applyFill="1" applyBorder="1" applyAlignment="1"/>
    <xf numFmtId="169" fontId="16" fillId="8" borderId="158" xfId="0" applyNumberFormat="1" applyFont="1" applyFill="1" applyBorder="1"/>
    <xf numFmtId="169" fontId="16" fillId="8" borderId="160" xfId="0" applyNumberFormat="1" applyFont="1" applyFill="1" applyBorder="1"/>
    <xf numFmtId="0" fontId="19" fillId="12" borderId="10" xfId="0" applyFont="1" applyFill="1" applyBorder="1" applyAlignment="1">
      <alignment horizontal="left"/>
    </xf>
    <xf numFmtId="2" fontId="19" fillId="12" borderId="21" xfId="0" applyNumberFormat="1" applyFont="1" applyFill="1" applyBorder="1" applyAlignment="1">
      <alignment horizontal="left"/>
    </xf>
    <xf numFmtId="2" fontId="19" fillId="12" borderId="18" xfId="0" applyNumberFormat="1" applyFont="1" applyFill="1" applyBorder="1"/>
    <xf numFmtId="2" fontId="19" fillId="12" borderId="0" xfId="0" applyNumberFormat="1" applyFont="1" applyFill="1"/>
    <xf numFmtId="0" fontId="1" fillId="2" borderId="14" xfId="0" applyFont="1" applyFill="1" applyBorder="1" applyAlignment="1">
      <alignment wrapText="1"/>
    </xf>
    <xf numFmtId="1" fontId="1" fillId="2" borderId="18" xfId="0" applyNumberFormat="1" applyFont="1" applyFill="1" applyBorder="1" applyAlignment="1"/>
    <xf numFmtId="169" fontId="16" fillId="8" borderId="159" xfId="0" applyNumberFormat="1" applyFont="1" applyFill="1" applyBorder="1"/>
    <xf numFmtId="0" fontId="19" fillId="12" borderId="19" xfId="0" applyFont="1" applyFill="1" applyBorder="1" applyAlignment="1">
      <alignment horizontal="left"/>
    </xf>
    <xf numFmtId="0" fontId="18" fillId="3" borderId="1" xfId="0" applyFont="1" applyFill="1" applyBorder="1" applyAlignment="1">
      <alignment vertical="center"/>
    </xf>
    <xf numFmtId="168" fontId="1" fillId="2" borderId="18" xfId="0" applyNumberFormat="1" applyFont="1" applyFill="1" applyBorder="1" applyAlignment="1">
      <alignment horizontal="center"/>
    </xf>
    <xf numFmtId="169" fontId="14" fillId="5" borderId="35" xfId="0" applyNumberFormat="1" applyFont="1" applyFill="1" applyBorder="1" applyAlignment="1">
      <alignment horizontal="center" wrapText="1"/>
    </xf>
    <xf numFmtId="169" fontId="21" fillId="5" borderId="36" xfId="0" applyNumberFormat="1" applyFont="1" applyFill="1" applyBorder="1" applyAlignment="1">
      <alignment horizontal="center" vertical="center" wrapText="1"/>
    </xf>
    <xf numFmtId="169" fontId="21" fillId="5" borderId="37" xfId="0" applyNumberFormat="1" applyFont="1" applyFill="1" applyBorder="1" applyAlignment="1">
      <alignment horizontal="center" vertical="center" wrapText="1"/>
    </xf>
    <xf numFmtId="165" fontId="1" fillId="18" borderId="39" xfId="0" applyNumberFormat="1" applyFont="1" applyFill="1" applyBorder="1" applyAlignment="1">
      <alignment wrapText="1"/>
    </xf>
    <xf numFmtId="165" fontId="1" fillId="18" borderId="40" xfId="0" applyNumberFormat="1" applyFont="1" applyFill="1" applyBorder="1" applyAlignment="1">
      <alignment wrapText="1"/>
    </xf>
    <xf numFmtId="165" fontId="1" fillId="18" borderId="18" xfId="0" applyNumberFormat="1" applyFont="1" applyFill="1" applyBorder="1" applyAlignment="1">
      <alignment wrapText="1"/>
    </xf>
    <xf numFmtId="165" fontId="1" fillId="18" borderId="42" xfId="0" applyNumberFormat="1" applyFont="1" applyFill="1" applyBorder="1" applyAlignment="1">
      <alignment wrapText="1"/>
    </xf>
    <xf numFmtId="165" fontId="1" fillId="18" borderId="44" xfId="0" applyNumberFormat="1" applyFont="1" applyFill="1" applyBorder="1" applyAlignment="1">
      <alignment wrapText="1"/>
    </xf>
    <xf numFmtId="165" fontId="1" fillId="18" borderId="45" xfId="0" applyNumberFormat="1" applyFont="1" applyFill="1" applyBorder="1" applyAlignment="1">
      <alignment wrapText="1"/>
    </xf>
    <xf numFmtId="165" fontId="1" fillId="8" borderId="39" xfId="0" applyNumberFormat="1" applyFont="1" applyFill="1" applyBorder="1" applyAlignment="1">
      <alignment wrapText="1"/>
    </xf>
    <xf numFmtId="165" fontId="1" fillId="8" borderId="40" xfId="0" applyNumberFormat="1" applyFont="1" applyFill="1" applyBorder="1" applyAlignment="1">
      <alignment wrapText="1"/>
    </xf>
    <xf numFmtId="165" fontId="1" fillId="8" borderId="18" xfId="0" applyNumberFormat="1" applyFont="1" applyFill="1" applyBorder="1" applyAlignment="1">
      <alignment wrapText="1"/>
    </xf>
    <xf numFmtId="165" fontId="1" fillId="8" borderId="42" xfId="0" applyNumberFormat="1" applyFont="1" applyFill="1" applyBorder="1" applyAlignment="1">
      <alignment wrapText="1"/>
    </xf>
    <xf numFmtId="169" fontId="14" fillId="8" borderId="43" xfId="0" applyNumberFormat="1" applyFont="1" applyFill="1" applyBorder="1" applyAlignment="1">
      <alignment horizontal="left" wrapText="1"/>
    </xf>
    <xf numFmtId="165" fontId="1" fillId="8" borderId="44" xfId="0" applyNumberFormat="1" applyFont="1" applyFill="1" applyBorder="1" applyAlignment="1">
      <alignment wrapText="1"/>
    </xf>
    <xf numFmtId="165" fontId="1" fillId="8" borderId="45" xfId="0" applyNumberFormat="1" applyFont="1" applyFill="1" applyBorder="1" applyAlignment="1">
      <alignment wrapText="1"/>
    </xf>
    <xf numFmtId="169" fontId="14" fillId="5" borderId="38" xfId="0" applyNumberFormat="1" applyFont="1" applyFill="1" applyBorder="1" applyAlignment="1">
      <alignment horizontal="left" wrapText="1"/>
    </xf>
    <xf numFmtId="165" fontId="1" fillId="5" borderId="39" xfId="0" applyNumberFormat="1" applyFont="1" applyFill="1" applyBorder="1" applyAlignment="1">
      <alignment wrapText="1"/>
    </xf>
    <xf numFmtId="165" fontId="1" fillId="5" borderId="40" xfId="0" applyNumberFormat="1" applyFont="1" applyFill="1" applyBorder="1" applyAlignment="1">
      <alignment wrapText="1"/>
    </xf>
    <xf numFmtId="169" fontId="14" fillId="5" borderId="41" xfId="0" applyNumberFormat="1" applyFont="1" applyFill="1" applyBorder="1" applyAlignment="1">
      <alignment horizontal="left" wrapText="1"/>
    </xf>
    <xf numFmtId="165" fontId="1" fillId="5" borderId="18" xfId="0" applyNumberFormat="1" applyFont="1" applyFill="1" applyBorder="1" applyAlignment="1">
      <alignment wrapText="1"/>
    </xf>
    <xf numFmtId="165" fontId="1" fillId="5" borderId="42" xfId="0" applyNumberFormat="1" applyFont="1" applyFill="1" applyBorder="1" applyAlignment="1">
      <alignment wrapText="1"/>
    </xf>
    <xf numFmtId="169" fontId="14" fillId="5" borderId="43" xfId="0" applyNumberFormat="1" applyFont="1" applyFill="1" applyBorder="1" applyAlignment="1">
      <alignment horizontal="left" vertical="center" wrapText="1"/>
    </xf>
    <xf numFmtId="165" fontId="1" fillId="5" borderId="44" xfId="0" applyNumberFormat="1" applyFont="1" applyFill="1" applyBorder="1" applyAlignment="1">
      <alignment wrapText="1"/>
    </xf>
    <xf numFmtId="165" fontId="1" fillId="5" borderId="45" xfId="0" applyNumberFormat="1" applyFont="1" applyFill="1" applyBorder="1" applyAlignment="1">
      <alignment wrapText="1"/>
    </xf>
    <xf numFmtId="169" fontId="14" fillId="10" borderId="137" xfId="0" applyNumberFormat="1" applyFont="1" applyFill="1" applyBorder="1" applyAlignment="1">
      <alignment horizontal="left" vertical="center" wrapText="1"/>
    </xf>
    <xf numFmtId="165" fontId="1" fillId="10" borderId="138" xfId="0" applyNumberFormat="1" applyFont="1" applyFill="1" applyBorder="1" applyAlignment="1">
      <alignment wrapText="1"/>
    </xf>
    <xf numFmtId="165" fontId="1" fillId="10" borderId="170" xfId="0" applyNumberFormat="1" applyFont="1" applyFill="1" applyBorder="1" applyAlignment="1">
      <alignment wrapText="1"/>
    </xf>
    <xf numFmtId="0" fontId="19" fillId="6" borderId="43" xfId="0" applyFont="1" applyFill="1" applyBorder="1" applyAlignment="1">
      <alignment wrapText="1"/>
    </xf>
    <xf numFmtId="165" fontId="19" fillId="6" borderId="44" xfId="0" applyNumberFormat="1" applyFont="1" applyFill="1" applyBorder="1" applyAlignment="1">
      <alignment wrapText="1"/>
    </xf>
    <xf numFmtId="165" fontId="19" fillId="6" borderId="45" xfId="0" applyNumberFormat="1" applyFont="1" applyFill="1" applyBorder="1" applyAlignment="1">
      <alignment wrapText="1"/>
    </xf>
    <xf numFmtId="168" fontId="1" fillId="2" borderId="1" xfId="0" applyNumberFormat="1" applyFont="1" applyFill="1" applyBorder="1" applyAlignment="1">
      <alignment horizontal="center"/>
    </xf>
    <xf numFmtId="0" fontId="19" fillId="5" borderId="41" xfId="0" applyFont="1" applyFill="1" applyBorder="1" applyAlignment="1">
      <alignment horizontal="center"/>
    </xf>
    <xf numFmtId="0" fontId="19" fillId="5" borderId="18" xfId="0" applyFont="1" applyFill="1" applyBorder="1" applyAlignment="1">
      <alignment horizontal="center"/>
    </xf>
    <xf numFmtId="0" fontId="19" fillId="5" borderId="42" xfId="0" applyFont="1" applyFill="1" applyBorder="1" applyAlignment="1">
      <alignment horizontal="center"/>
    </xf>
    <xf numFmtId="168" fontId="1" fillId="19" borderId="43" xfId="0" applyNumberFormat="1" applyFont="1" applyFill="1" applyBorder="1" applyAlignment="1">
      <alignment horizontal="center"/>
    </xf>
    <xf numFmtId="168" fontId="1" fillId="19" borderId="44" xfId="0" applyNumberFormat="1" applyFont="1" applyFill="1" applyBorder="1" applyAlignment="1">
      <alignment horizontal="center"/>
    </xf>
    <xf numFmtId="168" fontId="1" fillId="19" borderId="45" xfId="0" applyNumberFormat="1" applyFont="1" applyFill="1" applyBorder="1" applyAlignment="1">
      <alignment horizontal="center"/>
    </xf>
    <xf numFmtId="0" fontId="19" fillId="4" borderId="171" xfId="0" applyFont="1" applyFill="1" applyBorder="1" applyAlignment="1">
      <alignment horizontal="center"/>
    </xf>
    <xf numFmtId="0" fontId="19" fillId="4" borderId="172" xfId="0" applyFont="1" applyFill="1" applyBorder="1" applyAlignment="1">
      <alignment horizontal="center"/>
    </xf>
    <xf numFmtId="0" fontId="19" fillId="4" borderId="173" xfId="0" applyFont="1" applyFill="1" applyBorder="1" applyAlignment="1">
      <alignment horizontal="center"/>
    </xf>
    <xf numFmtId="0" fontId="19" fillId="4" borderId="89" xfId="0" applyFont="1" applyFill="1" applyBorder="1" applyAlignment="1">
      <alignment horizontal="center"/>
    </xf>
    <xf numFmtId="0" fontId="19" fillId="4" borderId="83" xfId="0" applyFont="1" applyFill="1" applyBorder="1" applyAlignment="1">
      <alignment horizontal="center"/>
    </xf>
    <xf numFmtId="0" fontId="1" fillId="0" borderId="56" xfId="0" applyFont="1" applyBorder="1"/>
    <xf numFmtId="165" fontId="1" fillId="0" borderId="21" xfId="0" applyNumberFormat="1" applyFont="1" applyBorder="1" applyAlignment="1">
      <alignment horizontal="center"/>
    </xf>
    <xf numFmtId="165" fontId="19" fillId="4" borderId="158" xfId="0" applyNumberFormat="1" applyFont="1" applyFill="1" applyBorder="1" applyAlignment="1">
      <alignment horizontal="center"/>
    </xf>
    <xf numFmtId="0" fontId="1" fillId="2" borderId="174" xfId="0" applyFont="1" applyFill="1" applyBorder="1" applyAlignment="1">
      <alignment horizontal="left"/>
    </xf>
    <xf numFmtId="0" fontId="1" fillId="2" borderId="174" xfId="0" applyFont="1" applyFill="1" applyBorder="1" applyAlignment="1">
      <alignment wrapText="1"/>
    </xf>
    <xf numFmtId="0" fontId="1" fillId="2" borderId="174" xfId="0" applyFont="1" applyFill="1" applyBorder="1"/>
    <xf numFmtId="0" fontId="1" fillId="2" borderId="174" xfId="0" applyFont="1" applyFill="1" applyBorder="1" applyAlignment="1"/>
    <xf numFmtId="0" fontId="1" fillId="0" borderId="81" xfId="0" applyFont="1" applyBorder="1"/>
    <xf numFmtId="165" fontId="1" fillId="0" borderId="121" xfId="0" applyNumberFormat="1" applyFont="1" applyBorder="1" applyAlignment="1">
      <alignment horizontal="center"/>
    </xf>
    <xf numFmtId="165" fontId="19" fillId="4" borderId="160" xfId="0" applyNumberFormat="1" applyFont="1" applyFill="1" applyBorder="1" applyAlignment="1">
      <alignment horizontal="center"/>
    </xf>
    <xf numFmtId="0" fontId="1" fillId="2" borderId="175" xfId="0" applyFont="1" applyFill="1" applyBorder="1" applyAlignment="1">
      <alignment horizontal="left"/>
    </xf>
    <xf numFmtId="0" fontId="1" fillId="0" borderId="51" xfId="0" applyFont="1" applyBorder="1" applyAlignment="1">
      <alignment wrapText="1"/>
    </xf>
    <xf numFmtId="165" fontId="1" fillId="0" borderId="118" xfId="0" applyNumberFormat="1" applyFont="1" applyBorder="1" applyAlignment="1">
      <alignment horizontal="left" vertical="center"/>
    </xf>
    <xf numFmtId="165" fontId="19" fillId="4" borderId="157" xfId="0" applyNumberFormat="1" applyFont="1" applyFill="1" applyBorder="1" applyAlignment="1">
      <alignment horizontal="left" vertical="center"/>
    </xf>
    <xf numFmtId="0" fontId="1" fillId="2" borderId="176" xfId="0" applyFont="1" applyFill="1" applyBorder="1" applyAlignment="1">
      <alignment horizontal="left" vertical="center"/>
    </xf>
    <xf numFmtId="165" fontId="1" fillId="0" borderId="121" xfId="0" applyNumberFormat="1" applyFont="1" applyBorder="1" applyAlignment="1">
      <alignment horizontal="center"/>
    </xf>
    <xf numFmtId="165" fontId="1" fillId="0" borderId="44" xfId="0" applyNumberFormat="1" applyFont="1" applyBorder="1" applyAlignment="1">
      <alignment horizontal="center"/>
    </xf>
    <xf numFmtId="165" fontId="1" fillId="0" borderId="66" xfId="0" applyNumberFormat="1" applyFont="1" applyBorder="1" applyAlignment="1">
      <alignment horizontal="center"/>
    </xf>
    <xf numFmtId="0" fontId="1" fillId="0" borderId="8" xfId="0" applyFont="1" applyBorder="1"/>
    <xf numFmtId="165" fontId="1" fillId="0" borderId="177" xfId="0" applyNumberFormat="1" applyFont="1" applyBorder="1" applyAlignment="1">
      <alignment horizontal="center"/>
    </xf>
    <xf numFmtId="165" fontId="19" fillId="4" borderId="89" xfId="0" applyNumberFormat="1" applyFont="1" applyFill="1" applyBorder="1" applyAlignment="1">
      <alignment horizontal="center"/>
    </xf>
    <xf numFmtId="0" fontId="1" fillId="2" borderId="83" xfId="0" applyFont="1" applyFill="1" applyBorder="1" applyAlignment="1">
      <alignment horizontal="left"/>
    </xf>
    <xf numFmtId="0" fontId="1" fillId="0" borderId="26" xfId="0" applyFont="1" applyBorder="1"/>
    <xf numFmtId="165" fontId="1" fillId="0" borderId="178" xfId="0" applyNumberFormat="1" applyFont="1" applyBorder="1" applyAlignment="1">
      <alignment horizontal="center"/>
    </xf>
    <xf numFmtId="0" fontId="1" fillId="2" borderId="179" xfId="0" applyFont="1" applyFill="1" applyBorder="1" applyAlignment="1">
      <alignment horizontal="left"/>
    </xf>
    <xf numFmtId="0" fontId="1" fillId="0" borderId="56" xfId="0" applyFont="1" applyBorder="1" applyAlignment="1"/>
    <xf numFmtId="0" fontId="23" fillId="2" borderId="174" xfId="0" applyFont="1" applyFill="1" applyBorder="1" applyAlignment="1">
      <alignment horizontal="left"/>
    </xf>
    <xf numFmtId="165" fontId="19" fillId="4" borderId="180" xfId="0" applyNumberFormat="1" applyFont="1" applyFill="1" applyBorder="1" applyAlignment="1">
      <alignment horizontal="center"/>
    </xf>
    <xf numFmtId="0" fontId="19" fillId="4" borderId="75" xfId="0" applyFont="1" applyFill="1" applyBorder="1"/>
    <xf numFmtId="165" fontId="19" fillId="4" borderId="172" xfId="0" applyNumberFormat="1" applyFont="1" applyFill="1" applyBorder="1" applyAlignment="1">
      <alignment horizontal="center"/>
    </xf>
    <xf numFmtId="165" fontId="19" fillId="4" borderId="173" xfId="0" applyNumberFormat="1" applyFont="1" applyFill="1" applyBorder="1" applyAlignment="1">
      <alignment horizontal="center"/>
    </xf>
    <xf numFmtId="165" fontId="19" fillId="12" borderId="89" xfId="0" applyNumberFormat="1" applyFont="1" applyFill="1" applyBorder="1" applyAlignment="1">
      <alignment horizontal="center"/>
    </xf>
    <xf numFmtId="0" fontId="1" fillId="0" borderId="29" xfId="0" applyFont="1" applyBorder="1"/>
    <xf numFmtId="165" fontId="1" fillId="0" borderId="21" xfId="0" applyNumberFormat="1" applyFont="1" applyBorder="1" applyAlignment="1">
      <alignment horizontal="center"/>
    </xf>
    <xf numFmtId="9" fontId="1" fillId="2" borderId="1" xfId="0" applyNumberFormat="1" applyFont="1" applyFill="1" applyBorder="1" applyAlignment="1">
      <alignment horizontal="center"/>
    </xf>
    <xf numFmtId="0" fontId="19" fillId="4" borderId="53" xfId="0" applyFont="1" applyFill="1" applyBorder="1" applyAlignment="1">
      <alignment horizontal="center"/>
    </xf>
    <xf numFmtId="0" fontId="19" fillId="4" borderId="54" xfId="0" applyFont="1" applyFill="1" applyBorder="1" applyAlignment="1">
      <alignment horizontal="center"/>
    </xf>
    <xf numFmtId="0" fontId="19" fillId="4" borderId="184" xfId="0" applyFont="1" applyFill="1" applyBorder="1" applyAlignment="1">
      <alignment horizontal="center"/>
    </xf>
    <xf numFmtId="0" fontId="19" fillId="4" borderId="185" xfId="0" applyFont="1" applyFill="1" applyBorder="1" applyAlignment="1">
      <alignment horizontal="center"/>
    </xf>
    <xf numFmtId="0" fontId="19" fillId="4" borderId="186" xfId="0" applyFont="1" applyFill="1" applyBorder="1" applyAlignment="1">
      <alignment horizontal="center"/>
    </xf>
    <xf numFmtId="0" fontId="1" fillId="0" borderId="38" xfId="0" applyFont="1" applyBorder="1" applyAlignment="1">
      <alignment horizontal="left" vertical="center"/>
    </xf>
    <xf numFmtId="173" fontId="1" fillId="0" borderId="62" xfId="0" applyNumberFormat="1" applyFont="1" applyBorder="1" applyAlignment="1">
      <alignment horizontal="center"/>
    </xf>
    <xf numFmtId="1" fontId="1" fillId="0" borderId="38" xfId="0" applyNumberFormat="1" applyFont="1" applyBorder="1" applyAlignment="1">
      <alignment horizontal="center"/>
    </xf>
    <xf numFmtId="165" fontId="1" fillId="0" borderId="40" xfId="0" applyNumberFormat="1" applyFont="1" applyBorder="1" applyAlignment="1">
      <alignment horizontal="center"/>
    </xf>
    <xf numFmtId="1" fontId="1" fillId="0" borderId="118" xfId="0" applyNumberFormat="1" applyFont="1" applyBorder="1" applyAlignment="1">
      <alignment horizontal="center"/>
    </xf>
    <xf numFmtId="165" fontId="1" fillId="0" borderId="62" xfId="0" applyNumberFormat="1" applyFont="1" applyBorder="1" applyAlignment="1">
      <alignment horizontal="center"/>
    </xf>
    <xf numFmtId="165" fontId="1" fillId="5" borderId="157" xfId="0" applyNumberFormat="1" applyFont="1" applyFill="1" applyBorder="1"/>
    <xf numFmtId="0" fontId="1" fillId="0" borderId="41" xfId="0" applyFont="1" applyBorder="1" applyAlignment="1">
      <alignment horizontal="left" vertical="center"/>
    </xf>
    <xf numFmtId="173" fontId="1" fillId="0" borderId="19" xfId="0" applyNumberFormat="1" applyFont="1" applyBorder="1" applyAlignment="1">
      <alignment horizontal="center"/>
    </xf>
    <xf numFmtId="1" fontId="1" fillId="0" borderId="41" xfId="0" applyNumberFormat="1" applyFont="1" applyBorder="1" applyAlignment="1">
      <alignment horizontal="center"/>
    </xf>
    <xf numFmtId="165" fontId="1" fillId="0" borderId="42" xfId="0" applyNumberFormat="1" applyFont="1" applyBorder="1" applyAlignment="1">
      <alignment horizontal="center"/>
    </xf>
    <xf numFmtId="1" fontId="1" fillId="0" borderId="21" xfId="0" applyNumberFormat="1" applyFont="1" applyBorder="1" applyAlignment="1">
      <alignment horizontal="center"/>
    </xf>
    <xf numFmtId="165" fontId="1" fillId="0" borderId="19" xfId="0" applyNumberFormat="1" applyFont="1" applyBorder="1" applyAlignment="1">
      <alignment horizontal="center"/>
    </xf>
    <xf numFmtId="165" fontId="1" fillId="5" borderId="158" xfId="0" applyNumberFormat="1" applyFont="1" applyFill="1" applyBorder="1"/>
    <xf numFmtId="0" fontId="1" fillId="0" borderId="43" xfId="0" applyFont="1" applyBorder="1" applyAlignment="1">
      <alignment horizontal="left" vertical="center"/>
    </xf>
    <xf numFmtId="173" fontId="1" fillId="0" borderId="66" xfId="0" applyNumberFormat="1" applyFont="1" applyBorder="1" applyAlignment="1">
      <alignment horizontal="center"/>
    </xf>
    <xf numFmtId="1" fontId="1" fillId="0" borderId="43" xfId="0" applyNumberFormat="1" applyFont="1" applyBorder="1" applyAlignment="1">
      <alignment horizontal="center"/>
    </xf>
    <xf numFmtId="165" fontId="1" fillId="0" borderId="45" xfId="0" applyNumberFormat="1" applyFont="1" applyBorder="1" applyAlignment="1">
      <alignment horizontal="center"/>
    </xf>
    <xf numFmtId="1" fontId="1" fillId="0" borderId="121" xfId="0" applyNumberFormat="1" applyFont="1" applyBorder="1" applyAlignment="1">
      <alignment horizontal="center"/>
    </xf>
    <xf numFmtId="165" fontId="1" fillId="5" borderId="160" xfId="0" applyNumberFormat="1" applyFont="1" applyFill="1" applyBorder="1"/>
    <xf numFmtId="0" fontId="1" fillId="0" borderId="68" xfId="0" applyFont="1" applyBorder="1" applyAlignment="1"/>
    <xf numFmtId="173" fontId="1" fillId="0" borderId="10" xfId="0" applyNumberFormat="1" applyFont="1" applyBorder="1" applyAlignment="1">
      <alignment horizontal="center"/>
    </xf>
    <xf numFmtId="1" fontId="1" fillId="0" borderId="38" xfId="0" applyNumberFormat="1" applyFont="1" applyBorder="1" applyAlignment="1">
      <alignment horizontal="center"/>
    </xf>
    <xf numFmtId="165" fontId="1" fillId="5" borderId="106" xfId="0" applyNumberFormat="1" applyFont="1" applyFill="1" applyBorder="1"/>
    <xf numFmtId="0" fontId="1" fillId="0" borderId="41" xfId="0" applyFont="1" applyBorder="1" applyAlignment="1"/>
    <xf numFmtId="173" fontId="1" fillId="0" borderId="19" xfId="0" applyNumberFormat="1" applyFont="1" applyBorder="1" applyAlignment="1">
      <alignment horizontal="center"/>
    </xf>
    <xf numFmtId="1" fontId="1" fillId="0" borderId="41" xfId="0" applyNumberFormat="1" applyFont="1" applyBorder="1" applyAlignment="1">
      <alignment horizontal="center"/>
    </xf>
    <xf numFmtId="165" fontId="1" fillId="5" borderId="56" xfId="0" applyNumberFormat="1" applyFont="1" applyFill="1" applyBorder="1"/>
    <xf numFmtId="0" fontId="1" fillId="0" borderId="41" xfId="0" applyFont="1" applyBorder="1" applyAlignment="1">
      <alignment horizontal="left" vertical="center" wrapText="1"/>
    </xf>
    <xf numFmtId="1" fontId="1" fillId="0" borderId="43" xfId="0" applyNumberFormat="1" applyFont="1" applyBorder="1" applyAlignment="1">
      <alignment horizontal="center"/>
    </xf>
    <xf numFmtId="0" fontId="1" fillId="0" borderId="53" xfId="0" applyFont="1" applyBorder="1" applyAlignment="1">
      <alignment horizontal="left" vertical="center" wrapText="1"/>
    </xf>
    <xf numFmtId="173" fontId="1" fillId="0" borderId="104" xfId="0" applyNumberFormat="1" applyFont="1" applyBorder="1" applyAlignment="1">
      <alignment horizontal="center"/>
    </xf>
    <xf numFmtId="1" fontId="1" fillId="0" borderId="188" xfId="0" applyNumberFormat="1" applyFont="1" applyBorder="1" applyAlignment="1">
      <alignment horizontal="center"/>
    </xf>
    <xf numFmtId="165" fontId="1" fillId="0" borderId="189" xfId="0" applyNumberFormat="1" applyFont="1" applyBorder="1" applyAlignment="1">
      <alignment horizontal="center"/>
    </xf>
    <xf numFmtId="0" fontId="1" fillId="0" borderId="190" xfId="0" applyFont="1" applyBorder="1" applyAlignment="1">
      <alignment horizontal="left" vertical="center" wrapText="1"/>
    </xf>
    <xf numFmtId="173" fontId="1" fillId="0" borderId="165" xfId="0" applyNumberFormat="1" applyFont="1" applyBorder="1" applyAlignment="1">
      <alignment horizontal="center"/>
    </xf>
    <xf numFmtId="0" fontId="1" fillId="0" borderId="43" xfId="0" applyFont="1" applyBorder="1" applyAlignment="1">
      <alignment horizontal="left" vertical="center" wrapText="1"/>
    </xf>
    <xf numFmtId="173" fontId="1" fillId="13" borderId="45" xfId="0" applyNumberFormat="1" applyFont="1" applyFill="1" applyBorder="1" applyAlignment="1">
      <alignment horizontal="center"/>
    </xf>
    <xf numFmtId="1" fontId="1" fillId="13" borderId="191" xfId="0" applyNumberFormat="1" applyFont="1" applyFill="1" applyBorder="1" applyAlignment="1">
      <alignment horizontal="center"/>
    </xf>
    <xf numFmtId="165" fontId="1" fillId="0" borderId="192" xfId="0" applyNumberFormat="1" applyFont="1" applyBorder="1" applyAlignment="1">
      <alignment horizontal="center"/>
    </xf>
    <xf numFmtId="1" fontId="1" fillId="13" borderId="192" xfId="0" applyNumberFormat="1" applyFont="1" applyFill="1" applyBorder="1" applyAlignment="1">
      <alignment horizontal="center"/>
    </xf>
    <xf numFmtId="0" fontId="19" fillId="4" borderId="84" xfId="0" applyFont="1" applyFill="1" applyBorder="1" applyAlignment="1">
      <alignment horizontal="center" vertical="center" wrapText="1"/>
    </xf>
    <xf numFmtId="0" fontId="1" fillId="0" borderId="75" xfId="0" applyFont="1" applyBorder="1" applyAlignment="1">
      <alignment horizontal="left" vertical="center"/>
    </xf>
    <xf numFmtId="173" fontId="1" fillId="13" borderId="76" xfId="0" applyNumberFormat="1" applyFont="1" applyFill="1" applyBorder="1" applyAlignment="1">
      <alignment horizontal="center"/>
    </xf>
    <xf numFmtId="1" fontId="1" fillId="13" borderId="171" xfId="0" applyNumberFormat="1" applyFont="1" applyFill="1" applyBorder="1" applyAlignment="1">
      <alignment horizontal="center"/>
    </xf>
    <xf numFmtId="165" fontId="1" fillId="0" borderId="172" xfId="0" applyNumberFormat="1" applyFont="1" applyBorder="1" applyAlignment="1">
      <alignment horizontal="center"/>
    </xf>
    <xf numFmtId="1" fontId="1" fillId="13" borderId="172" xfId="0" applyNumberFormat="1" applyFont="1" applyFill="1" applyBorder="1" applyAlignment="1">
      <alignment horizontal="center"/>
    </xf>
    <xf numFmtId="165" fontId="1" fillId="0" borderId="172" xfId="0" applyNumberFormat="1" applyFont="1" applyBorder="1" applyAlignment="1">
      <alignment horizontal="center"/>
    </xf>
    <xf numFmtId="0" fontId="19" fillId="5" borderId="193" xfId="0" applyFont="1" applyFill="1" applyBorder="1" applyAlignment="1">
      <alignment horizontal="center"/>
    </xf>
    <xf numFmtId="0" fontId="1" fillId="13" borderId="31" xfId="0" applyFont="1" applyFill="1" applyBorder="1"/>
    <xf numFmtId="0" fontId="1" fillId="13" borderId="194" xfId="0" applyFont="1" applyFill="1" applyBorder="1"/>
    <xf numFmtId="176" fontId="1" fillId="5" borderId="47" xfId="0" applyNumberFormat="1" applyFont="1" applyFill="1" applyBorder="1"/>
    <xf numFmtId="1" fontId="1" fillId="13" borderId="194" xfId="0" applyNumberFormat="1" applyFont="1" applyFill="1" applyBorder="1"/>
    <xf numFmtId="176" fontId="1" fillId="5" borderId="195" xfId="0" applyNumberFormat="1" applyFont="1" applyFill="1" applyBorder="1"/>
    <xf numFmtId="176" fontId="19" fillId="12" borderId="30" xfId="0" applyNumberFormat="1" applyFont="1" applyFill="1" applyBorder="1"/>
    <xf numFmtId="0" fontId="19" fillId="4" borderId="60" xfId="0" applyFont="1" applyFill="1" applyBorder="1" applyAlignment="1">
      <alignment horizontal="center"/>
    </xf>
    <xf numFmtId="0" fontId="19" fillId="4" borderId="61" xfId="0" applyFont="1" applyFill="1" applyBorder="1" applyAlignment="1">
      <alignment horizontal="center"/>
    </xf>
    <xf numFmtId="0" fontId="1" fillId="0" borderId="53" xfId="0" applyFont="1" applyBorder="1" applyAlignment="1">
      <alignment horizontal="left" vertical="center"/>
    </xf>
    <xf numFmtId="173" fontId="1" fillId="0" borderId="104" xfId="0" applyNumberFormat="1" applyFont="1" applyBorder="1" applyAlignment="1">
      <alignment horizontal="center"/>
    </xf>
    <xf numFmtId="1" fontId="1" fillId="0" borderId="53" xfId="0" applyNumberFormat="1" applyFont="1" applyBorder="1" applyAlignment="1">
      <alignment horizontal="center"/>
    </xf>
    <xf numFmtId="165" fontId="1" fillId="0" borderId="54" xfId="0" applyNumberFormat="1" applyFont="1" applyBorder="1" applyAlignment="1">
      <alignment horizontal="center"/>
    </xf>
    <xf numFmtId="165" fontId="1" fillId="5" borderId="159" xfId="0" applyNumberFormat="1" applyFont="1" applyFill="1" applyBorder="1"/>
    <xf numFmtId="0" fontId="1" fillId="0" borderId="38" xfId="0" applyFont="1" applyBorder="1" applyAlignment="1"/>
    <xf numFmtId="0" fontId="1" fillId="0" borderId="196" xfId="0" applyFont="1" applyBorder="1" applyAlignment="1">
      <alignment horizontal="left" vertical="center" wrapText="1"/>
    </xf>
    <xf numFmtId="173" fontId="1" fillId="13" borderId="111" xfId="0" applyNumberFormat="1" applyFont="1" applyFill="1" applyBorder="1" applyAlignment="1">
      <alignment horizontal="center"/>
    </xf>
    <xf numFmtId="165" fontId="1" fillId="5" borderId="34" xfId="0" applyNumberFormat="1" applyFont="1" applyFill="1" applyBorder="1"/>
    <xf numFmtId="0" fontId="1" fillId="0" borderId="196" xfId="0" applyFont="1" applyBorder="1" applyAlignment="1">
      <alignment horizontal="left" vertical="center" wrapText="1"/>
    </xf>
    <xf numFmtId="0" fontId="24" fillId="3" borderId="1" xfId="0" applyFont="1" applyFill="1" applyBorder="1" applyAlignment="1">
      <alignment vertical="center"/>
    </xf>
    <xf numFmtId="0" fontId="1" fillId="16" borderId="18" xfId="0" applyFont="1" applyFill="1" applyBorder="1" applyAlignment="1"/>
    <xf numFmtId="0" fontId="1" fillId="20" borderId="18" xfId="0" applyFont="1" applyFill="1" applyBorder="1" applyAlignment="1"/>
    <xf numFmtId="0" fontId="14" fillId="5" borderId="197" xfId="0" applyFont="1" applyFill="1" applyBorder="1" applyAlignment="1">
      <alignment horizontal="center" vertical="center"/>
    </xf>
    <xf numFmtId="0" fontId="14" fillId="5" borderId="138" xfId="0" applyFont="1" applyFill="1" applyBorder="1" applyAlignment="1">
      <alignment horizontal="center" vertical="center"/>
    </xf>
    <xf numFmtId="0" fontId="14" fillId="5" borderId="138" xfId="0" applyFont="1" applyFill="1" applyBorder="1" applyAlignment="1">
      <alignment horizontal="center" vertical="center" wrapText="1"/>
    </xf>
    <xf numFmtId="0" fontId="14" fillId="5" borderId="198" xfId="0" applyFont="1" applyFill="1" applyBorder="1" applyAlignment="1">
      <alignment horizontal="center" vertical="center" wrapText="1"/>
    </xf>
    <xf numFmtId="10" fontId="14" fillId="5" borderId="200" xfId="0" applyNumberFormat="1" applyFont="1" applyFill="1" applyBorder="1" applyAlignment="1">
      <alignment horizontal="center" vertical="center"/>
    </xf>
    <xf numFmtId="10" fontId="14" fillId="5" borderId="124" xfId="0" applyNumberFormat="1" applyFont="1" applyFill="1" applyBorder="1" applyAlignment="1">
      <alignment horizontal="center" vertical="center"/>
    </xf>
    <xf numFmtId="9" fontId="14" fillId="5" borderId="124" xfId="0" applyNumberFormat="1" applyFont="1" applyFill="1" applyBorder="1" applyAlignment="1">
      <alignment horizontal="center" vertical="center"/>
    </xf>
    <xf numFmtId="9" fontId="14" fillId="5" borderId="201" xfId="0" applyNumberFormat="1" applyFont="1" applyFill="1" applyBorder="1" applyAlignment="1">
      <alignment horizontal="center" vertical="center"/>
    </xf>
    <xf numFmtId="0" fontId="1" fillId="0" borderId="64" xfId="0" applyFont="1" applyBorder="1" applyAlignment="1">
      <alignment horizontal="center" vertical="center"/>
    </xf>
    <xf numFmtId="0" fontId="1" fillId="16" borderId="133" xfId="0" applyFont="1" applyFill="1" applyBorder="1" applyAlignment="1">
      <alignment vertical="center"/>
    </xf>
    <xf numFmtId="165" fontId="1" fillId="0" borderId="65" xfId="0" applyNumberFormat="1" applyFont="1" applyBorder="1" applyAlignment="1">
      <alignment horizontal="left" vertical="center"/>
    </xf>
    <xf numFmtId="165" fontId="1" fillId="0" borderId="132" xfId="0" applyNumberFormat="1" applyFont="1" applyBorder="1" applyAlignment="1">
      <alignment horizontal="center"/>
    </xf>
    <xf numFmtId="165" fontId="1" fillId="0" borderId="133" xfId="0" applyNumberFormat="1" applyFont="1" applyBorder="1" applyAlignment="1">
      <alignment horizontal="center"/>
    </xf>
    <xf numFmtId="165" fontId="1" fillId="0" borderId="202" xfId="0" applyNumberFormat="1" applyFont="1" applyBorder="1" applyAlignment="1">
      <alignment horizontal="center"/>
    </xf>
    <xf numFmtId="165" fontId="1" fillId="0" borderId="32" xfId="0" applyNumberFormat="1" applyFont="1" applyBorder="1" applyAlignment="1">
      <alignment horizontal="center"/>
    </xf>
    <xf numFmtId="165" fontId="19" fillId="5" borderId="32" xfId="0" applyNumberFormat="1" applyFont="1" applyFill="1" applyBorder="1"/>
    <xf numFmtId="0" fontId="1" fillId="19" borderId="39" xfId="0" applyFont="1" applyFill="1" applyBorder="1" applyAlignment="1"/>
    <xf numFmtId="165" fontId="1" fillId="2" borderId="39" xfId="0" applyNumberFormat="1" applyFont="1" applyFill="1" applyBorder="1" applyAlignment="1"/>
    <xf numFmtId="165" fontId="1" fillId="0" borderId="39" xfId="0" applyNumberFormat="1" applyFont="1" applyBorder="1" applyAlignment="1">
      <alignment horizontal="center"/>
    </xf>
    <xf numFmtId="165" fontId="19" fillId="5" borderId="40" xfId="0" applyNumberFormat="1" applyFont="1" applyFill="1" applyBorder="1"/>
    <xf numFmtId="165" fontId="1" fillId="2" borderId="18" xfId="0" applyNumberFormat="1" applyFont="1" applyFill="1" applyBorder="1" applyAlignment="1"/>
    <xf numFmtId="165" fontId="1" fillId="0" borderId="18" xfId="0" applyNumberFormat="1" applyFont="1" applyBorder="1" applyAlignment="1">
      <alignment horizontal="center"/>
    </xf>
    <xf numFmtId="165" fontId="19" fillId="5" borderId="42" xfId="0" applyNumberFormat="1" applyFont="1" applyFill="1" applyBorder="1"/>
    <xf numFmtId="0" fontId="1" fillId="16" borderId="185" xfId="0" applyFont="1" applyFill="1" applyBorder="1" applyAlignment="1"/>
    <xf numFmtId="165" fontId="1" fillId="2" borderId="185" xfId="0" applyNumberFormat="1" applyFont="1" applyFill="1" applyBorder="1" applyAlignment="1"/>
    <xf numFmtId="165" fontId="1" fillId="0" borderId="185" xfId="0" applyNumberFormat="1" applyFont="1" applyBorder="1" applyAlignment="1">
      <alignment horizontal="center"/>
    </xf>
    <xf numFmtId="165" fontId="19" fillId="5" borderId="54" xfId="0" applyNumberFormat="1" applyFont="1" applyFill="1" applyBorder="1"/>
    <xf numFmtId="0" fontId="1" fillId="19" borderId="39" xfId="0" applyFont="1" applyFill="1" applyBorder="1"/>
    <xf numFmtId="165" fontId="1" fillId="0" borderId="39" xfId="0" applyNumberFormat="1" applyFont="1" applyBorder="1" applyAlignment="1">
      <alignment horizontal="left" vertical="center"/>
    </xf>
    <xf numFmtId="165" fontId="1" fillId="0" borderId="18" xfId="0" applyNumberFormat="1" applyFont="1" applyBorder="1" applyAlignment="1">
      <alignment horizontal="left" vertical="center"/>
    </xf>
    <xf numFmtId="0" fontId="1" fillId="16" borderId="44" xfId="0" applyFont="1" applyFill="1" applyBorder="1" applyAlignment="1"/>
    <xf numFmtId="165" fontId="1" fillId="2" borderId="44" xfId="0" applyNumberFormat="1" applyFont="1" applyFill="1" applyBorder="1" applyAlignment="1"/>
    <xf numFmtId="165" fontId="19" fillId="5" borderId="45" xfId="0" applyNumberFormat="1" applyFont="1" applyFill="1" applyBorder="1"/>
    <xf numFmtId="0" fontId="22" fillId="16" borderId="185" xfId="0" applyFont="1" applyFill="1" applyBorder="1" applyAlignment="1"/>
    <xf numFmtId="172" fontId="22" fillId="0" borderId="185" xfId="0" applyNumberFormat="1" applyFont="1" applyBorder="1" applyAlignment="1"/>
    <xf numFmtId="0" fontId="1" fillId="16" borderId="39" xfId="0" applyFont="1" applyFill="1" applyBorder="1" applyAlignment="1"/>
    <xf numFmtId="0" fontId="1" fillId="19" borderId="18" xfId="0" applyFont="1" applyFill="1" applyBorder="1" applyAlignment="1"/>
    <xf numFmtId="0" fontId="1" fillId="19" borderId="44" xfId="0" applyFont="1" applyFill="1" applyBorder="1" applyAlignment="1"/>
    <xf numFmtId="0" fontId="14" fillId="5" borderId="18" xfId="0" applyFont="1" applyFill="1" applyBorder="1" applyAlignment="1">
      <alignment horizontal="center" vertical="center"/>
    </xf>
    <xf numFmtId="0" fontId="1" fillId="0" borderId="41" xfId="0" applyFont="1" applyBorder="1" applyAlignment="1">
      <alignment vertical="center"/>
    </xf>
    <xf numFmtId="0" fontId="1" fillId="0" borderId="18" xfId="0" applyFont="1" applyBorder="1" applyAlignment="1">
      <alignment horizontal="center"/>
    </xf>
    <xf numFmtId="173" fontId="1" fillId="0" borderId="18" xfId="0" applyNumberFormat="1" applyFont="1" applyBorder="1" applyAlignment="1">
      <alignment horizontal="center"/>
    </xf>
    <xf numFmtId="0" fontId="1" fillId="0" borderId="18" xfId="0" applyFont="1" applyBorder="1" applyAlignment="1">
      <alignment horizontal="center"/>
    </xf>
    <xf numFmtId="168" fontId="1" fillId="5" borderId="42" xfId="0" applyNumberFormat="1" applyFont="1" applyFill="1" applyBorder="1"/>
    <xf numFmtId="0" fontId="1" fillId="3" borderId="18" xfId="0" applyFont="1" applyFill="1" applyBorder="1" applyAlignment="1">
      <alignment horizontal="center"/>
    </xf>
    <xf numFmtId="0" fontId="14" fillId="5" borderId="196" xfId="0" applyFont="1" applyFill="1" applyBorder="1" applyAlignment="1">
      <alignment horizontal="center" vertical="center"/>
    </xf>
    <xf numFmtId="0" fontId="19" fillId="5" borderId="44" xfId="0" applyFont="1" applyFill="1" applyBorder="1" applyAlignment="1">
      <alignment horizontal="center"/>
    </xf>
    <xf numFmtId="173" fontId="19" fillId="5" borderId="44" xfId="0" applyNumberFormat="1" applyFont="1" applyFill="1" applyBorder="1" applyAlignment="1">
      <alignment horizontal="center"/>
    </xf>
    <xf numFmtId="168" fontId="19" fillId="12" borderId="45" xfId="0" applyNumberFormat="1" applyFont="1" applyFill="1" applyBorder="1"/>
    <xf numFmtId="0" fontId="1" fillId="21" borderId="18" xfId="0" applyFont="1" applyFill="1" applyBorder="1" applyAlignment="1">
      <alignment horizontal="center"/>
    </xf>
    <xf numFmtId="0" fontId="19" fillId="5" borderId="18" xfId="0" applyFont="1" applyFill="1" applyBorder="1" applyAlignment="1">
      <alignment horizontal="left"/>
    </xf>
    <xf numFmtId="168" fontId="1" fillId="2" borderId="18" xfId="0" applyNumberFormat="1" applyFont="1" applyFill="1" applyBorder="1" applyAlignment="1">
      <alignment horizontal="right"/>
    </xf>
    <xf numFmtId="168" fontId="19" fillId="12" borderId="18" xfId="0" applyNumberFormat="1" applyFont="1" applyFill="1" applyBorder="1" applyAlignment="1">
      <alignment horizontal="right"/>
    </xf>
    <xf numFmtId="0" fontId="19" fillId="5" borderId="137" xfId="0" applyFont="1" applyFill="1" applyBorder="1" applyAlignment="1">
      <alignment horizontal="center"/>
    </xf>
    <xf numFmtId="168" fontId="1" fillId="0" borderId="43" xfId="0" applyNumberFormat="1" applyFont="1" applyBorder="1" applyAlignment="1">
      <alignment horizontal="center"/>
    </xf>
    <xf numFmtId="168" fontId="1" fillId="0" borderId="44" xfId="0" applyNumberFormat="1" applyFont="1" applyBorder="1" applyAlignment="1">
      <alignment horizontal="center"/>
    </xf>
    <xf numFmtId="168" fontId="1" fillId="0" borderId="45" xfId="0" applyNumberFormat="1" applyFont="1" applyBorder="1" applyAlignment="1">
      <alignment horizontal="center"/>
    </xf>
    <xf numFmtId="0" fontId="14" fillId="5" borderId="137" xfId="0" applyFont="1" applyFill="1" applyBorder="1" applyAlignment="1">
      <alignment horizontal="center"/>
    </xf>
    <xf numFmtId="0" fontId="14" fillId="5" borderId="138" xfId="0" applyFont="1" applyFill="1" applyBorder="1" applyAlignment="1">
      <alignment horizontal="center"/>
    </xf>
    <xf numFmtId="0" fontId="1" fillId="0" borderId="41" xfId="0" applyFont="1" applyBorder="1" applyAlignment="1">
      <alignment vertical="center"/>
    </xf>
    <xf numFmtId="168" fontId="1" fillId="0" borderId="18" xfId="0" applyNumberFormat="1" applyFont="1" applyBorder="1" applyAlignment="1">
      <alignment horizontal="center"/>
    </xf>
    <xf numFmtId="168" fontId="1" fillId="0" borderId="19" xfId="0" applyNumberFormat="1" applyFont="1" applyBorder="1" applyAlignment="1">
      <alignment horizontal="center"/>
    </xf>
    <xf numFmtId="0" fontId="1" fillId="2" borderId="157" xfId="0" applyFont="1" applyFill="1" applyBorder="1" applyAlignment="1">
      <alignment vertical="center"/>
    </xf>
    <xf numFmtId="0" fontId="1" fillId="2" borderId="157" xfId="0" applyFont="1" applyFill="1" applyBorder="1" applyAlignment="1">
      <alignment vertical="center"/>
    </xf>
    <xf numFmtId="0" fontId="1" fillId="2" borderId="205" xfId="0" applyFont="1" applyFill="1" applyBorder="1" applyAlignment="1">
      <alignment vertical="center"/>
    </xf>
    <xf numFmtId="0" fontId="25" fillId="2" borderId="158" xfId="0" applyFont="1" applyFill="1" applyBorder="1"/>
    <xf numFmtId="0" fontId="26" fillId="0" borderId="158" xfId="0" applyFont="1" applyBorder="1"/>
    <xf numFmtId="0" fontId="1" fillId="0" borderId="0" xfId="0" applyFont="1"/>
    <xf numFmtId="0" fontId="27" fillId="0" borderId="33" xfId="0" applyFont="1" applyBorder="1" applyAlignment="1"/>
    <xf numFmtId="168" fontId="1" fillId="0" borderId="18" xfId="0" applyNumberFormat="1" applyFont="1" applyBorder="1" applyAlignment="1">
      <alignment horizontal="center"/>
    </xf>
    <xf numFmtId="0" fontId="1" fillId="0" borderId="43" xfId="0" applyFont="1" applyBorder="1" applyAlignment="1">
      <alignment vertical="center"/>
    </xf>
    <xf numFmtId="0" fontId="1" fillId="0" borderId="44" xfId="0" applyFont="1" applyBorder="1" applyAlignment="1">
      <alignment horizontal="center"/>
    </xf>
    <xf numFmtId="0" fontId="1" fillId="2" borderId="160" xfId="0" applyFont="1" applyFill="1" applyBorder="1"/>
    <xf numFmtId="168" fontId="19" fillId="12" borderId="30" xfId="0" applyNumberFormat="1" applyFont="1" applyFill="1" applyBorder="1" applyAlignment="1">
      <alignment horizontal="center"/>
    </xf>
    <xf numFmtId="0" fontId="10" fillId="0" borderId="0" xfId="0" applyFont="1"/>
    <xf numFmtId="0" fontId="14" fillId="5" borderId="170" xfId="0" applyFont="1" applyFill="1" applyBorder="1" applyAlignment="1">
      <alignment horizontal="center"/>
    </xf>
    <xf numFmtId="0" fontId="1" fillId="2" borderId="207" xfId="0" applyFont="1" applyFill="1" applyBorder="1"/>
    <xf numFmtId="0" fontId="19" fillId="0" borderId="18" xfId="0" applyFont="1" applyBorder="1" applyAlignment="1">
      <alignment horizontal="center"/>
    </xf>
    <xf numFmtId="168" fontId="1" fillId="0" borderId="42" xfId="0" applyNumberFormat="1" applyFont="1" applyBorder="1" applyAlignment="1">
      <alignment horizontal="center"/>
    </xf>
    <xf numFmtId="168" fontId="1" fillId="0" borderId="54" xfId="0" applyNumberFormat="1" applyFont="1" applyBorder="1" applyAlignment="1">
      <alignment horizontal="center"/>
    </xf>
    <xf numFmtId="168" fontId="19" fillId="12" borderId="89" xfId="0" applyNumberFormat="1" applyFont="1" applyFill="1" applyBorder="1" applyAlignment="1">
      <alignment horizontal="center"/>
    </xf>
    <xf numFmtId="0" fontId="19" fillId="5" borderId="18" xfId="0" applyFont="1" applyFill="1" applyBorder="1" applyAlignment="1">
      <alignment horizontal="center"/>
    </xf>
    <xf numFmtId="0" fontId="19" fillId="5" borderId="117" xfId="0" applyFont="1" applyFill="1" applyBorder="1" applyAlignment="1">
      <alignment horizontal="center" vertical="center"/>
    </xf>
    <xf numFmtId="0" fontId="19" fillId="5" borderId="185" xfId="0" applyFont="1" applyFill="1" applyBorder="1" applyAlignment="1">
      <alignment horizontal="center" vertical="center"/>
    </xf>
    <xf numFmtId="0" fontId="19" fillId="5" borderId="54" xfId="0" applyFont="1" applyFill="1" applyBorder="1" applyAlignment="1">
      <alignment horizontal="center" vertical="center"/>
    </xf>
    <xf numFmtId="0" fontId="1" fillId="0" borderId="39" xfId="0" applyFont="1" applyBorder="1" applyAlignment="1">
      <alignment vertical="center"/>
    </xf>
    <xf numFmtId="0" fontId="1" fillId="0" borderId="39" xfId="0" applyFont="1" applyBorder="1" applyAlignment="1">
      <alignment horizontal="center"/>
    </xf>
    <xf numFmtId="168" fontId="1" fillId="0" borderId="39" xfId="0" applyNumberFormat="1" applyFont="1" applyBorder="1" applyAlignment="1">
      <alignment horizontal="center"/>
    </xf>
    <xf numFmtId="0" fontId="1" fillId="0" borderId="40" xfId="0" applyFont="1" applyBorder="1" applyAlignment="1">
      <alignment horizontal="center"/>
    </xf>
    <xf numFmtId="168" fontId="1" fillId="12" borderId="118" xfId="0" applyNumberFormat="1" applyFont="1" applyFill="1" applyBorder="1" applyAlignment="1">
      <alignment horizontal="center"/>
    </xf>
    <xf numFmtId="168" fontId="1" fillId="22" borderId="39" xfId="0" applyNumberFormat="1" applyFont="1" applyFill="1" applyBorder="1" applyAlignment="1">
      <alignment horizontal="center"/>
    </xf>
    <xf numFmtId="168" fontId="1" fillId="22" borderId="40" xfId="0" applyNumberFormat="1" applyFont="1" applyFill="1" applyBorder="1" applyAlignment="1">
      <alignment horizontal="center"/>
    </xf>
    <xf numFmtId="168" fontId="1" fillId="12" borderId="118" xfId="0" applyNumberFormat="1" applyFont="1" applyFill="1" applyBorder="1"/>
    <xf numFmtId="168" fontId="1" fillId="12" borderId="39" xfId="0" applyNumberFormat="1" applyFont="1" applyFill="1" applyBorder="1"/>
    <xf numFmtId="168" fontId="1" fillId="12" borderId="40" xfId="0" applyNumberFormat="1" applyFont="1" applyFill="1" applyBorder="1"/>
    <xf numFmtId="0" fontId="1" fillId="0" borderId="18" xfId="0" applyFont="1" applyBorder="1" applyAlignment="1">
      <alignment vertical="center"/>
    </xf>
    <xf numFmtId="0" fontId="1" fillId="0" borderId="42" xfId="0" applyFont="1" applyBorder="1" applyAlignment="1">
      <alignment horizontal="center"/>
    </xf>
    <xf numFmtId="168" fontId="1" fillId="22" borderId="21" xfId="0" applyNumberFormat="1" applyFont="1" applyFill="1" applyBorder="1" applyAlignment="1">
      <alignment horizontal="center"/>
    </xf>
    <xf numFmtId="168" fontId="1" fillId="12" borderId="18" xfId="0" applyNumberFormat="1" applyFont="1" applyFill="1" applyBorder="1" applyAlignment="1">
      <alignment horizontal="center"/>
    </xf>
    <xf numFmtId="168" fontId="1" fillId="22" borderId="18" xfId="0" applyNumberFormat="1" applyFont="1" applyFill="1" applyBorder="1" applyAlignment="1">
      <alignment horizontal="center"/>
    </xf>
    <xf numFmtId="168" fontId="1" fillId="22" borderId="42" xfId="0" applyNumberFormat="1" applyFont="1" applyFill="1" applyBorder="1" applyAlignment="1">
      <alignment horizontal="center"/>
    </xf>
    <xf numFmtId="168" fontId="1" fillId="22" borderId="21" xfId="0" applyNumberFormat="1" applyFont="1" applyFill="1" applyBorder="1"/>
    <xf numFmtId="168" fontId="1" fillId="12" borderId="18" xfId="0" applyNumberFormat="1" applyFont="1" applyFill="1" applyBorder="1"/>
    <xf numFmtId="168" fontId="1" fillId="12" borderId="42" xfId="0" applyNumberFormat="1" applyFont="1" applyFill="1" applyBorder="1"/>
    <xf numFmtId="168" fontId="1" fillId="22" borderId="18" xfId="0" applyNumberFormat="1" applyFont="1" applyFill="1" applyBorder="1"/>
    <xf numFmtId="0" fontId="1" fillId="0" borderId="44" xfId="0" applyFont="1" applyBorder="1" applyAlignment="1">
      <alignment vertical="center"/>
    </xf>
    <xf numFmtId="168" fontId="1" fillId="0" borderId="44" xfId="0" applyNumberFormat="1" applyFont="1" applyBorder="1" applyAlignment="1">
      <alignment horizontal="center"/>
    </xf>
    <xf numFmtId="0" fontId="1" fillId="0" borderId="45" xfId="0" applyFont="1" applyBorder="1" applyAlignment="1">
      <alignment horizontal="center"/>
    </xf>
    <xf numFmtId="168" fontId="1" fillId="22" borderId="121" xfId="0" applyNumberFormat="1" applyFont="1" applyFill="1" applyBorder="1" applyAlignment="1">
      <alignment horizontal="center"/>
    </xf>
    <xf numFmtId="168" fontId="1" fillId="22" borderId="44" xfId="0" applyNumberFormat="1" applyFont="1" applyFill="1" applyBorder="1" applyAlignment="1">
      <alignment horizontal="center"/>
    </xf>
    <xf numFmtId="168" fontId="1" fillId="12" borderId="45" xfId="0" applyNumberFormat="1" applyFont="1" applyFill="1" applyBorder="1" applyAlignment="1">
      <alignment horizontal="center"/>
    </xf>
    <xf numFmtId="168" fontId="1" fillId="22" borderId="121" xfId="0" applyNumberFormat="1" applyFont="1" applyFill="1" applyBorder="1"/>
    <xf numFmtId="168" fontId="1" fillId="22" borderId="44" xfId="0" applyNumberFormat="1" applyFont="1" applyFill="1" applyBorder="1"/>
    <xf numFmtId="168" fontId="1" fillId="22" borderId="45" xfId="0" applyNumberFormat="1" applyFont="1" applyFill="1" applyBorder="1"/>
    <xf numFmtId="0" fontId="1" fillId="0" borderId="39" xfId="0" applyFont="1" applyBorder="1" applyAlignment="1">
      <alignment vertical="center"/>
    </xf>
    <xf numFmtId="168" fontId="1" fillId="0" borderId="39" xfId="0" applyNumberFormat="1" applyFont="1" applyBorder="1" applyAlignment="1">
      <alignment horizontal="center"/>
    </xf>
    <xf numFmtId="0" fontId="1" fillId="0" borderId="40" xfId="0" applyFont="1" applyBorder="1" applyAlignment="1">
      <alignment horizontal="center"/>
    </xf>
    <xf numFmtId="0" fontId="1" fillId="0" borderId="18" xfId="0" applyFont="1" applyBorder="1" applyAlignment="1">
      <alignment vertical="center"/>
    </xf>
    <xf numFmtId="0" fontId="1" fillId="0" borderId="42" xfId="0" applyFont="1" applyBorder="1" applyAlignment="1">
      <alignment horizontal="center"/>
    </xf>
    <xf numFmtId="168" fontId="1" fillId="12" borderId="42" xfId="0" applyNumberFormat="1" applyFont="1" applyFill="1" applyBorder="1" applyAlignment="1">
      <alignment horizontal="center"/>
    </xf>
    <xf numFmtId="168" fontId="1" fillId="22" borderId="42" xfId="0" applyNumberFormat="1" applyFont="1" applyFill="1" applyBorder="1"/>
    <xf numFmtId="168" fontId="1" fillId="12" borderId="21" xfId="0" applyNumberFormat="1" applyFont="1" applyFill="1" applyBorder="1" applyAlignment="1">
      <alignment horizontal="center"/>
    </xf>
    <xf numFmtId="168" fontId="1" fillId="12" borderId="21" xfId="0" applyNumberFormat="1" applyFont="1" applyFill="1" applyBorder="1"/>
    <xf numFmtId="0" fontId="1" fillId="0" borderId="18" xfId="0" applyFont="1" applyBorder="1" applyAlignment="1">
      <alignment horizontal="center" vertical="center"/>
    </xf>
    <xf numFmtId="0" fontId="1" fillId="0" borderId="45" xfId="0" applyFont="1" applyBorder="1" applyAlignment="1">
      <alignment horizontal="center"/>
    </xf>
    <xf numFmtId="168" fontId="1" fillId="22" borderId="39" xfId="0" applyNumberFormat="1" applyFont="1" applyFill="1" applyBorder="1" applyAlignment="1">
      <alignment horizontal="center"/>
    </xf>
    <xf numFmtId="168" fontId="1" fillId="22" borderId="40" xfId="0" applyNumberFormat="1" applyFont="1" applyFill="1" applyBorder="1" applyAlignment="1">
      <alignment horizontal="center"/>
    </xf>
    <xf numFmtId="168" fontId="1" fillId="22" borderId="18" xfId="0" applyNumberFormat="1" applyFont="1" applyFill="1" applyBorder="1" applyAlignment="1">
      <alignment horizontal="center"/>
    </xf>
    <xf numFmtId="168" fontId="1" fillId="22" borderId="42" xfId="0" applyNumberFormat="1" applyFont="1" applyFill="1" applyBorder="1" applyAlignment="1">
      <alignment horizontal="center"/>
    </xf>
    <xf numFmtId="0" fontId="1" fillId="0" borderId="44" xfId="0" applyFont="1" applyBorder="1" applyAlignment="1">
      <alignment horizontal="center"/>
    </xf>
    <xf numFmtId="168" fontId="1" fillId="12" borderId="121" xfId="0" applyNumberFormat="1" applyFont="1" applyFill="1" applyBorder="1" applyAlignment="1">
      <alignment horizontal="center"/>
    </xf>
    <xf numFmtId="168" fontId="1" fillId="22" borderId="44" xfId="0" applyNumberFormat="1" applyFont="1" applyFill="1" applyBorder="1" applyAlignment="1">
      <alignment horizontal="center"/>
    </xf>
    <xf numFmtId="168" fontId="1" fillId="22" borderId="45" xfId="0" applyNumberFormat="1" applyFont="1" applyFill="1" applyBorder="1" applyAlignment="1">
      <alignment horizontal="center"/>
    </xf>
    <xf numFmtId="168" fontId="1" fillId="12" borderId="121" xfId="0" applyNumberFormat="1" applyFont="1" applyFill="1" applyBorder="1"/>
    <xf numFmtId="168" fontId="1" fillId="12" borderId="44" xfId="0" applyNumberFormat="1" applyFont="1" applyFill="1" applyBorder="1"/>
    <xf numFmtId="168" fontId="1" fillId="12" borderId="45" xfId="0" applyNumberFormat="1" applyFont="1" applyFill="1" applyBorder="1"/>
    <xf numFmtId="168" fontId="14" fillId="12" borderId="171" xfId="0" applyNumberFormat="1" applyFont="1" applyFill="1" applyBorder="1"/>
    <xf numFmtId="168" fontId="14" fillId="12" borderId="172" xfId="0" applyNumberFormat="1" applyFont="1" applyFill="1" applyBorder="1"/>
    <xf numFmtId="168" fontId="14" fillId="12" borderId="76" xfId="0" applyNumberFormat="1" applyFont="1" applyFill="1" applyBorder="1"/>
    <xf numFmtId="0" fontId="19" fillId="5" borderId="38" xfId="0" applyFont="1" applyFill="1" applyBorder="1" applyAlignment="1">
      <alignment horizontal="center"/>
    </xf>
    <xf numFmtId="0" fontId="19" fillId="5" borderId="39" xfId="0" applyFont="1" applyFill="1" applyBorder="1" applyAlignment="1">
      <alignment horizontal="center"/>
    </xf>
    <xf numFmtId="0" fontId="19" fillId="5" borderId="40" xfId="0" applyFont="1" applyFill="1" applyBorder="1" applyAlignment="1">
      <alignment horizontal="center"/>
    </xf>
    <xf numFmtId="0" fontId="1" fillId="2" borderId="208" xfId="0" applyFont="1" applyFill="1" applyBorder="1"/>
    <xf numFmtId="0" fontId="19" fillId="4" borderId="157" xfId="0" applyFont="1" applyFill="1" applyBorder="1"/>
    <xf numFmtId="168" fontId="1" fillId="2" borderId="68" xfId="0" applyNumberFormat="1" applyFont="1" applyFill="1" applyBorder="1" applyAlignment="1">
      <alignment horizontal="center"/>
    </xf>
    <xf numFmtId="168" fontId="1" fillId="2" borderId="148" xfId="0" applyNumberFormat="1" applyFont="1" applyFill="1" applyBorder="1" applyAlignment="1">
      <alignment horizontal="center"/>
    </xf>
    <xf numFmtId="168" fontId="1" fillId="2" borderId="71" xfId="0" applyNumberFormat="1" applyFont="1" applyFill="1" applyBorder="1" applyAlignment="1">
      <alignment horizontal="center"/>
    </xf>
    <xf numFmtId="0" fontId="19" fillId="5" borderId="171" xfId="0" applyFont="1" applyFill="1" applyBorder="1" applyAlignment="1">
      <alignment horizontal="center"/>
    </xf>
    <xf numFmtId="0" fontId="19" fillId="5" borderId="172" xfId="0" applyFont="1" applyFill="1" applyBorder="1" applyAlignment="1">
      <alignment horizontal="center"/>
    </xf>
    <xf numFmtId="0" fontId="19" fillId="5" borderId="76" xfId="0" applyFont="1" applyFill="1" applyBorder="1" applyAlignment="1">
      <alignment horizontal="center"/>
    </xf>
    <xf numFmtId="0" fontId="19" fillId="4" borderId="158" xfId="0" applyFont="1" applyFill="1" applyBorder="1"/>
    <xf numFmtId="168" fontId="1" fillId="2" borderId="41" xfId="0" applyNumberFormat="1" applyFont="1" applyFill="1" applyBorder="1" applyAlignment="1">
      <alignment horizontal="center"/>
    </xf>
    <xf numFmtId="168" fontId="1" fillId="2" borderId="42" xfId="0" applyNumberFormat="1" applyFont="1" applyFill="1" applyBorder="1" applyAlignment="1">
      <alignment horizontal="center"/>
    </xf>
    <xf numFmtId="0" fontId="1" fillId="0" borderId="118" xfId="0" applyFont="1" applyBorder="1" applyAlignment="1">
      <alignment horizontal="center"/>
    </xf>
    <xf numFmtId="168" fontId="1" fillId="0" borderId="40" xfId="0" applyNumberFormat="1" applyFont="1" applyBorder="1" applyAlignment="1">
      <alignment horizontal="center"/>
    </xf>
    <xf numFmtId="0" fontId="19" fillId="4" borderId="160" xfId="0" applyFont="1" applyFill="1" applyBorder="1"/>
    <xf numFmtId="0" fontId="1" fillId="0" borderId="42" xfId="0" applyFont="1" applyBorder="1"/>
    <xf numFmtId="0" fontId="1" fillId="0" borderId="21" xfId="0" applyFont="1" applyBorder="1" applyAlignment="1">
      <alignment horizontal="center"/>
    </xf>
    <xf numFmtId="0" fontId="1" fillId="0" borderId="54" xfId="0" applyFont="1" applyBorder="1"/>
    <xf numFmtId="0" fontId="1" fillId="0" borderId="117" xfId="0" applyFont="1" applyBorder="1" applyAlignment="1">
      <alignment horizontal="center"/>
    </xf>
    <xf numFmtId="0" fontId="1" fillId="17" borderId="171" xfId="0" applyFont="1" applyFill="1" applyBorder="1" applyAlignment="1">
      <alignment horizontal="center"/>
    </xf>
    <xf numFmtId="168" fontId="1" fillId="17" borderId="172" xfId="0" applyNumberFormat="1" applyFont="1" applyFill="1" applyBorder="1" applyAlignment="1">
      <alignment horizontal="center"/>
    </xf>
    <xf numFmtId="168" fontId="1" fillId="17" borderId="76" xfId="0" applyNumberFormat="1" applyFont="1" applyFill="1" applyBorder="1" applyAlignment="1">
      <alignment horizontal="center"/>
    </xf>
    <xf numFmtId="0" fontId="1" fillId="0" borderId="188" xfId="0" applyFont="1" applyBorder="1" applyAlignment="1">
      <alignment horizontal="center"/>
    </xf>
    <xf numFmtId="168" fontId="1" fillId="0" borderId="192" xfId="0" applyNumberFormat="1" applyFont="1" applyBorder="1" applyAlignment="1">
      <alignment horizontal="center"/>
    </xf>
    <xf numFmtId="168" fontId="1" fillId="0" borderId="111" xfId="0" applyNumberFormat="1" applyFont="1" applyBorder="1" applyAlignment="1">
      <alignment horizontal="center"/>
    </xf>
    <xf numFmtId="0" fontId="1" fillId="2" borderId="209" xfId="0" applyFont="1" applyFill="1" applyBorder="1"/>
    <xf numFmtId="0" fontId="1" fillId="0" borderId="132" xfId="0" applyFont="1" applyBorder="1" applyAlignment="1">
      <alignment horizontal="center"/>
    </xf>
    <xf numFmtId="168" fontId="1" fillId="0" borderId="133" xfId="0" applyNumberFormat="1" applyFont="1" applyBorder="1" applyAlignment="1">
      <alignment horizontal="center"/>
    </xf>
    <xf numFmtId="168" fontId="1" fillId="0" borderId="65" xfId="0" applyNumberFormat="1" applyFont="1" applyBorder="1" applyAlignment="1">
      <alignment horizontal="center"/>
    </xf>
    <xf numFmtId="168" fontId="1" fillId="0" borderId="178" xfId="0" applyNumberFormat="1" applyFont="1" applyBorder="1" applyAlignment="1">
      <alignment horizontal="center"/>
    </xf>
    <xf numFmtId="168" fontId="1" fillId="0" borderId="210" xfId="0" applyNumberFormat="1" applyFont="1" applyBorder="1" applyAlignment="1">
      <alignment horizontal="center"/>
    </xf>
    <xf numFmtId="168" fontId="1" fillId="0" borderId="211" xfId="0" applyNumberFormat="1" applyFont="1" applyBorder="1" applyAlignment="1">
      <alignment horizontal="center"/>
    </xf>
    <xf numFmtId="168" fontId="1" fillId="23" borderId="171" xfId="0" applyNumberFormat="1" applyFont="1" applyFill="1" applyBorder="1" applyAlignment="1">
      <alignment horizontal="center"/>
    </xf>
    <xf numFmtId="168" fontId="1" fillId="23" borderId="172" xfId="0" applyNumberFormat="1" applyFont="1" applyFill="1" applyBorder="1" applyAlignment="1">
      <alignment horizontal="center"/>
    </xf>
    <xf numFmtId="168" fontId="1" fillId="23" borderId="76" xfId="0" applyNumberFormat="1" applyFont="1" applyFill="1" applyBorder="1" applyAlignment="1">
      <alignment horizontal="center"/>
    </xf>
    <xf numFmtId="0" fontId="1" fillId="24" borderId="79" xfId="0" applyFont="1" applyFill="1" applyBorder="1" applyAlignment="1">
      <alignment horizontal="center"/>
    </xf>
    <xf numFmtId="168" fontId="1" fillId="24" borderId="18" xfId="0" applyNumberFormat="1" applyFont="1" applyFill="1" applyBorder="1" applyAlignment="1">
      <alignment horizontal="center"/>
    </xf>
    <xf numFmtId="168" fontId="1" fillId="24" borderId="42" xfId="0" applyNumberFormat="1" applyFont="1" applyFill="1" applyBorder="1" applyAlignment="1">
      <alignment horizontal="center"/>
    </xf>
    <xf numFmtId="0" fontId="1" fillId="2" borderId="43" xfId="0" applyFont="1" applyFill="1" applyBorder="1" applyAlignment="1"/>
    <xf numFmtId="10" fontId="1" fillId="2" borderId="44" xfId="0" applyNumberFormat="1" applyFont="1" applyFill="1" applyBorder="1"/>
    <xf numFmtId="10" fontId="1" fillId="2" borderId="39" xfId="0" applyNumberFormat="1" applyFont="1" applyFill="1" applyBorder="1"/>
    <xf numFmtId="10" fontId="1" fillId="2" borderId="40" xfId="0" applyNumberFormat="1" applyFont="1" applyFill="1" applyBorder="1"/>
    <xf numFmtId="10" fontId="1" fillId="2" borderId="18" xfId="0" applyNumberFormat="1" applyFont="1" applyFill="1" applyBorder="1"/>
    <xf numFmtId="10" fontId="1" fillId="2" borderId="42" xfId="0" applyNumberFormat="1" applyFont="1" applyFill="1" applyBorder="1"/>
    <xf numFmtId="10" fontId="1" fillId="2" borderId="45" xfId="0" applyNumberFormat="1" applyFont="1" applyFill="1" applyBorder="1"/>
    <xf numFmtId="168" fontId="19" fillId="12" borderId="38" xfId="0" applyNumberFormat="1" applyFont="1" applyFill="1" applyBorder="1"/>
    <xf numFmtId="10" fontId="19" fillId="10" borderId="40" xfId="0" applyNumberFormat="1" applyFont="1" applyFill="1" applyBorder="1" applyAlignment="1">
      <alignment horizontal="center"/>
    </xf>
    <xf numFmtId="9" fontId="1" fillId="2" borderId="1" xfId="0" applyNumberFormat="1" applyFont="1" applyFill="1" applyBorder="1"/>
    <xf numFmtId="168" fontId="19" fillId="12" borderId="41" xfId="0" applyNumberFormat="1" applyFont="1" applyFill="1" applyBorder="1"/>
    <xf numFmtId="177" fontId="19" fillId="10" borderId="42" xfId="0" applyNumberFormat="1" applyFont="1" applyFill="1" applyBorder="1" applyAlignment="1">
      <alignment horizontal="center"/>
    </xf>
    <xf numFmtId="8" fontId="1" fillId="2" borderId="1" xfId="0" applyNumberFormat="1" applyFont="1" applyFill="1" applyBorder="1"/>
    <xf numFmtId="168" fontId="19" fillId="12" borderId="43" xfId="0" applyNumberFormat="1" applyFont="1" applyFill="1" applyBorder="1"/>
    <xf numFmtId="178" fontId="19" fillId="10" borderId="45" xfId="0" applyNumberFormat="1" applyFont="1" applyFill="1" applyBorder="1" applyAlignment="1">
      <alignment horizontal="center"/>
    </xf>
    <xf numFmtId="165" fontId="19" fillId="2" borderId="1" xfId="0" applyNumberFormat="1" applyFont="1" applyFill="1" applyBorder="1" applyAlignment="1">
      <alignment horizontal="center"/>
    </xf>
    <xf numFmtId="168" fontId="1" fillId="2" borderId="1" xfId="0" applyNumberFormat="1" applyFont="1" applyFill="1" applyBorder="1" applyAlignment="1"/>
    <xf numFmtId="0" fontId="1" fillId="0" borderId="0" xfId="0" applyFont="1" applyAlignment="1">
      <alignment horizontal="left" vertical="center" wrapText="1"/>
    </xf>
    <xf numFmtId="0" fontId="29" fillId="0" borderId="0" xfId="0" applyFont="1" applyAlignment="1">
      <alignment horizontal="left" vertical="center" wrapText="1"/>
    </xf>
    <xf numFmtId="0" fontId="30" fillId="0" borderId="0" xfId="0" applyFont="1" applyAlignment="1">
      <alignment horizontal="left" vertical="center" wrapText="1"/>
    </xf>
    <xf numFmtId="0" fontId="1" fillId="0" borderId="0" xfId="0" applyFont="1" applyAlignment="1">
      <alignment vertical="center"/>
    </xf>
    <xf numFmtId="0" fontId="30" fillId="0" borderId="0" xfId="0" applyFont="1" applyAlignment="1">
      <alignment vertical="center"/>
    </xf>
    <xf numFmtId="0" fontId="31" fillId="0" borderId="0" xfId="0" applyFont="1" applyAlignment="1">
      <alignment vertical="center"/>
    </xf>
    <xf numFmtId="0" fontId="32" fillId="0" borderId="22" xfId="0" applyFont="1" applyBorder="1" applyAlignment="1">
      <alignment horizontal="center" wrapText="1"/>
    </xf>
    <xf numFmtId="0" fontId="32" fillId="0" borderId="89" xfId="0" applyFont="1" applyBorder="1" applyAlignment="1">
      <alignment horizontal="center" wrapText="1"/>
    </xf>
    <xf numFmtId="0" fontId="32" fillId="0" borderId="23" xfId="0" applyFont="1" applyBorder="1" applyAlignment="1">
      <alignment horizontal="center" wrapText="1"/>
    </xf>
    <xf numFmtId="0" fontId="32" fillId="0" borderId="89" xfId="0" applyFont="1" applyBorder="1" applyAlignment="1">
      <alignment horizontal="center" vertical="center" wrapText="1"/>
    </xf>
    <xf numFmtId="0" fontId="32" fillId="0" borderId="23" xfId="0" applyFont="1" applyBorder="1" applyAlignment="1">
      <alignment horizontal="center" vertical="center" wrapText="1"/>
    </xf>
    <xf numFmtId="0" fontId="32" fillId="0" borderId="89" xfId="0" applyFont="1" applyBorder="1" applyAlignment="1">
      <alignment vertical="center" wrapText="1"/>
    </xf>
    <xf numFmtId="0" fontId="32" fillId="26" borderId="30" xfId="0" applyFont="1" applyFill="1" applyBorder="1" applyAlignment="1">
      <alignment horizontal="center" vertical="center" wrapText="1"/>
    </xf>
    <xf numFmtId="0" fontId="32" fillId="11" borderId="89" xfId="0" applyFont="1" applyFill="1" applyBorder="1" applyAlignment="1">
      <alignment horizontal="center" vertical="center" wrapText="1"/>
    </xf>
    <xf numFmtId="0" fontId="32" fillId="3" borderId="30" xfId="0" applyFont="1" applyFill="1" applyBorder="1" applyAlignment="1">
      <alignment horizontal="center" vertical="center" wrapText="1"/>
    </xf>
    <xf numFmtId="0" fontId="32" fillId="3" borderId="89" xfId="0" applyFont="1" applyFill="1" applyBorder="1" applyAlignment="1">
      <alignment horizontal="center" vertical="center" wrapText="1"/>
    </xf>
    <xf numFmtId="0" fontId="32" fillId="27" borderId="30" xfId="0" applyFont="1" applyFill="1" applyBorder="1" applyAlignment="1">
      <alignment horizontal="center" vertical="center" wrapText="1"/>
    </xf>
    <xf numFmtId="0" fontId="33" fillId="0" borderId="18" xfId="0" applyFont="1" applyBorder="1" applyAlignment="1">
      <alignment horizontal="left" vertical="center" wrapText="1"/>
    </xf>
    <xf numFmtId="0" fontId="1" fillId="26" borderId="18" xfId="0" applyFont="1" applyFill="1" applyBorder="1"/>
    <xf numFmtId="0" fontId="32" fillId="26" borderId="89" xfId="0" applyFont="1" applyFill="1" applyBorder="1" applyAlignment="1">
      <alignment horizontal="center" vertical="center" wrapText="1"/>
    </xf>
    <xf numFmtId="0" fontId="1" fillId="11" borderId="18" xfId="0" applyFont="1" applyFill="1" applyBorder="1"/>
    <xf numFmtId="0" fontId="1" fillId="3" borderId="18" xfId="0" applyFont="1" applyFill="1" applyBorder="1"/>
    <xf numFmtId="0" fontId="1" fillId="27" borderId="18" xfId="0" applyFont="1" applyFill="1" applyBorder="1"/>
    <xf numFmtId="0" fontId="28" fillId="3" borderId="18" xfId="0" applyFont="1" applyFill="1" applyBorder="1" applyAlignment="1">
      <alignment vertical="center" wrapText="1"/>
    </xf>
    <xf numFmtId="0" fontId="1" fillId="0" borderId="18" xfId="0" applyFont="1" applyBorder="1" applyAlignment="1">
      <alignment horizontal="left" vertical="center" wrapText="1"/>
    </xf>
    <xf numFmtId="0" fontId="30" fillId="0" borderId="18" xfId="0" applyFont="1" applyBorder="1" applyAlignment="1">
      <alignment horizontal="left" vertical="center" wrapText="1"/>
    </xf>
    <xf numFmtId="0" fontId="19" fillId="0" borderId="0" xfId="0" applyFont="1"/>
    <xf numFmtId="0" fontId="34" fillId="26" borderId="88" xfId="0" applyFont="1" applyFill="1" applyBorder="1" applyAlignment="1">
      <alignment horizontal="center"/>
    </xf>
    <xf numFmtId="0" fontId="34" fillId="26" borderId="77" xfId="0" applyFont="1" applyFill="1" applyBorder="1" applyAlignment="1">
      <alignment horizontal="center"/>
    </xf>
    <xf numFmtId="0" fontId="34" fillId="26" borderId="212" xfId="0" applyFont="1" applyFill="1" applyBorder="1" applyAlignment="1">
      <alignment horizontal="center"/>
    </xf>
    <xf numFmtId="0" fontId="34" fillId="26" borderId="213" xfId="0" applyFont="1" applyFill="1" applyBorder="1" applyAlignment="1">
      <alignment horizontal="center"/>
    </xf>
    <xf numFmtId="0" fontId="34" fillId="0" borderId="32" xfId="0" applyFont="1" applyBorder="1" applyAlignment="1">
      <alignment horizontal="center" vertical="center" wrapText="1"/>
    </xf>
    <xf numFmtId="0" fontId="32" fillId="0" borderId="32" xfId="0" applyFont="1" applyBorder="1" applyAlignment="1">
      <alignment vertical="center" wrapText="1"/>
    </xf>
    <xf numFmtId="0" fontId="32" fillId="0" borderId="22" xfId="0" applyFont="1" applyBorder="1" applyAlignment="1">
      <alignment vertical="center" wrapText="1"/>
    </xf>
    <xf numFmtId="0" fontId="32" fillId="0" borderId="32" xfId="0" applyFont="1" applyBorder="1" applyAlignment="1">
      <alignment wrapText="1"/>
    </xf>
    <xf numFmtId="0" fontId="34" fillId="0" borderId="24" xfId="0" applyFont="1" applyBorder="1" applyAlignment="1">
      <alignment horizontal="center" vertical="center" wrapText="1"/>
    </xf>
    <xf numFmtId="0" fontId="34" fillId="0" borderId="32" xfId="0" applyFont="1" applyBorder="1" applyAlignment="1">
      <alignment horizontal="center" vertical="center" wrapText="1"/>
    </xf>
    <xf numFmtId="0" fontId="34" fillId="3" borderId="214" xfId="0" applyFont="1" applyFill="1" applyBorder="1" applyAlignment="1">
      <alignment horizontal="center" vertical="center" wrapText="1"/>
    </xf>
    <xf numFmtId="0" fontId="34" fillId="0" borderId="33" xfId="0" applyFont="1" applyBorder="1" applyAlignment="1">
      <alignment horizontal="center" vertical="center" wrapText="1"/>
    </xf>
    <xf numFmtId="0" fontId="32" fillId="0" borderId="33" xfId="0" applyFont="1" applyBorder="1" applyAlignment="1">
      <alignment vertical="center" wrapText="1"/>
    </xf>
    <xf numFmtId="0" fontId="32" fillId="0" borderId="33" xfId="0" applyFont="1" applyBorder="1" applyAlignment="1">
      <alignment vertical="center" wrapText="1"/>
    </xf>
    <xf numFmtId="0" fontId="32" fillId="0" borderId="25" xfId="0" applyFont="1" applyBorder="1" applyAlignment="1">
      <alignment vertical="center" wrapText="1"/>
    </xf>
    <xf numFmtId="0" fontId="34" fillId="0" borderId="26" xfId="0" applyFont="1" applyBorder="1" applyAlignment="1">
      <alignment horizontal="center" vertical="center" wrapText="1"/>
    </xf>
    <xf numFmtId="0" fontId="34" fillId="3" borderId="187" xfId="0" applyFont="1" applyFill="1" applyBorder="1" applyAlignment="1">
      <alignment horizontal="center" vertical="center" wrapText="1"/>
    </xf>
    <xf numFmtId="0" fontId="32" fillId="0" borderId="34" xfId="0" applyFont="1" applyBorder="1" applyAlignment="1">
      <alignment wrapText="1"/>
    </xf>
    <xf numFmtId="0" fontId="34" fillId="3" borderId="33" xfId="0" applyFont="1" applyFill="1" applyBorder="1" applyAlignment="1">
      <alignment horizontal="center" vertical="center" wrapText="1"/>
    </xf>
    <xf numFmtId="0" fontId="32" fillId="0" borderId="32" xfId="0" applyFont="1" applyBorder="1" applyAlignment="1">
      <alignment vertical="center" wrapText="1"/>
    </xf>
    <xf numFmtId="0" fontId="34" fillId="3" borderId="183" xfId="0" applyFont="1" applyFill="1" applyBorder="1" applyAlignment="1">
      <alignment horizontal="center" vertical="center" wrapText="1"/>
    </xf>
    <xf numFmtId="0" fontId="30" fillId="0" borderId="0" xfId="0" applyFont="1" applyAlignment="1">
      <alignment horizontal="left" vertical="center" wrapText="1"/>
    </xf>
    <xf numFmtId="0" fontId="34" fillId="3" borderId="32" xfId="0" applyFont="1" applyFill="1" applyBorder="1" applyAlignment="1">
      <alignment horizontal="center" vertical="center" wrapText="1"/>
    </xf>
    <xf numFmtId="0" fontId="34" fillId="0" borderId="34" xfId="0" applyFont="1" applyBorder="1" applyAlignment="1">
      <alignment horizontal="center" vertical="center" wrapText="1"/>
    </xf>
    <xf numFmtId="0" fontId="32" fillId="0" borderId="34" xfId="0" applyFont="1" applyBorder="1" applyAlignment="1">
      <alignment vertical="center" wrapText="1"/>
    </xf>
    <xf numFmtId="0" fontId="32" fillId="0" borderId="34" xfId="0" applyFont="1" applyBorder="1" applyAlignment="1">
      <alignment vertical="center" wrapText="1"/>
    </xf>
    <xf numFmtId="0" fontId="34" fillId="3" borderId="34" xfId="0" applyFont="1" applyFill="1" applyBorder="1" applyAlignment="1">
      <alignment horizontal="center" vertical="center" wrapText="1"/>
    </xf>
    <xf numFmtId="0" fontId="34" fillId="27" borderId="33" xfId="0" applyFont="1" applyFill="1" applyBorder="1" applyAlignment="1">
      <alignment horizontal="center" vertical="center" wrapText="1"/>
    </xf>
    <xf numFmtId="0" fontId="34" fillId="11" borderId="214" xfId="0" applyFont="1" applyFill="1" applyBorder="1" applyAlignment="1">
      <alignment horizontal="center" vertical="center" wrapText="1"/>
    </xf>
    <xf numFmtId="0" fontId="34" fillId="0" borderId="33" xfId="0" applyFont="1" applyBorder="1" applyAlignment="1">
      <alignment horizontal="center" vertical="center" wrapText="1"/>
    </xf>
    <xf numFmtId="0" fontId="34" fillId="11" borderId="215" xfId="0" applyFont="1" applyFill="1" applyBorder="1" applyAlignment="1">
      <alignment horizontal="center" vertical="center" wrapText="1"/>
    </xf>
    <xf numFmtId="0" fontId="34" fillId="27" borderId="30" xfId="0" applyFont="1" applyFill="1" applyBorder="1" applyAlignment="1">
      <alignment horizontal="center" vertical="center" wrapText="1"/>
    </xf>
    <xf numFmtId="0" fontId="32" fillId="0" borderId="28" xfId="0" applyFont="1" applyBorder="1" applyAlignment="1">
      <alignment vertical="center" wrapText="1"/>
    </xf>
    <xf numFmtId="0" fontId="34" fillId="11" borderId="34" xfId="0" applyFont="1" applyFill="1" applyBorder="1" applyAlignment="1">
      <alignment horizontal="center" vertical="center" wrapText="1"/>
    </xf>
    <xf numFmtId="0" fontId="32" fillId="0" borderId="0" xfId="0" applyFont="1" applyAlignment="1">
      <alignment wrapText="1"/>
    </xf>
    <xf numFmtId="0" fontId="34" fillId="0" borderId="34" xfId="0" applyFont="1" applyBorder="1" applyAlignment="1">
      <alignment horizontal="center" vertical="center" wrapText="1"/>
    </xf>
    <xf numFmtId="0" fontId="34" fillId="11" borderId="30" xfId="0" applyFont="1" applyFill="1" applyBorder="1" applyAlignment="1">
      <alignment horizontal="center" vertical="center" wrapText="1"/>
    </xf>
    <xf numFmtId="0" fontId="32" fillId="0" borderId="24" xfId="0" applyFont="1" applyBorder="1" applyAlignment="1">
      <alignment vertical="center" wrapText="1"/>
    </xf>
    <xf numFmtId="0" fontId="34" fillId="21" borderId="214" xfId="0" applyFont="1" applyFill="1" applyBorder="1" applyAlignment="1">
      <alignment horizontal="center" vertical="center" wrapText="1"/>
    </xf>
    <xf numFmtId="0" fontId="32" fillId="0" borderId="27" xfId="0" applyFont="1" applyBorder="1" applyAlignment="1">
      <alignment vertical="center" wrapText="1"/>
    </xf>
    <xf numFmtId="0" fontId="32" fillId="0" borderId="29" xfId="0" applyFont="1" applyBorder="1" applyAlignment="1">
      <alignment vertical="center" wrapText="1"/>
    </xf>
    <xf numFmtId="0" fontId="34" fillId="21" borderId="34" xfId="0" applyFont="1" applyFill="1" applyBorder="1" applyAlignment="1">
      <alignment horizontal="center" vertical="center" wrapText="1"/>
    </xf>
    <xf numFmtId="0" fontId="32" fillId="0" borderId="25" xfId="0" applyFont="1" applyBorder="1" applyAlignment="1">
      <alignment vertical="center" wrapText="1"/>
    </xf>
    <xf numFmtId="0" fontId="32" fillId="0" borderId="33" xfId="0" applyFont="1" applyBorder="1" applyAlignment="1">
      <alignment wrapText="1"/>
    </xf>
    <xf numFmtId="0" fontId="32" fillId="0" borderId="26" xfId="0" applyFont="1" applyBorder="1" applyAlignment="1">
      <alignment vertical="center" wrapText="1"/>
    </xf>
    <xf numFmtId="0" fontId="34" fillId="0" borderId="89" xfId="0" applyFont="1" applyBorder="1" applyAlignment="1">
      <alignment horizontal="center" vertical="center" wrapText="1"/>
    </xf>
    <xf numFmtId="0" fontId="32" fillId="0" borderId="89" xfId="0" applyFont="1" applyBorder="1" applyAlignment="1">
      <alignment vertical="center" wrapText="1"/>
    </xf>
    <xf numFmtId="0" fontId="32" fillId="0" borderId="6" xfId="0" applyFont="1" applyBorder="1" applyAlignment="1">
      <alignment vertical="center" wrapText="1"/>
    </xf>
    <xf numFmtId="0" fontId="32" fillId="0" borderId="8" xfId="0" applyFont="1" applyBorder="1" applyAlignment="1">
      <alignment vertical="center" wrapText="1"/>
    </xf>
    <xf numFmtId="0" fontId="34" fillId="0" borderId="89" xfId="0" applyFont="1" applyBorder="1" applyAlignment="1">
      <alignment horizontal="center" vertical="center" wrapText="1"/>
    </xf>
    <xf numFmtId="0" fontId="34" fillId="3" borderId="89" xfId="0" applyFont="1" applyFill="1" applyBorder="1" applyAlignment="1">
      <alignment horizontal="center" vertical="center" wrapText="1"/>
    </xf>
    <xf numFmtId="0" fontId="34" fillId="27" borderId="89" xfId="0" applyFont="1" applyFill="1" applyBorder="1" applyAlignment="1">
      <alignment horizontal="center" vertical="center" wrapText="1"/>
    </xf>
    <xf numFmtId="0" fontId="34" fillId="26" borderId="214" xfId="0" applyFont="1" applyFill="1" applyBorder="1" applyAlignment="1">
      <alignment horizontal="center" vertical="center" wrapText="1"/>
    </xf>
    <xf numFmtId="0" fontId="32" fillId="0" borderId="22" xfId="0" applyFont="1" applyBorder="1" applyAlignment="1">
      <alignment vertical="center" wrapText="1"/>
    </xf>
    <xf numFmtId="0" fontId="1" fillId="0" borderId="32" xfId="0" applyFont="1" applyBorder="1"/>
    <xf numFmtId="0" fontId="34" fillId="0" borderId="24" xfId="0" applyFont="1" applyBorder="1" applyAlignment="1">
      <alignment horizontal="center" vertical="center" wrapText="1"/>
    </xf>
    <xf numFmtId="0" fontId="32" fillId="0" borderId="27" xfId="0" applyFont="1" applyBorder="1" applyAlignment="1">
      <alignment vertical="center" wrapText="1"/>
    </xf>
    <xf numFmtId="0" fontId="34" fillId="0" borderId="29" xfId="0" applyFont="1" applyBorder="1" applyAlignment="1">
      <alignment horizontal="center" vertical="center" wrapText="1"/>
    </xf>
    <xf numFmtId="0" fontId="34" fillId="26" borderId="30" xfId="0" applyFont="1" applyFill="1" applyBorder="1" applyAlignment="1">
      <alignment horizontal="center" vertical="center" wrapText="1"/>
    </xf>
    <xf numFmtId="0" fontId="32" fillId="0" borderId="22" xfId="0" applyFont="1" applyBorder="1" applyAlignment="1">
      <alignment horizontal="center"/>
    </xf>
    <xf numFmtId="0" fontId="32" fillId="0" borderId="23" xfId="0" applyFont="1" applyBorder="1" applyAlignment="1">
      <alignment horizontal="center"/>
    </xf>
    <xf numFmtId="0" fontId="32" fillId="0" borderId="24" xfId="0" applyFont="1" applyBorder="1" applyAlignment="1">
      <alignment horizontal="center"/>
    </xf>
    <xf numFmtId="0" fontId="32" fillId="3" borderId="89" xfId="0" applyFont="1" applyFill="1" applyBorder="1" applyAlignment="1">
      <alignment horizontal="center" vertical="center" wrapText="1"/>
    </xf>
    <xf numFmtId="0" fontId="32" fillId="27" borderId="89" xfId="0" applyFont="1" applyFill="1" applyBorder="1" applyAlignment="1">
      <alignment horizontal="center" vertical="center" wrapText="1"/>
    </xf>
    <xf numFmtId="0" fontId="32" fillId="11" borderId="89" xfId="0" applyFont="1" applyFill="1" applyBorder="1" applyAlignment="1">
      <alignment horizontal="center" vertical="center" wrapText="1"/>
    </xf>
    <xf numFmtId="0" fontId="19" fillId="5" borderId="172" xfId="0" applyFont="1" applyFill="1" applyBorder="1" applyAlignment="1">
      <alignment horizontal="center"/>
    </xf>
    <xf numFmtId="0" fontId="19" fillId="5" borderId="76" xfId="0" applyFont="1" applyFill="1" applyBorder="1" applyAlignment="1">
      <alignment horizontal="center"/>
    </xf>
    <xf numFmtId="0" fontId="1" fillId="0" borderId="12" xfId="0" applyFont="1" applyBorder="1" applyAlignment="1">
      <alignment horizontal="center"/>
    </xf>
    <xf numFmtId="168" fontId="1" fillId="15" borderId="18" xfId="0" applyNumberFormat="1" applyFont="1" applyFill="1" applyBorder="1" applyAlignment="1">
      <alignment horizontal="center"/>
    </xf>
    <xf numFmtId="9" fontId="35" fillId="19" borderId="1" xfId="0" applyNumberFormat="1" applyFont="1" applyFill="1" applyBorder="1" applyAlignment="1"/>
    <xf numFmtId="0" fontId="1" fillId="12" borderId="171" xfId="0" applyFont="1" applyFill="1" applyBorder="1" applyAlignment="1">
      <alignment horizontal="center"/>
    </xf>
    <xf numFmtId="168" fontId="1" fillId="12" borderId="172" xfId="0" applyNumberFormat="1" applyFont="1" applyFill="1" applyBorder="1" applyAlignment="1">
      <alignment horizontal="center"/>
    </xf>
    <xf numFmtId="0" fontId="1" fillId="0" borderId="105" xfId="0" applyFont="1" applyBorder="1"/>
    <xf numFmtId="9" fontId="1" fillId="0" borderId="106" xfId="0" applyNumberFormat="1" applyFont="1" applyBorder="1"/>
    <xf numFmtId="168" fontId="1" fillId="0" borderId="148" xfId="0" applyNumberFormat="1" applyFont="1" applyBorder="1" applyAlignment="1">
      <alignment horizontal="center"/>
    </xf>
    <xf numFmtId="168" fontId="1" fillId="0" borderId="71" xfId="0" applyNumberFormat="1" applyFont="1" applyBorder="1" applyAlignment="1">
      <alignment horizontal="center"/>
    </xf>
    <xf numFmtId="168" fontId="1" fillId="0" borderId="185" xfId="0" applyNumberFormat="1" applyFont="1" applyBorder="1" applyAlignment="1">
      <alignment horizontal="center"/>
    </xf>
    <xf numFmtId="168" fontId="1" fillId="19" borderId="36" xfId="0" applyNumberFormat="1" applyFont="1" applyFill="1" applyBorder="1" applyAlignment="1">
      <alignment horizontal="center"/>
    </xf>
    <xf numFmtId="168" fontId="1" fillId="26" borderId="171" xfId="0" applyNumberFormat="1" applyFont="1" applyFill="1" applyBorder="1" applyAlignment="1">
      <alignment horizontal="center"/>
    </xf>
    <xf numFmtId="168" fontId="1" fillId="26" borderId="172" xfId="0" applyNumberFormat="1" applyFont="1" applyFill="1" applyBorder="1" applyAlignment="1">
      <alignment horizontal="center"/>
    </xf>
    <xf numFmtId="166" fontId="19" fillId="10" borderId="40" xfId="0" applyNumberFormat="1" applyFont="1" applyFill="1" applyBorder="1" applyAlignment="1">
      <alignment horizontal="center"/>
    </xf>
    <xf numFmtId="10" fontId="19" fillId="10" borderId="45" xfId="0" applyNumberFormat="1" applyFont="1" applyFill="1" applyBorder="1" applyAlignment="1">
      <alignment horizontal="center"/>
    </xf>
    <xf numFmtId="168" fontId="1" fillId="19" borderId="18" xfId="0" applyNumberFormat="1" applyFont="1" applyFill="1" applyBorder="1" applyAlignment="1">
      <alignment horizontal="center"/>
    </xf>
    <xf numFmtId="168" fontId="1" fillId="28" borderId="18" xfId="0" applyNumberFormat="1" applyFont="1" applyFill="1" applyBorder="1" applyAlignment="1">
      <alignment horizontal="center"/>
    </xf>
    <xf numFmtId="0" fontId="10" fillId="4" borderId="6" xfId="0" applyFont="1" applyFill="1" applyBorder="1" applyAlignment="1">
      <alignment horizontal="left"/>
    </xf>
    <xf numFmtId="0" fontId="11" fillId="0" borderId="7" xfId="0" applyFont="1" applyBorder="1"/>
    <xf numFmtId="0" fontId="11" fillId="0" borderId="8" xfId="0" applyFont="1" applyBorder="1"/>
    <xf numFmtId="0" fontId="12" fillId="0" borderId="10" xfId="0" applyFont="1" applyBorder="1" applyAlignment="1">
      <alignment wrapText="1"/>
    </xf>
    <xf numFmtId="0" fontId="11" fillId="0" borderId="11" xfId="0" applyFont="1" applyBorder="1"/>
    <xf numFmtId="0" fontId="11" fillId="0" borderId="12" xfId="0" applyFont="1" applyBorder="1"/>
    <xf numFmtId="0" fontId="1" fillId="2" borderId="15" xfId="0" applyFont="1" applyFill="1" applyBorder="1" applyAlignment="1">
      <alignment horizontal="left" vertical="top" wrapText="1"/>
    </xf>
    <xf numFmtId="0" fontId="11" fillId="0" borderId="16" xfId="0" applyFont="1" applyBorder="1"/>
    <xf numFmtId="0" fontId="11" fillId="0" borderId="17" xfId="0" applyFont="1" applyBorder="1"/>
    <xf numFmtId="0" fontId="10" fillId="6" borderId="19" xfId="0" applyFont="1" applyFill="1" applyBorder="1" applyAlignment="1">
      <alignment horizontal="left" vertical="top" wrapText="1"/>
    </xf>
    <xf numFmtId="0" fontId="11" fillId="0" borderId="20" xfId="0" applyFont="1" applyBorder="1"/>
    <xf numFmtId="0" fontId="11" fillId="0" borderId="21" xfId="0" applyFont="1" applyBorder="1"/>
    <xf numFmtId="0" fontId="17" fillId="7" borderId="32" xfId="0" applyFont="1" applyFill="1" applyBorder="1" applyAlignment="1">
      <alignment horizontal="center" vertical="center" wrapText="1"/>
    </xf>
    <xf numFmtId="0" fontId="11" fillId="0" borderId="33" xfId="0" applyFont="1" applyBorder="1"/>
    <xf numFmtId="0" fontId="11" fillId="0" borderId="34" xfId="0" applyFont="1" applyBorder="1"/>
    <xf numFmtId="0" fontId="17" fillId="8" borderId="32" xfId="0" applyFont="1" applyFill="1" applyBorder="1" applyAlignment="1">
      <alignment horizontal="center" vertical="center" wrapText="1"/>
    </xf>
    <xf numFmtId="0" fontId="17" fillId="9" borderId="32" xfId="0" applyFont="1" applyFill="1" applyBorder="1" applyAlignment="1">
      <alignment horizontal="center" vertical="center" wrapText="1"/>
    </xf>
    <xf numFmtId="0" fontId="10" fillId="4" borderId="6" xfId="0" applyFont="1" applyFill="1" applyBorder="1" applyAlignment="1">
      <alignment horizontal="center"/>
    </xf>
    <xf numFmtId="0" fontId="17" fillId="5" borderId="22" xfId="0" applyFont="1" applyFill="1" applyBorder="1" applyAlignment="1">
      <alignment horizontal="center" vertical="center" wrapText="1"/>
    </xf>
    <xf numFmtId="0" fontId="11" fillId="0" borderId="23" xfId="0" applyFont="1" applyBorder="1"/>
    <xf numFmtId="0" fontId="11" fillId="0" borderId="24" xfId="0" applyFont="1" applyBorder="1"/>
    <xf numFmtId="0" fontId="11" fillId="0" borderId="25" xfId="0" applyFont="1" applyBorder="1"/>
    <xf numFmtId="0" fontId="0" fillId="0" borderId="0" xfId="0" applyFont="1" applyAlignment="1"/>
    <xf numFmtId="0" fontId="11" fillId="0" borderId="26" xfId="0" applyFont="1" applyBorder="1"/>
    <xf numFmtId="0" fontId="11" fillId="0" borderId="27" xfId="0" applyFont="1" applyBorder="1"/>
    <xf numFmtId="0" fontId="11" fillId="0" borderId="28" xfId="0" applyFont="1" applyBorder="1"/>
    <xf numFmtId="0" fontId="11" fillId="0" borderId="29" xfId="0" applyFont="1" applyBorder="1"/>
    <xf numFmtId="0" fontId="17" fillId="5" borderId="32" xfId="0" applyFont="1" applyFill="1" applyBorder="1" applyAlignment="1">
      <alignment horizontal="center" vertical="center" textRotation="90" wrapText="1"/>
    </xf>
    <xf numFmtId="0" fontId="17" fillId="10" borderId="32" xfId="0" applyFont="1" applyFill="1" applyBorder="1" applyAlignment="1">
      <alignment horizontal="center" vertical="center" wrapText="1"/>
    </xf>
    <xf numFmtId="0" fontId="1" fillId="5" borderId="50" xfId="0" applyFont="1" applyFill="1" applyBorder="1" applyAlignment="1">
      <alignment horizontal="center" vertical="center"/>
    </xf>
    <xf numFmtId="0" fontId="11" fillId="0" borderId="51" xfId="0" applyFont="1" applyBorder="1"/>
    <xf numFmtId="0" fontId="1" fillId="5" borderId="22" xfId="0" applyFont="1" applyFill="1" applyBorder="1" applyAlignment="1">
      <alignment horizontal="center" vertical="center"/>
    </xf>
    <xf numFmtId="0" fontId="1" fillId="5" borderId="55" xfId="0" applyFont="1" applyFill="1" applyBorder="1" applyAlignment="1">
      <alignment horizontal="center" vertical="center"/>
    </xf>
    <xf numFmtId="0" fontId="11" fillId="0" borderId="56" xfId="0" applyFont="1" applyBorder="1"/>
    <xf numFmtId="0" fontId="1" fillId="12" borderId="55" xfId="0" applyFont="1" applyFill="1" applyBorder="1" applyAlignment="1">
      <alignment horizontal="center" vertical="center"/>
    </xf>
    <xf numFmtId="0" fontId="1" fillId="5" borderId="80" xfId="0" applyFont="1" applyFill="1" applyBorder="1" applyAlignment="1">
      <alignment horizontal="center" vertical="center"/>
    </xf>
    <xf numFmtId="0" fontId="11" fillId="0" borderId="81" xfId="0" applyFont="1" applyBorder="1"/>
    <xf numFmtId="0" fontId="1" fillId="5" borderId="114" xfId="0" applyFont="1" applyFill="1" applyBorder="1" applyAlignment="1">
      <alignment horizontal="center" vertical="center"/>
    </xf>
    <xf numFmtId="0" fontId="11" fillId="0" borderId="115" xfId="0" applyFont="1" applyBorder="1"/>
    <xf numFmtId="0" fontId="19" fillId="5" borderId="50" xfId="0" applyFont="1" applyFill="1" applyBorder="1" applyAlignment="1">
      <alignment horizontal="center" vertical="center"/>
    </xf>
    <xf numFmtId="169" fontId="21" fillId="5" borderId="53" xfId="0" applyNumberFormat="1" applyFont="1" applyFill="1" applyBorder="1" applyAlignment="1">
      <alignment horizontal="center" vertical="center"/>
    </xf>
    <xf numFmtId="0" fontId="11" fillId="0" borderId="58" xfId="0" applyFont="1" applyBorder="1"/>
    <xf numFmtId="169" fontId="21" fillId="5" borderId="54" xfId="0" applyNumberFormat="1" applyFont="1" applyFill="1" applyBorder="1" applyAlignment="1">
      <alignment horizontal="center" vertical="center"/>
    </xf>
    <xf numFmtId="0" fontId="11" fillId="0" borderId="59" xfId="0" applyFont="1" applyBorder="1"/>
    <xf numFmtId="0" fontId="19" fillId="4" borderId="97" xfId="0" applyFont="1" applyFill="1" applyBorder="1" applyAlignment="1">
      <alignment horizontal="center" vertical="center"/>
    </xf>
    <xf numFmtId="0" fontId="11" fillId="0" borderId="96" xfId="0" applyFont="1" applyBorder="1"/>
    <xf numFmtId="169" fontId="14" fillId="9" borderId="86" xfId="0" applyNumberFormat="1" applyFont="1" applyFill="1" applyBorder="1" applyAlignment="1">
      <alignment horizontal="left"/>
    </xf>
    <xf numFmtId="0" fontId="11" fillId="0" borderId="87" xfId="0" applyFont="1" applyBorder="1"/>
    <xf numFmtId="169" fontId="14" fillId="10" borderId="6" xfId="0" applyNumberFormat="1" applyFont="1" applyFill="1" applyBorder="1" applyAlignment="1">
      <alignment horizontal="left" vertical="center" wrapText="1"/>
    </xf>
    <xf numFmtId="0" fontId="10" fillId="6" borderId="6" xfId="0" applyFont="1" applyFill="1" applyBorder="1" applyAlignment="1">
      <alignment horizontal="left"/>
    </xf>
    <xf numFmtId="0" fontId="15" fillId="2" borderId="6" xfId="0" applyFont="1" applyFill="1" applyBorder="1" applyAlignment="1">
      <alignment horizontal="left" vertical="top" wrapText="1"/>
    </xf>
    <xf numFmtId="0" fontId="4" fillId="4" borderId="90" xfId="0" applyFont="1" applyFill="1" applyBorder="1" applyAlignment="1">
      <alignment horizontal="left"/>
    </xf>
    <xf numFmtId="0" fontId="11" fillId="0" borderId="92" xfId="0" applyFont="1" applyBorder="1"/>
    <xf numFmtId="0" fontId="11" fillId="0" borderId="91" xfId="0" applyFont="1" applyBorder="1"/>
    <xf numFmtId="10" fontId="19" fillId="12" borderId="55" xfId="0" applyNumberFormat="1" applyFont="1" applyFill="1" applyBorder="1" applyAlignment="1">
      <alignment horizontal="center" vertical="center"/>
    </xf>
    <xf numFmtId="0" fontId="16" fillId="2" borderId="22" xfId="0" applyFont="1" applyFill="1" applyBorder="1" applyAlignment="1">
      <alignment horizontal="left" vertical="top" wrapText="1"/>
    </xf>
    <xf numFmtId="169" fontId="21" fillId="5" borderId="49" xfId="0" applyNumberFormat="1" applyFont="1" applyFill="1" applyBorder="1" applyAlignment="1">
      <alignment horizontal="center" vertical="center"/>
    </xf>
    <xf numFmtId="0" fontId="11" fillId="0" borderId="52" xfId="0" applyFont="1" applyBorder="1"/>
    <xf numFmtId="0" fontId="11" fillId="0" borderId="57" xfId="0" applyFont="1" applyBorder="1"/>
    <xf numFmtId="169" fontId="21" fillId="5" borderId="50" xfId="0" applyNumberFormat="1" applyFont="1" applyFill="1" applyBorder="1" applyAlignment="1">
      <alignment horizontal="center" vertical="center"/>
    </xf>
    <xf numFmtId="0" fontId="1" fillId="5" borderId="62" xfId="0" applyFont="1" applyFill="1" applyBorder="1" applyAlignment="1">
      <alignment horizontal="center" vertical="center"/>
    </xf>
    <xf numFmtId="0" fontId="1" fillId="5" borderId="19" xfId="0" applyFont="1" applyFill="1" applyBorder="1" applyAlignment="1">
      <alignment horizontal="center" vertical="center"/>
    </xf>
    <xf numFmtId="0" fontId="1" fillId="12" borderId="19" xfId="0" applyFont="1" applyFill="1" applyBorder="1" applyAlignment="1">
      <alignment horizontal="center" vertical="center"/>
    </xf>
    <xf numFmtId="0" fontId="1" fillId="5" borderId="99" xfId="0" applyFont="1" applyFill="1" applyBorder="1" applyAlignment="1">
      <alignment horizontal="center" vertical="center"/>
    </xf>
    <xf numFmtId="0" fontId="1" fillId="5" borderId="20" xfId="0" applyFont="1" applyFill="1" applyBorder="1" applyAlignment="1">
      <alignment horizontal="center" vertical="center"/>
    </xf>
    <xf numFmtId="0" fontId="4" fillId="4" borderId="22" xfId="0" applyFont="1" applyFill="1" applyBorder="1" applyAlignment="1">
      <alignment horizontal="center" vertical="center"/>
    </xf>
    <xf numFmtId="0" fontId="11" fillId="0" borderId="93" xfId="0" applyFont="1" applyBorder="1"/>
    <xf numFmtId="0" fontId="11" fillId="0" borderId="94" xfId="0" applyFont="1" applyBorder="1"/>
    <xf numFmtId="0" fontId="19" fillId="4" borderId="95" xfId="0" applyFont="1" applyFill="1" applyBorder="1" applyAlignment="1">
      <alignment horizontal="center" vertical="center"/>
    </xf>
    <xf numFmtId="0" fontId="10" fillId="4" borderId="22" xfId="0" applyFont="1" applyFill="1" applyBorder="1" applyAlignment="1">
      <alignment horizontal="center" vertical="center"/>
    </xf>
    <xf numFmtId="0" fontId="1" fillId="5" borderId="66" xfId="0" applyFont="1" applyFill="1" applyBorder="1" applyAlignment="1">
      <alignment horizontal="center" vertical="center"/>
    </xf>
    <xf numFmtId="0" fontId="1" fillId="5" borderId="100" xfId="0" applyFont="1" applyFill="1" applyBorder="1" applyAlignment="1">
      <alignment horizontal="center" vertical="center"/>
    </xf>
    <xf numFmtId="0" fontId="11" fillId="0" borderId="101" xfId="0" applyFont="1" applyBorder="1"/>
    <xf numFmtId="0" fontId="1" fillId="5" borderId="102" xfId="0" applyFont="1" applyFill="1" applyBorder="1" applyAlignment="1">
      <alignment horizontal="center" vertical="center"/>
    </xf>
    <xf numFmtId="0" fontId="1" fillId="5" borderId="63" xfId="0" applyFont="1" applyFill="1" applyBorder="1" applyAlignment="1">
      <alignment horizontal="center" vertical="center"/>
    </xf>
    <xf numFmtId="0" fontId="14" fillId="12" borderId="50" xfId="0" applyFont="1" applyFill="1" applyBorder="1" applyAlignment="1">
      <alignment horizontal="left"/>
    </xf>
    <xf numFmtId="169" fontId="14" fillId="7" borderId="55" xfId="0" applyNumberFormat="1" applyFont="1" applyFill="1" applyBorder="1" applyAlignment="1">
      <alignment horizontal="left"/>
    </xf>
    <xf numFmtId="169" fontId="14" fillId="7" borderId="80" xfId="0" applyNumberFormat="1" applyFont="1" applyFill="1" applyBorder="1" applyAlignment="1">
      <alignment horizontal="left"/>
    </xf>
    <xf numFmtId="169" fontId="14" fillId="8" borderId="6" xfId="0" applyNumberFormat="1" applyFont="1" applyFill="1" applyBorder="1" applyAlignment="1">
      <alignment horizontal="left" wrapText="1"/>
    </xf>
    <xf numFmtId="0" fontId="1" fillId="12" borderId="63" xfId="0" applyFont="1" applyFill="1" applyBorder="1" applyAlignment="1">
      <alignment horizontal="center" vertical="center"/>
    </xf>
    <xf numFmtId="0" fontId="1" fillId="12" borderId="20" xfId="0" applyFont="1" applyFill="1" applyBorder="1" applyAlignment="1">
      <alignment horizontal="center" vertical="center"/>
    </xf>
    <xf numFmtId="0" fontId="1" fillId="5" borderId="104" xfId="0" applyFont="1" applyFill="1" applyBorder="1" applyAlignment="1">
      <alignment horizontal="center" vertical="center"/>
    </xf>
    <xf numFmtId="0" fontId="1" fillId="12" borderId="50" xfId="0" applyFont="1" applyFill="1" applyBorder="1" applyAlignment="1">
      <alignment horizontal="center" vertical="center"/>
    </xf>
    <xf numFmtId="0" fontId="1" fillId="12" borderId="80" xfId="0" applyFont="1" applyFill="1" applyBorder="1" applyAlignment="1">
      <alignment horizontal="center" vertical="center"/>
    </xf>
    <xf numFmtId="0" fontId="1" fillId="5" borderId="98" xfId="0" applyFont="1" applyFill="1" applyBorder="1" applyAlignment="1">
      <alignment horizontal="center" vertical="center"/>
    </xf>
    <xf numFmtId="0" fontId="1" fillId="5" borderId="103" xfId="0" applyFont="1" applyFill="1" applyBorder="1" applyAlignment="1">
      <alignment horizontal="center" vertical="center"/>
    </xf>
    <xf numFmtId="0" fontId="1" fillId="5" borderId="105" xfId="0" applyFont="1" applyFill="1" applyBorder="1" applyAlignment="1">
      <alignment horizontal="center" vertical="center"/>
    </xf>
    <xf numFmtId="0" fontId="11" fillId="0" borderId="106" xfId="0" applyFont="1" applyBorder="1"/>
    <xf numFmtId="169" fontId="21" fillId="5" borderId="107" xfId="0" applyNumberFormat="1" applyFont="1" applyFill="1" applyBorder="1" applyAlignment="1">
      <alignment horizontal="center" vertical="center"/>
    </xf>
    <xf numFmtId="0" fontId="11" fillId="0" borderId="108" xfId="0" applyFont="1" applyBorder="1"/>
    <xf numFmtId="0" fontId="11" fillId="0" borderId="109" xfId="0" applyFont="1" applyBorder="1"/>
    <xf numFmtId="0" fontId="11" fillId="0" borderId="110" xfId="0" applyFont="1" applyBorder="1"/>
    <xf numFmtId="0" fontId="11" fillId="0" borderId="111" xfId="0" applyFont="1" applyBorder="1"/>
    <xf numFmtId="0" fontId="1" fillId="5" borderId="116" xfId="0" applyFont="1" applyFill="1" applyBorder="1" applyAlignment="1">
      <alignment horizontal="center" vertical="center"/>
    </xf>
    <xf numFmtId="0" fontId="11" fillId="0" borderId="117" xfId="0" applyFont="1" applyBorder="1"/>
    <xf numFmtId="0" fontId="11" fillId="0" borderId="118" xfId="0" applyFont="1" applyBorder="1"/>
    <xf numFmtId="0" fontId="11" fillId="0" borderId="121" xfId="0" applyFont="1" applyBorder="1"/>
    <xf numFmtId="0" fontId="4" fillId="4" borderId="114" xfId="0" applyFont="1" applyFill="1" applyBorder="1" applyAlignment="1">
      <alignment horizontal="center" vertical="center"/>
    </xf>
    <xf numFmtId="0" fontId="19" fillId="4" borderId="6" xfId="0" applyFont="1" applyFill="1" applyBorder="1" applyAlignment="1">
      <alignment horizontal="center" vertical="center"/>
    </xf>
    <xf numFmtId="0" fontId="1" fillId="5" borderId="119" xfId="0" applyFont="1" applyFill="1" applyBorder="1" applyAlignment="1">
      <alignment horizontal="center" vertical="center"/>
    </xf>
    <xf numFmtId="0" fontId="11" fillId="0" borderId="120" xfId="0" applyFont="1" applyBorder="1"/>
    <xf numFmtId="0" fontId="1" fillId="5" borderId="19" xfId="0" applyFont="1" applyFill="1" applyBorder="1" applyAlignment="1">
      <alignment horizontal="center"/>
    </xf>
    <xf numFmtId="169" fontId="14" fillId="10" borderId="113" xfId="0" applyNumberFormat="1" applyFont="1" applyFill="1" applyBorder="1" applyAlignment="1">
      <alignment horizontal="left" vertical="center" wrapText="1"/>
    </xf>
    <xf numFmtId="0" fontId="14" fillId="12" borderId="6" xfId="0" applyFont="1" applyFill="1" applyBorder="1" applyAlignment="1">
      <alignment horizontal="left"/>
    </xf>
    <xf numFmtId="169" fontId="14" fillId="7" borderId="50" xfId="0" applyNumberFormat="1" applyFont="1" applyFill="1" applyBorder="1" applyAlignment="1">
      <alignment horizontal="left"/>
    </xf>
    <xf numFmtId="169" fontId="14" fillId="8" borderId="86" xfId="0" applyNumberFormat="1" applyFont="1" applyFill="1" applyBorder="1" applyAlignment="1">
      <alignment horizontal="left" wrapText="1"/>
    </xf>
    <xf numFmtId="169" fontId="14" fillId="9" borderId="6" xfId="0" applyNumberFormat="1" applyFont="1" applyFill="1" applyBorder="1" applyAlignment="1">
      <alignment horizontal="left"/>
    </xf>
    <xf numFmtId="0" fontId="19" fillId="5" borderId="119" xfId="0" applyFont="1" applyFill="1" applyBorder="1" applyAlignment="1">
      <alignment horizontal="center" vertical="center"/>
    </xf>
    <xf numFmtId="169" fontId="21" fillId="5" borderId="122" xfId="0" applyNumberFormat="1" applyFont="1" applyFill="1" applyBorder="1" applyAlignment="1">
      <alignment horizontal="center" vertical="center"/>
    </xf>
    <xf numFmtId="169" fontId="21" fillId="5" borderId="123" xfId="0" applyNumberFormat="1" applyFont="1" applyFill="1" applyBorder="1" applyAlignment="1">
      <alignment horizontal="center" vertical="center"/>
    </xf>
    <xf numFmtId="169" fontId="21" fillId="5" borderId="119" xfId="0" applyNumberFormat="1" applyFont="1" applyFill="1" applyBorder="1" applyAlignment="1">
      <alignment horizontal="center" vertical="center"/>
    </xf>
    <xf numFmtId="169" fontId="14" fillId="10" borderId="113" xfId="0" applyNumberFormat="1" applyFont="1" applyFill="1" applyBorder="1" applyAlignment="1">
      <alignment horizontal="left" vertical="center"/>
    </xf>
    <xf numFmtId="0" fontId="19" fillId="12" borderId="97" xfId="0" applyFont="1" applyFill="1" applyBorder="1" applyAlignment="1">
      <alignment horizontal="left"/>
    </xf>
    <xf numFmtId="169" fontId="14" fillId="8" borderId="86" xfId="0" applyNumberFormat="1" applyFont="1" applyFill="1" applyBorder="1" applyAlignment="1">
      <alignment horizontal="left"/>
    </xf>
    <xf numFmtId="0" fontId="1" fillId="5" borderId="55" xfId="0" applyFont="1" applyFill="1" applyBorder="1" applyAlignment="1">
      <alignment horizontal="center"/>
    </xf>
    <xf numFmtId="0" fontId="1" fillId="2" borderId="141" xfId="0" applyFont="1" applyFill="1" applyBorder="1"/>
    <xf numFmtId="0" fontId="1" fillId="2" borderId="142" xfId="0" applyFont="1" applyFill="1" applyBorder="1"/>
    <xf numFmtId="0" fontId="19" fillId="2" borderId="144" xfId="0" applyFont="1" applyFill="1" applyBorder="1" applyAlignment="1"/>
    <xf numFmtId="0" fontId="11" fillId="0" borderId="145" xfId="0" applyFont="1" applyBorder="1"/>
    <xf numFmtId="0" fontId="19" fillId="17" borderId="131" xfId="0" applyFont="1" applyFill="1" applyBorder="1"/>
    <xf numFmtId="0" fontId="11" fillId="0" borderId="132" xfId="0" applyFont="1" applyBorder="1"/>
    <xf numFmtId="0" fontId="1" fillId="2" borderId="135" xfId="0" applyFont="1" applyFill="1" applyBorder="1" applyAlignment="1"/>
    <xf numFmtId="0" fontId="1" fillId="2" borderId="141" xfId="0" applyFont="1" applyFill="1" applyBorder="1" applyAlignment="1"/>
    <xf numFmtId="0" fontId="10" fillId="6" borderId="6" xfId="0" applyFont="1" applyFill="1" applyBorder="1" applyAlignment="1">
      <alignment horizontal="center"/>
    </xf>
    <xf numFmtId="0" fontId="10" fillId="14" borderId="6" xfId="0" applyFont="1" applyFill="1" applyBorder="1" applyAlignment="1">
      <alignment horizontal="center"/>
    </xf>
    <xf numFmtId="0" fontId="10" fillId="8" borderId="6" xfId="0" applyFont="1" applyFill="1" applyBorder="1" applyAlignment="1">
      <alignment horizontal="center"/>
    </xf>
    <xf numFmtId="0" fontId="1" fillId="2" borderId="6" xfId="0" applyFont="1" applyFill="1" applyBorder="1" applyAlignment="1">
      <alignment horizontal="left" vertical="top" wrapText="1"/>
    </xf>
    <xf numFmtId="0" fontId="1" fillId="2" borderId="32" xfId="0" applyFont="1" applyFill="1" applyBorder="1" applyAlignment="1">
      <alignment horizontal="center" vertical="center" wrapText="1"/>
    </xf>
    <xf numFmtId="0" fontId="10" fillId="15" borderId="127" xfId="0" applyFont="1" applyFill="1" applyBorder="1" applyAlignment="1">
      <alignment horizontal="center"/>
    </xf>
    <xf numFmtId="0" fontId="11" fillId="0" borderId="128" xfId="0" applyFont="1" applyBorder="1"/>
    <xf numFmtId="0" fontId="11" fillId="0" borderId="129" xfId="0" applyFont="1" applyBorder="1"/>
    <xf numFmtId="0" fontId="1" fillId="2" borderId="135" xfId="0" applyFont="1" applyFill="1" applyBorder="1"/>
    <xf numFmtId="0" fontId="19" fillId="2" borderId="22" xfId="0" applyFont="1" applyFill="1" applyBorder="1" applyAlignment="1">
      <alignment horizontal="center" vertical="center" wrapText="1"/>
    </xf>
    <xf numFmtId="0" fontId="1" fillId="2" borderId="149" xfId="0" applyFont="1" applyFill="1" applyBorder="1" applyAlignment="1">
      <alignment horizontal="center" vertical="center" wrapText="1"/>
    </xf>
    <xf numFmtId="0" fontId="11" fillId="0" borderId="150" xfId="0" applyFont="1" applyBorder="1"/>
    <xf numFmtId="0" fontId="11" fillId="0" borderId="151" xfId="0" applyFont="1" applyBorder="1"/>
    <xf numFmtId="0" fontId="19" fillId="4" borderId="19" xfId="0" applyFont="1" applyFill="1" applyBorder="1" applyAlignment="1">
      <alignment horizontal="center" vertical="center"/>
    </xf>
    <xf numFmtId="0" fontId="2" fillId="4" borderId="104" xfId="0" applyFont="1" applyFill="1" applyBorder="1" applyAlignment="1">
      <alignment horizontal="center" vertical="center"/>
    </xf>
    <xf numFmtId="0" fontId="11" fillId="0" borderId="10" xfId="0" applyFont="1" applyBorder="1"/>
    <xf numFmtId="0" fontId="1" fillId="2" borderId="142" xfId="0" applyFont="1" applyFill="1" applyBorder="1" applyAlignment="1"/>
    <xf numFmtId="0" fontId="19" fillId="2" borderId="153" xfId="0" applyFont="1" applyFill="1" applyBorder="1" applyAlignment="1"/>
    <xf numFmtId="0" fontId="11" fillId="0" borderId="154" xfId="0" applyFont="1" applyBorder="1"/>
    <xf numFmtId="0" fontId="10" fillId="6" borderId="97" xfId="0" applyFont="1" applyFill="1" applyBorder="1" applyAlignment="1">
      <alignment horizontal="center"/>
    </xf>
    <xf numFmtId="0" fontId="11" fillId="0" borderId="161" xfId="0" applyFont="1" applyBorder="1"/>
    <xf numFmtId="0" fontId="11" fillId="0" borderId="162" xfId="0" applyFont="1" applyBorder="1"/>
    <xf numFmtId="0" fontId="1" fillId="2" borderId="163" xfId="0" applyFont="1" applyFill="1" applyBorder="1" applyAlignment="1">
      <alignment horizontal="left" vertical="center" wrapText="1"/>
    </xf>
    <xf numFmtId="0" fontId="11" fillId="0" borderId="164" xfId="0" applyFont="1" applyBorder="1"/>
    <xf numFmtId="0" fontId="11" fillId="0" borderId="165" xfId="0" applyFont="1" applyBorder="1"/>
    <xf numFmtId="0" fontId="11" fillId="0" borderId="166" xfId="0" applyFont="1" applyBorder="1"/>
    <xf numFmtId="0" fontId="11" fillId="0" borderId="167" xfId="0" applyFont="1" applyBorder="1"/>
    <xf numFmtId="0" fontId="11" fillId="0" borderId="168" xfId="0" applyFont="1" applyBorder="1"/>
    <xf numFmtId="0" fontId="11" fillId="0" borderId="169" xfId="0" applyFont="1" applyBorder="1"/>
    <xf numFmtId="0" fontId="10" fillId="4" borderId="6" xfId="0" applyFont="1" applyFill="1" applyBorder="1" applyAlignment="1">
      <alignment horizontal="left" wrapText="1"/>
    </xf>
    <xf numFmtId="0" fontId="10" fillId="4" borderId="6" xfId="0" applyFont="1" applyFill="1" applyBorder="1" applyAlignment="1"/>
    <xf numFmtId="0" fontId="15" fillId="4" borderId="6" xfId="0" applyFont="1" applyFill="1" applyBorder="1" applyAlignment="1">
      <alignment horizontal="center" vertical="center"/>
    </xf>
    <xf numFmtId="0" fontId="15" fillId="4" borderId="32" xfId="0" applyFont="1" applyFill="1" applyBorder="1" applyAlignment="1">
      <alignment horizontal="center" vertical="center"/>
    </xf>
    <xf numFmtId="0" fontId="15" fillId="4" borderId="159" xfId="0" applyFont="1" applyFill="1" applyBorder="1" applyAlignment="1">
      <alignment horizontal="center" vertical="center" wrapText="1"/>
    </xf>
    <xf numFmtId="0" fontId="19" fillId="4" borderId="15" xfId="0" applyFont="1" applyFill="1" applyBorder="1" applyAlignment="1">
      <alignment horizontal="center"/>
    </xf>
    <xf numFmtId="0" fontId="11" fillId="0" borderId="182" xfId="0" applyFont="1" applyBorder="1"/>
    <xf numFmtId="0" fontId="19" fillId="4" borderId="183" xfId="0" applyFont="1" applyFill="1" applyBorder="1" applyAlignment="1">
      <alignment horizontal="center" vertical="center"/>
    </xf>
    <xf numFmtId="0" fontId="11" fillId="0" borderId="187" xfId="0" applyFont="1" applyBorder="1"/>
    <xf numFmtId="0" fontId="19" fillId="4" borderId="32" xfId="0" applyFont="1" applyFill="1" applyBorder="1" applyAlignment="1">
      <alignment horizontal="center" vertical="center"/>
    </xf>
    <xf numFmtId="0" fontId="19" fillId="4" borderId="22" xfId="0" applyFont="1" applyFill="1" applyBorder="1" applyAlignment="1">
      <alignment horizontal="center" vertical="center" wrapText="1"/>
    </xf>
    <xf numFmtId="0" fontId="19" fillId="4" borderId="32" xfId="0" applyFont="1" applyFill="1" applyBorder="1" applyAlignment="1">
      <alignment horizontal="center" vertical="center" wrapText="1"/>
    </xf>
    <xf numFmtId="0" fontId="19" fillId="4" borderId="50" xfId="0" applyFont="1" applyFill="1" applyBorder="1" applyAlignment="1">
      <alignment horizontal="center"/>
    </xf>
    <xf numFmtId="0" fontId="19" fillId="4" borderId="181" xfId="0" applyFont="1" applyFill="1" applyBorder="1" applyAlignment="1">
      <alignment horizontal="center"/>
    </xf>
    <xf numFmtId="0" fontId="19" fillId="4" borderId="107" xfId="0" applyFont="1" applyFill="1" applyBorder="1" applyAlignment="1">
      <alignment horizontal="center" vertical="center" wrapText="1"/>
    </xf>
    <xf numFmtId="0" fontId="14" fillId="5" borderId="15" xfId="0" applyFont="1" applyFill="1" applyBorder="1" applyAlignment="1">
      <alignment horizontal="center" vertical="center"/>
    </xf>
    <xf numFmtId="0" fontId="14" fillId="5" borderId="204" xfId="0" applyFont="1" applyFill="1" applyBorder="1" applyAlignment="1">
      <alignment horizontal="center" vertical="center"/>
    </xf>
    <xf numFmtId="0" fontId="11" fillId="0" borderId="71" xfId="0" applyFont="1" applyBorder="1"/>
    <xf numFmtId="0" fontId="14" fillId="5" borderId="203" xfId="0" applyFont="1" applyFill="1" applyBorder="1" applyAlignment="1">
      <alignment horizontal="center" vertical="center"/>
    </xf>
    <xf numFmtId="0" fontId="11" fillId="0" borderId="68" xfId="0" applyFont="1" applyBorder="1"/>
    <xf numFmtId="0" fontId="14" fillId="5" borderId="133" xfId="0" applyFont="1" applyFill="1" applyBorder="1" applyAlignment="1">
      <alignment horizontal="center" vertical="center"/>
    </xf>
    <xf numFmtId="0" fontId="11" fillId="0" borderId="199" xfId="0" applyFont="1" applyBorder="1"/>
    <xf numFmtId="0" fontId="14" fillId="5" borderId="65" xfId="0" applyFont="1" applyFill="1" applyBorder="1" applyAlignment="1">
      <alignment horizontal="center" vertical="center" wrapText="1"/>
    </xf>
    <xf numFmtId="0" fontId="14" fillId="5" borderId="32" xfId="0" applyFont="1" applyFill="1" applyBorder="1" applyAlignment="1">
      <alignment horizontal="center" vertical="center" wrapText="1"/>
    </xf>
    <xf numFmtId="0" fontId="14" fillId="5" borderId="64" xfId="0" applyFont="1" applyFill="1" applyBorder="1" applyAlignment="1">
      <alignment horizontal="center" vertical="center"/>
    </xf>
    <xf numFmtId="0" fontId="1" fillId="2" borderId="64" xfId="0" applyFont="1" applyFill="1" applyBorder="1" applyAlignment="1">
      <alignment horizontal="center" vertical="center"/>
    </xf>
    <xf numFmtId="0" fontId="11" fillId="0" borderId="190" xfId="0" applyFont="1" applyBorder="1"/>
    <xf numFmtId="0" fontId="11" fillId="0" borderId="196" xfId="0" applyFont="1" applyBorder="1"/>
    <xf numFmtId="0" fontId="19" fillId="5" borderId="113" xfId="0" applyFont="1" applyFill="1" applyBorder="1" applyAlignment="1">
      <alignment horizontal="center"/>
    </xf>
    <xf numFmtId="0" fontId="11" fillId="0" borderId="206" xfId="0" applyFont="1" applyBorder="1"/>
    <xf numFmtId="0" fontId="19" fillId="2" borderId="9" xfId="0" applyFont="1" applyFill="1" applyBorder="1" applyAlignment="1">
      <alignment horizontal="center" vertical="center"/>
    </xf>
    <xf numFmtId="0" fontId="11" fillId="0" borderId="13" xfId="0" applyFont="1" applyBorder="1"/>
    <xf numFmtId="0" fontId="1" fillId="2" borderId="9" xfId="0" applyFont="1" applyFill="1" applyBorder="1" applyAlignment="1">
      <alignment horizontal="center" vertical="center"/>
    </xf>
    <xf numFmtId="0" fontId="19" fillId="5" borderId="65" xfId="0" applyFont="1" applyFill="1" applyBorder="1" applyAlignment="1">
      <alignment horizontal="center" vertical="center" wrapText="1"/>
    </xf>
    <xf numFmtId="0" fontId="19" fillId="5" borderId="63" xfId="0" applyFont="1" applyFill="1" applyBorder="1" applyAlignment="1">
      <alignment horizontal="center" vertical="center"/>
    </xf>
    <xf numFmtId="0" fontId="11" fillId="0" borderId="63" xfId="0" applyFont="1" applyBorder="1"/>
    <xf numFmtId="0" fontId="1" fillId="0" borderId="64" xfId="0" applyFont="1" applyBorder="1" applyAlignment="1">
      <alignment horizontal="center" vertical="center" wrapText="1"/>
    </xf>
    <xf numFmtId="0" fontId="1" fillId="0" borderId="64" xfId="0" applyFont="1" applyBorder="1" applyAlignment="1">
      <alignment horizontal="center" vertical="center"/>
    </xf>
    <xf numFmtId="0" fontId="14" fillId="4" borderId="6" xfId="0" applyFont="1" applyFill="1" applyBorder="1" applyAlignment="1">
      <alignment horizontal="right"/>
    </xf>
    <xf numFmtId="0" fontId="10" fillId="4" borderId="97" xfId="0" applyFont="1" applyFill="1" applyBorder="1" applyAlignment="1">
      <alignment horizontal="left"/>
    </xf>
    <xf numFmtId="0" fontId="19" fillId="5" borderId="64" xfId="0" applyFont="1" applyFill="1" applyBorder="1" applyAlignment="1">
      <alignment horizontal="center" vertical="center"/>
    </xf>
    <xf numFmtId="0" fontId="19" fillId="5" borderId="133" xfId="0" applyFont="1" applyFill="1" applyBorder="1" applyAlignment="1">
      <alignment horizontal="center" vertical="center"/>
    </xf>
    <xf numFmtId="0" fontId="11" fillId="0" borderId="192" xfId="0" applyFont="1" applyBorder="1"/>
    <xf numFmtId="0" fontId="19" fillId="5" borderId="6" xfId="0" applyFont="1" applyFill="1" applyBorder="1" applyAlignment="1">
      <alignment horizontal="left"/>
    </xf>
    <xf numFmtId="0" fontId="1" fillId="0" borderId="50" xfId="0" applyFont="1" applyBorder="1" applyAlignment="1">
      <alignment horizontal="left" vertical="center"/>
    </xf>
    <xf numFmtId="0" fontId="1" fillId="0" borderId="53" xfId="0" applyFont="1" applyBorder="1" applyAlignment="1">
      <alignment horizontal="center" vertical="center"/>
    </xf>
    <xf numFmtId="0" fontId="1" fillId="23" borderId="6" xfId="0" applyFont="1" applyFill="1" applyBorder="1" applyAlignment="1">
      <alignment horizontal="left"/>
    </xf>
    <xf numFmtId="0" fontId="1" fillId="0" borderId="50" xfId="0" applyFont="1" applyBorder="1" applyAlignment="1">
      <alignment horizontal="left"/>
    </xf>
    <xf numFmtId="0" fontId="1" fillId="2" borderId="50" xfId="0" applyFont="1" applyFill="1" applyBorder="1" applyAlignment="1"/>
    <xf numFmtId="0" fontId="1" fillId="2" borderId="55" xfId="0" applyFont="1" applyFill="1" applyBorder="1" applyAlignment="1"/>
    <xf numFmtId="0" fontId="1" fillId="2" borderId="80" xfId="0" applyFont="1" applyFill="1" applyBorder="1" applyAlignment="1"/>
    <xf numFmtId="0" fontId="1" fillId="17" borderId="6" xfId="0" applyFont="1" applyFill="1" applyBorder="1" applyAlignment="1">
      <alignment horizontal="left"/>
    </xf>
    <xf numFmtId="0" fontId="1" fillId="0" borderId="27" xfId="0" applyFont="1" applyBorder="1" applyAlignment="1">
      <alignment horizontal="left"/>
    </xf>
    <xf numFmtId="0" fontId="1" fillId="0" borderId="22" xfId="0" applyFont="1" applyBorder="1" applyAlignment="1">
      <alignment horizontal="left"/>
    </xf>
    <xf numFmtId="0" fontId="1" fillId="0" borderId="25" xfId="0" applyFont="1" applyBorder="1" applyAlignment="1">
      <alignment horizontal="left"/>
    </xf>
    <xf numFmtId="0" fontId="1" fillId="24" borderId="55" xfId="0" applyFont="1" applyFill="1" applyBorder="1" applyAlignment="1">
      <alignment horizontal="left"/>
    </xf>
    <xf numFmtId="0" fontId="28" fillId="25" borderId="9" xfId="0" applyFont="1" applyFill="1" applyBorder="1" applyAlignment="1">
      <alignment horizontal="left" vertical="center" wrapText="1"/>
    </xf>
    <xf numFmtId="0" fontId="28" fillId="25" borderId="9" xfId="0" applyFont="1" applyFill="1" applyBorder="1" applyAlignment="1">
      <alignment horizontal="left" vertical="center"/>
    </xf>
    <xf numFmtId="0" fontId="33" fillId="0" borderId="19" xfId="0" applyFont="1" applyBorder="1" applyAlignment="1">
      <alignment horizontal="center" vertical="center" wrapText="1"/>
    </xf>
    <xf numFmtId="0" fontId="1" fillId="0" borderId="105" xfId="0" applyFont="1" applyBorder="1" applyAlignment="1">
      <alignment horizontal="left" vertical="center"/>
    </xf>
    <xf numFmtId="0" fontId="1" fillId="12" borderId="6" xfId="0" applyFont="1" applyFill="1" applyBorder="1" applyAlignment="1">
      <alignment horizontal="left"/>
    </xf>
    <xf numFmtId="0" fontId="1" fillId="0" borderId="55" xfId="0" applyFont="1" applyBorder="1" applyAlignment="1">
      <alignment horizontal="left"/>
    </xf>
    <xf numFmtId="0" fontId="1" fillId="0" borderId="116" xfId="0" applyFont="1" applyBorder="1" applyAlignment="1">
      <alignment horizontal="left"/>
    </xf>
    <xf numFmtId="0" fontId="1" fillId="26" borderId="6" xfId="0" applyFont="1" applyFill="1" applyBorder="1" applyAlignment="1">
      <alignment horizontal="left"/>
    </xf>
    <xf numFmtId="0" fontId="19" fillId="27" borderId="19" xfId="0" applyFont="1" applyFill="1" applyBorder="1" applyAlignment="1">
      <alignment horizontal="center"/>
    </xf>
    <xf numFmtId="0" fontId="19" fillId="0" borderId="185" xfId="0" applyFont="1" applyBorder="1" applyAlignment="1">
      <alignment horizontal="center" vertical="center"/>
    </xf>
    <xf numFmtId="0" fontId="11" fillId="0" borderId="210" xfId="0" applyFont="1" applyBorder="1"/>
    <xf numFmtId="0" fontId="11" fillId="0" borderId="148" xfId="0" applyFont="1" applyBorder="1"/>
    <xf numFmtId="0" fontId="32" fillId="0" borderId="185" xfId="0" applyFont="1" applyBorder="1" applyAlignment="1">
      <alignment horizontal="center" vertical="center" wrapText="1"/>
    </xf>
    <xf numFmtId="0" fontId="2" fillId="3" borderId="19" xfId="0" applyFont="1" applyFill="1" applyBorder="1" applyAlignment="1">
      <alignment horizontal="center"/>
    </xf>
    <xf numFmtId="0" fontId="36" fillId="0" borderId="19" xfId="0" applyFont="1" applyBorder="1" applyAlignment="1">
      <alignment wrapText="1"/>
    </xf>
    <xf numFmtId="0" fontId="37" fillId="0" borderId="19" xfId="0" applyFont="1" applyBorder="1" applyAlignment="1">
      <alignment wrapText="1"/>
    </xf>
    <xf numFmtId="0" fontId="19" fillId="4" borderId="6" xfId="0" applyFont="1" applyFill="1" applyBorder="1" applyAlignment="1">
      <alignment horizontal="center"/>
    </xf>
    <xf numFmtId="0" fontId="1" fillId="28" borderId="149"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1"/>
  <c:style val="2"/>
  <c:chart>
    <c:title>
      <c:tx>
        <c:rich>
          <a:bodyPr/>
          <a:lstStyle/>
          <a:p>
            <a:pPr lvl="0">
              <a:defRPr sz="1800" b="1" i="0">
                <a:solidFill>
                  <a:srgbClr val="757575"/>
                </a:solidFill>
                <a:latin typeface="+mn-lt"/>
              </a:defRPr>
            </a:pPr>
            <a:r>
              <a:rPr lang="es-AR" sz="1800" b="1" i="0">
                <a:solidFill>
                  <a:srgbClr val="757575"/>
                </a:solidFill>
                <a:latin typeface="+mn-lt"/>
              </a:rPr>
              <a:t>Evolución de la participación en el mercado</a:t>
            </a:r>
          </a:p>
        </c:rich>
      </c:tx>
      <c:layout/>
      <c:overlay val="0"/>
    </c:title>
    <c:autoTitleDeleted val="0"/>
    <c:plotArea>
      <c:layout/>
      <c:barChart>
        <c:barDir val="col"/>
        <c:grouping val="clustered"/>
        <c:varyColors val="1"/>
        <c:ser>
          <c:idx val="0"/>
          <c:order val="0"/>
          <c:tx>
            <c:v>2026</c:v>
          </c:tx>
          <c:spPr>
            <a:solidFill>
              <a:srgbClr val="4472C4"/>
            </a:solidFill>
            <a:ln cmpd="sng">
              <a:solidFill>
                <a:srgbClr val="000000"/>
              </a:solidFill>
            </a:ln>
          </c:spPr>
          <c:invertIfNegative val="1"/>
          <c:cat>
            <c:strRef>
              <c:f>Hipótesis!$D$23</c:f>
              <c:strCache>
                <c:ptCount val="1"/>
                <c:pt idx="0">
                  <c:v>Total</c:v>
                </c:pt>
              </c:strCache>
            </c:strRef>
          </c:cat>
          <c:val>
            <c:numRef>
              <c:f>Hipótesis!$D$24</c:f>
              <c:numCache>
                <c:formatCode>_-"$"\ * #,##0.00_-;\-"$"\ * #,##0.00_-;_-"$"\ * "-"??_-;_-@</c:formatCode>
                <c:ptCount val="1"/>
                <c:pt idx="0">
                  <c:v>102480000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2027</c:v>
          </c:tx>
          <c:spPr>
            <a:solidFill>
              <a:srgbClr val="ED7D31"/>
            </a:solidFill>
            <a:ln cmpd="sng">
              <a:solidFill>
                <a:srgbClr val="000000"/>
              </a:solidFill>
            </a:ln>
          </c:spPr>
          <c:invertIfNegative val="1"/>
          <c:cat>
            <c:strRef>
              <c:f>Hipótesis!$D$23</c:f>
              <c:strCache>
                <c:ptCount val="1"/>
                <c:pt idx="0">
                  <c:v>Total</c:v>
                </c:pt>
              </c:strCache>
            </c:strRef>
          </c:cat>
          <c:val>
            <c:numRef>
              <c:f>Hipótesis!$D$25</c:f>
              <c:numCache>
                <c:formatCode>_-"$"\ * #,##0.00_-;\-"$"\ * #,##0.00_-;_-"$"\ * "-"??_-;_-@</c:formatCode>
                <c:ptCount val="1"/>
                <c:pt idx="0">
                  <c:v>307440000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2028</c:v>
          </c:tx>
          <c:spPr>
            <a:solidFill>
              <a:srgbClr val="A5A5A5"/>
            </a:solidFill>
            <a:ln cmpd="sng">
              <a:solidFill>
                <a:srgbClr val="000000"/>
              </a:solidFill>
            </a:ln>
          </c:spPr>
          <c:invertIfNegative val="1"/>
          <c:cat>
            <c:strRef>
              <c:f>Hipótesis!$D$23</c:f>
              <c:strCache>
                <c:ptCount val="1"/>
                <c:pt idx="0">
                  <c:v>Total</c:v>
                </c:pt>
              </c:strCache>
            </c:strRef>
          </c:cat>
          <c:val>
            <c:numRef>
              <c:f>Hipótesis!$D$26</c:f>
              <c:numCache>
                <c:formatCode>_-"$"\ * #,##0.00_-;\-"$"\ * #,##0.00_-;_-"$"\ * "-"??_-;_-@</c:formatCode>
                <c:ptCount val="1"/>
                <c:pt idx="0">
                  <c:v>512400000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1709438832"/>
        <c:axId val="1709429040"/>
      </c:barChart>
      <c:catAx>
        <c:axId val="1709438832"/>
        <c:scaling>
          <c:orientation val="minMax"/>
        </c:scaling>
        <c:delete val="0"/>
        <c:axPos val="b"/>
        <c:title>
          <c:tx>
            <c:rich>
              <a:bodyPr/>
              <a:lstStyle/>
              <a:p>
                <a:pPr lvl="0">
                  <a:defRPr b="0">
                    <a:solidFill>
                      <a:srgbClr val="000000"/>
                    </a:solidFill>
                    <a:latin typeface="+mn-lt"/>
                  </a:defRPr>
                </a:pPr>
                <a:endParaRPr lang="es-AR"/>
              </a:p>
            </c:rich>
          </c:tx>
          <c:layout/>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709429040"/>
        <c:crosses val="autoZero"/>
        <c:auto val="1"/>
        <c:lblAlgn val="ctr"/>
        <c:lblOffset val="100"/>
        <c:noMultiLvlLbl val="1"/>
      </c:catAx>
      <c:valAx>
        <c:axId val="170942904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AR"/>
              </a:p>
            </c:rich>
          </c:tx>
          <c:layout/>
          <c:overlay val="0"/>
        </c:title>
        <c:numFmt formatCode="_-&quot;$&quot;\ * #,##0.00_-;\-&quot;$&quot;\ * #,##0.00_-;_-&quot;$&quot;\ * &quot;-&quot;??_-;_-@" sourceLinked="1"/>
        <c:majorTickMark val="none"/>
        <c:minorTickMark val="none"/>
        <c:tickLblPos val="nextTo"/>
        <c:spPr>
          <a:ln/>
        </c:spPr>
        <c:txPr>
          <a:bodyPr/>
          <a:lstStyle/>
          <a:p>
            <a:pPr lvl="0">
              <a:defRPr sz="1400" b="0" i="0">
                <a:solidFill>
                  <a:srgbClr val="000000"/>
                </a:solidFill>
                <a:latin typeface="+mn-lt"/>
              </a:defRPr>
            </a:pPr>
            <a:endParaRPr lang="es-AR"/>
          </a:p>
        </c:txPr>
        <c:crossAx val="1709438832"/>
        <c:crosses val="autoZero"/>
        <c:crossBetween val="between"/>
      </c:valAx>
    </c:plotArea>
    <c:legend>
      <c:legendPos val="b"/>
      <c:layout/>
      <c:overlay val="0"/>
      <c:txPr>
        <a:bodyPr/>
        <a:lstStyle/>
        <a:p>
          <a:pPr lvl="0">
            <a:defRPr sz="16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s-ES"/>
  <c:roundedCorners val="1"/>
  <c:style val="2"/>
  <c:chart>
    <c:title>
      <c:tx>
        <c:rich>
          <a:bodyPr/>
          <a:lstStyle/>
          <a:p>
            <a:pPr lvl="0">
              <a:defRPr sz="1600" b="1" i="0">
                <a:solidFill>
                  <a:srgbClr val="757575"/>
                </a:solidFill>
                <a:latin typeface="+mn-lt"/>
              </a:defRPr>
            </a:pPr>
            <a:r>
              <a:rPr lang="es-AR" sz="1600" b="1" i="0">
                <a:solidFill>
                  <a:srgbClr val="757575"/>
                </a:solidFill>
                <a:latin typeface="+mn-lt"/>
              </a:rPr>
              <a:t>Proyección mensual de ventas 2026</a:t>
            </a:r>
          </a:p>
        </c:rich>
      </c:tx>
      <c:layout/>
      <c:overlay val="0"/>
    </c:title>
    <c:autoTitleDeleted val="0"/>
    <c:plotArea>
      <c:layout>
        <c:manualLayout>
          <c:xMode val="edge"/>
          <c:yMode val="edge"/>
          <c:x val="0.10072347391190987"/>
          <c:y val="8.3947929945699024E-2"/>
          <c:w val="0.88416923240132761"/>
          <c:h val="0.78659194141361466"/>
        </c:manualLayout>
      </c:layout>
      <c:barChart>
        <c:barDir val="col"/>
        <c:grouping val="clustered"/>
        <c:varyColors val="1"/>
        <c:ser>
          <c:idx val="0"/>
          <c:order val="0"/>
          <c:tx>
            <c:v>Enero</c:v>
          </c:tx>
          <c:spPr>
            <a:solidFill>
              <a:srgbClr val="4472C4"/>
            </a:solidFill>
            <a:ln cmpd="sng">
              <a:solidFill>
                <a:srgbClr val="000000"/>
              </a:solidFill>
            </a:ln>
          </c:spPr>
          <c:invertIfNegative val="1"/>
          <c:val>
            <c:numRef>
              <c:f>'Proy. ventas'!$F$32</c:f>
              <c:numCache>
                <c:formatCode>_-"$"\ * #,##0.00_-;\-"$"\ * #,##0.00_-;_-"$"\ * "-"??_-;_-@</c:formatCode>
                <c:ptCount val="1"/>
                <c:pt idx="0">
                  <c:v>6630000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Febrero</c:v>
          </c:tx>
          <c:spPr>
            <a:solidFill>
              <a:srgbClr val="ED7D31"/>
            </a:solidFill>
            <a:ln cmpd="sng">
              <a:solidFill>
                <a:srgbClr val="000000"/>
              </a:solidFill>
            </a:ln>
          </c:spPr>
          <c:invertIfNegative val="1"/>
          <c:val>
            <c:numRef>
              <c:f>'Proy. ventas'!$H$32</c:f>
              <c:numCache>
                <c:formatCode>_-"$"\ * #,##0.00_-;\-"$"\ * #,##0.00_-;_-"$"\ * "-"??_-;_-@</c:formatCode>
                <c:ptCount val="1"/>
                <c:pt idx="0">
                  <c:v>6150000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Marzo</c:v>
          </c:tx>
          <c:spPr>
            <a:solidFill>
              <a:srgbClr val="A5A5A5"/>
            </a:solidFill>
            <a:ln cmpd="sng">
              <a:solidFill>
                <a:srgbClr val="000000"/>
              </a:solidFill>
            </a:ln>
          </c:spPr>
          <c:invertIfNegative val="1"/>
          <c:val>
            <c:numRef>
              <c:f>'Proy. ventas'!$J$32</c:f>
              <c:numCache>
                <c:formatCode>_-"$"\ * #,##0.00_-;\-"$"\ * #,##0.00_-;_-"$"\ * "-"??_-;_-@</c:formatCode>
                <c:ptCount val="1"/>
                <c:pt idx="0">
                  <c:v>3300000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3"/>
          <c:order val="3"/>
          <c:tx>
            <c:v>Abril</c:v>
          </c:tx>
          <c:spPr>
            <a:solidFill>
              <a:srgbClr val="FFC000"/>
            </a:solidFill>
            <a:ln cmpd="sng">
              <a:solidFill>
                <a:srgbClr val="000000"/>
              </a:solidFill>
            </a:ln>
          </c:spPr>
          <c:invertIfNegative val="1"/>
          <c:val>
            <c:numRef>
              <c:f>'Proy. ventas'!$L$32</c:f>
              <c:numCache>
                <c:formatCode>_-"$"\ * #,##0.00_-;\-"$"\ * #,##0.00_-;_-"$"\ * "-"??_-;_-@</c:formatCode>
                <c:ptCount val="1"/>
                <c:pt idx="0">
                  <c:v>8520000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4"/>
          <c:order val="4"/>
          <c:tx>
            <c:v>Mayo</c:v>
          </c:tx>
          <c:spPr>
            <a:solidFill>
              <a:srgbClr val="5B9BD5"/>
            </a:solidFill>
            <a:ln cmpd="sng">
              <a:solidFill>
                <a:srgbClr val="000000"/>
              </a:solidFill>
            </a:ln>
          </c:spPr>
          <c:invertIfNegative val="1"/>
          <c:val>
            <c:numRef>
              <c:f>'Proy. ventas'!$N$32</c:f>
              <c:numCache>
                <c:formatCode>_-"$"\ * #,##0.00_-;\-"$"\ * #,##0.00_-;_-"$"\ * "-"??_-;_-@</c:formatCode>
                <c:ptCount val="1"/>
                <c:pt idx="0">
                  <c:v>4920000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5"/>
          <c:order val="5"/>
          <c:tx>
            <c:v>Junio</c:v>
          </c:tx>
          <c:spPr>
            <a:solidFill>
              <a:srgbClr val="70AD47"/>
            </a:solidFill>
            <a:ln cmpd="sng">
              <a:solidFill>
                <a:srgbClr val="000000"/>
              </a:solidFill>
            </a:ln>
          </c:spPr>
          <c:invertIfNegative val="1"/>
          <c:val>
            <c:numRef>
              <c:f>'Proy. ventas'!$P$32</c:f>
              <c:numCache>
                <c:formatCode>_-"$"\ * #,##0.00_-;\-"$"\ * #,##0.00_-;_-"$"\ * "-"??_-;_-@</c:formatCode>
                <c:ptCount val="1"/>
                <c:pt idx="0">
                  <c:v>4920000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6"/>
          <c:order val="6"/>
          <c:tx>
            <c:v>Julio</c:v>
          </c:tx>
          <c:spPr>
            <a:solidFill>
              <a:srgbClr val="4472C4"/>
            </a:solidFill>
            <a:ln cmpd="sng">
              <a:solidFill>
                <a:srgbClr val="000000"/>
              </a:solidFill>
            </a:ln>
          </c:spPr>
          <c:invertIfNegative val="1"/>
          <c:val>
            <c:numRef>
              <c:f>'Proy. ventas'!$R$32</c:f>
              <c:numCache>
                <c:formatCode>_-"$"\ * #,##0.00_-;\-"$"\ * #,##0.00_-;_-"$"\ * "-"??_-;_-@</c:formatCode>
                <c:ptCount val="1"/>
                <c:pt idx="0">
                  <c:v>10140000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7"/>
          <c:order val="7"/>
          <c:tx>
            <c:v>Agosto</c:v>
          </c:tx>
          <c:spPr>
            <a:solidFill>
              <a:srgbClr val="ED7D31"/>
            </a:solidFill>
            <a:ln cmpd="sng">
              <a:solidFill>
                <a:srgbClr val="000000"/>
              </a:solidFill>
            </a:ln>
          </c:spPr>
          <c:invertIfNegative val="1"/>
          <c:val>
            <c:numRef>
              <c:f>'Proy. ventas'!$T$32</c:f>
              <c:numCache>
                <c:formatCode>_-"$"\ * #,##0.00_-;\-"$"\ * #,##0.00_-;_-"$"\ * "-"??_-;_-@</c:formatCode>
                <c:ptCount val="1"/>
                <c:pt idx="0">
                  <c:v>6540000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8"/>
          <c:order val="8"/>
          <c:tx>
            <c:v>Septiembre</c:v>
          </c:tx>
          <c:spPr>
            <a:solidFill>
              <a:srgbClr val="A5A5A5"/>
            </a:solidFill>
            <a:ln cmpd="sng">
              <a:solidFill>
                <a:srgbClr val="000000"/>
              </a:solidFill>
            </a:ln>
          </c:spPr>
          <c:invertIfNegative val="1"/>
          <c:val>
            <c:numRef>
              <c:f>'Proy. ventas'!$V$32</c:f>
              <c:numCache>
                <c:formatCode>_-"$"\ * #,##0.00_-;\-"$"\ * #,##0.00_-;_-"$"\ * "-"??_-;_-@</c:formatCode>
                <c:ptCount val="1"/>
                <c:pt idx="0">
                  <c:v>13170000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9"/>
          <c:order val="9"/>
          <c:tx>
            <c:v>Octubre</c:v>
          </c:tx>
          <c:spPr>
            <a:solidFill>
              <a:srgbClr val="FFC000"/>
            </a:solidFill>
            <a:ln cmpd="sng">
              <a:solidFill>
                <a:srgbClr val="000000"/>
              </a:solidFill>
            </a:ln>
          </c:spPr>
          <c:invertIfNegative val="1"/>
          <c:val>
            <c:numRef>
              <c:f>'Proy. ventas'!$X$32</c:f>
              <c:numCache>
                <c:formatCode>_-"$"\ * #,##0.00_-;\-"$"\ * #,##0.00_-;_-"$"\ * "-"??_-;_-@</c:formatCode>
                <c:ptCount val="1"/>
                <c:pt idx="0">
                  <c:v>15150000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0"/>
          <c:order val="10"/>
          <c:tx>
            <c:v>Noviembre</c:v>
          </c:tx>
          <c:spPr>
            <a:solidFill>
              <a:srgbClr val="5B9BD5"/>
            </a:solidFill>
            <a:ln cmpd="sng">
              <a:solidFill>
                <a:srgbClr val="000000"/>
              </a:solidFill>
            </a:ln>
          </c:spPr>
          <c:invertIfNegative val="1"/>
          <c:val>
            <c:numRef>
              <c:f>'Proy. ventas'!$Z$32</c:f>
              <c:numCache>
                <c:formatCode>_-"$"\ * #,##0.00_-;\-"$"\ * #,##0.00_-;_-"$"\ * "-"??_-;_-@</c:formatCode>
                <c:ptCount val="1"/>
                <c:pt idx="0">
                  <c:v>17130000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1"/>
          <c:order val="11"/>
          <c:tx>
            <c:v>Diciembre</c:v>
          </c:tx>
          <c:spPr>
            <a:solidFill>
              <a:srgbClr val="70AD47"/>
            </a:solidFill>
            <a:ln cmpd="sng">
              <a:solidFill>
                <a:srgbClr val="000000"/>
              </a:solidFill>
            </a:ln>
          </c:spPr>
          <c:invertIfNegative val="1"/>
          <c:val>
            <c:numRef>
              <c:f>'Proy. ventas'!$AB$32</c:f>
              <c:numCache>
                <c:formatCode>_-"$"\ * #,##0.00_-;\-"$"\ * #,##0.00_-;_-"$"\ * "-"??_-;_-@</c:formatCode>
                <c:ptCount val="1"/>
                <c:pt idx="0">
                  <c:v>12480000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1709424144"/>
        <c:axId val="1709433936"/>
      </c:barChart>
      <c:catAx>
        <c:axId val="1709424144"/>
        <c:scaling>
          <c:orientation val="minMax"/>
        </c:scaling>
        <c:delete val="0"/>
        <c:axPos val="b"/>
        <c:title>
          <c:tx>
            <c:rich>
              <a:bodyPr/>
              <a:lstStyle/>
              <a:p>
                <a:pPr lvl="0">
                  <a:defRPr b="0">
                    <a:solidFill>
                      <a:srgbClr val="000000"/>
                    </a:solidFill>
                    <a:latin typeface="+mn-lt"/>
                  </a:defRPr>
                </a:pPr>
                <a:endParaRPr lang="es-AR"/>
              </a:p>
            </c:rich>
          </c:tx>
          <c:layout/>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709433936"/>
        <c:crosses val="autoZero"/>
        <c:auto val="1"/>
        <c:lblAlgn val="ctr"/>
        <c:lblOffset val="100"/>
        <c:noMultiLvlLbl val="1"/>
      </c:catAx>
      <c:valAx>
        <c:axId val="170943393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AR"/>
              </a:p>
            </c:rich>
          </c:tx>
          <c:layout/>
          <c:overlay val="0"/>
        </c:title>
        <c:numFmt formatCode="_-&quot;$&quot;\ * #,##0.00_-;\-&quot;$&quot;\ * #,##0.00_-;_-&quot;$&quot;\ * &quot;-&quot;??_-;_-@" sourceLinked="1"/>
        <c:majorTickMark val="none"/>
        <c:minorTickMark val="none"/>
        <c:tickLblPos val="nextTo"/>
        <c:spPr>
          <a:ln/>
        </c:spPr>
        <c:txPr>
          <a:bodyPr/>
          <a:lstStyle/>
          <a:p>
            <a:pPr lvl="0">
              <a:defRPr sz="1200" b="0" i="0">
                <a:solidFill>
                  <a:srgbClr val="000000"/>
                </a:solidFill>
                <a:latin typeface="+mn-lt"/>
              </a:defRPr>
            </a:pPr>
            <a:endParaRPr lang="es-AR"/>
          </a:p>
        </c:txPr>
        <c:crossAx val="1709424144"/>
        <c:crosses val="autoZero"/>
        <c:crossBetween val="between"/>
      </c:valAx>
    </c:plotArea>
    <c:legend>
      <c:legendPos val="b"/>
      <c:layout/>
      <c:overlay val="0"/>
      <c:txPr>
        <a:bodyPr/>
        <a:lstStyle/>
        <a:p>
          <a:pPr lvl="0">
            <a:defRPr sz="16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s-ES"/>
  <c:roundedCorners val="1"/>
  <c:style val="2"/>
  <c:chart>
    <c:title>
      <c:tx>
        <c:rich>
          <a:bodyPr/>
          <a:lstStyle/>
          <a:p>
            <a:pPr lvl="0">
              <a:defRPr sz="1600" b="1" i="0">
                <a:solidFill>
                  <a:srgbClr val="757575"/>
                </a:solidFill>
                <a:latin typeface="+mn-lt"/>
              </a:defRPr>
            </a:pPr>
            <a:r>
              <a:rPr lang="es-AR" sz="1600" b="1" i="0">
                <a:solidFill>
                  <a:srgbClr val="757575"/>
                </a:solidFill>
                <a:latin typeface="+mn-lt"/>
              </a:rPr>
              <a:t>Proyección mensual de ventas 2026</a:t>
            </a:r>
          </a:p>
        </c:rich>
      </c:tx>
      <c:layout/>
      <c:overlay val="0"/>
    </c:title>
    <c:autoTitleDeleted val="0"/>
    <c:plotArea>
      <c:layout/>
      <c:barChart>
        <c:barDir val="col"/>
        <c:grouping val="clustered"/>
        <c:varyColors val="1"/>
        <c:ser>
          <c:idx val="0"/>
          <c:order val="0"/>
          <c:tx>
            <c:v>Enero</c:v>
          </c:tx>
          <c:spPr>
            <a:solidFill>
              <a:srgbClr val="4472C4"/>
            </a:solidFill>
            <a:ln cmpd="sng">
              <a:solidFill>
                <a:srgbClr val="000000"/>
              </a:solidFill>
            </a:ln>
          </c:spPr>
          <c:invertIfNegative val="1"/>
          <c:val>
            <c:numRef>
              <c:f>'Proy. ventas'!$F$95</c:f>
              <c:numCache>
                <c:formatCode>_-"$"\ * #,##0.00_-;\-"$"\ * #,##0.00_-;_-"$"\ * "-"??_-;_-@</c:formatCode>
                <c:ptCount val="1"/>
                <c:pt idx="0">
                  <c:v>19110000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Febrero</c:v>
          </c:tx>
          <c:spPr>
            <a:solidFill>
              <a:srgbClr val="ED7D31"/>
            </a:solidFill>
            <a:ln cmpd="sng">
              <a:solidFill>
                <a:srgbClr val="000000"/>
              </a:solidFill>
            </a:ln>
          </c:spPr>
          <c:invertIfNegative val="1"/>
          <c:val>
            <c:numRef>
              <c:f>'Proy. ventas'!$H$95</c:f>
              <c:numCache>
                <c:formatCode>_-"$"\ * #,##0.00_-;\-"$"\ * #,##0.00_-;_-"$"\ * "-"??_-;_-@</c:formatCode>
                <c:ptCount val="1"/>
                <c:pt idx="0">
                  <c:v>14460000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Marzo</c:v>
          </c:tx>
          <c:spPr>
            <a:solidFill>
              <a:srgbClr val="A5A5A5"/>
            </a:solidFill>
            <a:ln cmpd="sng">
              <a:solidFill>
                <a:srgbClr val="000000"/>
              </a:solidFill>
            </a:ln>
          </c:spPr>
          <c:invertIfNegative val="1"/>
          <c:val>
            <c:numRef>
              <c:f>'Proy. ventas'!$J$95</c:f>
              <c:numCache>
                <c:formatCode>_-"$"\ * #,##0.00_-;\-"$"\ * #,##0.00_-;_-"$"\ * "-"??_-;_-@</c:formatCode>
                <c:ptCount val="1"/>
                <c:pt idx="0">
                  <c:v>19680000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3"/>
          <c:order val="3"/>
          <c:tx>
            <c:v>Abril</c:v>
          </c:tx>
          <c:spPr>
            <a:solidFill>
              <a:srgbClr val="FFC000"/>
            </a:solidFill>
            <a:ln cmpd="sng">
              <a:solidFill>
                <a:srgbClr val="000000"/>
              </a:solidFill>
            </a:ln>
          </c:spPr>
          <c:invertIfNegative val="1"/>
          <c:val>
            <c:numRef>
              <c:f>'Proy. ventas'!$L$95</c:f>
              <c:numCache>
                <c:formatCode>_-"$"\ * #,##0.00_-;\-"$"\ * #,##0.00_-;_-"$"\ * "-"??_-;_-@</c:formatCode>
                <c:ptCount val="1"/>
                <c:pt idx="0">
                  <c:v>26880000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4"/>
          <c:order val="4"/>
          <c:tx>
            <c:v>Mayo</c:v>
          </c:tx>
          <c:spPr>
            <a:solidFill>
              <a:srgbClr val="5B9BD5"/>
            </a:solidFill>
            <a:ln cmpd="sng">
              <a:solidFill>
                <a:srgbClr val="000000"/>
              </a:solidFill>
            </a:ln>
          </c:spPr>
          <c:invertIfNegative val="1"/>
          <c:val>
            <c:numRef>
              <c:f>'Proy. ventas'!$N$95</c:f>
              <c:numCache>
                <c:formatCode>_-"$"\ * #,##0.00_-;\-"$"\ * #,##0.00_-;_-"$"\ * "-"??_-;_-@</c:formatCode>
                <c:ptCount val="1"/>
                <c:pt idx="0">
                  <c:v>19380000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5"/>
          <c:order val="5"/>
          <c:tx>
            <c:v>Junio</c:v>
          </c:tx>
          <c:spPr>
            <a:solidFill>
              <a:srgbClr val="70AD47"/>
            </a:solidFill>
            <a:ln cmpd="sng">
              <a:solidFill>
                <a:srgbClr val="000000"/>
              </a:solidFill>
            </a:ln>
          </c:spPr>
          <c:invertIfNegative val="1"/>
          <c:val>
            <c:numRef>
              <c:f>'Proy. ventas'!$P$95</c:f>
              <c:numCache>
                <c:formatCode>_-"$"\ * #,##0.00_-;\-"$"\ * #,##0.00_-;_-"$"\ * "-"??_-;_-@</c:formatCode>
                <c:ptCount val="1"/>
                <c:pt idx="0">
                  <c:v>19380000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6"/>
          <c:order val="6"/>
          <c:tx>
            <c:v>Julio</c:v>
          </c:tx>
          <c:spPr>
            <a:solidFill>
              <a:srgbClr val="4472C4"/>
            </a:solidFill>
            <a:ln cmpd="sng">
              <a:solidFill>
                <a:srgbClr val="000000"/>
              </a:solidFill>
            </a:ln>
          </c:spPr>
          <c:invertIfNegative val="1"/>
          <c:val>
            <c:numRef>
              <c:f>'Proy. ventas'!$R$95</c:f>
              <c:numCache>
                <c:formatCode>_-"$"\ * #,##0.00_-;\-"$"\ * #,##0.00_-;_-"$"\ * "-"??_-;_-@</c:formatCode>
                <c:ptCount val="1"/>
                <c:pt idx="0">
                  <c:v>19380000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7"/>
          <c:order val="7"/>
          <c:tx>
            <c:v>Agosto</c:v>
          </c:tx>
          <c:spPr>
            <a:solidFill>
              <a:srgbClr val="ED7D31"/>
            </a:solidFill>
            <a:ln cmpd="sng">
              <a:solidFill>
                <a:srgbClr val="000000"/>
              </a:solidFill>
            </a:ln>
          </c:spPr>
          <c:invertIfNegative val="1"/>
          <c:val>
            <c:numRef>
              <c:f>'Proy. ventas'!$T$95</c:f>
              <c:numCache>
                <c:formatCode>_-"$"\ * #,##0.00_-;\-"$"\ * #,##0.00_-;_-"$"\ * "-"??_-;_-@</c:formatCode>
                <c:ptCount val="1"/>
                <c:pt idx="0">
                  <c:v>19380000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8"/>
          <c:order val="8"/>
          <c:tx>
            <c:v>Septiembre</c:v>
          </c:tx>
          <c:spPr>
            <a:solidFill>
              <a:srgbClr val="A5A5A5"/>
            </a:solidFill>
            <a:ln cmpd="sng">
              <a:solidFill>
                <a:srgbClr val="000000"/>
              </a:solidFill>
            </a:ln>
          </c:spPr>
          <c:invertIfNegative val="1"/>
          <c:val>
            <c:numRef>
              <c:f>'Proy. ventas'!$V$95</c:f>
              <c:numCache>
                <c:formatCode>_-"$"\ * #,##0.00_-;\-"$"\ * #,##0.00_-;_-"$"\ * "-"??_-;_-@</c:formatCode>
                <c:ptCount val="1"/>
                <c:pt idx="0">
                  <c:v>23550000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9"/>
          <c:order val="9"/>
          <c:tx>
            <c:v>Octubre</c:v>
          </c:tx>
          <c:spPr>
            <a:solidFill>
              <a:srgbClr val="FFC000"/>
            </a:solidFill>
            <a:ln cmpd="sng">
              <a:solidFill>
                <a:srgbClr val="000000"/>
              </a:solidFill>
            </a:ln>
          </c:spPr>
          <c:invertIfNegative val="1"/>
          <c:val>
            <c:numRef>
              <c:f>'Proy. ventas'!$X$95</c:f>
              <c:numCache>
                <c:formatCode>_-"$"\ * #,##0.00_-;\-"$"\ * #,##0.00_-;_-"$"\ * "-"??_-;_-@</c:formatCode>
                <c:ptCount val="1"/>
                <c:pt idx="0">
                  <c:v>33960000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0"/>
          <c:order val="10"/>
          <c:tx>
            <c:v>Noviembre</c:v>
          </c:tx>
          <c:spPr>
            <a:solidFill>
              <a:srgbClr val="5B9BD5"/>
            </a:solidFill>
            <a:ln cmpd="sng">
              <a:solidFill>
                <a:srgbClr val="000000"/>
              </a:solidFill>
            </a:ln>
          </c:spPr>
          <c:invertIfNegative val="1"/>
          <c:val>
            <c:numRef>
              <c:f>'Proy. ventas'!$Z$95</c:f>
              <c:numCache>
                <c:formatCode>_-"$"\ * #,##0.00_-;\-"$"\ * #,##0.00_-;_-"$"\ * "-"??_-;_-@</c:formatCode>
                <c:ptCount val="1"/>
                <c:pt idx="0">
                  <c:v>37920000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1"/>
          <c:order val="11"/>
          <c:tx>
            <c:v>Diciembre</c:v>
          </c:tx>
          <c:spPr>
            <a:solidFill>
              <a:srgbClr val="70AD47"/>
            </a:solidFill>
            <a:ln cmpd="sng">
              <a:solidFill>
                <a:srgbClr val="000000"/>
              </a:solidFill>
            </a:ln>
          </c:spPr>
          <c:invertIfNegative val="1"/>
          <c:val>
            <c:numRef>
              <c:f>'Proy. ventas'!$AB$95</c:f>
              <c:numCache>
                <c:formatCode>_-"$"\ * #,##0.00_-;\-"$"\ * #,##0.00_-;_-"$"\ * "-"??_-;_-@</c:formatCode>
                <c:ptCount val="1"/>
                <c:pt idx="0">
                  <c:v>28620000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1709426320"/>
        <c:axId val="1709429584"/>
      </c:barChart>
      <c:catAx>
        <c:axId val="1709426320"/>
        <c:scaling>
          <c:orientation val="minMax"/>
        </c:scaling>
        <c:delete val="0"/>
        <c:axPos val="b"/>
        <c:title>
          <c:tx>
            <c:rich>
              <a:bodyPr/>
              <a:lstStyle/>
              <a:p>
                <a:pPr lvl="0">
                  <a:defRPr b="0">
                    <a:solidFill>
                      <a:srgbClr val="000000"/>
                    </a:solidFill>
                    <a:latin typeface="+mn-lt"/>
                  </a:defRPr>
                </a:pPr>
                <a:endParaRPr lang="es-AR"/>
              </a:p>
            </c:rich>
          </c:tx>
          <c:layout/>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709429584"/>
        <c:crosses val="autoZero"/>
        <c:auto val="1"/>
        <c:lblAlgn val="ctr"/>
        <c:lblOffset val="100"/>
        <c:noMultiLvlLbl val="1"/>
      </c:catAx>
      <c:valAx>
        <c:axId val="170942958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AR"/>
              </a:p>
            </c:rich>
          </c:tx>
          <c:layout/>
          <c:overlay val="0"/>
        </c:title>
        <c:numFmt formatCode="_-&quot;$&quot;\ * #,##0.00_-;\-&quot;$&quot;\ * #,##0.00_-;_-&quot;$&quot;\ * &quot;-&quot;??_-;_-@" sourceLinked="1"/>
        <c:majorTickMark val="none"/>
        <c:minorTickMark val="none"/>
        <c:tickLblPos val="nextTo"/>
        <c:spPr>
          <a:ln/>
        </c:spPr>
        <c:txPr>
          <a:bodyPr/>
          <a:lstStyle/>
          <a:p>
            <a:pPr lvl="0">
              <a:defRPr sz="1400" b="0" i="0">
                <a:solidFill>
                  <a:srgbClr val="000000"/>
                </a:solidFill>
                <a:latin typeface="+mn-lt"/>
              </a:defRPr>
            </a:pPr>
            <a:endParaRPr lang="es-AR"/>
          </a:p>
        </c:txPr>
        <c:crossAx val="1709426320"/>
        <c:crosses val="autoZero"/>
        <c:crossBetween val="between"/>
      </c:valAx>
    </c:plotArea>
    <c:legend>
      <c:legendPos val="b"/>
      <c:layout/>
      <c:overlay val="0"/>
      <c:txPr>
        <a:bodyPr/>
        <a:lstStyle/>
        <a:p>
          <a:pPr lvl="0">
            <a:defRPr sz="16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s-ES"/>
  <c:roundedCorners val="1"/>
  <c:style val="2"/>
  <c:chart>
    <c:title>
      <c:tx>
        <c:rich>
          <a:bodyPr/>
          <a:lstStyle/>
          <a:p>
            <a:pPr lvl="0">
              <a:defRPr sz="1800" b="1" i="0">
                <a:solidFill>
                  <a:srgbClr val="757575"/>
                </a:solidFill>
                <a:latin typeface="+mn-lt"/>
              </a:defRPr>
            </a:pPr>
            <a:r>
              <a:rPr lang="es-AR" sz="1800" b="1" i="0">
                <a:solidFill>
                  <a:srgbClr val="757575"/>
                </a:solidFill>
                <a:latin typeface="+mn-lt"/>
              </a:rPr>
              <a:t>Proyección mensual de ventas 2027</a:t>
            </a:r>
          </a:p>
        </c:rich>
      </c:tx>
      <c:layout/>
      <c:overlay val="0"/>
    </c:title>
    <c:autoTitleDeleted val="0"/>
    <c:plotArea>
      <c:layout/>
      <c:barChart>
        <c:barDir val="col"/>
        <c:grouping val="clustered"/>
        <c:varyColors val="1"/>
        <c:ser>
          <c:idx val="0"/>
          <c:order val="0"/>
          <c:tx>
            <c:v>Enero</c:v>
          </c:tx>
          <c:spPr>
            <a:solidFill>
              <a:srgbClr val="4472C4"/>
            </a:solidFill>
            <a:ln cmpd="sng">
              <a:solidFill>
                <a:srgbClr val="000000"/>
              </a:solidFill>
            </a:ln>
          </c:spPr>
          <c:invertIfNegative val="1"/>
          <c:val>
            <c:numRef>
              <c:f>'Proy. ventas'!$F$157</c:f>
              <c:numCache>
                <c:formatCode>_-"$"\ * #,##0.00_-;\-"$"\ * #,##0.00_-;_-"$"\ * "-"??_-;_-@</c:formatCode>
                <c:ptCount val="1"/>
                <c:pt idx="0">
                  <c:v>28620000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Febrero</c:v>
          </c:tx>
          <c:spPr>
            <a:solidFill>
              <a:srgbClr val="ED7D31"/>
            </a:solidFill>
            <a:ln cmpd="sng">
              <a:solidFill>
                <a:srgbClr val="000000"/>
              </a:solidFill>
            </a:ln>
          </c:spPr>
          <c:invertIfNegative val="1"/>
          <c:val>
            <c:numRef>
              <c:f>'Proy. ventas'!$H$157</c:f>
              <c:numCache>
                <c:formatCode>_-"$"\ * #,##0.00_-;\-"$"\ * #,##0.00_-;_-"$"\ * "-"??_-;_-@</c:formatCode>
                <c:ptCount val="1"/>
                <c:pt idx="0">
                  <c:v>39420000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Marzo</c:v>
          </c:tx>
          <c:spPr>
            <a:solidFill>
              <a:srgbClr val="A5A5A5"/>
            </a:solidFill>
            <a:ln cmpd="sng">
              <a:solidFill>
                <a:srgbClr val="000000"/>
              </a:solidFill>
            </a:ln>
          </c:spPr>
          <c:invertIfNegative val="1"/>
          <c:val>
            <c:numRef>
              <c:f>'Proy. ventas'!$J$157</c:f>
              <c:numCache>
                <c:formatCode>_-"$"\ * #,##0.00_-;\-"$"\ * #,##0.00_-;_-"$"\ * "-"??_-;_-@</c:formatCode>
                <c:ptCount val="1"/>
                <c:pt idx="0">
                  <c:v>36090000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3"/>
          <c:order val="3"/>
          <c:tx>
            <c:v>Abril</c:v>
          </c:tx>
          <c:spPr>
            <a:solidFill>
              <a:srgbClr val="FFC000"/>
            </a:solidFill>
            <a:ln cmpd="sng">
              <a:solidFill>
                <a:srgbClr val="000000"/>
              </a:solidFill>
            </a:ln>
          </c:spPr>
          <c:invertIfNegative val="1"/>
          <c:val>
            <c:numRef>
              <c:f>'Proy. ventas'!$L$157</c:f>
              <c:numCache>
                <c:formatCode>_-"$"\ * #,##0.00_-;\-"$"\ * #,##0.00_-;_-"$"\ * "-"??_-;_-@</c:formatCode>
                <c:ptCount val="1"/>
                <c:pt idx="0">
                  <c:v>42630000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4"/>
          <c:order val="4"/>
          <c:tx>
            <c:v>Mayo</c:v>
          </c:tx>
          <c:spPr>
            <a:solidFill>
              <a:srgbClr val="5B9BD5"/>
            </a:solidFill>
            <a:ln cmpd="sng">
              <a:solidFill>
                <a:srgbClr val="000000"/>
              </a:solidFill>
            </a:ln>
          </c:spPr>
          <c:invertIfNegative val="1"/>
          <c:val>
            <c:numRef>
              <c:f>'Proy. ventas'!$N$157</c:f>
              <c:numCache>
                <c:formatCode>_-"$"\ * #,##0.00_-;\-"$"\ * #,##0.00_-;_-"$"\ * "-"??_-;_-@</c:formatCode>
                <c:ptCount val="1"/>
                <c:pt idx="0">
                  <c:v>40350000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5"/>
          <c:order val="5"/>
          <c:tx>
            <c:v>Junio</c:v>
          </c:tx>
          <c:spPr>
            <a:solidFill>
              <a:srgbClr val="70AD47"/>
            </a:solidFill>
            <a:ln cmpd="sng">
              <a:solidFill>
                <a:srgbClr val="000000"/>
              </a:solidFill>
            </a:ln>
          </c:spPr>
          <c:invertIfNegative val="1"/>
          <c:val>
            <c:numRef>
              <c:f>'Proy. ventas'!$P$157</c:f>
              <c:numCache>
                <c:formatCode>_-"$"\ * #,##0.00_-;\-"$"\ * #,##0.00_-;_-"$"\ * "-"??_-;_-@</c:formatCode>
                <c:ptCount val="1"/>
                <c:pt idx="0">
                  <c:v>42720000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6"/>
          <c:order val="6"/>
          <c:tx>
            <c:v>Julio</c:v>
          </c:tx>
          <c:spPr>
            <a:solidFill>
              <a:srgbClr val="4472C4"/>
            </a:solidFill>
            <a:ln cmpd="sng">
              <a:solidFill>
                <a:srgbClr val="000000"/>
              </a:solidFill>
            </a:ln>
          </c:spPr>
          <c:invertIfNegative val="1"/>
          <c:val>
            <c:numRef>
              <c:f>'Proy. ventas'!$R$157</c:f>
              <c:numCache>
                <c:formatCode>_-"$"\ * #,##0.00_-;\-"$"\ * #,##0.00_-;_-"$"\ * "-"??_-;_-@</c:formatCode>
                <c:ptCount val="1"/>
                <c:pt idx="0">
                  <c:v>39120000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7"/>
          <c:order val="7"/>
          <c:tx>
            <c:v>Agosto</c:v>
          </c:tx>
          <c:spPr>
            <a:solidFill>
              <a:srgbClr val="ED7D31"/>
            </a:solidFill>
            <a:ln cmpd="sng">
              <a:solidFill>
                <a:srgbClr val="000000"/>
              </a:solidFill>
            </a:ln>
          </c:spPr>
          <c:invertIfNegative val="1"/>
          <c:val>
            <c:numRef>
              <c:f>'Proy. ventas'!$T$157</c:f>
              <c:numCache>
                <c:formatCode>_-"$"\ * #,##0.00_-;\-"$"\ * #,##0.00_-;_-"$"\ * "-"??_-;_-@</c:formatCode>
                <c:ptCount val="1"/>
                <c:pt idx="0">
                  <c:v>43290000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8"/>
          <c:order val="8"/>
          <c:tx>
            <c:v>Septiembre</c:v>
          </c:tx>
          <c:spPr>
            <a:solidFill>
              <a:srgbClr val="A5A5A5"/>
            </a:solidFill>
            <a:ln cmpd="sng">
              <a:solidFill>
                <a:srgbClr val="000000"/>
              </a:solidFill>
            </a:ln>
          </c:spPr>
          <c:invertIfNegative val="1"/>
          <c:val>
            <c:numRef>
              <c:f>'Proy. ventas'!$V$157</c:f>
              <c:numCache>
                <c:formatCode>_-"$"\ * #,##0.00_-;\-"$"\ * #,##0.00_-;_-"$"\ * "-"??_-;_-@</c:formatCode>
                <c:ptCount val="1"/>
                <c:pt idx="0">
                  <c:v>58920000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9"/>
          <c:order val="9"/>
          <c:tx>
            <c:v>Octubre</c:v>
          </c:tx>
          <c:spPr>
            <a:solidFill>
              <a:srgbClr val="FFC000"/>
            </a:solidFill>
            <a:ln cmpd="sng">
              <a:solidFill>
                <a:srgbClr val="000000"/>
              </a:solidFill>
            </a:ln>
          </c:spPr>
          <c:invertIfNegative val="1"/>
          <c:val>
            <c:numRef>
              <c:f>'Proy. ventas'!$X$157</c:f>
              <c:numCache>
                <c:formatCode>_-"$"\ * #,##0.00_-;\-"$"\ * #,##0.00_-;_-"$"\ * "-"??_-;_-@</c:formatCode>
                <c:ptCount val="1"/>
                <c:pt idx="0">
                  <c:v>57870000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0"/>
          <c:order val="10"/>
          <c:tx>
            <c:v>Noviembre</c:v>
          </c:tx>
          <c:spPr>
            <a:solidFill>
              <a:srgbClr val="5B9BD5"/>
            </a:solidFill>
            <a:ln cmpd="sng">
              <a:solidFill>
                <a:srgbClr val="000000"/>
              </a:solidFill>
            </a:ln>
          </c:spPr>
          <c:invertIfNegative val="1"/>
          <c:val>
            <c:numRef>
              <c:f>'Proy. ventas'!$Z$157</c:f>
              <c:numCache>
                <c:formatCode>_-"$"\ * #,##0.00_-;\-"$"\ * #,##0.00_-;_-"$"\ * "-"??_-;_-@</c:formatCode>
                <c:ptCount val="1"/>
                <c:pt idx="0">
                  <c:v>56250000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1"/>
          <c:order val="11"/>
          <c:tx>
            <c:v>Diciembre</c:v>
          </c:tx>
          <c:spPr>
            <a:solidFill>
              <a:srgbClr val="70AD47"/>
            </a:solidFill>
            <a:ln cmpd="sng">
              <a:solidFill>
                <a:srgbClr val="000000"/>
              </a:solidFill>
            </a:ln>
          </c:spPr>
          <c:invertIfNegative val="1"/>
          <c:val>
            <c:numRef>
              <c:f>'Proy. ventas'!$AB$157</c:f>
              <c:numCache>
                <c:formatCode>_-"$"\ * #,##0.00_-;\-"$"\ * #,##0.00_-;_-"$"\ * "-"??_-;_-@</c:formatCode>
                <c:ptCount val="1"/>
                <c:pt idx="0">
                  <c:v>51600000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1818113616"/>
        <c:axId val="1818103280"/>
      </c:barChart>
      <c:catAx>
        <c:axId val="1818113616"/>
        <c:scaling>
          <c:orientation val="minMax"/>
        </c:scaling>
        <c:delete val="0"/>
        <c:axPos val="b"/>
        <c:title>
          <c:tx>
            <c:rich>
              <a:bodyPr/>
              <a:lstStyle/>
              <a:p>
                <a:pPr lvl="0">
                  <a:defRPr b="0">
                    <a:solidFill>
                      <a:srgbClr val="000000"/>
                    </a:solidFill>
                    <a:latin typeface="+mn-lt"/>
                  </a:defRPr>
                </a:pPr>
                <a:endParaRPr lang="es-AR"/>
              </a:p>
            </c:rich>
          </c:tx>
          <c:layout/>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818103280"/>
        <c:crosses val="autoZero"/>
        <c:auto val="1"/>
        <c:lblAlgn val="ctr"/>
        <c:lblOffset val="100"/>
        <c:noMultiLvlLbl val="1"/>
      </c:catAx>
      <c:valAx>
        <c:axId val="181810328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AR"/>
              </a:p>
            </c:rich>
          </c:tx>
          <c:layout/>
          <c:overlay val="0"/>
        </c:title>
        <c:numFmt formatCode="_-&quot;$&quot;\ * #,##0.00_-;\-&quot;$&quot;\ * #,##0.00_-;_-&quot;$&quot;\ * &quot;-&quot;??_-;_-@" sourceLinked="1"/>
        <c:majorTickMark val="none"/>
        <c:minorTickMark val="none"/>
        <c:tickLblPos val="nextTo"/>
        <c:spPr>
          <a:ln/>
        </c:spPr>
        <c:txPr>
          <a:bodyPr/>
          <a:lstStyle/>
          <a:p>
            <a:pPr lvl="0">
              <a:defRPr sz="1400" b="0" i="0">
                <a:solidFill>
                  <a:srgbClr val="000000"/>
                </a:solidFill>
                <a:latin typeface="+mn-lt"/>
              </a:defRPr>
            </a:pPr>
            <a:endParaRPr lang="es-AR"/>
          </a:p>
        </c:txPr>
        <c:crossAx val="1818113616"/>
        <c:crosses val="autoZero"/>
        <c:crossBetween val="between"/>
      </c:valAx>
    </c:plotArea>
    <c:legend>
      <c:legendPos val="b"/>
      <c:layout/>
      <c:overlay val="0"/>
      <c:txPr>
        <a:bodyPr/>
        <a:lstStyle/>
        <a:p>
          <a:pPr lvl="0">
            <a:defRPr sz="16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s-ES"/>
  <c:roundedCorners val="1"/>
  <c:style val="2"/>
  <c:chart>
    <c:title>
      <c:tx>
        <c:rich>
          <a:bodyPr/>
          <a:lstStyle/>
          <a:p>
            <a:pPr lvl="0">
              <a:defRPr sz="1800" b="1" i="0">
                <a:solidFill>
                  <a:schemeClr val="dk1"/>
                </a:solidFill>
                <a:latin typeface="+mn-lt"/>
              </a:defRPr>
            </a:pPr>
            <a:r>
              <a:rPr lang="es-AR" sz="1800" b="1" i="0">
                <a:solidFill>
                  <a:schemeClr val="dk1"/>
                </a:solidFill>
                <a:latin typeface="+mn-lt"/>
              </a:rPr>
              <a:t>Cantidad de ventas en 2025 de productos fabricados en nuestra empresa</a:t>
            </a:r>
          </a:p>
        </c:rich>
      </c:tx>
      <c:layout/>
      <c:overlay val="0"/>
    </c:title>
    <c:autoTitleDeleted val="0"/>
    <c:plotArea>
      <c:layout/>
      <c:lineChart>
        <c:grouping val="standard"/>
        <c:varyColors val="1"/>
        <c:ser>
          <c:idx val="0"/>
          <c:order val="0"/>
          <c:spPr>
            <a:ln w="28575" cmpd="sng">
              <a:solidFill>
                <a:schemeClr val="accent1"/>
              </a:solidFill>
            </a:ln>
          </c:spPr>
          <c:marker>
            <c:symbol val="circle"/>
            <c:size val="17"/>
            <c:spPr>
              <a:solidFill>
                <a:schemeClr val="accent1"/>
              </a:solidFill>
              <a:ln cmpd="sng">
                <a:solidFill>
                  <a:schemeClr val="accent1"/>
                </a:solidFill>
              </a:ln>
            </c:spPr>
          </c:marker>
          <c:dLbls>
            <c:spPr>
              <a:noFill/>
              <a:ln>
                <a:noFill/>
              </a:ln>
              <a:effectLst/>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val>
            <c:numRef>
              <c:f>'Proy. ventas'!$E$19</c:f>
              <c:numCache>
                <c:formatCode>_-* #,##0\ _€_-;\-* #,##0\ _€_-;_-* "-"??\ _€_-;_-@</c:formatCode>
                <c:ptCount val="1"/>
                <c:pt idx="0">
                  <c:v>0</c:v>
                </c:pt>
              </c:numCache>
            </c:numRef>
          </c:val>
          <c:smooth val="0"/>
        </c:ser>
        <c:ser>
          <c:idx val="1"/>
          <c:order val="1"/>
          <c:spPr>
            <a:ln w="28575" cmpd="sng">
              <a:solidFill>
                <a:schemeClr val="accent2"/>
              </a:solidFill>
            </a:ln>
          </c:spPr>
          <c:marker>
            <c:symbol val="circle"/>
            <c:size val="17"/>
            <c:spPr>
              <a:solidFill>
                <a:schemeClr val="accent2"/>
              </a:solidFill>
              <a:ln cmpd="sng">
                <a:solidFill>
                  <a:schemeClr val="accent2"/>
                </a:solidFill>
              </a:ln>
            </c:spPr>
          </c:marker>
          <c:dLbls>
            <c:spPr>
              <a:noFill/>
              <a:ln>
                <a:noFill/>
              </a:ln>
              <a:effectLst/>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val>
            <c:numRef>
              <c:f>'Proy. ventas'!$G$19</c:f>
              <c:numCache>
                <c:formatCode>_-* #,##0\ _€_-;\-* #,##0\ _€_-;_-* "-"??\ _€_-;_-@</c:formatCode>
                <c:ptCount val="1"/>
                <c:pt idx="0">
                  <c:v>15</c:v>
                </c:pt>
              </c:numCache>
            </c:numRef>
          </c:val>
          <c:smooth val="0"/>
        </c:ser>
        <c:ser>
          <c:idx val="2"/>
          <c:order val="2"/>
          <c:spPr>
            <a:ln w="28575" cmpd="sng">
              <a:solidFill>
                <a:schemeClr val="accent3"/>
              </a:solidFill>
            </a:ln>
          </c:spPr>
          <c:marker>
            <c:symbol val="circle"/>
            <c:size val="17"/>
            <c:spPr>
              <a:solidFill>
                <a:schemeClr val="accent3"/>
              </a:solidFill>
              <a:ln cmpd="sng">
                <a:solidFill>
                  <a:schemeClr val="accent3"/>
                </a:solidFill>
              </a:ln>
            </c:spPr>
          </c:marker>
          <c:dLbls>
            <c:spPr>
              <a:noFill/>
              <a:ln>
                <a:noFill/>
              </a:ln>
              <a:effectLst/>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val>
            <c:numRef>
              <c:f>'Proy. ventas'!$I$19</c:f>
              <c:numCache>
                <c:formatCode>_-* #,##0\ _€_-;\-* #,##0\ _€_-;_-* "-"??\ _€_-;_-@</c:formatCode>
                <c:ptCount val="1"/>
                <c:pt idx="0">
                  <c:v>0</c:v>
                </c:pt>
              </c:numCache>
            </c:numRef>
          </c:val>
          <c:smooth val="0"/>
        </c:ser>
        <c:ser>
          <c:idx val="3"/>
          <c:order val="3"/>
          <c:spPr>
            <a:ln cmpd="sng">
              <a:solidFill>
                <a:srgbClr val="FFC000"/>
              </a:solidFill>
            </a:ln>
          </c:spPr>
          <c:marker>
            <c:symbol val="none"/>
          </c:marker>
          <c:val>
            <c:numRef>
              <c:f>'Proy. ventas'!$K$19</c:f>
              <c:numCache>
                <c:formatCode>_-* #,##0\ _€_-;\-* #,##0\ _€_-;_-* "-"??\ _€_-;_-@</c:formatCode>
                <c:ptCount val="1"/>
                <c:pt idx="0">
                  <c:v>0</c:v>
                </c:pt>
              </c:numCache>
            </c:numRef>
          </c:val>
          <c:smooth val="0"/>
        </c:ser>
        <c:ser>
          <c:idx val="4"/>
          <c:order val="4"/>
          <c:spPr>
            <a:ln cmpd="sng">
              <a:solidFill>
                <a:srgbClr val="5B9BD5"/>
              </a:solidFill>
            </a:ln>
          </c:spPr>
          <c:marker>
            <c:symbol val="none"/>
          </c:marker>
          <c:val>
            <c:numRef>
              <c:f>'Proy. ventas'!$M$19</c:f>
              <c:numCache>
                <c:formatCode>_-* #,##0\ _€_-;\-* #,##0\ _€_-;_-* "-"??\ _€_-;_-@</c:formatCode>
                <c:ptCount val="1"/>
                <c:pt idx="0">
                  <c:v>0</c:v>
                </c:pt>
              </c:numCache>
            </c:numRef>
          </c:val>
          <c:smooth val="0"/>
        </c:ser>
        <c:ser>
          <c:idx val="5"/>
          <c:order val="5"/>
          <c:spPr>
            <a:ln cmpd="sng">
              <a:solidFill>
                <a:srgbClr val="70AD47"/>
              </a:solidFill>
            </a:ln>
          </c:spPr>
          <c:marker>
            <c:symbol val="none"/>
          </c:marker>
          <c:val>
            <c:numRef>
              <c:f>'Proy. ventas'!$O$19</c:f>
              <c:numCache>
                <c:formatCode>_-* #,##0\ _€_-;\-* #,##0\ _€_-;_-* "-"??\ _€_-;_-@</c:formatCode>
                <c:ptCount val="1"/>
                <c:pt idx="0">
                  <c:v>0</c:v>
                </c:pt>
              </c:numCache>
            </c:numRef>
          </c:val>
          <c:smooth val="0"/>
        </c:ser>
        <c:ser>
          <c:idx val="6"/>
          <c:order val="6"/>
          <c:spPr>
            <a:ln cmpd="sng">
              <a:solidFill>
                <a:srgbClr val="7C9CD6"/>
              </a:solidFill>
            </a:ln>
          </c:spPr>
          <c:marker>
            <c:symbol val="none"/>
          </c:marker>
          <c:val>
            <c:numRef>
              <c:f>'Proy. ventas'!$Q$19</c:f>
              <c:numCache>
                <c:formatCode>_-* #,##0\ _€_-;\-* #,##0\ _€_-;_-* "-"??\ _€_-;_-@</c:formatCode>
                <c:ptCount val="1"/>
                <c:pt idx="0">
                  <c:v>0</c:v>
                </c:pt>
              </c:numCache>
            </c:numRef>
          </c:val>
          <c:smooth val="0"/>
        </c:ser>
        <c:ser>
          <c:idx val="7"/>
          <c:order val="7"/>
          <c:spPr>
            <a:ln cmpd="sng">
              <a:solidFill>
                <a:srgbClr val="F2A46F"/>
              </a:solidFill>
            </a:ln>
          </c:spPr>
          <c:marker>
            <c:symbol val="none"/>
          </c:marker>
          <c:val>
            <c:numRef>
              <c:f>'Proy. ventas'!$S$19</c:f>
              <c:numCache>
                <c:formatCode>_-* #,##0\ _€_-;\-* #,##0\ _€_-;_-* "-"??\ _€_-;_-@</c:formatCode>
                <c:ptCount val="1"/>
                <c:pt idx="0">
                  <c:v>0</c:v>
                </c:pt>
              </c:numCache>
            </c:numRef>
          </c:val>
          <c:smooth val="0"/>
        </c:ser>
        <c:ser>
          <c:idx val="8"/>
          <c:order val="8"/>
          <c:spPr>
            <a:ln cmpd="sng">
              <a:solidFill>
                <a:srgbClr val="C0C0C0"/>
              </a:solidFill>
            </a:ln>
          </c:spPr>
          <c:marker>
            <c:symbol val="none"/>
          </c:marker>
          <c:val>
            <c:numRef>
              <c:f>'Proy. ventas'!$U$19</c:f>
              <c:numCache>
                <c:formatCode>_-* #,##0\ _€_-;\-* #,##0\ _€_-;_-* "-"??\ _€_-;_-@</c:formatCode>
                <c:ptCount val="1"/>
                <c:pt idx="0">
                  <c:v>0</c:v>
                </c:pt>
              </c:numCache>
            </c:numRef>
          </c:val>
          <c:smooth val="0"/>
        </c:ser>
        <c:ser>
          <c:idx val="9"/>
          <c:order val="9"/>
          <c:spPr>
            <a:ln cmpd="sng">
              <a:solidFill>
                <a:srgbClr val="FFD34D"/>
              </a:solidFill>
            </a:ln>
          </c:spPr>
          <c:marker>
            <c:symbol val="none"/>
          </c:marker>
          <c:val>
            <c:numRef>
              <c:f>'Proy. ventas'!$W$19</c:f>
              <c:numCache>
                <c:formatCode>_-* #,##0\ _€_-;\-* #,##0\ _€_-;_-* "-"??\ _€_-;_-@</c:formatCode>
                <c:ptCount val="1"/>
                <c:pt idx="0">
                  <c:v>0</c:v>
                </c:pt>
              </c:numCache>
            </c:numRef>
          </c:val>
          <c:smooth val="0"/>
        </c:ser>
        <c:ser>
          <c:idx val="10"/>
          <c:order val="10"/>
          <c:spPr>
            <a:ln cmpd="sng">
              <a:solidFill>
                <a:srgbClr val="8CB9E2"/>
              </a:solidFill>
            </a:ln>
          </c:spPr>
          <c:marker>
            <c:symbol val="none"/>
          </c:marker>
          <c:val>
            <c:numRef>
              <c:f>'Proy. ventas'!$Y$19</c:f>
              <c:numCache>
                <c:formatCode>_-* #,##0\ _€_-;\-* #,##0\ _€_-;_-* "-"??\ _€_-;_-@</c:formatCode>
                <c:ptCount val="1"/>
                <c:pt idx="0">
                  <c:v>0</c:v>
                </c:pt>
              </c:numCache>
            </c:numRef>
          </c:val>
          <c:smooth val="0"/>
        </c:ser>
        <c:ser>
          <c:idx val="11"/>
          <c:order val="11"/>
          <c:spPr>
            <a:ln cmpd="sng">
              <a:solidFill>
                <a:srgbClr val="9BC67E"/>
              </a:solidFill>
            </a:ln>
          </c:spPr>
          <c:marker>
            <c:symbol val="none"/>
          </c:marker>
          <c:val>
            <c:numRef>
              <c:f>'Proy. ventas'!$AA$19</c:f>
              <c:numCache>
                <c:formatCode>_-* #,##0\ _€_-;\-* #,##0\ _€_-;_-* "-"??\ _€_-;_-@</c:formatCode>
                <c:ptCount val="1"/>
                <c:pt idx="0">
                  <c:v>0</c:v>
                </c:pt>
              </c:numCache>
            </c:numRef>
          </c:val>
          <c:smooth val="0"/>
        </c:ser>
        <c:ser>
          <c:idx val="12"/>
          <c:order val="12"/>
          <c:spPr>
            <a:ln cmpd="sng">
              <a:solidFill>
                <a:srgbClr val="B4C7E7"/>
              </a:solidFill>
            </a:ln>
          </c:spPr>
          <c:marker>
            <c:symbol val="none"/>
          </c:marker>
          <c:val>
            <c:numRef>
              <c:f>'Proy. ventas'!$E$20</c:f>
              <c:numCache>
                <c:formatCode>_-* #,##0\ _€_-;\-* #,##0\ _€_-;_-* "-"??\ _€_-;_-@</c:formatCode>
                <c:ptCount val="1"/>
                <c:pt idx="0">
                  <c:v>0</c:v>
                </c:pt>
              </c:numCache>
            </c:numRef>
          </c:val>
          <c:smooth val="0"/>
        </c:ser>
        <c:ser>
          <c:idx val="13"/>
          <c:order val="13"/>
          <c:spPr>
            <a:ln cmpd="sng">
              <a:solidFill>
                <a:srgbClr val="F8CBAD"/>
              </a:solidFill>
            </a:ln>
          </c:spPr>
          <c:marker>
            <c:symbol val="none"/>
          </c:marker>
          <c:val>
            <c:numRef>
              <c:f>'Proy. ventas'!$G$20</c:f>
              <c:numCache>
                <c:formatCode>_-* #,##0\ _€_-;\-* #,##0\ _€_-;_-* "-"??\ _€_-;_-@</c:formatCode>
                <c:ptCount val="1"/>
                <c:pt idx="0">
                  <c:v>0</c:v>
                </c:pt>
              </c:numCache>
            </c:numRef>
          </c:val>
          <c:smooth val="0"/>
        </c:ser>
        <c:ser>
          <c:idx val="14"/>
          <c:order val="14"/>
          <c:spPr>
            <a:ln cmpd="sng">
              <a:solidFill>
                <a:srgbClr val="DBDBDB"/>
              </a:solidFill>
            </a:ln>
          </c:spPr>
          <c:marker>
            <c:symbol val="none"/>
          </c:marker>
          <c:val>
            <c:numRef>
              <c:f>'Proy. ventas'!$G$21</c:f>
              <c:numCache>
                <c:formatCode>_-* #,##0\ _€_-;\-* #,##0\ _€_-;_-* "-"??\ _€_-;_-@</c:formatCode>
                <c:ptCount val="1"/>
                <c:pt idx="0">
                  <c:v>0</c:v>
                </c:pt>
              </c:numCache>
            </c:numRef>
          </c:val>
          <c:smooth val="0"/>
        </c:ser>
        <c:ser>
          <c:idx val="15"/>
          <c:order val="15"/>
          <c:spPr>
            <a:ln cmpd="sng">
              <a:solidFill>
                <a:srgbClr val="FFE699"/>
              </a:solidFill>
            </a:ln>
          </c:spPr>
          <c:marker>
            <c:symbol val="none"/>
          </c:marker>
          <c:val>
            <c:numRef>
              <c:f>'Proy. ventas'!$I$20</c:f>
              <c:numCache>
                <c:formatCode>_-* #,##0\ _€_-;\-* #,##0\ _€_-;_-* "-"??\ _€_-;_-@</c:formatCode>
                <c:ptCount val="1"/>
                <c:pt idx="0">
                  <c:v>0</c:v>
                </c:pt>
              </c:numCache>
            </c:numRef>
          </c:val>
          <c:smooth val="0"/>
        </c:ser>
        <c:ser>
          <c:idx val="16"/>
          <c:order val="16"/>
          <c:spPr>
            <a:ln cmpd="sng">
              <a:solidFill>
                <a:srgbClr val="BDD7EE"/>
              </a:solidFill>
            </a:ln>
          </c:spPr>
          <c:marker>
            <c:symbol val="none"/>
          </c:marker>
          <c:val>
            <c:numRef>
              <c:f>'Proy. ventas'!$K$20</c:f>
              <c:numCache>
                <c:formatCode>_-* #,##0\ _€_-;\-* #,##0\ _€_-;_-* "-"??\ _€_-;_-@</c:formatCode>
                <c:ptCount val="1"/>
                <c:pt idx="0">
                  <c:v>15</c:v>
                </c:pt>
              </c:numCache>
            </c:numRef>
          </c:val>
          <c:smooth val="0"/>
        </c:ser>
        <c:ser>
          <c:idx val="17"/>
          <c:order val="17"/>
          <c:spPr>
            <a:ln cmpd="sng">
              <a:solidFill>
                <a:srgbClr val="C6DEB5"/>
              </a:solidFill>
            </a:ln>
          </c:spPr>
          <c:marker>
            <c:symbol val="none"/>
          </c:marker>
          <c:val>
            <c:numRef>
              <c:f>'Proy. ventas'!$M$20</c:f>
              <c:numCache>
                <c:formatCode>_-* #,##0\ _€_-;\-* #,##0\ _€_-;_-* "-"??\ _€_-;_-@</c:formatCode>
                <c:ptCount val="1"/>
                <c:pt idx="0">
                  <c:v>0</c:v>
                </c:pt>
              </c:numCache>
            </c:numRef>
          </c:val>
          <c:smooth val="0"/>
        </c:ser>
        <c:ser>
          <c:idx val="18"/>
          <c:order val="18"/>
          <c:spPr>
            <a:ln cmpd="sng">
              <a:solidFill>
                <a:srgbClr val="ECF1F9"/>
              </a:solidFill>
            </a:ln>
          </c:spPr>
          <c:marker>
            <c:symbol val="none"/>
          </c:marker>
          <c:val>
            <c:numRef>
              <c:f>'Proy. ventas'!$O$20</c:f>
              <c:numCache>
                <c:formatCode>_-* #,##0\ _€_-;\-* #,##0\ _€_-;_-* "-"??\ _€_-;_-@</c:formatCode>
                <c:ptCount val="1"/>
                <c:pt idx="0">
                  <c:v>0</c:v>
                </c:pt>
              </c:numCache>
            </c:numRef>
          </c:val>
          <c:smooth val="0"/>
        </c:ser>
        <c:ser>
          <c:idx val="19"/>
          <c:order val="19"/>
          <c:spPr>
            <a:ln cmpd="sng">
              <a:solidFill>
                <a:srgbClr val="FDF2EA"/>
              </a:solidFill>
            </a:ln>
          </c:spPr>
          <c:marker>
            <c:symbol val="none"/>
          </c:marker>
          <c:val>
            <c:numRef>
              <c:f>'Proy. ventas'!$Q$20</c:f>
              <c:numCache>
                <c:formatCode>_-* #,##0\ _€_-;\-* #,##0\ _€_-;_-* "-"??\ _€_-;_-@</c:formatCode>
                <c:ptCount val="1"/>
                <c:pt idx="0">
                  <c:v>15</c:v>
                </c:pt>
              </c:numCache>
            </c:numRef>
          </c:val>
          <c:smooth val="0"/>
        </c:ser>
        <c:ser>
          <c:idx val="20"/>
          <c:order val="20"/>
          <c:spPr>
            <a:ln cmpd="sng">
              <a:solidFill>
                <a:srgbClr val="F6F6F6"/>
              </a:solidFill>
            </a:ln>
          </c:spPr>
          <c:marker>
            <c:symbol val="none"/>
          </c:marker>
          <c:val>
            <c:numRef>
              <c:f>'Proy. ventas'!$S$20</c:f>
              <c:numCache>
                <c:formatCode>_-* #,##0\ _€_-;\-* #,##0\ _€_-;_-* "-"??\ _€_-;_-@</c:formatCode>
                <c:ptCount val="1"/>
                <c:pt idx="0">
                  <c:v>0</c:v>
                </c:pt>
              </c:numCache>
            </c:numRef>
          </c:val>
          <c:smooth val="0"/>
        </c:ser>
        <c:ser>
          <c:idx val="21"/>
          <c:order val="21"/>
          <c:spPr>
            <a:ln cmpd="sng">
              <a:solidFill>
                <a:srgbClr val="FFF9E6"/>
              </a:solidFill>
            </a:ln>
          </c:spPr>
          <c:marker>
            <c:symbol val="none"/>
          </c:marker>
          <c:val>
            <c:numRef>
              <c:f>'Proy. ventas'!$U$20</c:f>
              <c:numCache>
                <c:formatCode>_-* #,##0\ _€_-;\-* #,##0\ _€_-;_-* "-"??\ _€_-;_-@</c:formatCode>
                <c:ptCount val="1"/>
                <c:pt idx="0">
                  <c:v>0</c:v>
                </c:pt>
              </c:numCache>
            </c:numRef>
          </c:val>
          <c:smooth val="0"/>
        </c:ser>
        <c:ser>
          <c:idx val="22"/>
          <c:order val="22"/>
          <c:spPr>
            <a:ln cmpd="sng">
              <a:solidFill>
                <a:srgbClr val="EFF5FB"/>
              </a:solidFill>
            </a:ln>
          </c:spPr>
          <c:marker>
            <c:symbol val="none"/>
          </c:marker>
          <c:val>
            <c:numRef>
              <c:f>'Proy. ventas'!$W$20</c:f>
              <c:numCache>
                <c:formatCode>_-* #,##0\ _€_-;\-* #,##0\ _€_-;_-* "-"??\ _€_-;_-@</c:formatCode>
                <c:ptCount val="1"/>
                <c:pt idx="0">
                  <c:v>0</c:v>
                </c:pt>
              </c:numCache>
            </c:numRef>
          </c:val>
          <c:smooth val="0"/>
        </c:ser>
        <c:ser>
          <c:idx val="23"/>
          <c:order val="23"/>
          <c:spPr>
            <a:ln cmpd="sng">
              <a:solidFill>
                <a:srgbClr val="F1F7ED"/>
              </a:solidFill>
            </a:ln>
          </c:spPr>
          <c:marker>
            <c:symbol val="none"/>
          </c:marker>
          <c:val>
            <c:numRef>
              <c:f>'Proy. ventas'!$Y$20</c:f>
              <c:numCache>
                <c:formatCode>_-* #,##0\ _€_-;\-* #,##0\ _€_-;_-* "-"??\ _€_-;_-@</c:formatCode>
                <c:ptCount val="1"/>
                <c:pt idx="0">
                  <c:v>0</c:v>
                </c:pt>
              </c:numCache>
            </c:numRef>
          </c:val>
          <c:smooth val="0"/>
        </c:ser>
        <c:ser>
          <c:idx val="24"/>
          <c:order val="24"/>
          <c:spPr>
            <a:ln cmpd="sng">
              <a:solidFill>
                <a:srgbClr val="241B0B"/>
              </a:solidFill>
            </a:ln>
          </c:spPr>
          <c:marker>
            <c:symbol val="none"/>
          </c:marker>
          <c:val>
            <c:numRef>
              <c:f>'Proy. ventas'!$AA$20</c:f>
              <c:numCache>
                <c:formatCode>_-* #,##0\ _€_-;\-* #,##0\ _€_-;_-* "-"??\ _€_-;_-@</c:formatCode>
                <c:ptCount val="1"/>
                <c:pt idx="0">
                  <c:v>0</c:v>
                </c:pt>
              </c:numCache>
            </c:numRef>
          </c:val>
          <c:smooth val="0"/>
        </c:ser>
        <c:ser>
          <c:idx val="25"/>
          <c:order val="25"/>
          <c:spPr>
            <a:ln cmpd="sng">
              <a:solidFill>
                <a:srgbClr val="031928"/>
              </a:solidFill>
            </a:ln>
          </c:spPr>
          <c:marker>
            <c:symbol val="none"/>
          </c:marker>
          <c:val>
            <c:numRef>
              <c:f>'Proy. ventas'!$E$21</c:f>
              <c:numCache>
                <c:formatCode>_-* #,##0\ _€_-;\-* #,##0\ _€_-;_-* "-"??\ _€_-;_-@</c:formatCode>
                <c:ptCount val="1"/>
                <c:pt idx="0">
                  <c:v>15</c:v>
                </c:pt>
              </c:numCache>
            </c:numRef>
          </c:val>
          <c:smooth val="0"/>
        </c:ser>
        <c:ser>
          <c:idx val="26"/>
          <c:order val="26"/>
          <c:spPr>
            <a:ln cmpd="sng">
              <a:solidFill>
                <a:srgbClr val="111111"/>
              </a:solidFill>
            </a:ln>
          </c:spPr>
          <c:marker>
            <c:symbol val="none"/>
          </c:marker>
          <c:val>
            <c:numRef>
              <c:f>'Proy. ventas'!$G$21</c:f>
              <c:numCache>
                <c:formatCode>_-* #,##0\ _€_-;\-* #,##0\ _€_-;_-* "-"??\ _€_-;_-@</c:formatCode>
                <c:ptCount val="1"/>
                <c:pt idx="0">
                  <c:v>0</c:v>
                </c:pt>
              </c:numCache>
            </c:numRef>
          </c:val>
          <c:smooth val="0"/>
        </c:ser>
        <c:ser>
          <c:idx val="27"/>
          <c:order val="27"/>
          <c:spPr>
            <a:ln cmpd="sng">
              <a:solidFill>
                <a:srgbClr val="FF0C32"/>
              </a:solidFill>
            </a:ln>
          </c:spPr>
          <c:marker>
            <c:symbol val="none"/>
          </c:marker>
          <c:val>
            <c:numRef>
              <c:f>'Proy. ventas'!$I$21</c:f>
              <c:numCache>
                <c:formatCode>_-* #,##0\ _€_-;\-* #,##0\ _€_-;_-* "-"??\ _€_-;_-@</c:formatCode>
                <c:ptCount val="1"/>
                <c:pt idx="0">
                  <c:v>0</c:v>
                </c:pt>
              </c:numCache>
            </c:numRef>
          </c:val>
          <c:smooth val="0"/>
        </c:ser>
        <c:ser>
          <c:idx val="28"/>
          <c:order val="28"/>
          <c:spPr>
            <a:ln cmpd="sng">
              <a:solidFill>
                <a:srgbClr val="201307"/>
              </a:solidFill>
            </a:ln>
          </c:spPr>
          <c:marker>
            <c:symbol val="none"/>
          </c:marker>
          <c:val>
            <c:numRef>
              <c:f>'Proy. ventas'!$K$21</c:f>
              <c:numCache>
                <c:formatCode>_-* #,##0\ _€_-;\-* #,##0\ _€_-;_-* "-"??\ _€_-;_-@</c:formatCode>
                <c:ptCount val="1"/>
                <c:pt idx="0">
                  <c:v>0</c:v>
                </c:pt>
              </c:numCache>
            </c:numRef>
          </c:val>
          <c:smooth val="0"/>
        </c:ser>
        <c:ser>
          <c:idx val="29"/>
          <c:order val="29"/>
          <c:spPr>
            <a:ln cmpd="sng">
              <a:solidFill>
                <a:srgbClr val="1C0F24"/>
              </a:solidFill>
            </a:ln>
          </c:spPr>
          <c:marker>
            <c:symbol val="none"/>
          </c:marker>
          <c:val>
            <c:numRef>
              <c:f>'Proy. ventas'!$M$21</c:f>
              <c:numCache>
                <c:formatCode>_-* #,##0\ _€_-;\-* #,##0\ _€_-;_-* "-"??\ _€_-;_-@</c:formatCode>
                <c:ptCount val="1"/>
                <c:pt idx="0">
                  <c:v>0</c:v>
                </c:pt>
              </c:numCache>
            </c:numRef>
          </c:val>
          <c:smooth val="0"/>
        </c:ser>
        <c:ser>
          <c:idx val="30"/>
          <c:order val="30"/>
          <c:spPr>
            <a:ln cmpd="sng">
              <a:solidFill>
                <a:srgbClr val="5D461D"/>
              </a:solidFill>
            </a:ln>
          </c:spPr>
          <c:marker>
            <c:symbol val="none"/>
          </c:marker>
          <c:val>
            <c:numRef>
              <c:f>'Proy. ventas'!$O$21</c:f>
              <c:numCache>
                <c:formatCode>_-* #,##0\ _€_-;\-* #,##0\ _€_-;_-* "-"??\ _€_-;_-@</c:formatCode>
                <c:ptCount val="1"/>
                <c:pt idx="0">
                  <c:v>0</c:v>
                </c:pt>
              </c:numCache>
            </c:numRef>
          </c:val>
          <c:smooth val="0"/>
        </c:ser>
        <c:ser>
          <c:idx val="31"/>
          <c:order val="31"/>
          <c:spPr>
            <a:ln cmpd="sng">
              <a:solidFill>
                <a:srgbClr val="084066"/>
              </a:solidFill>
            </a:ln>
          </c:spPr>
          <c:marker>
            <c:symbol val="none"/>
          </c:marker>
          <c:val>
            <c:numRef>
              <c:f>'Proy. ventas'!$Q$21</c:f>
              <c:numCache>
                <c:formatCode>_-* #,##0\ _€_-;\-* #,##0\ _€_-;_-* "-"??\ _€_-;_-@</c:formatCode>
                <c:ptCount val="1"/>
                <c:pt idx="0">
                  <c:v>0</c:v>
                </c:pt>
              </c:numCache>
            </c:numRef>
          </c:val>
          <c:smooth val="0"/>
        </c:ser>
        <c:ser>
          <c:idx val="32"/>
          <c:order val="32"/>
          <c:spPr>
            <a:ln cmpd="sng">
              <a:solidFill>
                <a:srgbClr val="2C2C2C"/>
              </a:solidFill>
            </a:ln>
          </c:spPr>
          <c:marker>
            <c:symbol val="none"/>
          </c:marker>
          <c:val>
            <c:numRef>
              <c:f>'Proy. ventas'!$S$21</c:f>
              <c:numCache>
                <c:formatCode>_-* #,##0\ _€_-;\-* #,##0\ _€_-;_-* "-"??\ _€_-;_-@</c:formatCode>
                <c:ptCount val="1"/>
                <c:pt idx="0">
                  <c:v>0</c:v>
                </c:pt>
              </c:numCache>
            </c:numRef>
          </c:val>
          <c:smooth val="0"/>
        </c:ser>
        <c:ser>
          <c:idx val="33"/>
          <c:order val="33"/>
          <c:spPr>
            <a:ln cmpd="sng">
              <a:solidFill>
                <a:srgbClr val="FF1F7F"/>
              </a:solidFill>
            </a:ln>
          </c:spPr>
          <c:marker>
            <c:symbol val="none"/>
          </c:marker>
          <c:val>
            <c:numRef>
              <c:f>'Proy. ventas'!$U$21</c:f>
              <c:numCache>
                <c:formatCode>_-* #,##0\ _€_-;\-* #,##0\ _€_-;_-* "-"??\ _€_-;_-@</c:formatCode>
                <c:ptCount val="1"/>
                <c:pt idx="0">
                  <c:v>15</c:v>
                </c:pt>
              </c:numCache>
            </c:numRef>
          </c:val>
          <c:smooth val="0"/>
        </c:ser>
        <c:ser>
          <c:idx val="34"/>
          <c:order val="34"/>
          <c:spPr>
            <a:ln cmpd="sng">
              <a:solidFill>
                <a:srgbClr val="513114"/>
              </a:solidFill>
            </a:ln>
          </c:spPr>
          <c:marker>
            <c:symbol val="none"/>
          </c:marker>
          <c:val>
            <c:numRef>
              <c:f>'Proy. ventas'!$W$21</c:f>
              <c:numCache>
                <c:formatCode>_-* #,##0\ _€_-;\-* #,##0\ _€_-;_-* "-"??\ _€_-;_-@</c:formatCode>
                <c:ptCount val="1"/>
                <c:pt idx="0">
                  <c:v>15</c:v>
                </c:pt>
              </c:numCache>
            </c:numRef>
          </c:val>
          <c:smooth val="0"/>
        </c:ser>
        <c:ser>
          <c:idx val="35"/>
          <c:order val="35"/>
          <c:spPr>
            <a:ln cmpd="sng">
              <a:solidFill>
                <a:srgbClr val="47285B"/>
              </a:solidFill>
            </a:ln>
          </c:spPr>
          <c:marker>
            <c:symbol val="none"/>
          </c:marker>
          <c:val>
            <c:numRef>
              <c:f>'Proy. ventas'!$Y$21</c:f>
              <c:numCache>
                <c:formatCode>_-* #,##0\ _€_-;\-* #,##0\ _€_-;_-* "-"??\ _€_-;_-@</c:formatCode>
                <c:ptCount val="1"/>
                <c:pt idx="0">
                  <c:v>15</c:v>
                </c:pt>
              </c:numCache>
            </c:numRef>
          </c:val>
          <c:smooth val="0"/>
        </c:ser>
        <c:ser>
          <c:idx val="36"/>
          <c:order val="36"/>
          <c:spPr>
            <a:ln cmpd="sng">
              <a:solidFill>
                <a:srgbClr val="966108"/>
              </a:solidFill>
            </a:ln>
          </c:spPr>
          <c:marker>
            <c:symbol val="none"/>
          </c:marker>
          <c:val>
            <c:numRef>
              <c:f>'Proy. ventas'!$AA$21</c:f>
              <c:numCache>
                <c:formatCode>_-* #,##0\ _€_-;\-* #,##0\ _€_-;_-* "-"??\ _€_-;_-@</c:formatCode>
                <c:ptCount val="1"/>
                <c:pt idx="0">
                  <c:v>0</c:v>
                </c:pt>
              </c:numCache>
            </c:numRef>
          </c:val>
          <c:smooth val="0"/>
        </c:ser>
        <c:dLbls>
          <c:showLegendKey val="0"/>
          <c:showVal val="0"/>
          <c:showCatName val="0"/>
          <c:showSerName val="0"/>
          <c:showPercent val="0"/>
          <c:showBubbleSize val="0"/>
        </c:dLbls>
        <c:marker val="1"/>
        <c:smooth val="0"/>
        <c:axId val="1818101104"/>
        <c:axId val="1818108720"/>
      </c:lineChart>
      <c:catAx>
        <c:axId val="1818101104"/>
        <c:scaling>
          <c:orientation val="minMax"/>
        </c:scaling>
        <c:delete val="0"/>
        <c:axPos val="b"/>
        <c:title>
          <c:tx>
            <c:rich>
              <a:bodyPr/>
              <a:lstStyle/>
              <a:p>
                <a:pPr lvl="0">
                  <a:defRPr b="0">
                    <a:solidFill>
                      <a:srgbClr val="000000"/>
                    </a:solidFill>
                    <a:latin typeface="+mn-lt"/>
                  </a:defRPr>
                </a:pPr>
                <a:endParaRPr lang="es-AR"/>
              </a:p>
            </c:rich>
          </c:tx>
          <c:layout/>
          <c:overlay val="0"/>
        </c:title>
        <c:numFmt formatCode="General" sourceLinked="1"/>
        <c:majorTickMark val="out"/>
        <c:minorTickMark val="none"/>
        <c:tickLblPos val="nextTo"/>
        <c:txPr>
          <a:bodyPr/>
          <a:lstStyle/>
          <a:p>
            <a:pPr lvl="0">
              <a:defRPr sz="2400" b="0" i="0">
                <a:solidFill>
                  <a:schemeClr val="dk1"/>
                </a:solidFill>
                <a:latin typeface="+mn-lt"/>
              </a:defRPr>
            </a:pPr>
            <a:endParaRPr lang="es-AR"/>
          </a:p>
        </c:txPr>
        <c:crossAx val="1818108720"/>
        <c:crosses val="autoZero"/>
        <c:auto val="1"/>
        <c:lblAlgn val="ctr"/>
        <c:lblOffset val="100"/>
        <c:noMultiLvlLbl val="1"/>
      </c:catAx>
      <c:valAx>
        <c:axId val="181810872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AR"/>
              </a:p>
            </c:rich>
          </c:tx>
          <c:layout/>
          <c:overlay val="0"/>
        </c:title>
        <c:numFmt formatCode="_-* #,##0\ _€_-;\-* #,##0\ _€_-;_-* &quot;-&quot;??\ _€_-;_-@" sourceLinked="1"/>
        <c:majorTickMark val="out"/>
        <c:minorTickMark val="none"/>
        <c:tickLblPos val="nextTo"/>
        <c:spPr>
          <a:ln/>
        </c:spPr>
        <c:txPr>
          <a:bodyPr/>
          <a:lstStyle/>
          <a:p>
            <a:pPr lvl="0">
              <a:defRPr sz="900" b="0" i="0">
                <a:solidFill>
                  <a:schemeClr val="dk1"/>
                </a:solidFill>
                <a:latin typeface="+mn-lt"/>
              </a:defRPr>
            </a:pPr>
            <a:endParaRPr lang="es-AR"/>
          </a:p>
        </c:txPr>
        <c:crossAx val="1818101104"/>
        <c:crosses val="autoZero"/>
        <c:crossBetween val="between"/>
      </c:valAx>
    </c:plotArea>
    <c:legend>
      <c:legendPos val="b"/>
      <c:layout/>
      <c:overlay val="0"/>
      <c:txPr>
        <a:bodyPr/>
        <a:lstStyle/>
        <a:p>
          <a:pPr lvl="0">
            <a:defRPr sz="2000" b="0" i="0">
              <a:solidFill>
                <a:schemeClr val="dk1"/>
              </a:solidFill>
              <a:latin typeface="+mn-lt"/>
            </a:defRPr>
          </a:pPr>
          <a:endParaRPr lang="es-AR"/>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s-ES"/>
  <c:roundedCorners val="1"/>
  <c:style val="2"/>
  <c:chart>
    <c:autoTitleDeleted val="1"/>
    <c:plotArea>
      <c:layout/>
      <c:lineChart>
        <c:grouping val="standard"/>
        <c:varyColors val="1"/>
        <c:ser>
          <c:idx val="0"/>
          <c:order val="0"/>
          <c:spPr>
            <a:ln w="28575" cmpd="sng">
              <a:solidFill>
                <a:schemeClr val="accent1"/>
              </a:solidFill>
            </a:ln>
          </c:spPr>
          <c:marker>
            <c:symbol val="circle"/>
            <c:size val="17"/>
            <c:spPr>
              <a:solidFill>
                <a:schemeClr val="accent1"/>
              </a:solidFill>
              <a:ln cmpd="sng">
                <a:solidFill>
                  <a:schemeClr val="accent1"/>
                </a:solidFill>
              </a:ln>
            </c:spPr>
          </c:marker>
          <c:dLbls>
            <c:spPr>
              <a:noFill/>
              <a:ln>
                <a:noFill/>
              </a:ln>
              <a:effectLst/>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val>
            <c:numRef>
              <c:f>'Proy. ventas'!$E$82</c:f>
              <c:numCache>
                <c:formatCode>_-* #,##0\ _€_-;\-* #,##0\ _€_-;_-* "-"??\ _€_-;_-@</c:formatCode>
                <c:ptCount val="1"/>
                <c:pt idx="0">
                  <c:v>0</c:v>
                </c:pt>
              </c:numCache>
            </c:numRef>
          </c:val>
          <c:smooth val="0"/>
        </c:ser>
        <c:ser>
          <c:idx val="1"/>
          <c:order val="1"/>
          <c:spPr>
            <a:ln w="28575" cmpd="sng">
              <a:solidFill>
                <a:schemeClr val="accent2"/>
              </a:solidFill>
            </a:ln>
          </c:spPr>
          <c:marker>
            <c:symbol val="circle"/>
            <c:size val="17"/>
            <c:spPr>
              <a:solidFill>
                <a:schemeClr val="accent2"/>
              </a:solidFill>
              <a:ln cmpd="sng">
                <a:solidFill>
                  <a:schemeClr val="accent2"/>
                </a:solidFill>
              </a:ln>
            </c:spPr>
          </c:marker>
          <c:dLbls>
            <c:spPr>
              <a:noFill/>
              <a:ln>
                <a:noFill/>
              </a:ln>
              <a:effectLst/>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val>
            <c:numRef>
              <c:f>'Proy. ventas'!$G$82</c:f>
              <c:numCache>
                <c:formatCode>_-* #,##0\ _€_-;\-* #,##0\ _€_-;_-* "-"??\ _€_-;_-@</c:formatCode>
                <c:ptCount val="1"/>
                <c:pt idx="0">
                  <c:v>0</c:v>
                </c:pt>
              </c:numCache>
            </c:numRef>
          </c:val>
          <c:smooth val="0"/>
        </c:ser>
        <c:ser>
          <c:idx val="2"/>
          <c:order val="2"/>
          <c:spPr>
            <a:ln w="28575" cmpd="sng">
              <a:solidFill>
                <a:schemeClr val="accent3"/>
              </a:solidFill>
            </a:ln>
          </c:spPr>
          <c:marker>
            <c:symbol val="circle"/>
            <c:size val="17"/>
            <c:spPr>
              <a:solidFill>
                <a:schemeClr val="accent3"/>
              </a:solidFill>
              <a:ln cmpd="sng">
                <a:solidFill>
                  <a:schemeClr val="accent3"/>
                </a:solidFill>
              </a:ln>
            </c:spPr>
          </c:marker>
          <c:dLbls>
            <c:spPr>
              <a:noFill/>
              <a:ln>
                <a:noFill/>
              </a:ln>
              <a:effectLst/>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val>
            <c:numRef>
              <c:f>'Proy. ventas'!$I$82</c:f>
              <c:numCache>
                <c:formatCode>_-* #,##0\ _€_-;\-* #,##0\ _€_-;_-* "-"??\ _€_-;_-@</c:formatCode>
                <c:ptCount val="1"/>
                <c:pt idx="0">
                  <c:v>0</c:v>
                </c:pt>
              </c:numCache>
            </c:numRef>
          </c:val>
          <c:smooth val="0"/>
        </c:ser>
        <c:ser>
          <c:idx val="3"/>
          <c:order val="3"/>
          <c:spPr>
            <a:ln cmpd="sng">
              <a:solidFill>
                <a:srgbClr val="FFC000"/>
              </a:solidFill>
            </a:ln>
          </c:spPr>
          <c:marker>
            <c:symbol val="none"/>
          </c:marker>
          <c:val>
            <c:numRef>
              <c:f>'Proy. ventas'!$K$82</c:f>
              <c:numCache>
                <c:formatCode>_-* #,##0\ _€_-;\-* #,##0\ _€_-;_-* "-"??\ _€_-;_-@</c:formatCode>
                <c:ptCount val="1"/>
                <c:pt idx="0">
                  <c:v>15</c:v>
                </c:pt>
              </c:numCache>
            </c:numRef>
          </c:val>
          <c:smooth val="0"/>
        </c:ser>
        <c:ser>
          <c:idx val="4"/>
          <c:order val="4"/>
          <c:spPr>
            <a:ln cmpd="sng">
              <a:solidFill>
                <a:srgbClr val="5B9BD5"/>
              </a:solidFill>
            </a:ln>
          </c:spPr>
          <c:marker>
            <c:symbol val="none"/>
          </c:marker>
          <c:val>
            <c:numRef>
              <c:f>'Proy. ventas'!$M$82</c:f>
              <c:numCache>
                <c:formatCode>_-* #,##0\ _€_-;\-* #,##0\ _€_-;_-* "-"??\ _€_-;_-@</c:formatCode>
                <c:ptCount val="1"/>
                <c:pt idx="0">
                  <c:v>0</c:v>
                </c:pt>
              </c:numCache>
            </c:numRef>
          </c:val>
          <c:smooth val="0"/>
        </c:ser>
        <c:ser>
          <c:idx val="5"/>
          <c:order val="5"/>
          <c:spPr>
            <a:ln cmpd="sng">
              <a:solidFill>
                <a:srgbClr val="70AD47"/>
              </a:solidFill>
            </a:ln>
          </c:spPr>
          <c:marker>
            <c:symbol val="none"/>
          </c:marker>
          <c:val>
            <c:numRef>
              <c:f>'Proy. ventas'!$O$82</c:f>
              <c:numCache>
                <c:formatCode>_-* #,##0\ _€_-;\-* #,##0\ _€_-;_-* "-"??\ _€_-;_-@</c:formatCode>
                <c:ptCount val="1"/>
                <c:pt idx="0">
                  <c:v>0</c:v>
                </c:pt>
              </c:numCache>
            </c:numRef>
          </c:val>
          <c:smooth val="0"/>
        </c:ser>
        <c:ser>
          <c:idx val="6"/>
          <c:order val="6"/>
          <c:spPr>
            <a:ln cmpd="sng">
              <a:solidFill>
                <a:srgbClr val="7C9CD6"/>
              </a:solidFill>
            </a:ln>
          </c:spPr>
          <c:marker>
            <c:symbol val="none"/>
          </c:marker>
          <c:val>
            <c:numRef>
              <c:f>'Proy. ventas'!$Q$82</c:f>
              <c:numCache>
                <c:formatCode>_-* #,##0\ _€_-;\-* #,##0\ _€_-;_-* "-"??\ _€_-;_-@</c:formatCode>
                <c:ptCount val="1"/>
                <c:pt idx="0">
                  <c:v>0</c:v>
                </c:pt>
              </c:numCache>
            </c:numRef>
          </c:val>
          <c:smooth val="0"/>
        </c:ser>
        <c:ser>
          <c:idx val="7"/>
          <c:order val="7"/>
          <c:spPr>
            <a:ln cmpd="sng">
              <a:solidFill>
                <a:srgbClr val="F2A46F"/>
              </a:solidFill>
            </a:ln>
          </c:spPr>
          <c:marker>
            <c:symbol val="none"/>
          </c:marker>
          <c:val>
            <c:numRef>
              <c:f>'Proy. ventas'!$S$82</c:f>
              <c:numCache>
                <c:formatCode>_-* #,##0\ _€_-;\-* #,##0\ _€_-;_-* "-"??\ _€_-;_-@</c:formatCode>
                <c:ptCount val="1"/>
                <c:pt idx="0">
                  <c:v>0</c:v>
                </c:pt>
              </c:numCache>
            </c:numRef>
          </c:val>
          <c:smooth val="0"/>
        </c:ser>
        <c:ser>
          <c:idx val="8"/>
          <c:order val="8"/>
          <c:spPr>
            <a:ln cmpd="sng">
              <a:solidFill>
                <a:srgbClr val="C0C0C0"/>
              </a:solidFill>
            </a:ln>
          </c:spPr>
          <c:marker>
            <c:symbol val="none"/>
          </c:marker>
          <c:val>
            <c:numRef>
              <c:f>'Proy. ventas'!$U$82</c:f>
              <c:numCache>
                <c:formatCode>_-* #,##0\ _€_-;\-* #,##0\ _€_-;_-* "-"??\ _€_-;_-@</c:formatCode>
                <c:ptCount val="1"/>
                <c:pt idx="0">
                  <c:v>15</c:v>
                </c:pt>
              </c:numCache>
            </c:numRef>
          </c:val>
          <c:smooth val="0"/>
        </c:ser>
        <c:ser>
          <c:idx val="9"/>
          <c:order val="9"/>
          <c:spPr>
            <a:ln cmpd="sng">
              <a:solidFill>
                <a:srgbClr val="FFD34D"/>
              </a:solidFill>
            </a:ln>
          </c:spPr>
          <c:marker>
            <c:symbol val="none"/>
          </c:marker>
          <c:val>
            <c:numRef>
              <c:f>'Proy. ventas'!$W$82</c:f>
              <c:numCache>
                <c:formatCode>_-* #,##0\ _€_-;\-* #,##0\ _€_-;_-* "-"??\ _€_-;_-@</c:formatCode>
                <c:ptCount val="1"/>
                <c:pt idx="0">
                  <c:v>0</c:v>
                </c:pt>
              </c:numCache>
            </c:numRef>
          </c:val>
          <c:smooth val="0"/>
        </c:ser>
        <c:ser>
          <c:idx val="10"/>
          <c:order val="10"/>
          <c:spPr>
            <a:ln cmpd="sng">
              <a:solidFill>
                <a:srgbClr val="8CB9E2"/>
              </a:solidFill>
            </a:ln>
          </c:spPr>
          <c:marker>
            <c:symbol val="none"/>
          </c:marker>
          <c:val>
            <c:numRef>
              <c:f>'Proy. ventas'!$Y$82</c:f>
              <c:numCache>
                <c:formatCode>_-* #,##0\ _€_-;\-* #,##0\ _€_-;_-* "-"??\ _€_-;_-@</c:formatCode>
                <c:ptCount val="1"/>
                <c:pt idx="0">
                  <c:v>0</c:v>
                </c:pt>
              </c:numCache>
            </c:numRef>
          </c:val>
          <c:smooth val="0"/>
        </c:ser>
        <c:ser>
          <c:idx val="11"/>
          <c:order val="11"/>
          <c:spPr>
            <a:ln cmpd="sng">
              <a:solidFill>
                <a:srgbClr val="9BC67E"/>
              </a:solidFill>
            </a:ln>
          </c:spPr>
          <c:marker>
            <c:symbol val="none"/>
          </c:marker>
          <c:val>
            <c:numRef>
              <c:f>'Proy. ventas'!$AA$82</c:f>
              <c:numCache>
                <c:formatCode>_-* #,##0\ _€_-;\-* #,##0\ _€_-;_-* "-"??\ _€_-;_-@</c:formatCode>
                <c:ptCount val="1"/>
                <c:pt idx="0">
                  <c:v>0</c:v>
                </c:pt>
              </c:numCache>
            </c:numRef>
          </c:val>
          <c:smooth val="0"/>
        </c:ser>
        <c:ser>
          <c:idx val="12"/>
          <c:order val="12"/>
          <c:spPr>
            <a:ln cmpd="sng">
              <a:solidFill>
                <a:srgbClr val="B4C7E7"/>
              </a:solidFill>
            </a:ln>
          </c:spPr>
          <c:marker>
            <c:symbol val="none"/>
          </c:marker>
          <c:val>
            <c:numRef>
              <c:f>'Proy. ventas'!$E$83</c:f>
              <c:numCache>
                <c:formatCode>_-* #,##0\ _€_-;\-* #,##0\ _€_-;_-* "-"??\ _€_-;_-@</c:formatCode>
                <c:ptCount val="1"/>
                <c:pt idx="0">
                  <c:v>0</c:v>
                </c:pt>
              </c:numCache>
            </c:numRef>
          </c:val>
          <c:smooth val="0"/>
        </c:ser>
        <c:ser>
          <c:idx val="13"/>
          <c:order val="13"/>
          <c:spPr>
            <a:ln cmpd="sng">
              <a:solidFill>
                <a:srgbClr val="F8CBAD"/>
              </a:solidFill>
            </a:ln>
          </c:spPr>
          <c:marker>
            <c:symbol val="none"/>
          </c:marker>
          <c:val>
            <c:numRef>
              <c:f>'Proy. ventas'!$G$83</c:f>
              <c:numCache>
                <c:formatCode>_-* #,##0\ _€_-;\-* #,##0\ _€_-;_-* "-"??\ _€_-;_-@</c:formatCode>
                <c:ptCount val="1"/>
                <c:pt idx="0">
                  <c:v>0</c:v>
                </c:pt>
              </c:numCache>
            </c:numRef>
          </c:val>
          <c:smooth val="0"/>
        </c:ser>
        <c:ser>
          <c:idx val="14"/>
          <c:order val="14"/>
          <c:spPr>
            <a:ln cmpd="sng">
              <a:solidFill>
                <a:srgbClr val="DBDBDB"/>
              </a:solidFill>
            </a:ln>
          </c:spPr>
          <c:marker>
            <c:symbol val="none"/>
          </c:marker>
          <c:val>
            <c:numRef>
              <c:f>'Proy. ventas'!$I$83</c:f>
              <c:numCache>
                <c:formatCode>_-* #,##0\ _€_-;\-* #,##0\ _€_-;_-* "-"??\ _€_-;_-@</c:formatCode>
                <c:ptCount val="1"/>
                <c:pt idx="0">
                  <c:v>15</c:v>
                </c:pt>
              </c:numCache>
            </c:numRef>
          </c:val>
          <c:smooth val="0"/>
        </c:ser>
        <c:ser>
          <c:idx val="15"/>
          <c:order val="15"/>
          <c:spPr>
            <a:ln cmpd="sng">
              <a:solidFill>
                <a:srgbClr val="FFE699"/>
              </a:solidFill>
            </a:ln>
          </c:spPr>
          <c:marker>
            <c:symbol val="none"/>
          </c:marker>
          <c:val>
            <c:numRef>
              <c:f>'Proy. ventas'!$K$83</c:f>
              <c:numCache>
                <c:formatCode>_-* #,##0\ _€_-;\-* #,##0\ _€_-;_-* "-"??\ _€_-;_-@</c:formatCode>
                <c:ptCount val="1"/>
                <c:pt idx="0">
                  <c:v>0</c:v>
                </c:pt>
              </c:numCache>
            </c:numRef>
          </c:val>
          <c:smooth val="0"/>
        </c:ser>
        <c:ser>
          <c:idx val="16"/>
          <c:order val="16"/>
          <c:spPr>
            <a:ln cmpd="sng">
              <a:solidFill>
                <a:srgbClr val="BDD7EE"/>
              </a:solidFill>
            </a:ln>
          </c:spPr>
          <c:marker>
            <c:symbol val="none"/>
          </c:marker>
          <c:val>
            <c:numRef>
              <c:f>'Proy. ventas'!$M$83</c:f>
              <c:numCache>
                <c:formatCode>_-* #,##0\ _€_-;\-* #,##0\ _€_-;_-* "-"??\ _€_-;_-@</c:formatCode>
                <c:ptCount val="1"/>
                <c:pt idx="0">
                  <c:v>0</c:v>
                </c:pt>
              </c:numCache>
            </c:numRef>
          </c:val>
          <c:smooth val="0"/>
        </c:ser>
        <c:ser>
          <c:idx val="17"/>
          <c:order val="17"/>
          <c:spPr>
            <a:ln cmpd="sng">
              <a:solidFill>
                <a:srgbClr val="C6DEB5"/>
              </a:solidFill>
            </a:ln>
          </c:spPr>
          <c:marker>
            <c:symbol val="none"/>
          </c:marker>
          <c:val>
            <c:numRef>
              <c:f>'Proy. ventas'!$O$83</c:f>
              <c:numCache>
                <c:formatCode>_-* #,##0\ _€_-;\-* #,##0\ _€_-;_-* "-"??\ _€_-;_-@</c:formatCode>
                <c:ptCount val="1"/>
                <c:pt idx="0">
                  <c:v>0</c:v>
                </c:pt>
              </c:numCache>
            </c:numRef>
          </c:val>
          <c:smooth val="0"/>
        </c:ser>
        <c:ser>
          <c:idx val="18"/>
          <c:order val="18"/>
          <c:spPr>
            <a:ln cmpd="sng">
              <a:solidFill>
                <a:srgbClr val="ECF1F9"/>
              </a:solidFill>
            </a:ln>
          </c:spPr>
          <c:marker>
            <c:symbol val="none"/>
          </c:marker>
          <c:val>
            <c:numRef>
              <c:f>'Proy. ventas'!$Q$83</c:f>
              <c:numCache>
                <c:formatCode>_-* #,##0\ _€_-;\-* #,##0\ _€_-;_-* "-"??\ _€_-;_-@</c:formatCode>
                <c:ptCount val="1"/>
                <c:pt idx="0">
                  <c:v>0</c:v>
                </c:pt>
              </c:numCache>
            </c:numRef>
          </c:val>
          <c:smooth val="0"/>
        </c:ser>
        <c:ser>
          <c:idx val="19"/>
          <c:order val="19"/>
          <c:spPr>
            <a:ln cmpd="sng">
              <a:solidFill>
                <a:srgbClr val="FDF2EA"/>
              </a:solidFill>
            </a:ln>
          </c:spPr>
          <c:marker>
            <c:symbol val="none"/>
          </c:marker>
          <c:val>
            <c:numRef>
              <c:f>'Proy. ventas'!$S$83</c:f>
              <c:numCache>
                <c:formatCode>_-* #,##0\ _€_-;\-* #,##0\ _€_-;_-* "-"??\ _€_-;_-@</c:formatCode>
                <c:ptCount val="1"/>
                <c:pt idx="0">
                  <c:v>0</c:v>
                </c:pt>
              </c:numCache>
            </c:numRef>
          </c:val>
          <c:smooth val="0"/>
        </c:ser>
        <c:ser>
          <c:idx val="20"/>
          <c:order val="20"/>
          <c:spPr>
            <a:ln cmpd="sng">
              <a:solidFill>
                <a:srgbClr val="F6F6F6"/>
              </a:solidFill>
            </a:ln>
          </c:spPr>
          <c:marker>
            <c:symbol val="none"/>
          </c:marker>
          <c:val>
            <c:numRef>
              <c:f>'Proy. ventas'!$U$83</c:f>
              <c:numCache>
                <c:formatCode>_-* #,##0\ _€_-;\-* #,##0\ _€_-;_-* "-"??\ _€_-;_-@</c:formatCode>
                <c:ptCount val="1"/>
                <c:pt idx="0">
                  <c:v>0</c:v>
                </c:pt>
              </c:numCache>
            </c:numRef>
          </c:val>
          <c:smooth val="0"/>
        </c:ser>
        <c:ser>
          <c:idx val="21"/>
          <c:order val="21"/>
          <c:spPr>
            <a:ln cmpd="sng">
              <a:solidFill>
                <a:srgbClr val="FFF9E6"/>
              </a:solidFill>
            </a:ln>
          </c:spPr>
          <c:marker>
            <c:symbol val="none"/>
          </c:marker>
          <c:val>
            <c:numRef>
              <c:f>'Proy. ventas'!$W$83</c:f>
              <c:numCache>
                <c:formatCode>_-* #,##0\ _€_-;\-* #,##0\ _€_-;_-* "-"??\ _€_-;_-@</c:formatCode>
                <c:ptCount val="1"/>
                <c:pt idx="0">
                  <c:v>0</c:v>
                </c:pt>
              </c:numCache>
            </c:numRef>
          </c:val>
          <c:smooth val="0"/>
        </c:ser>
        <c:ser>
          <c:idx val="22"/>
          <c:order val="22"/>
          <c:spPr>
            <a:ln cmpd="sng">
              <a:solidFill>
                <a:srgbClr val="EFF5FB"/>
              </a:solidFill>
            </a:ln>
          </c:spPr>
          <c:marker>
            <c:symbol val="none"/>
          </c:marker>
          <c:val>
            <c:numRef>
              <c:f>'Proy. ventas'!$Y$83</c:f>
              <c:numCache>
                <c:formatCode>_-* #,##0\ _€_-;\-* #,##0\ _€_-;_-* "-"??\ _€_-;_-@</c:formatCode>
                <c:ptCount val="1"/>
                <c:pt idx="0">
                  <c:v>0</c:v>
                </c:pt>
              </c:numCache>
            </c:numRef>
          </c:val>
          <c:smooth val="0"/>
        </c:ser>
        <c:ser>
          <c:idx val="23"/>
          <c:order val="23"/>
          <c:spPr>
            <a:ln cmpd="sng">
              <a:solidFill>
                <a:srgbClr val="F1F7ED"/>
              </a:solidFill>
            </a:ln>
          </c:spPr>
          <c:marker>
            <c:symbol val="none"/>
          </c:marker>
          <c:val>
            <c:numRef>
              <c:f>'Proy. ventas'!$AA$83</c:f>
              <c:numCache>
                <c:formatCode>_-* #,##0\ _€_-;\-* #,##0\ _€_-;_-* "-"??\ _€_-;_-@</c:formatCode>
                <c:ptCount val="1"/>
                <c:pt idx="0">
                  <c:v>0</c:v>
                </c:pt>
              </c:numCache>
            </c:numRef>
          </c:val>
          <c:smooth val="0"/>
        </c:ser>
        <c:ser>
          <c:idx val="24"/>
          <c:order val="24"/>
          <c:spPr>
            <a:ln cmpd="sng">
              <a:solidFill>
                <a:srgbClr val="241B0B"/>
              </a:solidFill>
            </a:ln>
          </c:spPr>
          <c:marker>
            <c:symbol val="none"/>
          </c:marker>
          <c:val>
            <c:numRef>
              <c:f>'Proy. ventas'!$E$84</c:f>
              <c:numCache>
                <c:formatCode>_-* #,##0\ _€_-;\-* #,##0\ _€_-;_-* "-"??\ _€_-;_-@</c:formatCode>
                <c:ptCount val="1"/>
                <c:pt idx="0">
                  <c:v>15</c:v>
                </c:pt>
              </c:numCache>
            </c:numRef>
          </c:val>
          <c:smooth val="0"/>
        </c:ser>
        <c:ser>
          <c:idx val="25"/>
          <c:order val="25"/>
          <c:spPr>
            <a:ln cmpd="sng">
              <a:solidFill>
                <a:srgbClr val="031928"/>
              </a:solidFill>
            </a:ln>
          </c:spPr>
          <c:marker>
            <c:symbol val="none"/>
          </c:marker>
          <c:val>
            <c:numRef>
              <c:f>'Proy. ventas'!$G$84</c:f>
              <c:numCache>
                <c:formatCode>_-* #,##0\ _€_-;\-* #,##0\ _€_-;_-* "-"??\ _€_-;_-@</c:formatCode>
                <c:ptCount val="1"/>
                <c:pt idx="0">
                  <c:v>0</c:v>
                </c:pt>
              </c:numCache>
            </c:numRef>
          </c:val>
          <c:smooth val="0"/>
        </c:ser>
        <c:ser>
          <c:idx val="26"/>
          <c:order val="26"/>
          <c:spPr>
            <a:ln cmpd="sng">
              <a:solidFill>
                <a:srgbClr val="111111"/>
              </a:solidFill>
            </a:ln>
          </c:spPr>
          <c:marker>
            <c:symbol val="none"/>
          </c:marker>
          <c:val>
            <c:numRef>
              <c:f>'Proy. ventas'!$I$84</c:f>
              <c:numCache>
                <c:formatCode>_-* #,##0\ _€_-;\-* #,##0\ _€_-;_-* "-"??\ _€_-;_-@</c:formatCode>
                <c:ptCount val="1"/>
                <c:pt idx="0">
                  <c:v>0</c:v>
                </c:pt>
              </c:numCache>
            </c:numRef>
          </c:val>
          <c:smooth val="0"/>
        </c:ser>
        <c:ser>
          <c:idx val="27"/>
          <c:order val="27"/>
          <c:spPr>
            <a:ln cmpd="sng">
              <a:solidFill>
                <a:srgbClr val="FF0C32"/>
              </a:solidFill>
            </a:ln>
          </c:spPr>
          <c:marker>
            <c:symbol val="none"/>
          </c:marker>
          <c:val>
            <c:numRef>
              <c:f>'Proy. ventas'!$K$84</c:f>
              <c:numCache>
                <c:formatCode>_-* #,##0\ _€_-;\-* #,##0\ _€_-;_-* "-"??\ _€_-;_-@</c:formatCode>
                <c:ptCount val="1"/>
                <c:pt idx="0">
                  <c:v>15</c:v>
                </c:pt>
              </c:numCache>
            </c:numRef>
          </c:val>
          <c:smooth val="0"/>
        </c:ser>
        <c:ser>
          <c:idx val="28"/>
          <c:order val="28"/>
          <c:spPr>
            <a:ln cmpd="sng">
              <a:solidFill>
                <a:srgbClr val="201307"/>
              </a:solidFill>
            </a:ln>
          </c:spPr>
          <c:marker>
            <c:symbol val="none"/>
          </c:marker>
          <c:val>
            <c:numRef>
              <c:f>'Proy. ventas'!$M$84</c:f>
              <c:numCache>
                <c:formatCode>_-* #,##0\ _€_-;\-* #,##0\ _€_-;_-* "-"??\ _€_-;_-@</c:formatCode>
                <c:ptCount val="1"/>
                <c:pt idx="0">
                  <c:v>0</c:v>
                </c:pt>
              </c:numCache>
            </c:numRef>
          </c:val>
          <c:smooth val="0"/>
        </c:ser>
        <c:ser>
          <c:idx val="29"/>
          <c:order val="29"/>
          <c:spPr>
            <a:ln cmpd="sng">
              <a:solidFill>
                <a:srgbClr val="1C0F24"/>
              </a:solidFill>
            </a:ln>
          </c:spPr>
          <c:marker>
            <c:symbol val="none"/>
          </c:marker>
          <c:val>
            <c:numRef>
              <c:f>'Proy. ventas'!$M$85</c:f>
              <c:numCache>
                <c:formatCode>_-* #,##0\ _€_-;\-* #,##0\ _€_-;_-* "-"??\ _€_-;_-@</c:formatCode>
                <c:ptCount val="1"/>
                <c:pt idx="0">
                  <c:v>30</c:v>
                </c:pt>
              </c:numCache>
            </c:numRef>
          </c:val>
          <c:smooth val="0"/>
        </c:ser>
        <c:ser>
          <c:idx val="30"/>
          <c:order val="30"/>
          <c:spPr>
            <a:ln cmpd="sng">
              <a:solidFill>
                <a:srgbClr val="5D461D"/>
              </a:solidFill>
            </a:ln>
          </c:spPr>
          <c:marker>
            <c:symbol val="none"/>
          </c:marker>
          <c:val>
            <c:numRef>
              <c:f>'Proy. ventas'!$O$84</c:f>
              <c:numCache>
                <c:formatCode>_-* #,##0\ _€_-;\-* #,##0\ _€_-;_-* "-"??\ _€_-;_-@</c:formatCode>
                <c:ptCount val="1"/>
                <c:pt idx="0">
                  <c:v>0</c:v>
                </c:pt>
              </c:numCache>
            </c:numRef>
          </c:val>
          <c:smooth val="0"/>
        </c:ser>
        <c:ser>
          <c:idx val="31"/>
          <c:order val="31"/>
          <c:spPr>
            <a:ln cmpd="sng">
              <a:solidFill>
                <a:srgbClr val="084066"/>
              </a:solidFill>
            </a:ln>
          </c:spPr>
          <c:marker>
            <c:symbol val="none"/>
          </c:marker>
          <c:val>
            <c:numRef>
              <c:f>'Proy. ventas'!$Q$84</c:f>
              <c:numCache>
                <c:formatCode>_-* #,##0\ _€_-;\-* #,##0\ _€_-;_-* "-"??\ _€_-;_-@</c:formatCode>
                <c:ptCount val="1"/>
                <c:pt idx="0">
                  <c:v>0</c:v>
                </c:pt>
              </c:numCache>
            </c:numRef>
          </c:val>
          <c:smooth val="0"/>
        </c:ser>
        <c:ser>
          <c:idx val="32"/>
          <c:order val="32"/>
          <c:spPr>
            <a:ln cmpd="sng">
              <a:solidFill>
                <a:srgbClr val="2C2C2C"/>
              </a:solidFill>
            </a:ln>
          </c:spPr>
          <c:marker>
            <c:symbol val="none"/>
          </c:marker>
          <c:val>
            <c:numRef>
              <c:f>'Proy. ventas'!$S$84</c:f>
              <c:numCache>
                <c:formatCode>_-* #,##0\ _€_-;\-* #,##0\ _€_-;_-* "-"??\ _€_-;_-@</c:formatCode>
                <c:ptCount val="1"/>
                <c:pt idx="0">
                  <c:v>0</c:v>
                </c:pt>
              </c:numCache>
            </c:numRef>
          </c:val>
          <c:smooth val="0"/>
        </c:ser>
        <c:ser>
          <c:idx val="33"/>
          <c:order val="33"/>
          <c:spPr>
            <a:ln cmpd="sng">
              <a:solidFill>
                <a:srgbClr val="FF1F7F"/>
              </a:solidFill>
            </a:ln>
          </c:spPr>
          <c:marker>
            <c:symbol val="none"/>
          </c:marker>
          <c:val>
            <c:numRef>
              <c:f>'Proy. ventas'!$U$84</c:f>
              <c:numCache>
                <c:formatCode>_-* #,##0\ _€_-;\-* #,##0\ _€_-;_-* "-"??\ _€_-;_-@</c:formatCode>
                <c:ptCount val="1"/>
                <c:pt idx="0">
                  <c:v>0</c:v>
                </c:pt>
              </c:numCache>
            </c:numRef>
          </c:val>
          <c:smooth val="0"/>
        </c:ser>
        <c:ser>
          <c:idx val="34"/>
          <c:order val="34"/>
          <c:spPr>
            <a:ln cmpd="sng">
              <a:solidFill>
                <a:srgbClr val="513114"/>
              </a:solidFill>
            </a:ln>
          </c:spPr>
          <c:marker>
            <c:symbol val="none"/>
          </c:marker>
          <c:val>
            <c:numRef>
              <c:f>'Proy. ventas'!$W$84</c:f>
              <c:numCache>
                <c:formatCode>_-* #,##0\ _€_-;\-* #,##0\ _€_-;_-* "-"??\ _€_-;_-@</c:formatCode>
                <c:ptCount val="1"/>
                <c:pt idx="0">
                  <c:v>30</c:v>
                </c:pt>
              </c:numCache>
            </c:numRef>
          </c:val>
          <c:smooth val="0"/>
        </c:ser>
        <c:ser>
          <c:idx val="35"/>
          <c:order val="35"/>
          <c:spPr>
            <a:ln cmpd="sng">
              <a:solidFill>
                <a:srgbClr val="47285B"/>
              </a:solidFill>
            </a:ln>
          </c:spPr>
          <c:marker>
            <c:symbol val="none"/>
          </c:marker>
          <c:val>
            <c:numRef>
              <c:f>'Proy. ventas'!$Y$84</c:f>
              <c:numCache>
                <c:formatCode>_-* #,##0\ _€_-;\-* #,##0\ _€_-;_-* "-"??\ _€_-;_-@</c:formatCode>
                <c:ptCount val="1"/>
                <c:pt idx="0">
                  <c:v>30</c:v>
                </c:pt>
              </c:numCache>
            </c:numRef>
          </c:val>
          <c:smooth val="0"/>
        </c:ser>
        <c:ser>
          <c:idx val="36"/>
          <c:order val="36"/>
          <c:spPr>
            <a:ln cmpd="sng">
              <a:solidFill>
                <a:srgbClr val="966108"/>
              </a:solidFill>
            </a:ln>
          </c:spPr>
          <c:marker>
            <c:symbol val="none"/>
          </c:marker>
          <c:val>
            <c:numRef>
              <c:f>'Proy. ventas'!$AA$84</c:f>
              <c:numCache>
                <c:formatCode>_-* #,##0\ _€_-;\-* #,##0\ _€_-;_-* "-"??\ _€_-;_-@</c:formatCode>
                <c:ptCount val="1"/>
                <c:pt idx="0">
                  <c:v>0</c:v>
                </c:pt>
              </c:numCache>
            </c:numRef>
          </c:val>
          <c:smooth val="0"/>
        </c:ser>
        <c:dLbls>
          <c:showLegendKey val="0"/>
          <c:showVal val="0"/>
          <c:showCatName val="0"/>
          <c:showSerName val="0"/>
          <c:showPercent val="0"/>
          <c:showBubbleSize val="0"/>
        </c:dLbls>
        <c:marker val="1"/>
        <c:smooth val="0"/>
        <c:axId val="1818103824"/>
        <c:axId val="1818110352"/>
      </c:lineChart>
      <c:catAx>
        <c:axId val="1818103824"/>
        <c:scaling>
          <c:orientation val="minMax"/>
        </c:scaling>
        <c:delete val="0"/>
        <c:axPos val="b"/>
        <c:title>
          <c:tx>
            <c:rich>
              <a:bodyPr/>
              <a:lstStyle/>
              <a:p>
                <a:pPr lvl="0">
                  <a:defRPr b="0">
                    <a:solidFill>
                      <a:srgbClr val="000000"/>
                    </a:solidFill>
                    <a:latin typeface="+mn-lt"/>
                  </a:defRPr>
                </a:pPr>
                <a:endParaRPr lang="es-AR"/>
              </a:p>
            </c:rich>
          </c:tx>
          <c:layout/>
          <c:overlay val="0"/>
        </c:title>
        <c:numFmt formatCode="General" sourceLinked="1"/>
        <c:majorTickMark val="out"/>
        <c:minorTickMark val="none"/>
        <c:tickLblPos val="nextTo"/>
        <c:txPr>
          <a:bodyPr/>
          <a:lstStyle/>
          <a:p>
            <a:pPr lvl="0">
              <a:defRPr sz="900" b="0" i="0">
                <a:solidFill>
                  <a:schemeClr val="dk1"/>
                </a:solidFill>
                <a:latin typeface="+mn-lt"/>
              </a:defRPr>
            </a:pPr>
            <a:endParaRPr lang="es-AR"/>
          </a:p>
        </c:txPr>
        <c:crossAx val="1818110352"/>
        <c:crosses val="autoZero"/>
        <c:auto val="1"/>
        <c:lblAlgn val="ctr"/>
        <c:lblOffset val="100"/>
        <c:noMultiLvlLbl val="1"/>
      </c:catAx>
      <c:valAx>
        <c:axId val="181811035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AR"/>
              </a:p>
            </c:rich>
          </c:tx>
          <c:layout/>
          <c:overlay val="0"/>
        </c:title>
        <c:numFmt formatCode="_-* #,##0\ _€_-;\-* #,##0\ _€_-;_-* &quot;-&quot;??\ _€_-;_-@" sourceLinked="1"/>
        <c:majorTickMark val="out"/>
        <c:minorTickMark val="none"/>
        <c:tickLblPos val="nextTo"/>
        <c:spPr>
          <a:ln/>
        </c:spPr>
        <c:txPr>
          <a:bodyPr/>
          <a:lstStyle/>
          <a:p>
            <a:pPr lvl="0">
              <a:defRPr sz="900" b="0" i="0">
                <a:solidFill>
                  <a:schemeClr val="dk1"/>
                </a:solidFill>
                <a:latin typeface="+mn-lt"/>
              </a:defRPr>
            </a:pPr>
            <a:endParaRPr lang="es-AR"/>
          </a:p>
        </c:txPr>
        <c:crossAx val="1818103824"/>
        <c:crosses val="autoZero"/>
        <c:crossBetween val="between"/>
      </c:valAx>
    </c:plotArea>
    <c:legend>
      <c:legendPos val="b"/>
      <c:layout/>
      <c:overlay val="0"/>
      <c:txPr>
        <a:bodyPr/>
        <a:lstStyle/>
        <a:p>
          <a:pPr lvl="0">
            <a:defRPr sz="1800" b="0" i="0">
              <a:solidFill>
                <a:schemeClr val="dk1"/>
              </a:solidFill>
              <a:latin typeface="+mn-lt"/>
            </a:defRPr>
          </a:pPr>
          <a:endParaRPr lang="es-AR"/>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s-ES"/>
  <c:roundedCorners val="1"/>
  <c:style val="2"/>
  <c:chart>
    <c:autoTitleDeleted val="1"/>
    <c:plotArea>
      <c:layout/>
      <c:lineChart>
        <c:grouping val="standard"/>
        <c:varyColors val="1"/>
        <c:ser>
          <c:idx val="0"/>
          <c:order val="0"/>
          <c:spPr>
            <a:ln w="28575" cmpd="sng">
              <a:solidFill>
                <a:schemeClr val="accent1"/>
              </a:solidFill>
            </a:ln>
          </c:spPr>
          <c:marker>
            <c:symbol val="circle"/>
            <c:size val="17"/>
            <c:spPr>
              <a:solidFill>
                <a:schemeClr val="accent1"/>
              </a:solidFill>
              <a:ln cmpd="sng">
                <a:solidFill>
                  <a:schemeClr val="accent1"/>
                </a:solidFill>
              </a:ln>
            </c:spPr>
          </c:marker>
          <c:dLbls>
            <c:spPr>
              <a:noFill/>
              <a:ln>
                <a:noFill/>
              </a:ln>
              <a:effectLst/>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val>
            <c:numRef>
              <c:f>'Proy. ventas'!$E$144</c:f>
              <c:numCache>
                <c:formatCode>_-* #,##0\ _€_-;\-* #,##0\ _€_-;_-* "-"??\ _€_-;_-@</c:formatCode>
                <c:ptCount val="1"/>
                <c:pt idx="0">
                  <c:v>0</c:v>
                </c:pt>
              </c:numCache>
            </c:numRef>
          </c:val>
          <c:smooth val="0"/>
        </c:ser>
        <c:ser>
          <c:idx val="1"/>
          <c:order val="1"/>
          <c:spPr>
            <a:ln w="28575" cmpd="sng">
              <a:solidFill>
                <a:schemeClr val="accent2"/>
              </a:solidFill>
            </a:ln>
          </c:spPr>
          <c:marker>
            <c:symbol val="circle"/>
            <c:size val="17"/>
            <c:spPr>
              <a:solidFill>
                <a:schemeClr val="accent2"/>
              </a:solidFill>
              <a:ln cmpd="sng">
                <a:solidFill>
                  <a:schemeClr val="accent2"/>
                </a:solidFill>
              </a:ln>
            </c:spPr>
          </c:marker>
          <c:dLbls>
            <c:spPr>
              <a:noFill/>
              <a:ln>
                <a:noFill/>
              </a:ln>
              <a:effectLst/>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val>
            <c:numRef>
              <c:f>'Proy. ventas'!$G$144</c:f>
              <c:numCache>
                <c:formatCode>_-* #,##0\ _€_-;\-* #,##0\ _€_-;_-* "-"??\ _€_-;_-@</c:formatCode>
                <c:ptCount val="1"/>
                <c:pt idx="0">
                  <c:v>15</c:v>
                </c:pt>
              </c:numCache>
            </c:numRef>
          </c:val>
          <c:smooth val="0"/>
        </c:ser>
        <c:ser>
          <c:idx val="2"/>
          <c:order val="2"/>
          <c:spPr>
            <a:ln w="28575" cmpd="sng">
              <a:solidFill>
                <a:schemeClr val="accent3"/>
              </a:solidFill>
            </a:ln>
          </c:spPr>
          <c:marker>
            <c:symbol val="circle"/>
            <c:size val="17"/>
            <c:spPr>
              <a:solidFill>
                <a:schemeClr val="accent3"/>
              </a:solidFill>
              <a:ln cmpd="sng">
                <a:solidFill>
                  <a:schemeClr val="accent3"/>
                </a:solidFill>
              </a:ln>
            </c:spPr>
          </c:marker>
          <c:dLbls>
            <c:spPr>
              <a:noFill/>
              <a:ln>
                <a:noFill/>
              </a:ln>
              <a:effectLst/>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val>
            <c:numRef>
              <c:f>'Proy. ventas'!$I$144</c:f>
              <c:numCache>
                <c:formatCode>_-* #,##0\ _€_-;\-* #,##0\ _€_-;_-* "-"??\ _€_-;_-@</c:formatCode>
                <c:ptCount val="1"/>
                <c:pt idx="0">
                  <c:v>15</c:v>
                </c:pt>
              </c:numCache>
            </c:numRef>
          </c:val>
          <c:smooth val="0"/>
        </c:ser>
        <c:ser>
          <c:idx val="3"/>
          <c:order val="3"/>
          <c:spPr>
            <a:ln cmpd="sng">
              <a:solidFill>
                <a:srgbClr val="FFC000"/>
              </a:solidFill>
            </a:ln>
          </c:spPr>
          <c:marker>
            <c:symbol val="none"/>
          </c:marker>
          <c:val>
            <c:numRef>
              <c:f>'Proy. ventas'!$K$144</c:f>
              <c:numCache>
                <c:formatCode>_-* #,##0\ _€_-;\-* #,##0\ _€_-;_-* "-"??\ _€_-;_-@</c:formatCode>
                <c:ptCount val="1"/>
                <c:pt idx="0">
                  <c:v>15</c:v>
                </c:pt>
              </c:numCache>
            </c:numRef>
          </c:val>
          <c:smooth val="0"/>
        </c:ser>
        <c:ser>
          <c:idx val="4"/>
          <c:order val="4"/>
          <c:spPr>
            <a:ln cmpd="sng">
              <a:solidFill>
                <a:srgbClr val="5B9BD5"/>
              </a:solidFill>
            </a:ln>
          </c:spPr>
          <c:marker>
            <c:symbol val="none"/>
          </c:marker>
          <c:val>
            <c:numRef>
              <c:f>'Proy. ventas'!$M$144</c:f>
              <c:numCache>
                <c:formatCode>_-* #,##0\ _€_-;\-* #,##0\ _€_-;_-* "-"??\ _€_-;_-@</c:formatCode>
                <c:ptCount val="1"/>
                <c:pt idx="0">
                  <c:v>15</c:v>
                </c:pt>
              </c:numCache>
            </c:numRef>
          </c:val>
          <c:smooth val="0"/>
        </c:ser>
        <c:ser>
          <c:idx val="5"/>
          <c:order val="5"/>
          <c:spPr>
            <a:ln cmpd="sng">
              <a:solidFill>
                <a:srgbClr val="70AD47"/>
              </a:solidFill>
            </a:ln>
          </c:spPr>
          <c:marker>
            <c:symbol val="none"/>
          </c:marker>
          <c:val>
            <c:numRef>
              <c:f>'Proy. ventas'!$O$144</c:f>
              <c:numCache>
                <c:formatCode>_-* #,##0\ _€_-;\-* #,##0\ _€_-;_-* "-"??\ _€_-;_-@</c:formatCode>
                <c:ptCount val="1"/>
                <c:pt idx="0">
                  <c:v>0</c:v>
                </c:pt>
              </c:numCache>
            </c:numRef>
          </c:val>
          <c:smooth val="0"/>
        </c:ser>
        <c:ser>
          <c:idx val="6"/>
          <c:order val="6"/>
          <c:spPr>
            <a:ln cmpd="sng">
              <a:solidFill>
                <a:srgbClr val="7C9CD6"/>
              </a:solidFill>
            </a:ln>
          </c:spPr>
          <c:marker>
            <c:symbol val="none"/>
          </c:marker>
          <c:val>
            <c:numRef>
              <c:f>'Proy. ventas'!$Q$144</c:f>
              <c:numCache>
                <c:formatCode>_-* #,##0\ _€_-;\-* #,##0\ _€_-;_-* "-"??\ _€_-;_-@</c:formatCode>
                <c:ptCount val="1"/>
                <c:pt idx="0">
                  <c:v>0</c:v>
                </c:pt>
              </c:numCache>
            </c:numRef>
          </c:val>
          <c:smooth val="0"/>
        </c:ser>
        <c:ser>
          <c:idx val="7"/>
          <c:order val="7"/>
          <c:spPr>
            <a:ln cmpd="sng">
              <a:solidFill>
                <a:srgbClr val="F2A46F"/>
              </a:solidFill>
            </a:ln>
          </c:spPr>
          <c:marker>
            <c:symbol val="none"/>
          </c:marker>
          <c:val>
            <c:numRef>
              <c:f>'Proy. ventas'!$S$144</c:f>
              <c:numCache>
                <c:formatCode>_-* #,##0\ _€_-;\-* #,##0\ _€_-;_-* "-"??\ _€_-;_-@</c:formatCode>
                <c:ptCount val="1"/>
                <c:pt idx="0">
                  <c:v>15</c:v>
                </c:pt>
              </c:numCache>
            </c:numRef>
          </c:val>
          <c:smooth val="0"/>
        </c:ser>
        <c:ser>
          <c:idx val="8"/>
          <c:order val="8"/>
          <c:spPr>
            <a:ln cmpd="sng">
              <a:solidFill>
                <a:srgbClr val="C0C0C0"/>
              </a:solidFill>
            </a:ln>
          </c:spPr>
          <c:marker>
            <c:symbol val="none"/>
          </c:marker>
          <c:val>
            <c:numRef>
              <c:f>'Proy. ventas'!$U$144</c:f>
              <c:numCache>
                <c:formatCode>_-* #,##0\ _€_-;\-* #,##0\ _€_-;_-* "-"??\ _€_-;_-@</c:formatCode>
                <c:ptCount val="1"/>
                <c:pt idx="0">
                  <c:v>0</c:v>
                </c:pt>
              </c:numCache>
            </c:numRef>
          </c:val>
          <c:smooth val="0"/>
        </c:ser>
        <c:ser>
          <c:idx val="9"/>
          <c:order val="9"/>
          <c:spPr>
            <a:ln cmpd="sng">
              <a:solidFill>
                <a:srgbClr val="FFD34D"/>
              </a:solidFill>
            </a:ln>
          </c:spPr>
          <c:marker>
            <c:symbol val="none"/>
          </c:marker>
          <c:val>
            <c:numRef>
              <c:f>'Proy. ventas'!$W$144</c:f>
              <c:numCache>
                <c:formatCode>_-* #,##0\ _€_-;\-* #,##0\ _€_-;_-* "-"??\ _€_-;_-@</c:formatCode>
                <c:ptCount val="1"/>
                <c:pt idx="0">
                  <c:v>0</c:v>
                </c:pt>
              </c:numCache>
            </c:numRef>
          </c:val>
          <c:smooth val="0"/>
        </c:ser>
        <c:ser>
          <c:idx val="10"/>
          <c:order val="10"/>
          <c:spPr>
            <a:ln cmpd="sng">
              <a:solidFill>
                <a:srgbClr val="8CB9E2"/>
              </a:solidFill>
            </a:ln>
          </c:spPr>
          <c:marker>
            <c:symbol val="none"/>
          </c:marker>
          <c:val>
            <c:numRef>
              <c:f>'Proy. ventas'!$Y$144</c:f>
              <c:numCache>
                <c:formatCode>_-* #,##0\ _€_-;\-* #,##0\ _€_-;_-* "-"??\ _€_-;_-@</c:formatCode>
                <c:ptCount val="1"/>
                <c:pt idx="0">
                  <c:v>0</c:v>
                </c:pt>
              </c:numCache>
            </c:numRef>
          </c:val>
          <c:smooth val="0"/>
        </c:ser>
        <c:ser>
          <c:idx val="11"/>
          <c:order val="11"/>
          <c:spPr>
            <a:ln cmpd="sng">
              <a:solidFill>
                <a:srgbClr val="9BC67E"/>
              </a:solidFill>
            </a:ln>
          </c:spPr>
          <c:marker>
            <c:symbol val="none"/>
          </c:marker>
          <c:val>
            <c:numRef>
              <c:f>'Proy. ventas'!$AA$144</c:f>
              <c:numCache>
                <c:formatCode>_-* #,##0\ _€_-;\-* #,##0\ _€_-;_-* "-"??\ _€_-;_-@</c:formatCode>
                <c:ptCount val="1"/>
                <c:pt idx="0">
                  <c:v>0</c:v>
                </c:pt>
              </c:numCache>
            </c:numRef>
          </c:val>
          <c:smooth val="0"/>
        </c:ser>
        <c:ser>
          <c:idx val="12"/>
          <c:order val="12"/>
          <c:spPr>
            <a:ln cmpd="sng">
              <a:solidFill>
                <a:srgbClr val="B4C7E7"/>
              </a:solidFill>
            </a:ln>
          </c:spPr>
          <c:marker>
            <c:symbol val="none"/>
          </c:marker>
          <c:val>
            <c:numRef>
              <c:f>'Proy. ventas'!$E$145</c:f>
              <c:numCache>
                <c:formatCode>_-* #,##0\ _€_-;\-* #,##0\ _€_-;_-* "-"??\ _€_-;_-@</c:formatCode>
                <c:ptCount val="1"/>
                <c:pt idx="0">
                  <c:v>0</c:v>
                </c:pt>
              </c:numCache>
            </c:numRef>
          </c:val>
          <c:smooth val="0"/>
        </c:ser>
        <c:ser>
          <c:idx val="13"/>
          <c:order val="13"/>
          <c:spPr>
            <a:ln cmpd="sng">
              <a:solidFill>
                <a:srgbClr val="F8CBAD"/>
              </a:solidFill>
            </a:ln>
          </c:spPr>
          <c:marker>
            <c:symbol val="none"/>
          </c:marker>
          <c:val>
            <c:numRef>
              <c:f>'Proy. ventas'!$G$145</c:f>
              <c:numCache>
                <c:formatCode>_-* #,##0\ _€_-;\-* #,##0\ _€_-;_-* "-"??\ _€_-;_-@</c:formatCode>
                <c:ptCount val="1"/>
                <c:pt idx="0">
                  <c:v>0</c:v>
                </c:pt>
              </c:numCache>
            </c:numRef>
          </c:val>
          <c:smooth val="0"/>
        </c:ser>
        <c:ser>
          <c:idx val="14"/>
          <c:order val="14"/>
          <c:spPr>
            <a:ln cmpd="sng">
              <a:solidFill>
                <a:srgbClr val="DBDBDB"/>
              </a:solidFill>
            </a:ln>
          </c:spPr>
          <c:marker>
            <c:symbol val="none"/>
          </c:marker>
          <c:val>
            <c:numRef>
              <c:f>'Proy. ventas'!$I$145</c:f>
              <c:numCache>
                <c:formatCode>_-* #,##0\ _€_-;\-* #,##0\ _€_-;_-* "-"??\ _€_-;_-@</c:formatCode>
                <c:ptCount val="1"/>
                <c:pt idx="0">
                  <c:v>0</c:v>
                </c:pt>
              </c:numCache>
            </c:numRef>
          </c:val>
          <c:smooth val="0"/>
        </c:ser>
        <c:ser>
          <c:idx val="15"/>
          <c:order val="15"/>
          <c:spPr>
            <a:ln cmpd="sng">
              <a:solidFill>
                <a:srgbClr val="FFE699"/>
              </a:solidFill>
            </a:ln>
          </c:spPr>
          <c:marker>
            <c:symbol val="none"/>
          </c:marker>
          <c:val>
            <c:numRef>
              <c:f>'Proy. ventas'!$K$145</c:f>
              <c:numCache>
                <c:formatCode>_-* #,##0\ _€_-;\-* #,##0\ _€_-;_-* "-"??\ _€_-;_-@</c:formatCode>
                <c:ptCount val="1"/>
                <c:pt idx="0">
                  <c:v>15</c:v>
                </c:pt>
              </c:numCache>
            </c:numRef>
          </c:val>
          <c:smooth val="0"/>
        </c:ser>
        <c:ser>
          <c:idx val="16"/>
          <c:order val="16"/>
          <c:spPr>
            <a:ln cmpd="sng">
              <a:solidFill>
                <a:srgbClr val="BDD7EE"/>
              </a:solidFill>
            </a:ln>
          </c:spPr>
          <c:marker>
            <c:symbol val="none"/>
          </c:marker>
          <c:val>
            <c:numRef>
              <c:f>'Proy. ventas'!$M$145</c:f>
              <c:numCache>
                <c:formatCode>_-* #,##0\ _€_-;\-* #,##0\ _€_-;_-* "-"??\ _€_-;_-@</c:formatCode>
                <c:ptCount val="1"/>
                <c:pt idx="0">
                  <c:v>0</c:v>
                </c:pt>
              </c:numCache>
            </c:numRef>
          </c:val>
          <c:smooth val="0"/>
        </c:ser>
        <c:ser>
          <c:idx val="17"/>
          <c:order val="17"/>
          <c:spPr>
            <a:ln cmpd="sng">
              <a:solidFill>
                <a:srgbClr val="C6DEB5"/>
              </a:solidFill>
            </a:ln>
          </c:spPr>
          <c:marker>
            <c:symbol val="none"/>
          </c:marker>
          <c:val>
            <c:numRef>
              <c:f>'Proy. ventas'!$O$145</c:f>
              <c:numCache>
                <c:formatCode>_-* #,##0\ _€_-;\-* #,##0\ _€_-;_-* "-"??\ _€_-;_-@</c:formatCode>
                <c:ptCount val="1"/>
                <c:pt idx="0">
                  <c:v>15</c:v>
                </c:pt>
              </c:numCache>
            </c:numRef>
          </c:val>
          <c:smooth val="0"/>
        </c:ser>
        <c:ser>
          <c:idx val="18"/>
          <c:order val="18"/>
          <c:spPr>
            <a:ln cmpd="sng">
              <a:solidFill>
                <a:srgbClr val="ECF1F9"/>
              </a:solidFill>
            </a:ln>
          </c:spPr>
          <c:marker>
            <c:symbol val="none"/>
          </c:marker>
          <c:val>
            <c:numRef>
              <c:f>'Proy. ventas'!$Q$145</c:f>
              <c:numCache>
                <c:formatCode>_-* #,##0\ _€_-;\-* #,##0\ _€_-;_-* "-"??\ _€_-;_-@</c:formatCode>
                <c:ptCount val="1"/>
                <c:pt idx="0">
                  <c:v>0</c:v>
                </c:pt>
              </c:numCache>
            </c:numRef>
          </c:val>
          <c:smooth val="0"/>
        </c:ser>
        <c:ser>
          <c:idx val="19"/>
          <c:order val="19"/>
          <c:spPr>
            <a:ln cmpd="sng">
              <a:solidFill>
                <a:srgbClr val="FDF2EA"/>
              </a:solidFill>
            </a:ln>
          </c:spPr>
          <c:marker>
            <c:symbol val="none"/>
          </c:marker>
          <c:val>
            <c:numRef>
              <c:f>'Proy. ventas'!$S$145</c:f>
              <c:numCache>
                <c:formatCode>_-* #,##0\ _€_-;\-* #,##0\ _€_-;_-* "-"??\ _€_-;_-@</c:formatCode>
                <c:ptCount val="1"/>
                <c:pt idx="0">
                  <c:v>0</c:v>
                </c:pt>
              </c:numCache>
            </c:numRef>
          </c:val>
          <c:smooth val="0"/>
        </c:ser>
        <c:ser>
          <c:idx val="20"/>
          <c:order val="20"/>
          <c:spPr>
            <a:ln cmpd="sng">
              <a:solidFill>
                <a:srgbClr val="F6F6F6"/>
              </a:solidFill>
            </a:ln>
          </c:spPr>
          <c:marker>
            <c:symbol val="none"/>
          </c:marker>
          <c:val>
            <c:numRef>
              <c:f>'Proy. ventas'!$U$145</c:f>
              <c:numCache>
                <c:formatCode>_-* #,##0\ _€_-;\-* #,##0\ _€_-;_-* "-"??\ _€_-;_-@</c:formatCode>
                <c:ptCount val="1"/>
                <c:pt idx="0">
                  <c:v>15</c:v>
                </c:pt>
              </c:numCache>
            </c:numRef>
          </c:val>
          <c:smooth val="0"/>
        </c:ser>
        <c:ser>
          <c:idx val="21"/>
          <c:order val="21"/>
          <c:spPr>
            <a:ln cmpd="sng">
              <a:solidFill>
                <a:srgbClr val="FFF9E6"/>
              </a:solidFill>
            </a:ln>
          </c:spPr>
          <c:marker>
            <c:symbol val="none"/>
          </c:marker>
          <c:val>
            <c:numRef>
              <c:f>'Proy. ventas'!$W$145</c:f>
              <c:numCache>
                <c:formatCode>_-* #,##0\ _€_-;\-* #,##0\ _€_-;_-* "-"??\ _€_-;_-@</c:formatCode>
                <c:ptCount val="1"/>
                <c:pt idx="0">
                  <c:v>15</c:v>
                </c:pt>
              </c:numCache>
            </c:numRef>
          </c:val>
          <c:smooth val="0"/>
        </c:ser>
        <c:ser>
          <c:idx val="22"/>
          <c:order val="22"/>
          <c:spPr>
            <a:ln cmpd="sng">
              <a:solidFill>
                <a:srgbClr val="EFF5FB"/>
              </a:solidFill>
            </a:ln>
          </c:spPr>
          <c:marker>
            <c:symbol val="none"/>
          </c:marker>
          <c:val>
            <c:numRef>
              <c:f>'Proy. ventas'!$W$146</c:f>
              <c:numCache>
                <c:formatCode>_-* #,##0\ _€_-;\-* #,##0\ _€_-;_-* "-"??\ _€_-;_-@</c:formatCode>
                <c:ptCount val="1"/>
                <c:pt idx="0">
                  <c:v>15</c:v>
                </c:pt>
              </c:numCache>
            </c:numRef>
          </c:val>
          <c:smooth val="0"/>
        </c:ser>
        <c:ser>
          <c:idx val="23"/>
          <c:order val="23"/>
          <c:spPr>
            <a:ln cmpd="sng">
              <a:solidFill>
                <a:srgbClr val="F1F7ED"/>
              </a:solidFill>
            </a:ln>
          </c:spPr>
          <c:marker>
            <c:symbol val="none"/>
          </c:marker>
          <c:val>
            <c:numRef>
              <c:f>'Proy. ventas'!$Y$145</c:f>
              <c:numCache>
                <c:formatCode>_-* #,##0\ _€_-;\-* #,##0\ _€_-;_-* "-"??\ _€_-;_-@</c:formatCode>
                <c:ptCount val="1"/>
                <c:pt idx="0">
                  <c:v>0</c:v>
                </c:pt>
              </c:numCache>
            </c:numRef>
          </c:val>
          <c:smooth val="0"/>
        </c:ser>
        <c:ser>
          <c:idx val="24"/>
          <c:order val="24"/>
          <c:spPr>
            <a:ln cmpd="sng">
              <a:solidFill>
                <a:srgbClr val="241B0B"/>
              </a:solidFill>
            </a:ln>
          </c:spPr>
          <c:marker>
            <c:symbol val="none"/>
          </c:marker>
          <c:val>
            <c:numRef>
              <c:f>'Proy. ventas'!$AA$145</c:f>
              <c:numCache>
                <c:formatCode>_-* #,##0\ _€_-;\-* #,##0\ _€_-;_-* "-"??\ _€_-;_-@</c:formatCode>
                <c:ptCount val="1"/>
                <c:pt idx="0">
                  <c:v>0</c:v>
                </c:pt>
              </c:numCache>
            </c:numRef>
          </c:val>
          <c:smooth val="0"/>
        </c:ser>
        <c:ser>
          <c:idx val="25"/>
          <c:order val="25"/>
          <c:spPr>
            <a:ln cmpd="sng">
              <a:solidFill>
                <a:srgbClr val="031928"/>
              </a:solidFill>
            </a:ln>
          </c:spPr>
          <c:marker>
            <c:symbol val="none"/>
          </c:marker>
          <c:val>
            <c:numRef>
              <c:f>'Proy. ventas'!$E$146</c:f>
              <c:numCache>
                <c:formatCode>_-* #,##0\ _€_-;\-* #,##0\ _€_-;_-* "-"??\ _€_-;_-@</c:formatCode>
                <c:ptCount val="1"/>
                <c:pt idx="0">
                  <c:v>0</c:v>
                </c:pt>
              </c:numCache>
            </c:numRef>
          </c:val>
          <c:smooth val="0"/>
        </c:ser>
        <c:ser>
          <c:idx val="26"/>
          <c:order val="26"/>
          <c:spPr>
            <a:ln cmpd="sng">
              <a:solidFill>
                <a:srgbClr val="111111"/>
              </a:solidFill>
            </a:ln>
          </c:spPr>
          <c:marker>
            <c:symbol val="none"/>
          </c:marker>
          <c:val>
            <c:numRef>
              <c:f>'Proy. ventas'!$G$146</c:f>
              <c:numCache>
                <c:formatCode>_-* #,##0\ _€_-;\-* #,##0\ _€_-;_-* "-"??\ _€_-;_-@</c:formatCode>
                <c:ptCount val="1"/>
                <c:pt idx="0">
                  <c:v>15</c:v>
                </c:pt>
              </c:numCache>
            </c:numRef>
          </c:val>
          <c:smooth val="0"/>
        </c:ser>
        <c:ser>
          <c:idx val="27"/>
          <c:order val="27"/>
          <c:spPr>
            <a:ln cmpd="sng">
              <a:solidFill>
                <a:srgbClr val="FF0C32"/>
              </a:solidFill>
            </a:ln>
          </c:spPr>
          <c:marker>
            <c:symbol val="none"/>
          </c:marker>
          <c:val>
            <c:numRef>
              <c:f>'Proy. ventas'!$I$146</c:f>
              <c:numCache>
                <c:formatCode>_-* #,##0\ _€_-;\-* #,##0\ _€_-;_-* "-"??\ _€_-;_-@</c:formatCode>
                <c:ptCount val="1"/>
                <c:pt idx="0">
                  <c:v>0</c:v>
                </c:pt>
              </c:numCache>
            </c:numRef>
          </c:val>
          <c:smooth val="0"/>
        </c:ser>
        <c:ser>
          <c:idx val="28"/>
          <c:order val="28"/>
          <c:spPr>
            <a:ln cmpd="sng">
              <a:solidFill>
                <a:srgbClr val="201307"/>
              </a:solidFill>
            </a:ln>
          </c:spPr>
          <c:marker>
            <c:symbol val="none"/>
          </c:marker>
          <c:val>
            <c:numRef>
              <c:f>'Proy. ventas'!$K$146</c:f>
              <c:numCache>
                <c:formatCode>_-* #,##0\ _€_-;\-* #,##0\ _€_-;_-* "-"??\ _€_-;_-@</c:formatCode>
                <c:ptCount val="1"/>
                <c:pt idx="0">
                  <c:v>0</c:v>
                </c:pt>
              </c:numCache>
            </c:numRef>
          </c:val>
          <c:smooth val="0"/>
        </c:ser>
        <c:ser>
          <c:idx val="29"/>
          <c:order val="29"/>
          <c:spPr>
            <a:ln cmpd="sng">
              <a:solidFill>
                <a:srgbClr val="1C0F24"/>
              </a:solidFill>
            </a:ln>
          </c:spPr>
          <c:marker>
            <c:symbol val="none"/>
          </c:marker>
          <c:val>
            <c:numRef>
              <c:f>'Proy. ventas'!$M$146</c:f>
              <c:numCache>
                <c:formatCode>_-* #,##0\ _€_-;\-* #,##0\ _€_-;_-* "-"??\ _€_-;_-@</c:formatCode>
                <c:ptCount val="1"/>
                <c:pt idx="0">
                  <c:v>0</c:v>
                </c:pt>
              </c:numCache>
            </c:numRef>
          </c:val>
          <c:smooth val="0"/>
        </c:ser>
        <c:ser>
          <c:idx val="30"/>
          <c:order val="30"/>
          <c:spPr>
            <a:ln cmpd="sng">
              <a:solidFill>
                <a:srgbClr val="5D461D"/>
              </a:solidFill>
            </a:ln>
          </c:spPr>
          <c:marker>
            <c:symbol val="none"/>
          </c:marker>
          <c:val>
            <c:numRef>
              <c:f>'Proy. ventas'!$O$146</c:f>
              <c:numCache>
                <c:formatCode>_-* #,##0\ _€_-;\-* #,##0\ _€_-;_-* "-"??\ _€_-;_-@</c:formatCode>
                <c:ptCount val="1"/>
                <c:pt idx="0">
                  <c:v>0</c:v>
                </c:pt>
              </c:numCache>
            </c:numRef>
          </c:val>
          <c:smooth val="0"/>
        </c:ser>
        <c:ser>
          <c:idx val="31"/>
          <c:order val="31"/>
          <c:spPr>
            <a:ln cmpd="sng">
              <a:solidFill>
                <a:srgbClr val="084066"/>
              </a:solidFill>
            </a:ln>
          </c:spPr>
          <c:marker>
            <c:symbol val="none"/>
          </c:marker>
          <c:val>
            <c:numRef>
              <c:f>'Proy. ventas'!$Q$146</c:f>
              <c:numCache>
                <c:formatCode>_-* #,##0\ _€_-;\-* #,##0\ _€_-;_-* "-"??\ _€_-;_-@</c:formatCode>
                <c:ptCount val="1"/>
                <c:pt idx="0">
                  <c:v>0</c:v>
                </c:pt>
              </c:numCache>
            </c:numRef>
          </c:val>
          <c:smooth val="0"/>
        </c:ser>
        <c:ser>
          <c:idx val="32"/>
          <c:order val="32"/>
          <c:spPr>
            <a:ln cmpd="sng">
              <a:solidFill>
                <a:srgbClr val="2C2C2C"/>
              </a:solidFill>
            </a:ln>
          </c:spPr>
          <c:marker>
            <c:symbol val="none"/>
          </c:marker>
          <c:val>
            <c:numRef>
              <c:f>'Proy. ventas'!$S$146</c:f>
              <c:numCache>
                <c:formatCode>_-* #,##0\ _€_-;\-* #,##0\ _€_-;_-* "-"??\ _€_-;_-@</c:formatCode>
                <c:ptCount val="1"/>
                <c:pt idx="0">
                  <c:v>0</c:v>
                </c:pt>
              </c:numCache>
            </c:numRef>
          </c:val>
          <c:smooth val="0"/>
        </c:ser>
        <c:ser>
          <c:idx val="33"/>
          <c:order val="33"/>
          <c:spPr>
            <a:ln cmpd="sng">
              <a:solidFill>
                <a:srgbClr val="FF1F7F"/>
              </a:solidFill>
            </a:ln>
          </c:spPr>
          <c:marker>
            <c:symbol val="none"/>
          </c:marker>
          <c:val>
            <c:numRef>
              <c:f>'Proy. ventas'!$U$146</c:f>
              <c:numCache>
                <c:formatCode>_-* #,##0\ _€_-;\-* #,##0\ _€_-;_-* "-"??\ _€_-;_-@</c:formatCode>
                <c:ptCount val="1"/>
                <c:pt idx="0">
                  <c:v>30</c:v>
                </c:pt>
              </c:numCache>
            </c:numRef>
          </c:val>
          <c:smooth val="0"/>
        </c:ser>
        <c:ser>
          <c:idx val="34"/>
          <c:order val="34"/>
          <c:spPr>
            <a:ln cmpd="sng">
              <a:solidFill>
                <a:srgbClr val="513114"/>
              </a:solidFill>
            </a:ln>
          </c:spPr>
          <c:marker>
            <c:symbol val="none"/>
          </c:marker>
          <c:val>
            <c:numRef>
              <c:f>'Proy. ventas'!$W$146</c:f>
              <c:numCache>
                <c:formatCode>_-* #,##0\ _€_-;\-* #,##0\ _€_-;_-* "-"??\ _€_-;_-@</c:formatCode>
                <c:ptCount val="1"/>
                <c:pt idx="0">
                  <c:v>15</c:v>
                </c:pt>
              </c:numCache>
            </c:numRef>
          </c:val>
          <c:smooth val="0"/>
        </c:ser>
        <c:ser>
          <c:idx val="35"/>
          <c:order val="35"/>
          <c:spPr>
            <a:ln cmpd="sng">
              <a:solidFill>
                <a:srgbClr val="47285B"/>
              </a:solidFill>
            </a:ln>
          </c:spPr>
          <c:marker>
            <c:symbol val="none"/>
          </c:marker>
          <c:val>
            <c:numRef>
              <c:f>'Proy. ventas'!$Y$146</c:f>
              <c:numCache>
                <c:formatCode>_-* #,##0\ _€_-;\-* #,##0\ _€_-;_-* "-"??\ _€_-;_-@</c:formatCode>
                <c:ptCount val="1"/>
                <c:pt idx="0">
                  <c:v>15</c:v>
                </c:pt>
              </c:numCache>
            </c:numRef>
          </c:val>
          <c:smooth val="0"/>
        </c:ser>
        <c:ser>
          <c:idx val="36"/>
          <c:order val="36"/>
          <c:spPr>
            <a:ln cmpd="sng">
              <a:solidFill>
                <a:srgbClr val="966108"/>
              </a:solidFill>
            </a:ln>
          </c:spPr>
          <c:marker>
            <c:symbol val="none"/>
          </c:marker>
          <c:val>
            <c:numRef>
              <c:f>'Proy. ventas'!$AA$146</c:f>
              <c:numCache>
                <c:formatCode>_-* #,##0\ _€_-;\-* #,##0\ _€_-;_-* "-"??\ _€_-;_-@</c:formatCode>
                <c:ptCount val="1"/>
                <c:pt idx="0">
                  <c:v>0</c:v>
                </c:pt>
              </c:numCache>
            </c:numRef>
          </c:val>
          <c:smooth val="0"/>
        </c:ser>
        <c:dLbls>
          <c:showLegendKey val="0"/>
          <c:showVal val="0"/>
          <c:showCatName val="0"/>
          <c:showSerName val="0"/>
          <c:showPercent val="0"/>
          <c:showBubbleSize val="0"/>
        </c:dLbls>
        <c:marker val="1"/>
        <c:smooth val="0"/>
        <c:axId val="1818101648"/>
        <c:axId val="1818106544"/>
      </c:lineChart>
      <c:catAx>
        <c:axId val="1818101648"/>
        <c:scaling>
          <c:orientation val="minMax"/>
        </c:scaling>
        <c:delete val="0"/>
        <c:axPos val="b"/>
        <c:title>
          <c:tx>
            <c:rich>
              <a:bodyPr/>
              <a:lstStyle/>
              <a:p>
                <a:pPr lvl="0">
                  <a:defRPr b="0">
                    <a:solidFill>
                      <a:srgbClr val="000000"/>
                    </a:solidFill>
                    <a:latin typeface="+mn-lt"/>
                  </a:defRPr>
                </a:pPr>
                <a:endParaRPr lang="es-AR"/>
              </a:p>
            </c:rich>
          </c:tx>
          <c:layout/>
          <c:overlay val="0"/>
        </c:title>
        <c:numFmt formatCode="General" sourceLinked="1"/>
        <c:majorTickMark val="none"/>
        <c:minorTickMark val="none"/>
        <c:tickLblPos val="nextTo"/>
        <c:txPr>
          <a:bodyPr/>
          <a:lstStyle/>
          <a:p>
            <a:pPr lvl="0">
              <a:defRPr sz="900" b="0" i="0">
                <a:solidFill>
                  <a:schemeClr val="dk1"/>
                </a:solidFill>
                <a:latin typeface="+mn-lt"/>
              </a:defRPr>
            </a:pPr>
            <a:endParaRPr lang="es-AR"/>
          </a:p>
        </c:txPr>
        <c:crossAx val="1818106544"/>
        <c:crosses val="autoZero"/>
        <c:auto val="1"/>
        <c:lblAlgn val="ctr"/>
        <c:lblOffset val="100"/>
        <c:noMultiLvlLbl val="1"/>
      </c:catAx>
      <c:valAx>
        <c:axId val="181810654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AR"/>
              </a:p>
            </c:rich>
          </c:tx>
          <c:layout/>
          <c:overlay val="0"/>
        </c:title>
        <c:numFmt formatCode="_-* #,##0\ _€_-;\-* #,##0\ _€_-;_-* &quot;-&quot;??\ _€_-;_-@" sourceLinked="1"/>
        <c:majorTickMark val="out"/>
        <c:minorTickMark val="none"/>
        <c:tickLblPos val="nextTo"/>
        <c:spPr>
          <a:ln/>
        </c:spPr>
        <c:txPr>
          <a:bodyPr/>
          <a:lstStyle/>
          <a:p>
            <a:pPr lvl="0">
              <a:defRPr sz="900" b="0" i="0">
                <a:solidFill>
                  <a:schemeClr val="dk1"/>
                </a:solidFill>
                <a:latin typeface="+mn-lt"/>
              </a:defRPr>
            </a:pPr>
            <a:endParaRPr lang="es-AR"/>
          </a:p>
        </c:txPr>
        <c:crossAx val="1818101648"/>
        <c:crosses val="autoZero"/>
        <c:crossBetween val="between"/>
      </c:valAx>
    </c:plotArea>
    <c:legend>
      <c:legendPos val="r"/>
      <c:layout/>
      <c:overlay val="0"/>
      <c:txPr>
        <a:bodyPr/>
        <a:lstStyle/>
        <a:p>
          <a:pPr lvl="0">
            <a:defRPr sz="900" b="0" i="0">
              <a:solidFill>
                <a:schemeClr val="dk1"/>
              </a:solidFill>
              <a:latin typeface="+mn-lt"/>
            </a:defRPr>
          </a:pPr>
          <a:endParaRPr lang="es-AR"/>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s-ES"/>
  <c:roundedCorners val="1"/>
  <c:style val="2"/>
  <c:chart>
    <c:title>
      <c:tx>
        <c:rich>
          <a:bodyPr/>
          <a:lstStyle/>
          <a:p>
            <a:pPr lvl="0">
              <a:defRPr b="0">
                <a:solidFill>
                  <a:srgbClr val="757575"/>
                </a:solidFill>
                <a:latin typeface="+mn-lt"/>
              </a:defRPr>
            </a:pPr>
            <a:r>
              <a:rPr lang="es-AR" b="0">
                <a:solidFill>
                  <a:srgbClr val="757575"/>
                </a:solidFill>
                <a:latin typeface="+mn-lt"/>
              </a:rPr>
              <a:t>Distribucion ingresos 2026</a:t>
            </a:r>
          </a:p>
        </c:rich>
      </c:tx>
      <c:layout/>
      <c:overlay val="0"/>
    </c:title>
    <c:autoTitleDeleted val="0"/>
    <c:plotArea>
      <c:layout/>
      <c:pieChart>
        <c:varyColors val="1"/>
        <c:ser>
          <c:idx val="0"/>
          <c:order val="0"/>
          <c:tx>
            <c:strRef>
              <c:f>'Mod. ingresos'!$C$16</c:f>
              <c:strCache>
                <c:ptCount val="1"/>
                <c:pt idx="0">
                  <c:v>Ingresos 2026</c:v>
                </c:pt>
              </c:strCache>
            </c:strRef>
          </c:tx>
          <c:dPt>
            <c:idx val="0"/>
            <c:bubble3D val="0"/>
            <c:spPr>
              <a:solidFill>
                <a:schemeClr val="accent1"/>
              </a:solidFill>
            </c:spPr>
          </c:dPt>
          <c:dPt>
            <c:idx val="1"/>
            <c:bubble3D val="0"/>
            <c:spPr>
              <a:solidFill>
                <a:schemeClr val="accent2"/>
              </a:solidFill>
            </c:spPr>
          </c:dPt>
          <c:dPt>
            <c:idx val="2"/>
            <c:bubble3D val="0"/>
            <c:spPr>
              <a:solidFill>
                <a:schemeClr val="accent3"/>
              </a:solidFill>
            </c:spPr>
          </c:dPt>
          <c:dPt>
            <c:idx val="3"/>
            <c:bubble3D val="0"/>
            <c:spPr>
              <a:solidFill>
                <a:schemeClr val="accent4"/>
              </a:solidFill>
            </c:spPr>
          </c:dPt>
          <c:dPt>
            <c:idx val="4"/>
            <c:bubble3D val="0"/>
            <c:spPr>
              <a:solidFill>
                <a:schemeClr val="accent5"/>
              </a:solidFill>
            </c:spPr>
          </c:dPt>
          <c:dPt>
            <c:idx val="5"/>
            <c:bubble3D val="0"/>
            <c:spPr>
              <a:solidFill>
                <a:schemeClr val="accent6"/>
              </a:solidFill>
            </c:spPr>
          </c:dPt>
          <c:dPt>
            <c:idx val="6"/>
            <c:bubble3D val="0"/>
            <c:spPr>
              <a:solidFill>
                <a:schemeClr val="accent1"/>
              </a:solidFill>
            </c:spPr>
          </c:dPt>
          <c:dPt>
            <c:idx val="7"/>
            <c:bubble3D val="0"/>
            <c:spPr>
              <a:solidFill>
                <a:schemeClr val="accent2"/>
              </a:solidFill>
            </c:spPr>
          </c:dPt>
          <c:dPt>
            <c:idx val="8"/>
            <c:bubble3D val="0"/>
            <c:spPr>
              <a:solidFill>
                <a:schemeClr val="accent3"/>
              </a:solidFill>
            </c:spPr>
          </c:dPt>
          <c:dPt>
            <c:idx val="9"/>
            <c:bubble3D val="0"/>
            <c:spPr>
              <a:solidFill>
                <a:schemeClr val="accent4"/>
              </a:solidFill>
            </c:spPr>
          </c:dPt>
          <c:dPt>
            <c:idx val="10"/>
            <c:bubble3D val="0"/>
            <c:spPr>
              <a:solidFill>
                <a:schemeClr val="accent5"/>
              </a:solidFill>
            </c:spPr>
          </c:dPt>
          <c:dPt>
            <c:idx val="11"/>
            <c:bubble3D val="0"/>
            <c:spPr>
              <a:solidFill>
                <a:schemeClr val="accent6"/>
              </a:solidFill>
            </c:spPr>
          </c:dPt>
          <c:dPt>
            <c:idx val="12"/>
            <c:bubble3D val="0"/>
            <c:spPr>
              <a:solidFill>
                <a:schemeClr val="accent1"/>
              </a:solidFill>
            </c:spPr>
          </c:dPt>
          <c:dLbls>
            <c:dLbl>
              <c:idx val="0"/>
              <c:spPr/>
              <c:txPr>
                <a:bodyPr/>
                <a:lstStyle/>
                <a:p>
                  <a:pPr lvl="0">
                    <a:defRPr sz="1400" b="1" i="0">
                      <a:solidFill>
                        <a:srgbClr val="4472C4"/>
                      </a:solidFill>
                      <a:latin typeface="+mn-lt"/>
                    </a:defRPr>
                  </a:pPr>
                  <a:endParaRPr lang="es-AR"/>
                </a:p>
              </c:txPr>
              <c:showLegendKey val="0"/>
              <c:showVal val="0"/>
              <c:showCatName val="0"/>
              <c:showSerName val="0"/>
              <c:showPercent val="1"/>
              <c:showBubbleSize val="0"/>
            </c:dLbl>
            <c:dLbl>
              <c:idx val="1"/>
              <c:spPr/>
              <c:txPr>
                <a:bodyPr/>
                <a:lstStyle/>
                <a:p>
                  <a:pPr lvl="0">
                    <a:defRPr sz="1400" b="1" i="0">
                      <a:solidFill>
                        <a:srgbClr val="ED7D31"/>
                      </a:solidFill>
                      <a:latin typeface="+mn-lt"/>
                    </a:defRPr>
                  </a:pPr>
                  <a:endParaRPr lang="es-AR"/>
                </a:p>
              </c:txPr>
              <c:showLegendKey val="0"/>
              <c:showVal val="0"/>
              <c:showCatName val="0"/>
              <c:showSerName val="0"/>
              <c:showPercent val="1"/>
              <c:showBubbleSize val="0"/>
            </c:dLbl>
            <c:dLbl>
              <c:idx val="2"/>
              <c:spPr/>
              <c:txPr>
                <a:bodyPr/>
                <a:lstStyle/>
                <a:p>
                  <a:pPr lvl="0">
                    <a:defRPr sz="1400" b="1" i="0">
                      <a:solidFill>
                        <a:srgbClr val="A5A5A5"/>
                      </a:solidFill>
                      <a:latin typeface="+mn-lt"/>
                    </a:defRPr>
                  </a:pPr>
                  <a:endParaRPr lang="es-AR"/>
                </a:p>
              </c:txPr>
              <c:showLegendKey val="0"/>
              <c:showVal val="0"/>
              <c:showCatName val="0"/>
              <c:showSerName val="0"/>
              <c:showPercent val="1"/>
              <c:showBubbleSize val="0"/>
            </c:dLbl>
            <c:dLbl>
              <c:idx val="3"/>
              <c:spPr/>
              <c:txPr>
                <a:bodyPr/>
                <a:lstStyle/>
                <a:p>
                  <a:pPr lvl="0">
                    <a:defRPr sz="1400" b="1" i="0">
                      <a:solidFill>
                        <a:srgbClr val="FFC000"/>
                      </a:solidFill>
                      <a:latin typeface="+mn-lt"/>
                    </a:defRPr>
                  </a:pPr>
                  <a:endParaRPr lang="es-AR"/>
                </a:p>
              </c:txPr>
              <c:showLegendKey val="0"/>
              <c:showVal val="0"/>
              <c:showCatName val="0"/>
              <c:showSerName val="0"/>
              <c:showPercent val="1"/>
              <c:showBubbleSize val="0"/>
            </c:dLbl>
            <c:dLbl>
              <c:idx val="4"/>
              <c:spPr/>
              <c:txPr>
                <a:bodyPr/>
                <a:lstStyle/>
                <a:p>
                  <a:pPr lvl="0">
                    <a:defRPr sz="1400" b="1" i="0">
                      <a:solidFill>
                        <a:srgbClr val="5B9BD5"/>
                      </a:solidFill>
                      <a:latin typeface="+mn-lt"/>
                    </a:defRPr>
                  </a:pPr>
                  <a:endParaRPr lang="es-AR"/>
                </a:p>
              </c:txPr>
              <c:showLegendKey val="0"/>
              <c:showVal val="0"/>
              <c:showCatName val="0"/>
              <c:showSerName val="0"/>
              <c:showPercent val="1"/>
              <c:showBubbleSize val="0"/>
            </c:dLbl>
            <c:dLbl>
              <c:idx val="5"/>
              <c:spPr/>
              <c:txPr>
                <a:bodyPr/>
                <a:lstStyle/>
                <a:p>
                  <a:pPr lvl="0">
                    <a:defRPr sz="1400" b="1" i="0">
                      <a:solidFill>
                        <a:srgbClr val="70AD47"/>
                      </a:solidFill>
                      <a:latin typeface="+mn-lt"/>
                    </a:defRPr>
                  </a:pPr>
                  <a:endParaRPr lang="es-AR"/>
                </a:p>
              </c:txPr>
              <c:showLegendKey val="0"/>
              <c:showVal val="0"/>
              <c:showCatName val="0"/>
              <c:showSerName val="0"/>
              <c:showPercent val="1"/>
              <c:showBubbleSize val="0"/>
            </c:dLbl>
            <c:dLbl>
              <c:idx val="6"/>
              <c:spPr/>
              <c:txPr>
                <a:bodyPr/>
                <a:lstStyle/>
                <a:p>
                  <a:pPr lvl="0">
                    <a:defRPr sz="1400" b="1" i="0">
                      <a:solidFill>
                        <a:srgbClr val="4472C4"/>
                      </a:solidFill>
                      <a:latin typeface="+mn-lt"/>
                    </a:defRPr>
                  </a:pPr>
                  <a:endParaRPr lang="es-AR"/>
                </a:p>
              </c:txPr>
              <c:showLegendKey val="0"/>
              <c:showVal val="0"/>
              <c:showCatName val="0"/>
              <c:showSerName val="0"/>
              <c:showPercent val="1"/>
              <c:showBubbleSize val="0"/>
            </c:dLbl>
            <c:dLbl>
              <c:idx val="7"/>
              <c:spPr/>
              <c:txPr>
                <a:bodyPr/>
                <a:lstStyle/>
                <a:p>
                  <a:pPr lvl="0">
                    <a:defRPr sz="1400" b="1" i="0">
                      <a:solidFill>
                        <a:srgbClr val="ED7D31"/>
                      </a:solidFill>
                      <a:latin typeface="+mn-lt"/>
                    </a:defRPr>
                  </a:pPr>
                  <a:endParaRPr lang="es-AR"/>
                </a:p>
              </c:txPr>
              <c:showLegendKey val="0"/>
              <c:showVal val="0"/>
              <c:showCatName val="0"/>
              <c:showSerName val="0"/>
              <c:showPercent val="1"/>
              <c:showBubbleSize val="0"/>
            </c:dLbl>
            <c:dLbl>
              <c:idx val="8"/>
              <c:spPr/>
              <c:txPr>
                <a:bodyPr/>
                <a:lstStyle/>
                <a:p>
                  <a:pPr lvl="0">
                    <a:defRPr sz="1400" b="1" i="0">
                      <a:solidFill>
                        <a:srgbClr val="A5A5A5"/>
                      </a:solidFill>
                      <a:latin typeface="+mn-lt"/>
                    </a:defRPr>
                  </a:pPr>
                  <a:endParaRPr lang="es-AR"/>
                </a:p>
              </c:txPr>
              <c:showLegendKey val="0"/>
              <c:showVal val="0"/>
              <c:showCatName val="0"/>
              <c:showSerName val="0"/>
              <c:showPercent val="1"/>
              <c:showBubbleSize val="0"/>
            </c:dLbl>
            <c:dLbl>
              <c:idx val="9"/>
              <c:spPr/>
              <c:txPr>
                <a:bodyPr/>
                <a:lstStyle/>
                <a:p>
                  <a:pPr lvl="0">
                    <a:defRPr sz="1400" b="1" i="0">
                      <a:solidFill>
                        <a:srgbClr val="FFC000"/>
                      </a:solidFill>
                      <a:latin typeface="+mn-lt"/>
                    </a:defRPr>
                  </a:pPr>
                  <a:endParaRPr lang="es-AR"/>
                </a:p>
              </c:txPr>
              <c:showLegendKey val="0"/>
              <c:showVal val="0"/>
              <c:showCatName val="0"/>
              <c:showSerName val="0"/>
              <c:showPercent val="1"/>
              <c:showBubbleSize val="0"/>
            </c:dLbl>
            <c:dLbl>
              <c:idx val="10"/>
              <c:spPr/>
              <c:txPr>
                <a:bodyPr/>
                <a:lstStyle/>
                <a:p>
                  <a:pPr lvl="0">
                    <a:defRPr sz="1400" b="1" i="0">
                      <a:solidFill>
                        <a:srgbClr val="5B9BD5"/>
                      </a:solidFill>
                      <a:latin typeface="+mn-lt"/>
                    </a:defRPr>
                  </a:pPr>
                  <a:endParaRPr lang="es-AR"/>
                </a:p>
              </c:txPr>
              <c:showLegendKey val="0"/>
              <c:showVal val="0"/>
              <c:showCatName val="0"/>
              <c:showSerName val="0"/>
              <c:showPercent val="1"/>
              <c:showBubbleSize val="0"/>
            </c:dLbl>
            <c:dLbl>
              <c:idx val="11"/>
              <c:spPr/>
              <c:txPr>
                <a:bodyPr/>
                <a:lstStyle/>
                <a:p>
                  <a:pPr lvl="0">
                    <a:defRPr sz="1400" b="1" i="0">
                      <a:solidFill>
                        <a:srgbClr val="70AD47"/>
                      </a:solidFill>
                      <a:latin typeface="+mn-lt"/>
                    </a:defRPr>
                  </a:pPr>
                  <a:endParaRPr lang="es-AR"/>
                </a:p>
              </c:txPr>
              <c:showLegendKey val="0"/>
              <c:showVal val="0"/>
              <c:showCatName val="0"/>
              <c:showSerName val="0"/>
              <c:showPercent val="1"/>
              <c:showBubbleSize val="0"/>
            </c:dLbl>
            <c:dLbl>
              <c:idx val="12"/>
              <c:spPr/>
              <c:txPr>
                <a:bodyPr/>
                <a:lstStyle/>
                <a:p>
                  <a:pPr lvl="0">
                    <a:defRPr sz="1400" b="1" i="0">
                      <a:solidFill>
                        <a:srgbClr val="4472C4"/>
                      </a:solidFill>
                      <a:latin typeface="+mn-lt"/>
                    </a:defRPr>
                  </a:pPr>
                  <a:endParaRPr lang="es-AR"/>
                </a:p>
              </c:txPr>
              <c:showLegendKey val="0"/>
              <c:showVal val="0"/>
              <c:showCatName val="0"/>
              <c:showSerName val="0"/>
              <c:showPercent val="1"/>
              <c:showBubbleSize val="0"/>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 ingresos'!$B$17:$B$29</c:f>
              <c:strCache>
                <c:ptCount val="6"/>
                <c:pt idx="0">
                  <c:v> Instalación A</c:v>
                </c:pt>
                <c:pt idx="1">
                  <c:v> Instalación B</c:v>
                </c:pt>
                <c:pt idx="2">
                  <c:v> Instalación C</c:v>
                </c:pt>
                <c:pt idx="3">
                  <c:v> Plan A</c:v>
                </c:pt>
                <c:pt idx="4">
                  <c:v> Plan B</c:v>
                </c:pt>
                <c:pt idx="5">
                  <c:v> Plan C</c:v>
                </c:pt>
              </c:strCache>
            </c:strRef>
          </c:cat>
          <c:val>
            <c:numRef>
              <c:f>'Mod. ingresos'!$C$17:$C$29</c:f>
              <c:numCache>
                <c:formatCode>_-"$"\ * #,##0.00_-;\-"$"\ * #,##0.00_-;_-"$"\ * "-"??_-;_-@</c:formatCode>
                <c:ptCount val="13"/>
                <c:pt idx="0">
                  <c:v>2850000</c:v>
                </c:pt>
                <c:pt idx="1">
                  <c:v>7200000</c:v>
                </c:pt>
                <c:pt idx="2">
                  <c:v>18600000</c:v>
                </c:pt>
                <c:pt idx="3">
                  <c:v>14520000</c:v>
                </c:pt>
                <c:pt idx="4">
                  <c:v>24300000</c:v>
                </c:pt>
                <c:pt idx="5">
                  <c:v>41580000</c:v>
                </c:pt>
                <c:pt idx="6">
                  <c:v>0</c:v>
                </c:pt>
                <c:pt idx="7">
                  <c:v>0</c:v>
                </c:pt>
                <c:pt idx="8">
                  <c:v>0</c:v>
                </c:pt>
                <c:pt idx="9">
                  <c:v>0</c:v>
                </c:pt>
                <c:pt idx="10">
                  <c:v>0</c:v>
                </c:pt>
                <c:pt idx="11">
                  <c:v>0</c:v>
                </c:pt>
                <c:pt idx="12">
                  <c:v>0</c:v>
                </c:pt>
              </c:numCache>
            </c:numRef>
          </c:val>
        </c:ser>
        <c:dLbls>
          <c:showLegendKey val="0"/>
          <c:showVal val="0"/>
          <c:showCatName val="0"/>
          <c:showSerName val="0"/>
          <c:showPercent val="0"/>
          <c:showBubbleSize val="0"/>
          <c:showLeaderLines val="1"/>
        </c:dLbls>
        <c:firstSliceAng val="0"/>
      </c:pieChart>
    </c:plotArea>
    <c:legend>
      <c:legendPos val="b"/>
      <c:layout/>
      <c:overlay val="0"/>
      <c:txPr>
        <a:bodyPr/>
        <a:lstStyle/>
        <a:p>
          <a:pPr lvl="0">
            <a:defRPr b="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s-ES"/>
  <c:roundedCorners val="1"/>
  <c:style val="2"/>
  <c:chart>
    <c:title>
      <c:tx>
        <c:rich>
          <a:bodyPr/>
          <a:lstStyle/>
          <a:p>
            <a:pPr lvl="0">
              <a:defRPr b="0">
                <a:solidFill>
                  <a:srgbClr val="757575"/>
                </a:solidFill>
                <a:latin typeface="+mn-lt"/>
              </a:defRPr>
            </a:pPr>
            <a:r>
              <a:rPr lang="es-AR" b="0">
                <a:solidFill>
                  <a:srgbClr val="757575"/>
                </a:solidFill>
                <a:latin typeface="+mn-lt"/>
              </a:rPr>
              <a:t>Distribucion ingresos 2028</a:t>
            </a:r>
          </a:p>
        </c:rich>
      </c:tx>
      <c:layout/>
      <c:overlay val="0"/>
    </c:title>
    <c:autoTitleDeleted val="0"/>
    <c:plotArea>
      <c:layout/>
      <c:pieChart>
        <c:varyColors val="1"/>
        <c:ser>
          <c:idx val="0"/>
          <c:order val="0"/>
          <c:tx>
            <c:strRef>
              <c:f>'Mod. ingresos'!$E$16</c:f>
              <c:strCache>
                <c:ptCount val="1"/>
                <c:pt idx="0">
                  <c:v>Ingresos 2028</c:v>
                </c:pt>
              </c:strCache>
            </c:strRef>
          </c:tx>
          <c:dPt>
            <c:idx val="0"/>
            <c:bubble3D val="0"/>
            <c:spPr>
              <a:solidFill>
                <a:schemeClr val="accent1"/>
              </a:solidFill>
            </c:spPr>
          </c:dPt>
          <c:dPt>
            <c:idx val="1"/>
            <c:bubble3D val="0"/>
            <c:spPr>
              <a:solidFill>
                <a:schemeClr val="accent2"/>
              </a:solidFill>
            </c:spPr>
          </c:dPt>
          <c:dPt>
            <c:idx val="2"/>
            <c:bubble3D val="0"/>
            <c:spPr>
              <a:solidFill>
                <a:schemeClr val="accent3"/>
              </a:solidFill>
            </c:spPr>
          </c:dPt>
          <c:dPt>
            <c:idx val="3"/>
            <c:bubble3D val="0"/>
            <c:spPr>
              <a:solidFill>
                <a:schemeClr val="accent4"/>
              </a:solidFill>
            </c:spPr>
          </c:dPt>
          <c:dPt>
            <c:idx val="4"/>
            <c:bubble3D val="0"/>
            <c:spPr>
              <a:solidFill>
                <a:schemeClr val="accent5"/>
              </a:solidFill>
            </c:spPr>
          </c:dPt>
          <c:dPt>
            <c:idx val="5"/>
            <c:bubble3D val="0"/>
            <c:spPr>
              <a:solidFill>
                <a:schemeClr val="accent6"/>
              </a:solidFill>
            </c:spPr>
          </c:dPt>
          <c:dPt>
            <c:idx val="6"/>
            <c:bubble3D val="0"/>
            <c:spPr>
              <a:solidFill>
                <a:schemeClr val="accent1"/>
              </a:solidFill>
            </c:spPr>
          </c:dPt>
          <c:dPt>
            <c:idx val="7"/>
            <c:bubble3D val="0"/>
            <c:spPr>
              <a:solidFill>
                <a:schemeClr val="accent2"/>
              </a:solidFill>
            </c:spPr>
          </c:dPt>
          <c:dPt>
            <c:idx val="8"/>
            <c:bubble3D val="0"/>
            <c:spPr>
              <a:solidFill>
                <a:schemeClr val="accent3"/>
              </a:solidFill>
            </c:spPr>
          </c:dPt>
          <c:dPt>
            <c:idx val="9"/>
            <c:bubble3D val="0"/>
            <c:spPr>
              <a:solidFill>
                <a:schemeClr val="accent4"/>
              </a:solidFill>
            </c:spPr>
          </c:dPt>
          <c:dPt>
            <c:idx val="10"/>
            <c:bubble3D val="0"/>
            <c:spPr>
              <a:solidFill>
                <a:schemeClr val="accent5"/>
              </a:solidFill>
            </c:spPr>
          </c:dPt>
          <c:dPt>
            <c:idx val="11"/>
            <c:bubble3D val="0"/>
            <c:spPr>
              <a:solidFill>
                <a:schemeClr val="accent6"/>
              </a:solidFill>
            </c:spPr>
          </c:dPt>
          <c:dPt>
            <c:idx val="12"/>
            <c:bubble3D val="0"/>
            <c:spPr>
              <a:solidFill>
                <a:schemeClr val="accent1"/>
              </a:solidFill>
            </c:spPr>
          </c:dPt>
          <c:dLbls>
            <c:dLbl>
              <c:idx val="0"/>
              <c:spPr/>
              <c:txPr>
                <a:bodyPr/>
                <a:lstStyle/>
                <a:p>
                  <a:pPr lvl="0">
                    <a:defRPr sz="1400" b="1" i="0">
                      <a:solidFill>
                        <a:srgbClr val="4472C4"/>
                      </a:solidFill>
                      <a:latin typeface="+mn-lt"/>
                    </a:defRPr>
                  </a:pPr>
                  <a:endParaRPr lang="es-AR"/>
                </a:p>
              </c:txPr>
              <c:showLegendKey val="0"/>
              <c:showVal val="0"/>
              <c:showCatName val="0"/>
              <c:showSerName val="0"/>
              <c:showPercent val="1"/>
              <c:showBubbleSize val="0"/>
            </c:dLbl>
            <c:dLbl>
              <c:idx val="1"/>
              <c:spPr/>
              <c:txPr>
                <a:bodyPr/>
                <a:lstStyle/>
                <a:p>
                  <a:pPr lvl="0">
                    <a:defRPr sz="1400" b="1" i="0">
                      <a:solidFill>
                        <a:srgbClr val="ED7D31"/>
                      </a:solidFill>
                      <a:latin typeface="+mn-lt"/>
                    </a:defRPr>
                  </a:pPr>
                  <a:endParaRPr lang="es-AR"/>
                </a:p>
              </c:txPr>
              <c:showLegendKey val="0"/>
              <c:showVal val="0"/>
              <c:showCatName val="0"/>
              <c:showSerName val="0"/>
              <c:showPercent val="1"/>
              <c:showBubbleSize val="0"/>
            </c:dLbl>
            <c:dLbl>
              <c:idx val="2"/>
              <c:spPr/>
              <c:txPr>
                <a:bodyPr/>
                <a:lstStyle/>
                <a:p>
                  <a:pPr lvl="0">
                    <a:defRPr sz="1400" b="1" i="0">
                      <a:solidFill>
                        <a:srgbClr val="A5A5A5"/>
                      </a:solidFill>
                      <a:latin typeface="+mn-lt"/>
                    </a:defRPr>
                  </a:pPr>
                  <a:endParaRPr lang="es-AR"/>
                </a:p>
              </c:txPr>
              <c:showLegendKey val="0"/>
              <c:showVal val="0"/>
              <c:showCatName val="0"/>
              <c:showSerName val="0"/>
              <c:showPercent val="1"/>
              <c:showBubbleSize val="0"/>
            </c:dLbl>
            <c:dLbl>
              <c:idx val="3"/>
              <c:spPr/>
              <c:txPr>
                <a:bodyPr/>
                <a:lstStyle/>
                <a:p>
                  <a:pPr lvl="0">
                    <a:defRPr sz="1400" b="1" i="0">
                      <a:solidFill>
                        <a:srgbClr val="FFC000"/>
                      </a:solidFill>
                      <a:latin typeface="+mn-lt"/>
                    </a:defRPr>
                  </a:pPr>
                  <a:endParaRPr lang="es-AR"/>
                </a:p>
              </c:txPr>
              <c:showLegendKey val="0"/>
              <c:showVal val="0"/>
              <c:showCatName val="0"/>
              <c:showSerName val="0"/>
              <c:showPercent val="1"/>
              <c:showBubbleSize val="0"/>
            </c:dLbl>
            <c:dLbl>
              <c:idx val="4"/>
              <c:spPr/>
              <c:txPr>
                <a:bodyPr/>
                <a:lstStyle/>
                <a:p>
                  <a:pPr lvl="0">
                    <a:defRPr sz="1400" b="1" i="0">
                      <a:solidFill>
                        <a:srgbClr val="5B9BD5"/>
                      </a:solidFill>
                      <a:latin typeface="+mn-lt"/>
                    </a:defRPr>
                  </a:pPr>
                  <a:endParaRPr lang="es-AR"/>
                </a:p>
              </c:txPr>
              <c:showLegendKey val="0"/>
              <c:showVal val="0"/>
              <c:showCatName val="0"/>
              <c:showSerName val="0"/>
              <c:showPercent val="1"/>
              <c:showBubbleSize val="0"/>
            </c:dLbl>
            <c:dLbl>
              <c:idx val="5"/>
              <c:spPr/>
              <c:txPr>
                <a:bodyPr/>
                <a:lstStyle/>
                <a:p>
                  <a:pPr lvl="0">
                    <a:defRPr sz="1400" b="1" i="0">
                      <a:solidFill>
                        <a:srgbClr val="70AD47"/>
                      </a:solidFill>
                      <a:latin typeface="+mn-lt"/>
                    </a:defRPr>
                  </a:pPr>
                  <a:endParaRPr lang="es-AR"/>
                </a:p>
              </c:txPr>
              <c:showLegendKey val="0"/>
              <c:showVal val="0"/>
              <c:showCatName val="0"/>
              <c:showSerName val="0"/>
              <c:showPercent val="1"/>
              <c:showBubbleSize val="0"/>
            </c:dLbl>
            <c:dLbl>
              <c:idx val="6"/>
              <c:spPr/>
              <c:txPr>
                <a:bodyPr/>
                <a:lstStyle/>
                <a:p>
                  <a:pPr lvl="0">
                    <a:defRPr sz="1400" b="1" i="0">
                      <a:solidFill>
                        <a:srgbClr val="4472C4"/>
                      </a:solidFill>
                      <a:latin typeface="+mn-lt"/>
                    </a:defRPr>
                  </a:pPr>
                  <a:endParaRPr lang="es-AR"/>
                </a:p>
              </c:txPr>
              <c:showLegendKey val="0"/>
              <c:showVal val="0"/>
              <c:showCatName val="0"/>
              <c:showSerName val="0"/>
              <c:showPercent val="1"/>
              <c:showBubbleSize val="0"/>
            </c:dLbl>
            <c:dLbl>
              <c:idx val="7"/>
              <c:spPr/>
              <c:txPr>
                <a:bodyPr/>
                <a:lstStyle/>
                <a:p>
                  <a:pPr lvl="0">
                    <a:defRPr sz="1400" b="1" i="0">
                      <a:solidFill>
                        <a:srgbClr val="ED7D31"/>
                      </a:solidFill>
                      <a:latin typeface="+mn-lt"/>
                    </a:defRPr>
                  </a:pPr>
                  <a:endParaRPr lang="es-AR"/>
                </a:p>
              </c:txPr>
              <c:showLegendKey val="0"/>
              <c:showVal val="0"/>
              <c:showCatName val="0"/>
              <c:showSerName val="0"/>
              <c:showPercent val="1"/>
              <c:showBubbleSize val="0"/>
            </c:dLbl>
            <c:dLbl>
              <c:idx val="8"/>
              <c:spPr/>
              <c:txPr>
                <a:bodyPr/>
                <a:lstStyle/>
                <a:p>
                  <a:pPr lvl="0">
                    <a:defRPr sz="1400" b="1" i="0">
                      <a:solidFill>
                        <a:srgbClr val="A5A5A5"/>
                      </a:solidFill>
                      <a:latin typeface="+mn-lt"/>
                    </a:defRPr>
                  </a:pPr>
                  <a:endParaRPr lang="es-AR"/>
                </a:p>
              </c:txPr>
              <c:showLegendKey val="0"/>
              <c:showVal val="0"/>
              <c:showCatName val="0"/>
              <c:showSerName val="0"/>
              <c:showPercent val="1"/>
              <c:showBubbleSize val="0"/>
            </c:dLbl>
            <c:dLbl>
              <c:idx val="9"/>
              <c:spPr/>
              <c:txPr>
                <a:bodyPr/>
                <a:lstStyle/>
                <a:p>
                  <a:pPr lvl="0">
                    <a:defRPr sz="1400" b="1" i="0">
                      <a:solidFill>
                        <a:srgbClr val="FFC000"/>
                      </a:solidFill>
                      <a:latin typeface="+mn-lt"/>
                    </a:defRPr>
                  </a:pPr>
                  <a:endParaRPr lang="es-AR"/>
                </a:p>
              </c:txPr>
              <c:showLegendKey val="0"/>
              <c:showVal val="0"/>
              <c:showCatName val="0"/>
              <c:showSerName val="0"/>
              <c:showPercent val="1"/>
              <c:showBubbleSize val="0"/>
            </c:dLbl>
            <c:dLbl>
              <c:idx val="10"/>
              <c:spPr/>
              <c:txPr>
                <a:bodyPr/>
                <a:lstStyle/>
                <a:p>
                  <a:pPr lvl="0">
                    <a:defRPr sz="1400" b="1" i="0">
                      <a:solidFill>
                        <a:srgbClr val="5B9BD5"/>
                      </a:solidFill>
                      <a:latin typeface="+mn-lt"/>
                    </a:defRPr>
                  </a:pPr>
                  <a:endParaRPr lang="es-AR"/>
                </a:p>
              </c:txPr>
              <c:showLegendKey val="0"/>
              <c:showVal val="0"/>
              <c:showCatName val="0"/>
              <c:showSerName val="0"/>
              <c:showPercent val="1"/>
              <c:showBubbleSize val="0"/>
            </c:dLbl>
            <c:dLbl>
              <c:idx val="11"/>
              <c:spPr/>
              <c:txPr>
                <a:bodyPr/>
                <a:lstStyle/>
                <a:p>
                  <a:pPr lvl="0">
                    <a:defRPr sz="1400" b="1" i="0">
                      <a:solidFill>
                        <a:srgbClr val="70AD47"/>
                      </a:solidFill>
                      <a:latin typeface="+mn-lt"/>
                    </a:defRPr>
                  </a:pPr>
                  <a:endParaRPr lang="es-AR"/>
                </a:p>
              </c:txPr>
              <c:showLegendKey val="0"/>
              <c:showVal val="0"/>
              <c:showCatName val="0"/>
              <c:showSerName val="0"/>
              <c:showPercent val="1"/>
              <c:showBubbleSize val="0"/>
            </c:dLbl>
            <c:dLbl>
              <c:idx val="12"/>
              <c:spPr/>
              <c:txPr>
                <a:bodyPr/>
                <a:lstStyle/>
                <a:p>
                  <a:pPr lvl="0">
                    <a:defRPr sz="1400" b="1" i="0">
                      <a:solidFill>
                        <a:srgbClr val="4472C4"/>
                      </a:solidFill>
                      <a:latin typeface="+mn-lt"/>
                    </a:defRPr>
                  </a:pPr>
                  <a:endParaRPr lang="es-AR"/>
                </a:p>
              </c:txPr>
              <c:showLegendKey val="0"/>
              <c:showVal val="0"/>
              <c:showCatName val="0"/>
              <c:showSerName val="0"/>
              <c:showPercent val="1"/>
              <c:showBubbleSize val="0"/>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 ingresos'!$B$17:$B$29</c:f>
              <c:strCache>
                <c:ptCount val="6"/>
                <c:pt idx="0">
                  <c:v> Instalación A</c:v>
                </c:pt>
                <c:pt idx="1">
                  <c:v> Instalación B</c:v>
                </c:pt>
                <c:pt idx="2">
                  <c:v> Instalación C</c:v>
                </c:pt>
                <c:pt idx="3">
                  <c:v> Plan A</c:v>
                </c:pt>
                <c:pt idx="4">
                  <c:v> Plan B</c:v>
                </c:pt>
                <c:pt idx="5">
                  <c:v> Plan C</c:v>
                </c:pt>
              </c:strCache>
            </c:strRef>
          </c:cat>
          <c:val>
            <c:numRef>
              <c:f>'Mod. ingresos'!$E$17:$E$29</c:f>
              <c:numCache>
                <c:formatCode>_-"$"\ * #,##0.00_-;\-"$"\ * #,##0.00_-;_-"$"\ * "-"??_-;_-@</c:formatCode>
                <c:ptCount val="13"/>
                <c:pt idx="0">
                  <c:v>14250000</c:v>
                </c:pt>
                <c:pt idx="1">
                  <c:v>14400000</c:v>
                </c:pt>
                <c:pt idx="2">
                  <c:v>23250000</c:v>
                </c:pt>
                <c:pt idx="3">
                  <c:v>104280000</c:v>
                </c:pt>
                <c:pt idx="4">
                  <c:v>95580000</c:v>
                </c:pt>
                <c:pt idx="5">
                  <c:v>285120000</c:v>
                </c:pt>
                <c:pt idx="6">
                  <c:v>0</c:v>
                </c:pt>
                <c:pt idx="7">
                  <c:v>0</c:v>
                </c:pt>
                <c:pt idx="8">
                  <c:v>0</c:v>
                </c:pt>
                <c:pt idx="9">
                  <c:v>0</c:v>
                </c:pt>
                <c:pt idx="10">
                  <c:v>0</c:v>
                </c:pt>
                <c:pt idx="11">
                  <c:v>0</c:v>
                </c:pt>
                <c:pt idx="12">
                  <c:v>0</c:v>
                </c:pt>
              </c:numCache>
            </c:numRef>
          </c:val>
        </c:ser>
        <c:dLbls>
          <c:showLegendKey val="0"/>
          <c:showVal val="0"/>
          <c:showCatName val="0"/>
          <c:showSerName val="0"/>
          <c:showPercent val="0"/>
          <c:showBubbleSize val="0"/>
          <c:showLeaderLines val="1"/>
        </c:dLbls>
        <c:firstSliceAng val="0"/>
      </c:pieChart>
    </c:plotArea>
    <c:legend>
      <c:legendPos val="b"/>
      <c:layout/>
      <c:overlay val="0"/>
      <c:txPr>
        <a:bodyPr/>
        <a:lstStyle/>
        <a:p>
          <a:pPr lvl="0">
            <a:defRPr b="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s-ES"/>
  <c:roundedCorners val="1"/>
  <c:style val="2"/>
  <c:chart>
    <c:title>
      <c:tx>
        <c:rich>
          <a:bodyPr/>
          <a:lstStyle/>
          <a:p>
            <a:pPr lvl="0">
              <a:defRPr b="0">
                <a:solidFill>
                  <a:srgbClr val="757575"/>
                </a:solidFill>
                <a:latin typeface="+mn-lt"/>
              </a:defRPr>
            </a:pPr>
            <a:r>
              <a:rPr lang="es-AR" b="0">
                <a:solidFill>
                  <a:srgbClr val="757575"/>
                </a:solidFill>
                <a:latin typeface="+mn-lt"/>
              </a:rPr>
              <a:t>Distribucion ingresos 2027</a:t>
            </a:r>
          </a:p>
        </c:rich>
      </c:tx>
      <c:layout/>
      <c:overlay val="0"/>
    </c:title>
    <c:autoTitleDeleted val="0"/>
    <c:plotArea>
      <c:layout/>
      <c:pieChart>
        <c:varyColors val="1"/>
        <c:ser>
          <c:idx val="0"/>
          <c:order val="0"/>
          <c:tx>
            <c:strRef>
              <c:f>'Mod. ingresos'!$D$16</c:f>
              <c:strCache>
                <c:ptCount val="1"/>
                <c:pt idx="0">
                  <c:v>Ingresos 2027</c:v>
                </c:pt>
              </c:strCache>
            </c:strRef>
          </c:tx>
          <c:dPt>
            <c:idx val="0"/>
            <c:bubble3D val="0"/>
            <c:spPr>
              <a:solidFill>
                <a:schemeClr val="accent1"/>
              </a:solidFill>
            </c:spPr>
          </c:dPt>
          <c:dPt>
            <c:idx val="1"/>
            <c:bubble3D val="0"/>
            <c:spPr>
              <a:solidFill>
                <a:schemeClr val="accent2"/>
              </a:solidFill>
            </c:spPr>
          </c:dPt>
          <c:dPt>
            <c:idx val="2"/>
            <c:bubble3D val="0"/>
            <c:spPr>
              <a:solidFill>
                <a:schemeClr val="accent3"/>
              </a:solidFill>
            </c:spPr>
          </c:dPt>
          <c:dPt>
            <c:idx val="3"/>
            <c:bubble3D val="0"/>
            <c:spPr>
              <a:solidFill>
                <a:schemeClr val="accent4"/>
              </a:solidFill>
            </c:spPr>
          </c:dPt>
          <c:dPt>
            <c:idx val="4"/>
            <c:bubble3D val="0"/>
            <c:spPr>
              <a:solidFill>
                <a:schemeClr val="accent5"/>
              </a:solidFill>
            </c:spPr>
          </c:dPt>
          <c:dPt>
            <c:idx val="5"/>
            <c:bubble3D val="0"/>
            <c:spPr>
              <a:solidFill>
                <a:schemeClr val="accent6"/>
              </a:solidFill>
            </c:spPr>
          </c:dPt>
          <c:dPt>
            <c:idx val="6"/>
            <c:bubble3D val="0"/>
            <c:spPr>
              <a:solidFill>
                <a:schemeClr val="accent1"/>
              </a:solidFill>
            </c:spPr>
          </c:dPt>
          <c:dPt>
            <c:idx val="7"/>
            <c:bubble3D val="0"/>
            <c:spPr>
              <a:solidFill>
                <a:schemeClr val="accent2"/>
              </a:solidFill>
            </c:spPr>
          </c:dPt>
          <c:dPt>
            <c:idx val="8"/>
            <c:bubble3D val="0"/>
            <c:spPr>
              <a:solidFill>
                <a:schemeClr val="accent3"/>
              </a:solidFill>
            </c:spPr>
          </c:dPt>
          <c:dPt>
            <c:idx val="9"/>
            <c:bubble3D val="0"/>
            <c:spPr>
              <a:solidFill>
                <a:schemeClr val="accent4"/>
              </a:solidFill>
            </c:spPr>
          </c:dPt>
          <c:dPt>
            <c:idx val="10"/>
            <c:bubble3D val="0"/>
            <c:spPr>
              <a:solidFill>
                <a:schemeClr val="accent5"/>
              </a:solidFill>
            </c:spPr>
          </c:dPt>
          <c:dPt>
            <c:idx val="11"/>
            <c:bubble3D val="0"/>
            <c:spPr>
              <a:solidFill>
                <a:schemeClr val="accent6"/>
              </a:solidFill>
            </c:spPr>
          </c:dPt>
          <c:dPt>
            <c:idx val="12"/>
            <c:bubble3D val="0"/>
            <c:spPr>
              <a:solidFill>
                <a:schemeClr val="accent1"/>
              </a:solidFill>
            </c:spPr>
          </c:dPt>
          <c:dLbls>
            <c:dLbl>
              <c:idx val="0"/>
              <c:spPr/>
              <c:txPr>
                <a:bodyPr/>
                <a:lstStyle/>
                <a:p>
                  <a:pPr lvl="0">
                    <a:defRPr sz="1400" b="1" i="0">
                      <a:solidFill>
                        <a:srgbClr val="4472C4"/>
                      </a:solidFill>
                      <a:latin typeface="+mn-lt"/>
                    </a:defRPr>
                  </a:pPr>
                  <a:endParaRPr lang="es-AR"/>
                </a:p>
              </c:txPr>
              <c:showLegendKey val="0"/>
              <c:showVal val="0"/>
              <c:showCatName val="0"/>
              <c:showSerName val="0"/>
              <c:showPercent val="1"/>
              <c:showBubbleSize val="0"/>
            </c:dLbl>
            <c:dLbl>
              <c:idx val="1"/>
              <c:spPr/>
              <c:txPr>
                <a:bodyPr/>
                <a:lstStyle/>
                <a:p>
                  <a:pPr lvl="0">
                    <a:defRPr sz="1400" b="1" i="0">
                      <a:solidFill>
                        <a:srgbClr val="ED7D31"/>
                      </a:solidFill>
                      <a:latin typeface="+mn-lt"/>
                    </a:defRPr>
                  </a:pPr>
                  <a:endParaRPr lang="es-AR"/>
                </a:p>
              </c:txPr>
              <c:showLegendKey val="0"/>
              <c:showVal val="0"/>
              <c:showCatName val="0"/>
              <c:showSerName val="0"/>
              <c:showPercent val="1"/>
              <c:showBubbleSize val="0"/>
            </c:dLbl>
            <c:dLbl>
              <c:idx val="2"/>
              <c:spPr/>
              <c:txPr>
                <a:bodyPr/>
                <a:lstStyle/>
                <a:p>
                  <a:pPr lvl="0">
                    <a:defRPr sz="1400" b="1" i="0">
                      <a:solidFill>
                        <a:srgbClr val="A5A5A5"/>
                      </a:solidFill>
                      <a:latin typeface="+mn-lt"/>
                    </a:defRPr>
                  </a:pPr>
                  <a:endParaRPr lang="es-AR"/>
                </a:p>
              </c:txPr>
              <c:showLegendKey val="0"/>
              <c:showVal val="0"/>
              <c:showCatName val="0"/>
              <c:showSerName val="0"/>
              <c:showPercent val="1"/>
              <c:showBubbleSize val="0"/>
            </c:dLbl>
            <c:dLbl>
              <c:idx val="3"/>
              <c:spPr/>
              <c:txPr>
                <a:bodyPr/>
                <a:lstStyle/>
                <a:p>
                  <a:pPr lvl="0">
                    <a:defRPr sz="1400" b="1" i="0">
                      <a:solidFill>
                        <a:srgbClr val="FFC000"/>
                      </a:solidFill>
                      <a:latin typeface="+mn-lt"/>
                    </a:defRPr>
                  </a:pPr>
                  <a:endParaRPr lang="es-AR"/>
                </a:p>
              </c:txPr>
              <c:showLegendKey val="0"/>
              <c:showVal val="0"/>
              <c:showCatName val="0"/>
              <c:showSerName val="0"/>
              <c:showPercent val="1"/>
              <c:showBubbleSize val="0"/>
            </c:dLbl>
            <c:dLbl>
              <c:idx val="4"/>
              <c:spPr/>
              <c:txPr>
                <a:bodyPr/>
                <a:lstStyle/>
                <a:p>
                  <a:pPr lvl="0">
                    <a:defRPr sz="1400" b="1" i="0">
                      <a:solidFill>
                        <a:srgbClr val="5B9BD5"/>
                      </a:solidFill>
                      <a:latin typeface="+mn-lt"/>
                    </a:defRPr>
                  </a:pPr>
                  <a:endParaRPr lang="es-AR"/>
                </a:p>
              </c:txPr>
              <c:showLegendKey val="0"/>
              <c:showVal val="0"/>
              <c:showCatName val="0"/>
              <c:showSerName val="0"/>
              <c:showPercent val="1"/>
              <c:showBubbleSize val="0"/>
            </c:dLbl>
            <c:dLbl>
              <c:idx val="5"/>
              <c:spPr/>
              <c:txPr>
                <a:bodyPr/>
                <a:lstStyle/>
                <a:p>
                  <a:pPr lvl="0">
                    <a:defRPr sz="1400" b="1" i="0">
                      <a:solidFill>
                        <a:srgbClr val="70AD47"/>
                      </a:solidFill>
                      <a:latin typeface="+mn-lt"/>
                    </a:defRPr>
                  </a:pPr>
                  <a:endParaRPr lang="es-AR"/>
                </a:p>
              </c:txPr>
              <c:showLegendKey val="0"/>
              <c:showVal val="0"/>
              <c:showCatName val="0"/>
              <c:showSerName val="0"/>
              <c:showPercent val="1"/>
              <c:showBubbleSize val="0"/>
            </c:dLbl>
            <c:dLbl>
              <c:idx val="6"/>
              <c:spPr/>
              <c:txPr>
                <a:bodyPr/>
                <a:lstStyle/>
                <a:p>
                  <a:pPr lvl="0">
                    <a:defRPr sz="1400" b="1" i="0">
                      <a:solidFill>
                        <a:srgbClr val="4472C4"/>
                      </a:solidFill>
                      <a:latin typeface="+mn-lt"/>
                    </a:defRPr>
                  </a:pPr>
                  <a:endParaRPr lang="es-AR"/>
                </a:p>
              </c:txPr>
              <c:showLegendKey val="0"/>
              <c:showVal val="0"/>
              <c:showCatName val="0"/>
              <c:showSerName val="0"/>
              <c:showPercent val="1"/>
              <c:showBubbleSize val="0"/>
            </c:dLbl>
            <c:dLbl>
              <c:idx val="7"/>
              <c:spPr/>
              <c:txPr>
                <a:bodyPr/>
                <a:lstStyle/>
                <a:p>
                  <a:pPr lvl="0">
                    <a:defRPr sz="1400" b="1" i="0">
                      <a:solidFill>
                        <a:srgbClr val="ED7D31"/>
                      </a:solidFill>
                      <a:latin typeface="+mn-lt"/>
                    </a:defRPr>
                  </a:pPr>
                  <a:endParaRPr lang="es-AR"/>
                </a:p>
              </c:txPr>
              <c:showLegendKey val="0"/>
              <c:showVal val="0"/>
              <c:showCatName val="0"/>
              <c:showSerName val="0"/>
              <c:showPercent val="1"/>
              <c:showBubbleSize val="0"/>
            </c:dLbl>
            <c:dLbl>
              <c:idx val="8"/>
              <c:spPr/>
              <c:txPr>
                <a:bodyPr/>
                <a:lstStyle/>
                <a:p>
                  <a:pPr lvl="0">
                    <a:defRPr sz="1400" b="1" i="0">
                      <a:solidFill>
                        <a:srgbClr val="A5A5A5"/>
                      </a:solidFill>
                      <a:latin typeface="+mn-lt"/>
                    </a:defRPr>
                  </a:pPr>
                  <a:endParaRPr lang="es-AR"/>
                </a:p>
              </c:txPr>
              <c:showLegendKey val="0"/>
              <c:showVal val="0"/>
              <c:showCatName val="0"/>
              <c:showSerName val="0"/>
              <c:showPercent val="1"/>
              <c:showBubbleSize val="0"/>
            </c:dLbl>
            <c:dLbl>
              <c:idx val="9"/>
              <c:spPr/>
              <c:txPr>
                <a:bodyPr/>
                <a:lstStyle/>
                <a:p>
                  <a:pPr lvl="0">
                    <a:defRPr sz="1400" b="1" i="0">
                      <a:solidFill>
                        <a:srgbClr val="FFC000"/>
                      </a:solidFill>
                      <a:latin typeface="+mn-lt"/>
                    </a:defRPr>
                  </a:pPr>
                  <a:endParaRPr lang="es-AR"/>
                </a:p>
              </c:txPr>
              <c:showLegendKey val="0"/>
              <c:showVal val="0"/>
              <c:showCatName val="0"/>
              <c:showSerName val="0"/>
              <c:showPercent val="1"/>
              <c:showBubbleSize val="0"/>
            </c:dLbl>
            <c:dLbl>
              <c:idx val="10"/>
              <c:spPr/>
              <c:txPr>
                <a:bodyPr/>
                <a:lstStyle/>
                <a:p>
                  <a:pPr lvl="0">
                    <a:defRPr sz="1400" b="1" i="0">
                      <a:solidFill>
                        <a:srgbClr val="5B9BD5"/>
                      </a:solidFill>
                      <a:latin typeface="+mn-lt"/>
                    </a:defRPr>
                  </a:pPr>
                  <a:endParaRPr lang="es-AR"/>
                </a:p>
              </c:txPr>
              <c:showLegendKey val="0"/>
              <c:showVal val="0"/>
              <c:showCatName val="0"/>
              <c:showSerName val="0"/>
              <c:showPercent val="1"/>
              <c:showBubbleSize val="0"/>
            </c:dLbl>
            <c:dLbl>
              <c:idx val="11"/>
              <c:spPr/>
              <c:txPr>
                <a:bodyPr/>
                <a:lstStyle/>
                <a:p>
                  <a:pPr lvl="0">
                    <a:defRPr sz="1400" b="1" i="0">
                      <a:solidFill>
                        <a:srgbClr val="70AD47"/>
                      </a:solidFill>
                      <a:latin typeface="+mn-lt"/>
                    </a:defRPr>
                  </a:pPr>
                  <a:endParaRPr lang="es-AR"/>
                </a:p>
              </c:txPr>
              <c:showLegendKey val="0"/>
              <c:showVal val="0"/>
              <c:showCatName val="0"/>
              <c:showSerName val="0"/>
              <c:showPercent val="1"/>
              <c:showBubbleSize val="0"/>
            </c:dLbl>
            <c:dLbl>
              <c:idx val="12"/>
              <c:spPr/>
              <c:txPr>
                <a:bodyPr/>
                <a:lstStyle/>
                <a:p>
                  <a:pPr lvl="0">
                    <a:defRPr sz="1400" b="1" i="0">
                      <a:solidFill>
                        <a:srgbClr val="4472C4"/>
                      </a:solidFill>
                      <a:latin typeface="+mn-lt"/>
                    </a:defRPr>
                  </a:pPr>
                  <a:endParaRPr lang="es-AR"/>
                </a:p>
              </c:txPr>
              <c:showLegendKey val="0"/>
              <c:showVal val="0"/>
              <c:showCatName val="0"/>
              <c:showSerName val="0"/>
              <c:showPercent val="1"/>
              <c:showBubbleSize val="0"/>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 ingresos'!$B$17:$B$29</c:f>
              <c:strCache>
                <c:ptCount val="6"/>
                <c:pt idx="0">
                  <c:v> Instalación A</c:v>
                </c:pt>
                <c:pt idx="1">
                  <c:v> Instalación B</c:v>
                </c:pt>
                <c:pt idx="2">
                  <c:v> Instalación C</c:v>
                </c:pt>
                <c:pt idx="3">
                  <c:v> Plan A</c:v>
                </c:pt>
                <c:pt idx="4">
                  <c:v> Plan B</c:v>
                </c:pt>
                <c:pt idx="5">
                  <c:v> Plan C</c:v>
                </c:pt>
              </c:strCache>
            </c:strRef>
          </c:cat>
          <c:val>
            <c:numRef>
              <c:f>'Mod. ingresos'!$D$17:$D$29</c:f>
              <c:numCache>
                <c:formatCode>_-"$"\ * #,##0.00_-;\-"$"\ * #,##0.00_-;_-"$"\ * "-"??_-;_-@</c:formatCode>
                <c:ptCount val="13"/>
                <c:pt idx="0">
                  <c:v>5700000</c:v>
                </c:pt>
                <c:pt idx="1">
                  <c:v>3600000</c:v>
                </c:pt>
                <c:pt idx="2">
                  <c:v>27900000</c:v>
                </c:pt>
                <c:pt idx="3">
                  <c:v>33000000</c:v>
                </c:pt>
                <c:pt idx="4">
                  <c:v>55080000</c:v>
                </c:pt>
                <c:pt idx="5">
                  <c:v>156420000</c:v>
                </c:pt>
                <c:pt idx="6">
                  <c:v>0</c:v>
                </c:pt>
                <c:pt idx="7">
                  <c:v>0</c:v>
                </c:pt>
                <c:pt idx="8">
                  <c:v>0</c:v>
                </c:pt>
                <c:pt idx="9">
                  <c:v>0</c:v>
                </c:pt>
                <c:pt idx="10">
                  <c:v>0</c:v>
                </c:pt>
                <c:pt idx="11">
                  <c:v>0</c:v>
                </c:pt>
                <c:pt idx="12">
                  <c:v>0</c:v>
                </c:pt>
              </c:numCache>
            </c:numRef>
          </c:val>
        </c:ser>
        <c:dLbls>
          <c:showLegendKey val="0"/>
          <c:showVal val="0"/>
          <c:showCatName val="0"/>
          <c:showSerName val="0"/>
          <c:showPercent val="0"/>
          <c:showBubbleSize val="0"/>
          <c:showLeaderLines val="1"/>
        </c:dLbls>
        <c:firstSliceAng val="0"/>
      </c:pieChart>
    </c:plotArea>
    <c:legend>
      <c:legendPos val="b"/>
      <c:layout/>
      <c:overlay val="0"/>
      <c:txPr>
        <a:bodyPr/>
        <a:lstStyle/>
        <a:p>
          <a:pPr lvl="0">
            <a:defRPr b="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s-ES"/>
  <c:roundedCorners val="1"/>
  <c:style val="2"/>
  <c:chart>
    <c:title>
      <c:tx>
        <c:rich>
          <a:bodyPr/>
          <a:lstStyle/>
          <a:p>
            <a:pPr lvl="0">
              <a:defRPr sz="1400" b="0" i="0">
                <a:solidFill>
                  <a:srgbClr val="757575"/>
                </a:solidFill>
                <a:latin typeface="+mn-lt"/>
              </a:defRPr>
            </a:pPr>
            <a:r>
              <a:rPr lang="es-AR" sz="1400" b="0" i="0">
                <a:solidFill>
                  <a:srgbClr val="757575"/>
                </a:solidFill>
                <a:latin typeface="+mn-lt"/>
              </a:rPr>
              <a:t>Modelo de egresos</a:t>
            </a:r>
          </a:p>
        </c:rich>
      </c:tx>
      <c:layout/>
      <c:overlay val="0"/>
    </c:title>
    <c:autoTitleDeleted val="0"/>
    <c:plotArea>
      <c:layout/>
      <c:barChart>
        <c:barDir val="col"/>
        <c:grouping val="clustered"/>
        <c:varyColors val="1"/>
        <c:ser>
          <c:idx val="0"/>
          <c:order val="0"/>
          <c:tx>
            <c:v>Costos Fijos</c:v>
          </c:tx>
          <c:spPr>
            <a:solidFill>
              <a:srgbClr val="ED7D31"/>
            </a:solidFill>
            <a:ln cmpd="sng">
              <a:solidFill>
                <a:srgbClr val="000000"/>
              </a:solidFill>
            </a:ln>
          </c:spPr>
          <c:invertIfNegative val="1"/>
          <c:cat>
            <c:numRef>
              <c:f>'Mod. egresos'!$B$9:$D$9</c:f>
              <c:numCache>
                <c:formatCode>General</c:formatCode>
                <c:ptCount val="3"/>
                <c:pt idx="0">
                  <c:v>2026</c:v>
                </c:pt>
                <c:pt idx="1">
                  <c:v>2027</c:v>
                </c:pt>
                <c:pt idx="2">
                  <c:v>2028</c:v>
                </c:pt>
              </c:numCache>
            </c:numRef>
          </c:cat>
          <c:val>
            <c:numRef>
              <c:f>'Mod. egresos'!$B$10:$D$10</c:f>
              <c:numCache>
                <c:formatCode>"$"\ #,##0.00</c:formatCode>
                <c:ptCount val="3"/>
                <c:pt idx="0">
                  <c:v>26772000</c:v>
                </c:pt>
                <c:pt idx="1">
                  <c:v>30638000</c:v>
                </c:pt>
                <c:pt idx="2">
                  <c:v>37452000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Costos variables</c:v>
          </c:tx>
          <c:spPr>
            <a:solidFill>
              <a:srgbClr val="FFC000"/>
            </a:solidFill>
            <a:ln cmpd="sng">
              <a:solidFill>
                <a:srgbClr val="000000"/>
              </a:solidFill>
            </a:ln>
          </c:spPr>
          <c:invertIfNegative val="1"/>
          <c:cat>
            <c:numRef>
              <c:f>'Mod. egresos'!$B$9:$D$9</c:f>
              <c:numCache>
                <c:formatCode>General</c:formatCode>
                <c:ptCount val="3"/>
                <c:pt idx="0">
                  <c:v>2026</c:v>
                </c:pt>
                <c:pt idx="1">
                  <c:v>2027</c:v>
                </c:pt>
                <c:pt idx="2">
                  <c:v>2028</c:v>
                </c:pt>
              </c:numCache>
            </c:numRef>
          </c:cat>
          <c:val>
            <c:numRef>
              <c:f>'Mod. egresos'!$B$11:$D$11</c:f>
              <c:numCache>
                <c:formatCode>"$"\ #,##0.00</c:formatCode>
                <c:ptCount val="3"/>
                <c:pt idx="0">
                  <c:v>32918375</c:v>
                </c:pt>
                <c:pt idx="1">
                  <c:v>59495000</c:v>
                </c:pt>
                <c:pt idx="2">
                  <c:v>87758125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Costos de RRHH</c:v>
          </c:tx>
          <c:spPr>
            <a:solidFill>
              <a:srgbClr val="70AD47"/>
            </a:solidFill>
            <a:ln cmpd="sng">
              <a:solidFill>
                <a:srgbClr val="000000"/>
              </a:solidFill>
            </a:ln>
          </c:spPr>
          <c:invertIfNegative val="1"/>
          <c:cat>
            <c:numRef>
              <c:f>'Mod. egresos'!$B$9:$D$9</c:f>
              <c:numCache>
                <c:formatCode>General</c:formatCode>
                <c:ptCount val="3"/>
                <c:pt idx="0">
                  <c:v>2026</c:v>
                </c:pt>
                <c:pt idx="1">
                  <c:v>2027</c:v>
                </c:pt>
                <c:pt idx="2">
                  <c:v>2028</c:v>
                </c:pt>
              </c:numCache>
            </c:numRef>
          </c:cat>
          <c:val>
            <c:numRef>
              <c:f>'Mod. egresos'!$B$12:$D$12</c:f>
              <c:numCache>
                <c:formatCode>"$"\ #,##0.00</c:formatCode>
                <c:ptCount val="3"/>
                <c:pt idx="0">
                  <c:v>77670013.524999991</c:v>
                </c:pt>
                <c:pt idx="1">
                  <c:v>149731451.31999999</c:v>
                </c:pt>
                <c:pt idx="2">
                  <c:v>221914893.39499998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1818111440"/>
        <c:axId val="1818111984"/>
      </c:barChart>
      <c:lineChart>
        <c:grouping val="standard"/>
        <c:varyColors val="0"/>
        <c:ser>
          <c:idx val="3"/>
          <c:order val="3"/>
          <c:tx>
            <c:v>Costos totales</c:v>
          </c:tx>
          <c:spPr>
            <a:ln w="28575" cmpd="sng">
              <a:solidFill>
                <a:schemeClr val="accent2"/>
              </a:solidFill>
            </a:ln>
          </c:spPr>
          <c:marker>
            <c:symbol val="circle"/>
            <c:size val="5"/>
            <c:spPr>
              <a:solidFill>
                <a:schemeClr val="accent2"/>
              </a:solidFill>
              <a:ln cmpd="sng">
                <a:solidFill>
                  <a:schemeClr val="accent2"/>
                </a:solidFill>
              </a:ln>
            </c:spPr>
          </c:marker>
          <c:cat>
            <c:numRef>
              <c:f>'Mod. egresos'!$B$9:$D$9</c:f>
              <c:numCache>
                <c:formatCode>General</c:formatCode>
                <c:ptCount val="3"/>
                <c:pt idx="0">
                  <c:v>2026</c:v>
                </c:pt>
                <c:pt idx="1">
                  <c:v>2027</c:v>
                </c:pt>
                <c:pt idx="2">
                  <c:v>2028</c:v>
                </c:pt>
              </c:numCache>
            </c:numRef>
          </c:cat>
          <c:val>
            <c:numRef>
              <c:f>'Mod. egresos'!$B$13:$D$13</c:f>
              <c:numCache>
                <c:formatCode>"$"\ #,##0.00</c:formatCode>
                <c:ptCount val="3"/>
                <c:pt idx="0">
                  <c:v>137362414.52499998</c:v>
                </c:pt>
                <c:pt idx="1">
                  <c:v>239866478.31999999</c:v>
                </c:pt>
                <c:pt idx="2">
                  <c:v>347127046.39499998</c:v>
                </c:pt>
              </c:numCache>
            </c:numRef>
          </c:val>
          <c:smooth val="0"/>
        </c:ser>
        <c:dLbls>
          <c:showLegendKey val="0"/>
          <c:showVal val="0"/>
          <c:showCatName val="0"/>
          <c:showSerName val="0"/>
          <c:showPercent val="0"/>
          <c:showBubbleSize val="0"/>
        </c:dLbls>
        <c:marker val="1"/>
        <c:smooth val="0"/>
        <c:axId val="1818111440"/>
        <c:axId val="1818111984"/>
      </c:lineChart>
      <c:catAx>
        <c:axId val="1818111440"/>
        <c:scaling>
          <c:orientation val="minMax"/>
        </c:scaling>
        <c:delete val="0"/>
        <c:axPos val="b"/>
        <c:title>
          <c:tx>
            <c:rich>
              <a:bodyPr/>
              <a:lstStyle/>
              <a:p>
                <a:pPr lvl="0">
                  <a:defRPr b="0">
                    <a:solidFill>
                      <a:srgbClr val="000000"/>
                    </a:solidFill>
                    <a:latin typeface="+mn-lt"/>
                  </a:defRPr>
                </a:pPr>
                <a:endParaRPr lang="es-AR"/>
              </a:p>
            </c:rich>
          </c:tx>
          <c:layout/>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818111984"/>
        <c:crosses val="autoZero"/>
        <c:auto val="1"/>
        <c:lblAlgn val="ctr"/>
        <c:lblOffset val="100"/>
        <c:noMultiLvlLbl val="1"/>
      </c:catAx>
      <c:valAx>
        <c:axId val="181811198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AR"/>
              </a:p>
            </c:rich>
          </c:tx>
          <c:layout/>
          <c:overlay val="0"/>
        </c:title>
        <c:numFmt formatCode="&quot;$&quot;\ #,##0.00" sourceLinked="1"/>
        <c:majorTickMark val="none"/>
        <c:minorTickMark val="none"/>
        <c:tickLblPos val="nextTo"/>
        <c:spPr>
          <a:ln/>
        </c:spPr>
        <c:txPr>
          <a:bodyPr/>
          <a:lstStyle/>
          <a:p>
            <a:pPr lvl="0">
              <a:defRPr sz="900" b="0" i="0">
                <a:solidFill>
                  <a:srgbClr val="000000"/>
                </a:solidFill>
                <a:latin typeface="+mn-lt"/>
              </a:defRPr>
            </a:pPr>
            <a:endParaRPr lang="es-AR"/>
          </a:p>
        </c:txPr>
        <c:crossAx val="1818111440"/>
        <c:crosses val="autoZero"/>
        <c:crossBetween val="between"/>
      </c:valAx>
    </c:plotArea>
    <c:legend>
      <c:legendPos val="b"/>
      <c:layout/>
      <c:overlay val="0"/>
      <c:txPr>
        <a:bodyPr/>
        <a:lstStyle/>
        <a:p>
          <a:pPr lvl="0">
            <a:defRPr sz="9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s-ES"/>
  <c:roundedCorners val="1"/>
  <c:style val="2"/>
  <c:chart>
    <c:title>
      <c:tx>
        <c:rich>
          <a:bodyPr/>
          <a:lstStyle/>
          <a:p>
            <a:pPr lvl="0">
              <a:defRPr sz="2000" b="0" i="0">
                <a:solidFill>
                  <a:srgbClr val="757575"/>
                </a:solidFill>
                <a:latin typeface="Calibri Light"/>
              </a:defRPr>
            </a:pPr>
            <a:r>
              <a:rPr lang="es-AR" sz="2000" b="0" i="0">
                <a:solidFill>
                  <a:srgbClr val="757575"/>
                </a:solidFill>
                <a:latin typeface="Calibri Light"/>
              </a:rPr>
              <a:t>Ingresos vs Egresos</a:t>
            </a:r>
          </a:p>
        </c:rich>
      </c:tx>
      <c:layout/>
      <c:overlay val="0"/>
    </c:title>
    <c:autoTitleDeleted val="0"/>
    <c:plotArea>
      <c:layout/>
      <c:lineChart>
        <c:grouping val="standard"/>
        <c:varyColors val="1"/>
        <c:ser>
          <c:idx val="0"/>
          <c:order val="0"/>
          <c:tx>
            <c:v>Costos totales</c:v>
          </c:tx>
          <c:spPr>
            <a:ln w="38100" cmpd="sng">
              <a:solidFill>
                <a:schemeClr val="accent1"/>
              </a:solidFill>
            </a:ln>
          </c:spPr>
          <c:marker>
            <c:symbol val="none"/>
          </c:marker>
          <c:cat>
            <c:numRef>
              <c:f>'Mod. egresos'!$B$9:$D$9</c:f>
              <c:numCache>
                <c:formatCode>General</c:formatCode>
                <c:ptCount val="3"/>
                <c:pt idx="0">
                  <c:v>2026</c:v>
                </c:pt>
                <c:pt idx="1">
                  <c:v>2027</c:v>
                </c:pt>
                <c:pt idx="2">
                  <c:v>2028</c:v>
                </c:pt>
              </c:numCache>
            </c:numRef>
          </c:cat>
          <c:val>
            <c:numRef>
              <c:f>'Mod. egresos'!$B$13:$D$13</c:f>
              <c:numCache>
                <c:formatCode>"$"\ #,##0.00</c:formatCode>
                <c:ptCount val="3"/>
                <c:pt idx="0">
                  <c:v>137362414.52499998</c:v>
                </c:pt>
                <c:pt idx="1">
                  <c:v>239866478.31999999</c:v>
                </c:pt>
                <c:pt idx="2">
                  <c:v>347127046.39499998</c:v>
                </c:pt>
              </c:numCache>
            </c:numRef>
          </c:val>
          <c:smooth val="0"/>
        </c:ser>
        <c:ser>
          <c:idx val="1"/>
          <c:order val="1"/>
          <c:tx>
            <c:v>Objetivo ingresos</c:v>
          </c:tx>
          <c:spPr>
            <a:ln w="38100" cmpd="sng">
              <a:solidFill>
                <a:schemeClr val="accent2"/>
              </a:solidFill>
            </a:ln>
          </c:spPr>
          <c:marker>
            <c:symbol val="none"/>
          </c:marker>
          <c:cat>
            <c:numRef>
              <c:f>'Mod. egresos'!$B$9:$D$9</c:f>
              <c:numCache>
                <c:formatCode>General</c:formatCode>
                <c:ptCount val="3"/>
                <c:pt idx="0">
                  <c:v>2026</c:v>
                </c:pt>
                <c:pt idx="1">
                  <c:v>2027</c:v>
                </c:pt>
                <c:pt idx="2">
                  <c:v>2028</c:v>
                </c:pt>
              </c:numCache>
            </c:numRef>
          </c:cat>
          <c:val>
            <c:numRef>
              <c:f>'Mod. egresos'!$B$14:$D$14</c:f>
              <c:numCache>
                <c:formatCode>"$"\ #,##0.00</c:formatCode>
                <c:ptCount val="3"/>
                <c:pt idx="0">
                  <c:v>109050000</c:v>
                </c:pt>
                <c:pt idx="1">
                  <c:v>281700000</c:v>
                </c:pt>
                <c:pt idx="2">
                  <c:v>536880000</c:v>
                </c:pt>
              </c:numCache>
            </c:numRef>
          </c:val>
          <c:smooth val="0"/>
        </c:ser>
        <c:dLbls>
          <c:showLegendKey val="0"/>
          <c:showVal val="0"/>
          <c:showCatName val="0"/>
          <c:showSerName val="0"/>
          <c:showPercent val="0"/>
          <c:showBubbleSize val="0"/>
        </c:dLbls>
        <c:smooth val="0"/>
        <c:axId val="1818113072"/>
        <c:axId val="1820185744"/>
      </c:lineChart>
      <c:catAx>
        <c:axId val="1818113072"/>
        <c:scaling>
          <c:orientation val="minMax"/>
        </c:scaling>
        <c:delete val="0"/>
        <c:axPos val="b"/>
        <c:title>
          <c:tx>
            <c:rich>
              <a:bodyPr/>
              <a:lstStyle/>
              <a:p>
                <a:pPr lvl="0">
                  <a:defRPr b="0">
                    <a:solidFill>
                      <a:srgbClr val="000000"/>
                    </a:solidFill>
                    <a:latin typeface="+mn-lt"/>
                  </a:defRPr>
                </a:pPr>
                <a:endParaRPr lang="es-AR"/>
              </a:p>
            </c:rich>
          </c:tx>
          <c:layout/>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820185744"/>
        <c:crosses val="autoZero"/>
        <c:auto val="1"/>
        <c:lblAlgn val="ctr"/>
        <c:lblOffset val="100"/>
        <c:noMultiLvlLbl val="1"/>
      </c:catAx>
      <c:valAx>
        <c:axId val="18201857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AR"/>
              </a:p>
            </c:rich>
          </c:tx>
          <c:layout/>
          <c:overlay val="0"/>
        </c:title>
        <c:numFmt formatCode="&quot;$&quot;\ #,##0.00" sourceLinked="1"/>
        <c:majorTickMark val="none"/>
        <c:minorTickMark val="none"/>
        <c:tickLblPos val="nextTo"/>
        <c:spPr>
          <a:ln/>
        </c:spPr>
        <c:txPr>
          <a:bodyPr/>
          <a:lstStyle/>
          <a:p>
            <a:pPr lvl="0">
              <a:defRPr sz="900" b="0" i="0">
                <a:solidFill>
                  <a:srgbClr val="000000"/>
                </a:solidFill>
                <a:latin typeface="+mn-lt"/>
              </a:defRPr>
            </a:pPr>
            <a:endParaRPr lang="es-AR"/>
          </a:p>
        </c:txPr>
        <c:crossAx val="1818113072"/>
        <c:crosses val="autoZero"/>
        <c:crossBetween val="between"/>
      </c:valAx>
    </c:plotArea>
    <c:legend>
      <c:legendPos val="t"/>
      <c:layout/>
      <c:overlay val="0"/>
      <c:txPr>
        <a:bodyPr/>
        <a:lstStyle/>
        <a:p>
          <a:pPr lvl="0">
            <a:defRPr sz="9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hyperlink" Target="#Indice!A1"/><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hyperlink" Target="#'Proy.%20ventas'!A1"/></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hyperlink" Target="#Indice!A1"/></Relationships>
</file>

<file path=xl/drawings/_rels/drawing6.xml.rels><?xml version="1.0" encoding="UTF-8" standalone="yes"?>
<Relationships xmlns="http://schemas.openxmlformats.org/package/2006/relationships"><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3" Type="http://schemas.openxmlformats.org/officeDocument/2006/relationships/hyperlink" Target="#Indice!A1"/><Relationship Id="rId2" Type="http://schemas.openxmlformats.org/officeDocument/2006/relationships/chart" Target="../charts/chart12.xml"/><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Indice!A1"/><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oneCellAnchor>
    <xdr:from>
      <xdr:col>0</xdr:col>
      <xdr:colOff>628650</xdr:colOff>
      <xdr:row>2</xdr:row>
      <xdr:rowOff>9525</xdr:rowOff>
    </xdr:from>
    <xdr:ext cx="5619750" cy="904875"/>
    <xdr:pic>
      <xdr:nvPicPr>
        <xdr:cNvPr id="2" name="image1.png" descr="Resultado de imagen para uai"/>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314325</xdr:colOff>
      <xdr:row>17</xdr:row>
      <xdr:rowOff>47625</xdr:rowOff>
    </xdr:from>
    <xdr:ext cx="6505575" cy="2343150"/>
    <xdr:graphicFrame macro="">
      <xdr:nvGraphicFramePr>
        <xdr:cNvPr id="2" name="Chart 1" title="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685800</xdr:colOff>
      <xdr:row>0</xdr:row>
      <xdr:rowOff>219075</xdr:rowOff>
    </xdr:from>
    <xdr:ext cx="1600200" cy="304800"/>
    <xdr:sp macro="" textlink="">
      <xdr:nvSpPr>
        <xdr:cNvPr id="3" name="Shape 3">
          <a:hlinkClick xmlns:r="http://schemas.openxmlformats.org/officeDocument/2006/relationships" r:id="rId2"/>
        </xdr:cNvPr>
        <xdr:cNvSpPr/>
      </xdr:nvSpPr>
      <xdr:spPr>
        <a:xfrm>
          <a:off x="4550663" y="3632363"/>
          <a:ext cx="1590675" cy="295275"/>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30</xdr:col>
      <xdr:colOff>438150</xdr:colOff>
      <xdr:row>17</xdr:row>
      <xdr:rowOff>0</xdr:rowOff>
    </xdr:from>
    <xdr:ext cx="9239250" cy="5905500"/>
    <xdr:graphicFrame macro="">
      <xdr:nvGraphicFramePr>
        <xdr:cNvPr id="2" name="Chart 2" title="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29</xdr:col>
      <xdr:colOff>495300</xdr:colOff>
      <xdr:row>83</xdr:row>
      <xdr:rowOff>171450</xdr:rowOff>
    </xdr:from>
    <xdr:ext cx="10210800" cy="5686425"/>
    <xdr:graphicFrame macro="">
      <xdr:nvGraphicFramePr>
        <xdr:cNvPr id="3" name="Chart 3" title="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29</xdr:col>
      <xdr:colOff>361950</xdr:colOff>
      <xdr:row>142</xdr:row>
      <xdr:rowOff>38100</xdr:rowOff>
    </xdr:from>
    <xdr:ext cx="10106025" cy="5724525"/>
    <xdr:graphicFrame macro="">
      <xdr:nvGraphicFramePr>
        <xdr:cNvPr id="4" name="Chart 4" title="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30</xdr:col>
      <xdr:colOff>323850</xdr:colOff>
      <xdr:row>42</xdr:row>
      <xdr:rowOff>114300</xdr:rowOff>
    </xdr:from>
    <xdr:ext cx="10144125" cy="6057900"/>
    <xdr:graphicFrame macro="">
      <xdr:nvGraphicFramePr>
        <xdr:cNvPr id="5" name="Chart 5" title="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29</xdr:col>
      <xdr:colOff>514350</xdr:colOff>
      <xdr:row>110</xdr:row>
      <xdr:rowOff>47625</xdr:rowOff>
    </xdr:from>
    <xdr:ext cx="9953625" cy="4533900"/>
    <xdr:graphicFrame macro="">
      <xdr:nvGraphicFramePr>
        <xdr:cNvPr id="6"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29</xdr:col>
      <xdr:colOff>342900</xdr:colOff>
      <xdr:row>170</xdr:row>
      <xdr:rowOff>85725</xdr:rowOff>
    </xdr:from>
    <xdr:ext cx="10477500" cy="5705475"/>
    <xdr:graphicFrame macro="">
      <xdr:nvGraphicFramePr>
        <xdr:cNvPr id="7"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0</xdr:col>
      <xdr:colOff>552450</xdr:colOff>
      <xdr:row>0</xdr:row>
      <xdr:rowOff>152400</xdr:rowOff>
    </xdr:from>
    <xdr:ext cx="1647825" cy="361950"/>
    <xdr:sp macro="" textlink="">
      <xdr:nvSpPr>
        <xdr:cNvPr id="8" name="Shape 4">
          <a:hlinkClick xmlns:r="http://schemas.openxmlformats.org/officeDocument/2006/relationships" r:id="rId7"/>
        </xdr:cNvPr>
        <xdr:cNvSpPr/>
      </xdr:nvSpPr>
      <xdr:spPr>
        <a:xfrm>
          <a:off x="4526850" y="3603788"/>
          <a:ext cx="1638300" cy="352425"/>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76200</xdr:colOff>
      <xdr:row>0</xdr:row>
      <xdr:rowOff>219075</xdr:rowOff>
    </xdr:from>
    <xdr:ext cx="1504950" cy="304800"/>
    <xdr:sp macro="" textlink="">
      <xdr:nvSpPr>
        <xdr:cNvPr id="5" name="Shape 5">
          <a:hlinkClick xmlns:r="http://schemas.openxmlformats.org/officeDocument/2006/relationships" r:id="rId1"/>
        </xdr:cNvPr>
        <xdr:cNvSpPr/>
      </xdr:nvSpPr>
      <xdr:spPr>
        <a:xfrm>
          <a:off x="4598288" y="3632363"/>
          <a:ext cx="1495425" cy="295275"/>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 Proy. ventas</a:t>
          </a:r>
          <a:endParaRPr sz="1400"/>
        </a:p>
      </xdr:txBody>
    </xdr:sp>
    <xdr:clientData fLocksWithSheet="0"/>
  </xdr:oneCellAnchor>
  <xdr:oneCellAnchor>
    <xdr:from>
      <xdr:col>0</xdr:col>
      <xdr:colOff>95250</xdr:colOff>
      <xdr:row>0</xdr:row>
      <xdr:rowOff>219075</xdr:rowOff>
    </xdr:from>
    <xdr:ext cx="1133475" cy="304800"/>
    <xdr:sp macro="" textlink="">
      <xdr:nvSpPr>
        <xdr:cNvPr id="6" name="Shape 6">
          <a:hlinkClick xmlns:r="http://schemas.openxmlformats.org/officeDocument/2006/relationships" r:id="rId2"/>
        </xdr:cNvPr>
        <xdr:cNvSpPr/>
      </xdr:nvSpPr>
      <xdr:spPr>
        <a:xfrm>
          <a:off x="4784025" y="3632363"/>
          <a:ext cx="1123950" cy="295275"/>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11</xdr:col>
      <xdr:colOff>295275</xdr:colOff>
      <xdr:row>2</xdr:row>
      <xdr:rowOff>180975</xdr:rowOff>
    </xdr:from>
    <xdr:ext cx="7791450" cy="5362575"/>
    <xdr:graphicFrame macro="">
      <xdr:nvGraphicFramePr>
        <xdr:cNvPr id="8" name="Chart 8" title="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285750</xdr:colOff>
      <xdr:row>41</xdr:row>
      <xdr:rowOff>9525</xdr:rowOff>
    </xdr:from>
    <xdr:ext cx="7791450" cy="5667375"/>
    <xdr:graphicFrame macro="">
      <xdr:nvGraphicFramePr>
        <xdr:cNvPr id="9" name="Chart 9"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95250</xdr:colOff>
      <xdr:row>41</xdr:row>
      <xdr:rowOff>9525</xdr:rowOff>
    </xdr:from>
    <xdr:ext cx="8010525" cy="5667375"/>
    <xdr:graphicFrame macro="">
      <xdr:nvGraphicFramePr>
        <xdr:cNvPr id="10" name="Chart 10"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733425</xdr:colOff>
      <xdr:row>0</xdr:row>
      <xdr:rowOff>219075</xdr:rowOff>
    </xdr:from>
    <xdr:ext cx="2409825" cy="304800"/>
    <xdr:sp macro="" textlink="">
      <xdr:nvSpPr>
        <xdr:cNvPr id="7" name="Shape 7">
          <a:hlinkClick xmlns:r="http://schemas.openxmlformats.org/officeDocument/2006/relationships" r:id="rId4"/>
        </xdr:cNvPr>
        <xdr:cNvSpPr/>
      </xdr:nvSpPr>
      <xdr:spPr>
        <a:xfrm>
          <a:off x="4145850" y="3632363"/>
          <a:ext cx="2400300" cy="295275"/>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733425</xdr:colOff>
      <xdr:row>0</xdr:row>
      <xdr:rowOff>219075</xdr:rowOff>
    </xdr:from>
    <xdr:ext cx="1457325" cy="304800"/>
    <xdr:sp macro="" textlink="">
      <xdr:nvSpPr>
        <xdr:cNvPr id="8" name="Shape 8">
          <a:hlinkClick xmlns:r="http://schemas.openxmlformats.org/officeDocument/2006/relationships" r:id="rId1"/>
        </xdr:cNvPr>
        <xdr:cNvSpPr/>
      </xdr:nvSpPr>
      <xdr:spPr>
        <a:xfrm>
          <a:off x="4622100" y="3632363"/>
          <a:ext cx="1447800" cy="295275"/>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733425</xdr:colOff>
      <xdr:row>0</xdr:row>
      <xdr:rowOff>219075</xdr:rowOff>
    </xdr:from>
    <xdr:ext cx="3752850" cy="304800"/>
    <xdr:sp macro="" textlink="">
      <xdr:nvSpPr>
        <xdr:cNvPr id="9" name="Shape 9">
          <a:hlinkClick xmlns:r="http://schemas.openxmlformats.org/officeDocument/2006/relationships" r:id="rId1"/>
        </xdr:cNvPr>
        <xdr:cNvSpPr/>
      </xdr:nvSpPr>
      <xdr:spPr>
        <a:xfrm>
          <a:off x="3474338" y="3632363"/>
          <a:ext cx="3743325" cy="295275"/>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733425</xdr:colOff>
      <xdr:row>0</xdr:row>
      <xdr:rowOff>219075</xdr:rowOff>
    </xdr:from>
    <xdr:ext cx="2514600" cy="304800"/>
    <xdr:sp macro="" textlink="">
      <xdr:nvSpPr>
        <xdr:cNvPr id="10" name="Shape 10">
          <a:hlinkClick xmlns:r="http://schemas.openxmlformats.org/officeDocument/2006/relationships" r:id="rId1"/>
        </xdr:cNvPr>
        <xdr:cNvSpPr/>
      </xdr:nvSpPr>
      <xdr:spPr>
        <a:xfrm>
          <a:off x="4093463" y="3632363"/>
          <a:ext cx="2505075" cy="295275"/>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238125</xdr:colOff>
      <xdr:row>15</xdr:row>
      <xdr:rowOff>19050</xdr:rowOff>
    </xdr:from>
    <xdr:ext cx="4724400" cy="2609850"/>
    <xdr:graphicFrame macro="">
      <xdr:nvGraphicFramePr>
        <xdr:cNvPr id="11"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114300</xdr:colOff>
      <xdr:row>15</xdr:row>
      <xdr:rowOff>9525</xdr:rowOff>
    </xdr:from>
    <xdr:ext cx="4572000" cy="2609850"/>
    <xdr:graphicFrame macro="">
      <xdr:nvGraphicFramePr>
        <xdr:cNvPr id="12"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438150</xdr:colOff>
      <xdr:row>2</xdr:row>
      <xdr:rowOff>9525</xdr:rowOff>
    </xdr:from>
    <xdr:ext cx="1181100" cy="190500"/>
    <xdr:sp macro="" textlink="">
      <xdr:nvSpPr>
        <xdr:cNvPr id="2" name="Shape 11">
          <a:hlinkClick xmlns:r="http://schemas.openxmlformats.org/officeDocument/2006/relationships" r:id="rId3"/>
        </xdr:cNvPr>
        <xdr:cNvSpPr/>
      </xdr:nvSpPr>
      <xdr:spPr>
        <a:xfrm>
          <a:off x="4407788" y="3632363"/>
          <a:ext cx="1876425" cy="295275"/>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5</xdr:col>
      <xdr:colOff>1666875</xdr:colOff>
      <xdr:row>29</xdr:row>
      <xdr:rowOff>66675</xdr:rowOff>
    </xdr:from>
    <xdr:ext cx="5715000" cy="3533775"/>
    <xdr:pic>
      <xdr:nvPicPr>
        <xdr:cNvPr id="450435382" name="Chart13" title="Chart">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180975</xdr:colOff>
      <xdr:row>0</xdr:row>
      <xdr:rowOff>190500</xdr:rowOff>
    </xdr:from>
    <xdr:ext cx="3638550" cy="304800"/>
    <xdr:sp macro="" textlink="">
      <xdr:nvSpPr>
        <xdr:cNvPr id="12" name="Shape 12">
          <a:hlinkClick xmlns:r="http://schemas.openxmlformats.org/officeDocument/2006/relationships" r:id="rId2"/>
        </xdr:cNvPr>
        <xdr:cNvSpPr/>
      </xdr:nvSpPr>
      <xdr:spPr>
        <a:xfrm>
          <a:off x="3531488" y="3632363"/>
          <a:ext cx="3629025" cy="295275"/>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oneCellAnchor>
    <xdr:from>
      <xdr:col>6</xdr:col>
      <xdr:colOff>2257425</xdr:colOff>
      <xdr:row>7</xdr:row>
      <xdr:rowOff>190500</xdr:rowOff>
    </xdr:from>
    <xdr:ext cx="10153650" cy="8029575"/>
    <xdr:pic>
      <xdr:nvPicPr>
        <xdr:cNvPr id="2" name="image2.png" title="Image"/>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733425</xdr:colOff>
      <xdr:row>0</xdr:row>
      <xdr:rowOff>219075</xdr:rowOff>
    </xdr:from>
    <xdr:ext cx="1733550" cy="304800"/>
    <xdr:sp macro="" textlink="">
      <xdr:nvSpPr>
        <xdr:cNvPr id="13" name="Shape 13">
          <a:hlinkClick xmlns:r="http://schemas.openxmlformats.org/officeDocument/2006/relationships" r:id="rId1"/>
        </xdr:cNvPr>
        <xdr:cNvSpPr/>
      </xdr:nvSpPr>
      <xdr:spPr>
        <a:xfrm>
          <a:off x="4483988" y="3632363"/>
          <a:ext cx="1724025" cy="295275"/>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219075</xdr:rowOff>
    </xdr:from>
    <xdr:ext cx="828675" cy="304800"/>
    <xdr:sp macro="" textlink="">
      <xdr:nvSpPr>
        <xdr:cNvPr id="14" name="Shape 14">
          <a:hlinkClick xmlns:r="http://schemas.openxmlformats.org/officeDocument/2006/relationships" r:id="rId1"/>
        </xdr:cNvPr>
        <xdr:cNvSpPr/>
      </xdr:nvSpPr>
      <xdr:spPr>
        <a:xfrm>
          <a:off x="4936425" y="3632363"/>
          <a:ext cx="819150" cy="295275"/>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C26" sqref="C26"/>
    </sheetView>
  </sheetViews>
  <sheetFormatPr baseColWidth="10" defaultColWidth="12.59765625" defaultRowHeight="15" customHeight="1"/>
  <cols>
    <col min="1" max="1" width="10" customWidth="1"/>
    <col min="2" max="2" width="11" customWidth="1"/>
    <col min="3" max="23" width="10"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1"/>
      <c r="C2" s="1"/>
      <c r="D2" s="1"/>
      <c r="E2" s="1"/>
      <c r="F2" s="1"/>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
      <c r="C4" s="1"/>
      <c r="D4" s="1"/>
      <c r="E4" s="1"/>
      <c r="F4" s="1"/>
      <c r="G4" s="1"/>
      <c r="H4" s="1"/>
      <c r="I4" s="1"/>
      <c r="J4" s="1"/>
      <c r="K4" s="1"/>
      <c r="L4" s="1"/>
      <c r="M4" s="1"/>
      <c r="N4" s="1"/>
      <c r="O4" s="1"/>
      <c r="P4" s="1"/>
      <c r="Q4" s="1"/>
      <c r="R4" s="1"/>
      <c r="S4" s="1"/>
      <c r="T4" s="1"/>
      <c r="U4" s="1"/>
      <c r="V4" s="1"/>
      <c r="W4" s="1"/>
      <c r="X4" s="1"/>
      <c r="Y4" s="1"/>
      <c r="Z4" s="1"/>
    </row>
    <row r="5" spans="1:26" ht="14.25" customHeight="1">
      <c r="A5" s="1"/>
      <c r="B5" s="1"/>
      <c r="C5" s="1"/>
      <c r="D5" s="1"/>
      <c r="E5" s="1"/>
      <c r="F5" s="1"/>
      <c r="G5" s="1"/>
      <c r="H5" s="1"/>
      <c r="I5" s="1"/>
      <c r="J5" s="1"/>
      <c r="K5" s="1"/>
      <c r="L5" s="1"/>
      <c r="M5" s="1"/>
      <c r="N5" s="1"/>
      <c r="O5" s="1"/>
      <c r="P5" s="1"/>
      <c r="Q5" s="1"/>
      <c r="R5" s="1"/>
      <c r="S5" s="1"/>
      <c r="T5" s="1"/>
      <c r="U5" s="1"/>
      <c r="V5" s="1"/>
      <c r="W5" s="1"/>
      <c r="X5" s="1"/>
      <c r="Y5" s="1"/>
      <c r="Z5" s="1"/>
    </row>
    <row r="6" spans="1:26" ht="14.25" customHeight="1">
      <c r="A6" s="1"/>
      <c r="B6" s="1"/>
      <c r="C6" s="1"/>
      <c r="D6" s="1"/>
      <c r="E6" s="1"/>
      <c r="F6" s="1"/>
      <c r="G6" s="1"/>
      <c r="H6" s="1"/>
      <c r="I6" s="1"/>
      <c r="J6" s="1"/>
      <c r="K6" s="1"/>
      <c r="L6" s="1"/>
      <c r="M6" s="1"/>
      <c r="N6" s="1"/>
      <c r="O6" s="1"/>
      <c r="P6" s="1"/>
      <c r="Q6" s="1"/>
      <c r="R6" s="1"/>
      <c r="S6" s="1"/>
      <c r="T6" s="1"/>
      <c r="U6" s="1"/>
      <c r="V6" s="1"/>
      <c r="W6" s="1"/>
      <c r="X6" s="1"/>
      <c r="Y6" s="1"/>
      <c r="Z6" s="1"/>
    </row>
    <row r="7" spans="1:26" ht="14.25" customHeight="1">
      <c r="A7" s="1"/>
      <c r="B7" s="1"/>
      <c r="C7" s="1"/>
      <c r="D7" s="1"/>
      <c r="E7" s="1"/>
      <c r="F7" s="1"/>
      <c r="G7" s="1"/>
      <c r="H7" s="1"/>
      <c r="I7" s="1"/>
      <c r="J7" s="1"/>
      <c r="K7" s="1"/>
      <c r="L7" s="1"/>
      <c r="M7" s="1"/>
      <c r="N7" s="1"/>
      <c r="O7" s="1"/>
      <c r="P7" s="1"/>
      <c r="Q7" s="1"/>
      <c r="R7" s="1"/>
      <c r="S7" s="1"/>
      <c r="T7" s="1"/>
      <c r="U7" s="1"/>
      <c r="V7" s="1"/>
      <c r="W7" s="1"/>
      <c r="X7" s="1"/>
      <c r="Y7" s="1"/>
      <c r="Z7" s="1"/>
    </row>
    <row r="8" spans="1:26" ht="14.25" customHeight="1">
      <c r="A8" s="1"/>
      <c r="B8" s="1"/>
      <c r="C8" s="1"/>
      <c r="D8" s="1"/>
      <c r="E8" s="1"/>
      <c r="F8" s="1"/>
      <c r="G8" s="1"/>
      <c r="H8" s="1"/>
      <c r="I8" s="1"/>
      <c r="J8" s="1"/>
      <c r="K8" s="1"/>
      <c r="L8" s="1"/>
      <c r="M8" s="1"/>
      <c r="N8" s="1"/>
      <c r="O8" s="1"/>
      <c r="P8" s="1"/>
      <c r="Q8" s="1"/>
      <c r="R8" s="1"/>
      <c r="S8" s="1"/>
      <c r="T8" s="1"/>
      <c r="U8" s="1"/>
      <c r="V8" s="1"/>
      <c r="W8" s="1"/>
      <c r="X8" s="1"/>
      <c r="Y8" s="1"/>
      <c r="Z8" s="1"/>
    </row>
    <row r="9" spans="1:26" ht="28.8">
      <c r="A9" s="1"/>
      <c r="B9" s="1"/>
      <c r="C9" s="2" t="s">
        <v>0</v>
      </c>
      <c r="D9" s="1"/>
      <c r="E9" s="1"/>
      <c r="F9" s="1"/>
      <c r="G9" s="1"/>
      <c r="H9" s="1"/>
      <c r="I9" s="1"/>
      <c r="J9" s="1"/>
      <c r="K9" s="1"/>
      <c r="L9" s="1"/>
      <c r="M9" s="1"/>
      <c r="N9" s="1"/>
      <c r="O9" s="1"/>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3" t="s">
        <v>588</v>
      </c>
      <c r="D21" s="4"/>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3" t="s">
        <v>589</v>
      </c>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5" t="s">
        <v>1</v>
      </c>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5" t="s">
        <v>590</v>
      </c>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3" t="s">
        <v>591</v>
      </c>
      <c r="D25" s="1"/>
      <c r="E25" s="1"/>
      <c r="F25" s="1"/>
      <c r="G25" s="1"/>
      <c r="H25" s="1"/>
      <c r="I25" s="1"/>
      <c r="J25" s="1"/>
      <c r="K25" s="1"/>
      <c r="L25" s="1"/>
      <c r="M25" s="1"/>
      <c r="N25" s="1"/>
      <c r="O25" s="1"/>
      <c r="P25" s="1"/>
      <c r="Q25" s="1"/>
      <c r="R25" s="1"/>
      <c r="S25" s="1"/>
      <c r="T25" s="1"/>
      <c r="U25" s="1"/>
      <c r="V25" s="1"/>
      <c r="W25" s="1"/>
      <c r="X25" s="1"/>
      <c r="Y25" s="1"/>
      <c r="Z25" s="1"/>
    </row>
    <row r="26" spans="1:26" ht="17.399999999999999">
      <c r="A26" s="1"/>
      <c r="B26" s="1"/>
      <c r="C26" s="3" t="s">
        <v>592</v>
      </c>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row r="228" spans="1:26" ht="15.75" customHeight="1"/>
    <row r="229" spans="1:26" ht="15.75" customHeight="1"/>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D18"/>
  <sheetViews>
    <sheetView workbookViewId="0"/>
  </sheetViews>
  <sheetFormatPr baseColWidth="10" defaultColWidth="12.59765625" defaultRowHeight="15" customHeight="1"/>
  <cols>
    <col min="1" max="1" width="10" customWidth="1"/>
    <col min="2" max="2" width="11.3984375" customWidth="1"/>
    <col min="3" max="3" width="10" customWidth="1"/>
    <col min="4" max="4" width="31.09765625" customWidth="1"/>
    <col min="5" max="6" width="10" customWidth="1"/>
  </cols>
  <sheetData>
    <row r="2" spans="4:4" ht="15" customHeight="1">
      <c r="D2" s="6" t="s">
        <v>2</v>
      </c>
    </row>
    <row r="4" spans="4:4">
      <c r="D4" s="7" t="s">
        <v>3</v>
      </c>
    </row>
    <row r="5" spans="4:4">
      <c r="D5" s="8" t="s">
        <v>4</v>
      </c>
    </row>
    <row r="6" spans="4:4">
      <c r="D6" s="8" t="s">
        <v>5</v>
      </c>
    </row>
    <row r="7" spans="4:4">
      <c r="D7" s="8" t="s">
        <v>6</v>
      </c>
    </row>
    <row r="8" spans="4:4">
      <c r="D8" s="8" t="s">
        <v>7</v>
      </c>
    </row>
    <row r="9" spans="4:4">
      <c r="D9" s="8" t="s">
        <v>8</v>
      </c>
    </row>
    <row r="10" spans="4:4">
      <c r="D10" s="8" t="s">
        <v>9</v>
      </c>
    </row>
    <row r="11" spans="4:4">
      <c r="D11" s="8" t="s">
        <v>10</v>
      </c>
    </row>
    <row r="12" spans="4:4">
      <c r="D12" s="8" t="s">
        <v>11</v>
      </c>
    </row>
    <row r="13" spans="4:4">
      <c r="D13" s="8" t="s">
        <v>12</v>
      </c>
    </row>
    <row r="14" spans="4:4">
      <c r="D14" s="8" t="s">
        <v>13</v>
      </c>
    </row>
    <row r="15" spans="4:4">
      <c r="D15" s="8" t="s">
        <v>14</v>
      </c>
    </row>
    <row r="16" spans="4:4">
      <c r="D16" s="8" t="s">
        <v>15</v>
      </c>
    </row>
    <row r="17" spans="4:4">
      <c r="D17" s="8" t="s">
        <v>16</v>
      </c>
    </row>
    <row r="18" spans="4:4">
      <c r="D18" s="9" t="s">
        <v>17</v>
      </c>
    </row>
  </sheetData>
  <hyperlinks>
    <hyperlink ref="D4" location="'Hipótesis'!A1" display="Hipótesis"/>
    <hyperlink ref="D5" location="null!A1" display="Proyección de ventas"/>
    <hyperlink ref="D6" location="null!A1" display="Modelo de ingresos"/>
    <hyperlink ref="D7" location="null!A1" display="Estructura de costos fijos"/>
    <hyperlink ref="D8" location="null!A1" display="Estructura de costos variables"/>
    <hyperlink ref="D9" location="'Costos RRHH'!A1" display="Estructura de costos de RRHH"/>
    <hyperlink ref="D10" location="null!A1" display="Modelo de egresos"/>
    <hyperlink ref="D11" location="null!A1" display="Modelo de inversión"/>
    <hyperlink ref="D12" location="Amortizaciones!A1" display="Amortizaciones"/>
    <hyperlink ref="D13" location="'Presupuesto financiero'!A1" display="Presupuesto Financiero"/>
    <hyperlink ref="D14" location="null!A1" display="Matriz de riesgos"/>
    <hyperlink ref="D15" location="null!A1" display="Escenario 1"/>
    <hyperlink ref="D16" location="null!A1" display="Escenario 2"/>
    <hyperlink ref="D17" location="null!A1" display="Escenario 3"/>
    <hyperlink ref="D18" location="null!A1" display="Plan de contingencia"/>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63"/>
  <sheetViews>
    <sheetView workbookViewId="0">
      <pane ySplit="1" topLeftCell="A50" activePane="bottomLeft" state="frozen"/>
      <selection pane="bottomLeft" activeCell="F59" sqref="F59"/>
    </sheetView>
  </sheetViews>
  <sheetFormatPr baseColWidth="10" defaultColWidth="12.59765625" defaultRowHeight="15" customHeight="1"/>
  <cols>
    <col min="1" max="1" width="10" customWidth="1"/>
    <col min="2" max="2" width="29.69921875" customWidth="1"/>
    <col min="3" max="3" width="28.69921875" customWidth="1"/>
    <col min="4" max="5" width="30.8984375" customWidth="1"/>
    <col min="6" max="6" width="16.8984375" customWidth="1"/>
    <col min="7" max="7" width="10" customWidth="1"/>
    <col min="8" max="8" width="13.59765625" customWidth="1"/>
    <col min="9" max="13" width="10" customWidth="1"/>
    <col min="14" max="14" width="7.69921875" customWidth="1"/>
    <col min="15" max="25" width="10" customWidth="1"/>
  </cols>
  <sheetData>
    <row r="1" spans="1:26" ht="61.2">
      <c r="A1" s="10"/>
      <c r="B1" s="10"/>
      <c r="C1" s="10"/>
      <c r="D1" s="10"/>
      <c r="E1" s="11" t="s">
        <v>3</v>
      </c>
      <c r="F1" s="12"/>
      <c r="G1" s="12"/>
      <c r="H1" s="10"/>
      <c r="I1" s="10"/>
      <c r="J1" s="10"/>
      <c r="K1" s="10"/>
      <c r="L1" s="10"/>
      <c r="M1" s="10"/>
      <c r="N1" s="10"/>
      <c r="O1" s="10"/>
      <c r="P1" s="10"/>
      <c r="Q1" s="10"/>
      <c r="R1" s="10"/>
      <c r="S1" s="10"/>
      <c r="T1" s="10"/>
      <c r="U1" s="10"/>
      <c r="V1" s="10"/>
      <c r="W1" s="10"/>
      <c r="X1" s="10"/>
      <c r="Y1" s="10"/>
      <c r="Z1" s="10"/>
    </row>
    <row r="2" spans="1:26" ht="14.4">
      <c r="A2" s="1"/>
      <c r="B2" s="1"/>
      <c r="C2" s="1"/>
      <c r="D2" s="1"/>
      <c r="E2" s="1"/>
      <c r="F2" s="1"/>
      <c r="G2" s="1"/>
      <c r="H2" s="1"/>
      <c r="I2" s="1"/>
      <c r="J2" s="1"/>
      <c r="K2" s="1"/>
      <c r="L2" s="1"/>
      <c r="M2" s="1"/>
      <c r="N2" s="1"/>
      <c r="O2" s="1"/>
      <c r="P2" s="1"/>
      <c r="Q2" s="1"/>
      <c r="R2" s="1"/>
      <c r="S2" s="1"/>
      <c r="T2" s="1"/>
      <c r="U2" s="1"/>
      <c r="V2" s="1"/>
      <c r="W2" s="1"/>
      <c r="X2" s="1"/>
      <c r="Y2" s="1"/>
      <c r="Z2" s="1"/>
    </row>
    <row r="3" spans="1:26" ht="25.8">
      <c r="A3" s="1"/>
      <c r="B3" s="798" t="s">
        <v>18</v>
      </c>
      <c r="C3" s="799"/>
      <c r="D3" s="799"/>
      <c r="E3" s="799"/>
      <c r="F3" s="799"/>
      <c r="G3" s="799"/>
      <c r="H3" s="799"/>
      <c r="I3" s="799"/>
      <c r="J3" s="800"/>
      <c r="K3" s="1"/>
      <c r="L3" s="1"/>
      <c r="M3" s="1"/>
      <c r="N3" s="1"/>
      <c r="O3" s="1"/>
      <c r="P3" s="1"/>
      <c r="Q3" s="1"/>
      <c r="R3" s="1"/>
      <c r="S3" s="1"/>
      <c r="T3" s="1"/>
      <c r="U3" s="1"/>
      <c r="V3" s="1"/>
      <c r="W3" s="1"/>
      <c r="X3" s="1"/>
      <c r="Y3" s="1"/>
      <c r="Z3" s="1"/>
    </row>
    <row r="4" spans="1:26" ht="14.4">
      <c r="A4" s="13"/>
      <c r="B4" s="801"/>
      <c r="C4" s="802"/>
      <c r="D4" s="802"/>
      <c r="E4" s="802"/>
      <c r="F4" s="802"/>
      <c r="G4" s="802"/>
      <c r="H4" s="802"/>
      <c r="I4" s="802"/>
      <c r="J4" s="803"/>
      <c r="K4" s="14"/>
      <c r="L4" s="1"/>
      <c r="M4" s="1"/>
      <c r="N4" s="1"/>
      <c r="O4" s="1"/>
      <c r="P4" s="1"/>
      <c r="Q4" s="1"/>
      <c r="R4" s="1"/>
      <c r="S4" s="1"/>
      <c r="T4" s="1"/>
      <c r="U4" s="1"/>
      <c r="V4" s="1"/>
      <c r="W4" s="1"/>
      <c r="X4" s="1"/>
      <c r="Y4" s="1"/>
      <c r="Z4" s="1"/>
    </row>
    <row r="5" spans="1:26" ht="14.4">
      <c r="A5" s="1"/>
      <c r="B5" s="15"/>
      <c r="C5" s="15"/>
      <c r="D5" s="15"/>
      <c r="E5" s="15"/>
      <c r="F5" s="15"/>
      <c r="G5" s="15"/>
      <c r="H5" s="15"/>
      <c r="I5" s="15"/>
      <c r="J5" s="15"/>
      <c r="K5" s="1"/>
      <c r="L5" s="1"/>
      <c r="M5" s="1"/>
      <c r="N5" s="1"/>
      <c r="O5" s="1"/>
      <c r="P5" s="1"/>
      <c r="Q5" s="1"/>
      <c r="R5" s="1"/>
      <c r="S5" s="1"/>
      <c r="T5" s="1"/>
      <c r="U5" s="1"/>
      <c r="V5" s="1"/>
      <c r="W5" s="1"/>
      <c r="X5" s="1"/>
      <c r="Y5" s="1"/>
      <c r="Z5" s="1"/>
    </row>
    <row r="6" spans="1:26" ht="14.4">
      <c r="A6" s="1"/>
      <c r="B6" s="1"/>
      <c r="C6" s="1"/>
      <c r="D6" s="1"/>
      <c r="E6" s="1"/>
      <c r="F6" s="1"/>
      <c r="G6" s="1"/>
      <c r="H6" s="1"/>
      <c r="I6" s="1"/>
      <c r="J6" s="1"/>
      <c r="K6" s="1"/>
      <c r="L6" s="1"/>
      <c r="M6" s="1"/>
      <c r="N6" s="1"/>
      <c r="O6" s="1"/>
      <c r="P6" s="1"/>
      <c r="Q6" s="1"/>
      <c r="R6" s="1"/>
      <c r="S6" s="1"/>
      <c r="T6" s="1"/>
      <c r="U6" s="1"/>
      <c r="V6" s="1"/>
      <c r="W6" s="1"/>
      <c r="X6" s="1"/>
      <c r="Y6" s="1"/>
      <c r="Z6" s="1"/>
    </row>
    <row r="7" spans="1:26" ht="25.8">
      <c r="A7" s="1"/>
      <c r="B7" s="798" t="s">
        <v>19</v>
      </c>
      <c r="C7" s="799"/>
      <c r="D7" s="799"/>
      <c r="E7" s="799"/>
      <c r="F7" s="799"/>
      <c r="G7" s="799"/>
      <c r="H7" s="799"/>
      <c r="I7" s="799"/>
      <c r="J7" s="800"/>
      <c r="K7" s="1"/>
      <c r="L7" s="1"/>
      <c r="M7" s="1"/>
      <c r="N7" s="1"/>
      <c r="O7" s="1"/>
      <c r="P7" s="1"/>
      <c r="Q7" s="1"/>
      <c r="R7" s="1"/>
      <c r="S7" s="1"/>
      <c r="T7" s="1"/>
      <c r="U7" s="1"/>
      <c r="V7" s="1"/>
      <c r="W7" s="1"/>
      <c r="X7" s="1"/>
      <c r="Y7" s="1"/>
      <c r="Z7" s="1"/>
    </row>
    <row r="8" spans="1:26" ht="14.4">
      <c r="A8" s="1"/>
      <c r="B8" s="804"/>
      <c r="C8" s="805"/>
      <c r="D8" s="805"/>
      <c r="E8" s="805"/>
      <c r="F8" s="805"/>
      <c r="G8" s="805"/>
      <c r="H8" s="805"/>
      <c r="I8" s="805"/>
      <c r="J8" s="806"/>
      <c r="K8" s="1"/>
      <c r="L8" s="1"/>
      <c r="M8" s="1"/>
      <c r="N8" s="1"/>
      <c r="O8" s="1"/>
      <c r="P8" s="1"/>
      <c r="Q8" s="1"/>
      <c r="R8" s="1"/>
      <c r="S8" s="1"/>
      <c r="T8" s="1"/>
      <c r="U8" s="1"/>
      <c r="V8" s="1"/>
      <c r="W8" s="1"/>
      <c r="X8" s="1"/>
      <c r="Y8" s="1"/>
      <c r="Z8" s="1"/>
    </row>
    <row r="9" spans="1:26" ht="18">
      <c r="A9" s="1"/>
      <c r="B9" s="16"/>
      <c r="C9" s="16"/>
      <c r="D9" s="16"/>
      <c r="E9" s="16"/>
      <c r="F9" s="16"/>
      <c r="G9" s="16"/>
      <c r="H9" s="16"/>
      <c r="I9" s="16"/>
      <c r="J9" s="16"/>
      <c r="K9" s="1"/>
      <c r="L9" s="1"/>
      <c r="M9" s="1"/>
      <c r="N9" s="1"/>
      <c r="O9" s="1"/>
      <c r="P9" s="1"/>
      <c r="Q9" s="1"/>
      <c r="R9" s="1"/>
      <c r="S9" s="1"/>
      <c r="T9" s="1"/>
      <c r="U9" s="1"/>
      <c r="V9" s="1"/>
      <c r="W9" s="1"/>
      <c r="X9" s="1"/>
      <c r="Y9" s="1"/>
      <c r="Z9" s="1"/>
    </row>
    <row r="10" spans="1:26" ht="18">
      <c r="A10" s="1"/>
      <c r="B10" s="16"/>
      <c r="C10" s="16"/>
      <c r="D10" s="16"/>
      <c r="E10" s="16"/>
      <c r="F10" s="16"/>
      <c r="G10" s="16"/>
      <c r="H10" s="16"/>
      <c r="I10" s="16"/>
      <c r="J10" s="16"/>
      <c r="K10" s="1"/>
      <c r="L10" s="1"/>
      <c r="M10" s="1"/>
      <c r="N10" s="1"/>
      <c r="O10" s="1"/>
      <c r="P10" s="1"/>
      <c r="Q10" s="1"/>
      <c r="R10" s="1"/>
      <c r="S10" s="1"/>
      <c r="T10" s="1"/>
      <c r="U10" s="1"/>
      <c r="V10" s="1"/>
      <c r="W10" s="1"/>
      <c r="X10" s="1"/>
      <c r="Y10" s="1"/>
      <c r="Z10" s="1"/>
    </row>
    <row r="11" spans="1:26" ht="18">
      <c r="A11" s="1"/>
      <c r="B11" s="17" t="s">
        <v>20</v>
      </c>
      <c r="C11" s="17" t="s">
        <v>21</v>
      </c>
      <c r="D11" s="17" t="s">
        <v>22</v>
      </c>
      <c r="E11" s="16"/>
      <c r="F11" s="16"/>
      <c r="G11" s="16"/>
      <c r="H11" s="16"/>
      <c r="I11" s="16"/>
      <c r="J11" s="16"/>
      <c r="K11" s="1"/>
      <c r="L11" s="1"/>
      <c r="M11" s="1"/>
      <c r="N11" s="1"/>
      <c r="O11" s="1"/>
      <c r="P11" s="1"/>
      <c r="Q11" s="1"/>
      <c r="R11" s="1"/>
      <c r="S11" s="1"/>
      <c r="T11" s="1"/>
      <c r="U11" s="1"/>
      <c r="V11" s="1"/>
      <c r="W11" s="1"/>
      <c r="X11" s="1"/>
      <c r="Y11" s="1"/>
      <c r="Z11" s="1"/>
    </row>
    <row r="12" spans="1:26" ht="18">
      <c r="A12" s="1"/>
      <c r="B12" s="18">
        <v>427</v>
      </c>
      <c r="C12" s="18">
        <v>12000000</v>
      </c>
      <c r="D12" s="19">
        <f>B12*C12</f>
        <v>5124000000</v>
      </c>
      <c r="E12" s="16"/>
      <c r="F12" s="16"/>
      <c r="G12" s="16"/>
      <c r="H12" s="16"/>
      <c r="I12" s="16"/>
      <c r="J12" s="16"/>
      <c r="K12" s="1"/>
      <c r="L12" s="1"/>
      <c r="M12" s="1"/>
      <c r="N12" s="1"/>
      <c r="O12" s="1"/>
      <c r="P12" s="1"/>
      <c r="Q12" s="1"/>
      <c r="R12" s="1"/>
      <c r="S12" s="1"/>
      <c r="T12" s="1"/>
      <c r="U12" s="1"/>
      <c r="V12" s="1"/>
      <c r="W12" s="1"/>
      <c r="X12" s="1"/>
      <c r="Y12" s="1"/>
      <c r="Z12" s="1"/>
    </row>
    <row r="13" spans="1:26" ht="18">
      <c r="A13" s="1"/>
      <c r="B13" s="16"/>
      <c r="C13" s="16"/>
      <c r="D13" s="16"/>
      <c r="E13" s="16"/>
      <c r="F13" s="16"/>
      <c r="G13" s="16"/>
      <c r="H13" s="16"/>
      <c r="I13" s="16"/>
      <c r="J13" s="16"/>
      <c r="K13" s="1"/>
      <c r="L13" s="1"/>
      <c r="M13" s="1"/>
      <c r="N13" s="1"/>
      <c r="O13" s="1"/>
      <c r="P13" s="1"/>
      <c r="Q13" s="1"/>
      <c r="R13" s="1"/>
      <c r="S13" s="1"/>
      <c r="T13" s="1"/>
      <c r="U13" s="1"/>
      <c r="V13" s="1"/>
      <c r="W13" s="1"/>
      <c r="X13" s="1"/>
      <c r="Y13" s="1"/>
      <c r="Z13" s="1"/>
    </row>
    <row r="14" spans="1:26" ht="14.4">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25.8">
      <c r="A15" s="1"/>
      <c r="B15" s="798" t="s">
        <v>23</v>
      </c>
      <c r="C15" s="799"/>
      <c r="D15" s="799"/>
      <c r="E15" s="799"/>
      <c r="F15" s="799"/>
      <c r="G15" s="799"/>
      <c r="H15" s="799"/>
      <c r="I15" s="799"/>
      <c r="J15" s="800"/>
      <c r="K15" s="1"/>
      <c r="L15" s="1"/>
      <c r="M15" s="1"/>
      <c r="N15" s="1"/>
      <c r="O15" s="1"/>
      <c r="P15" s="1"/>
      <c r="Q15" s="1"/>
      <c r="R15" s="1"/>
      <c r="S15" s="1"/>
      <c r="T15" s="1"/>
      <c r="U15" s="1"/>
      <c r="V15" s="1"/>
      <c r="W15" s="1"/>
      <c r="X15" s="1"/>
      <c r="Y15" s="1"/>
      <c r="Z15" s="1"/>
    </row>
    <row r="16" spans="1:26" ht="14.4">
      <c r="A16" s="1"/>
      <c r="B16" s="804" t="s">
        <v>593</v>
      </c>
      <c r="C16" s="805"/>
      <c r="D16" s="805"/>
      <c r="E16" s="805"/>
      <c r="F16" s="805"/>
      <c r="G16" s="805"/>
      <c r="H16" s="805"/>
      <c r="I16" s="805"/>
      <c r="J16" s="806"/>
      <c r="K16" s="1"/>
      <c r="L16" s="1"/>
      <c r="M16" s="1"/>
      <c r="N16" s="1"/>
      <c r="O16" s="1"/>
      <c r="P16" s="1"/>
      <c r="Q16" s="1"/>
      <c r="R16" s="1"/>
      <c r="S16" s="1"/>
      <c r="T16" s="1"/>
      <c r="U16" s="1"/>
      <c r="V16" s="1"/>
      <c r="W16" s="1"/>
      <c r="X16" s="1"/>
      <c r="Y16" s="1"/>
      <c r="Z16" s="1"/>
    </row>
    <row r="17" spans="1:26" ht="15.6">
      <c r="A17" s="1"/>
      <c r="B17" s="20"/>
      <c r="C17" s="20"/>
      <c r="D17" s="20"/>
      <c r="E17" s="20"/>
      <c r="F17" s="20"/>
      <c r="G17" s="20"/>
      <c r="H17" s="20"/>
      <c r="I17" s="20"/>
      <c r="J17" s="20"/>
      <c r="K17" s="20"/>
      <c r="L17" s="20"/>
      <c r="M17" s="20"/>
      <c r="N17" s="20"/>
      <c r="O17" s="1"/>
      <c r="P17" s="1"/>
      <c r="Q17" s="1"/>
      <c r="R17" s="1"/>
      <c r="S17" s="1"/>
      <c r="T17" s="1"/>
      <c r="U17" s="1"/>
      <c r="V17" s="1"/>
      <c r="W17" s="1"/>
      <c r="X17" s="1"/>
      <c r="Y17" s="1"/>
      <c r="Z17" s="1"/>
    </row>
    <row r="18" spans="1:26" ht="15.6">
      <c r="A18" s="1"/>
      <c r="B18" s="1"/>
      <c r="C18" s="1"/>
      <c r="D18" s="1"/>
      <c r="E18" s="20"/>
      <c r="F18" s="20"/>
      <c r="G18" s="20"/>
      <c r="H18" s="20"/>
      <c r="I18" s="20"/>
      <c r="J18" s="20"/>
      <c r="K18" s="20"/>
      <c r="L18" s="20"/>
      <c r="M18" s="20"/>
      <c r="N18" s="20"/>
      <c r="O18" s="1"/>
      <c r="P18" s="1"/>
      <c r="Q18" s="1"/>
      <c r="R18" s="1"/>
      <c r="S18" s="1"/>
      <c r="T18" s="1"/>
      <c r="U18" s="1"/>
      <c r="V18" s="1"/>
      <c r="W18" s="1"/>
      <c r="X18" s="1"/>
      <c r="Y18" s="1"/>
      <c r="Z18" s="1"/>
    </row>
    <row r="19" spans="1:26" ht="15.6">
      <c r="A19" s="1"/>
      <c r="B19" s="1"/>
      <c r="C19" s="1"/>
      <c r="D19" s="1"/>
      <c r="E19" s="20"/>
      <c r="F19" s="20"/>
      <c r="G19" s="20"/>
      <c r="H19" s="20"/>
      <c r="I19" s="20"/>
      <c r="J19" s="20"/>
      <c r="K19" s="20"/>
      <c r="L19" s="20"/>
      <c r="M19" s="20"/>
      <c r="N19" s="20"/>
      <c r="O19" s="1"/>
      <c r="P19" s="1"/>
      <c r="Q19" s="1"/>
      <c r="R19" s="1"/>
      <c r="S19" s="1"/>
      <c r="T19" s="1"/>
      <c r="U19" s="1"/>
      <c r="V19" s="1"/>
      <c r="W19" s="1"/>
      <c r="X19" s="1"/>
      <c r="Y19" s="1"/>
      <c r="Z19" s="1"/>
    </row>
    <row r="20" spans="1:26" ht="15.6">
      <c r="A20" s="1"/>
      <c r="B20" s="1"/>
      <c r="C20" s="1"/>
      <c r="D20" s="20"/>
      <c r="E20" s="20"/>
      <c r="F20" s="20"/>
      <c r="G20" s="20"/>
      <c r="H20" s="20"/>
      <c r="I20" s="20"/>
      <c r="J20" s="20"/>
      <c r="K20" s="20"/>
      <c r="L20" s="20"/>
      <c r="M20" s="20"/>
      <c r="N20" s="20"/>
      <c r="O20" s="1"/>
      <c r="P20" s="1"/>
      <c r="Q20" s="1"/>
      <c r="R20" s="1"/>
      <c r="S20" s="1"/>
      <c r="T20" s="1"/>
      <c r="U20" s="1"/>
      <c r="V20" s="1"/>
      <c r="W20" s="1"/>
      <c r="X20" s="1"/>
      <c r="Y20" s="1"/>
      <c r="Z20" s="1"/>
    </row>
    <row r="21" spans="1:26" ht="15.6">
      <c r="A21" s="1"/>
      <c r="B21" s="20"/>
      <c r="C21" s="20"/>
      <c r="D21" s="20"/>
      <c r="E21" s="20"/>
      <c r="F21" s="20"/>
      <c r="G21" s="20"/>
      <c r="H21" s="20"/>
      <c r="I21" s="20"/>
      <c r="J21" s="20"/>
      <c r="K21" s="20"/>
      <c r="L21" s="20"/>
      <c r="M21" s="20"/>
      <c r="N21" s="20"/>
      <c r="O21" s="1"/>
      <c r="P21" s="1"/>
      <c r="Q21" s="1"/>
      <c r="R21" s="1"/>
      <c r="S21" s="1"/>
      <c r="T21" s="1"/>
      <c r="U21" s="1"/>
      <c r="V21" s="1"/>
      <c r="W21" s="1"/>
      <c r="X21" s="1"/>
      <c r="Y21" s="1"/>
      <c r="Z21" s="1"/>
    </row>
    <row r="22" spans="1:26" ht="15.6">
      <c r="A22" s="807" t="s">
        <v>24</v>
      </c>
      <c r="B22" s="808"/>
      <c r="C22" s="808"/>
      <c r="D22" s="809"/>
      <c r="E22" s="20"/>
      <c r="F22" s="20"/>
      <c r="G22" s="20"/>
      <c r="H22" s="20"/>
      <c r="I22" s="20"/>
      <c r="J22" s="20"/>
      <c r="K22" s="20"/>
      <c r="L22" s="20"/>
      <c r="M22" s="20"/>
      <c r="N22" s="20"/>
      <c r="O22" s="1"/>
      <c r="P22" s="1"/>
      <c r="Q22" s="1"/>
      <c r="R22" s="1"/>
      <c r="S22" s="1"/>
      <c r="T22" s="1"/>
      <c r="U22" s="1"/>
      <c r="V22" s="1"/>
      <c r="W22" s="1"/>
      <c r="X22" s="1"/>
      <c r="Y22" s="1"/>
      <c r="Z22" s="1"/>
    </row>
    <row r="23" spans="1:26" ht="18">
      <c r="A23" s="21" t="s">
        <v>25</v>
      </c>
      <c r="B23" s="21" t="s">
        <v>26</v>
      </c>
      <c r="C23" s="21" t="s">
        <v>27</v>
      </c>
      <c r="D23" s="21" t="s">
        <v>28</v>
      </c>
      <c r="E23" s="20"/>
      <c r="F23" s="20"/>
      <c r="G23" s="20"/>
      <c r="H23" s="20"/>
      <c r="I23" s="20"/>
      <c r="J23" s="20"/>
      <c r="K23" s="20"/>
      <c r="L23" s="20"/>
      <c r="M23" s="20"/>
      <c r="N23" s="20"/>
      <c r="O23" s="1"/>
      <c r="P23" s="1"/>
      <c r="Q23" s="1"/>
      <c r="R23" s="1"/>
      <c r="S23" s="1"/>
      <c r="T23" s="1"/>
      <c r="U23" s="1"/>
      <c r="V23" s="1"/>
      <c r="W23" s="1"/>
      <c r="X23" s="1"/>
      <c r="Y23" s="1"/>
      <c r="Z23" s="1"/>
    </row>
    <row r="24" spans="1:26" ht="15.6">
      <c r="A24" s="22">
        <v>2026</v>
      </c>
      <c r="B24" s="22" t="s">
        <v>29</v>
      </c>
      <c r="C24" s="23">
        <v>0.02</v>
      </c>
      <c r="D24" s="24">
        <f t="shared" ref="D24:D26" si="0">C24*$D$12</f>
        <v>102480000</v>
      </c>
      <c r="E24" s="20"/>
      <c r="F24" s="20"/>
      <c r="G24" s="20"/>
      <c r="H24" s="20"/>
      <c r="I24" s="20"/>
      <c r="J24" s="20"/>
      <c r="K24" s="20"/>
      <c r="L24" s="20"/>
      <c r="M24" s="20"/>
      <c r="N24" s="20"/>
      <c r="O24" s="1"/>
      <c r="P24" s="1"/>
      <c r="Q24" s="1"/>
      <c r="R24" s="1"/>
      <c r="S24" s="1"/>
      <c r="T24" s="1"/>
      <c r="U24" s="1"/>
      <c r="V24" s="1"/>
      <c r="W24" s="1"/>
      <c r="X24" s="1"/>
      <c r="Y24" s="1"/>
      <c r="Z24" s="1"/>
    </row>
    <row r="25" spans="1:26" ht="15.6">
      <c r="A25" s="22">
        <v>2027</v>
      </c>
      <c r="B25" s="22" t="s">
        <v>30</v>
      </c>
      <c r="C25" s="25">
        <v>0.06</v>
      </c>
      <c r="D25" s="24">
        <f t="shared" si="0"/>
        <v>307440000</v>
      </c>
      <c r="E25" s="20"/>
      <c r="F25" s="20"/>
      <c r="G25" s="20"/>
      <c r="H25" s="20"/>
      <c r="I25" s="20"/>
      <c r="J25" s="20"/>
      <c r="K25" s="20"/>
      <c r="L25" s="20"/>
      <c r="M25" s="20"/>
      <c r="N25" s="20"/>
      <c r="O25" s="1"/>
      <c r="P25" s="1"/>
      <c r="Q25" s="1"/>
      <c r="R25" s="1"/>
      <c r="S25" s="1"/>
      <c r="T25" s="1"/>
      <c r="U25" s="1"/>
      <c r="V25" s="1"/>
      <c r="W25" s="1"/>
      <c r="X25" s="1"/>
      <c r="Y25" s="1"/>
      <c r="Z25" s="1"/>
    </row>
    <row r="26" spans="1:26" ht="15.6">
      <c r="A26" s="22">
        <v>2028</v>
      </c>
      <c r="B26" s="22" t="s">
        <v>31</v>
      </c>
      <c r="C26" s="25">
        <v>0.1</v>
      </c>
      <c r="D26" s="24">
        <f t="shared" si="0"/>
        <v>512400000</v>
      </c>
      <c r="E26" s="20"/>
      <c r="F26" s="20"/>
      <c r="G26" s="20"/>
      <c r="H26" s="20"/>
      <c r="I26" s="20"/>
      <c r="J26" s="20"/>
      <c r="K26" s="20"/>
      <c r="L26" s="20"/>
      <c r="M26" s="20"/>
      <c r="N26" s="20"/>
      <c r="O26" s="1"/>
      <c r="P26" s="1"/>
      <c r="Q26" s="1"/>
      <c r="R26" s="1"/>
      <c r="S26" s="1"/>
      <c r="T26" s="1"/>
      <c r="U26" s="1"/>
      <c r="V26" s="1"/>
      <c r="W26" s="1"/>
      <c r="X26" s="1"/>
      <c r="Y26" s="1"/>
      <c r="Z26" s="1"/>
    </row>
    <row r="27" spans="1:26" ht="15.6">
      <c r="A27" s="1"/>
      <c r="B27" s="20"/>
      <c r="C27" s="26"/>
      <c r="D27" s="27"/>
      <c r="E27" s="20"/>
      <c r="F27" s="20"/>
      <c r="G27" s="20"/>
      <c r="H27" s="20"/>
      <c r="I27" s="20"/>
      <c r="J27" s="20"/>
      <c r="K27" s="20"/>
      <c r="L27" s="20"/>
      <c r="M27" s="20"/>
      <c r="N27" s="20"/>
      <c r="O27" s="1"/>
      <c r="P27" s="1"/>
      <c r="Q27" s="1"/>
      <c r="R27" s="1"/>
      <c r="S27" s="1"/>
      <c r="T27" s="1"/>
      <c r="U27" s="1"/>
      <c r="V27" s="1"/>
      <c r="W27" s="1"/>
      <c r="X27" s="1"/>
      <c r="Y27" s="1"/>
      <c r="Z27" s="1"/>
    </row>
    <row r="28" spans="1:26" ht="15.6">
      <c r="A28" s="1"/>
      <c r="B28" s="4" t="s">
        <v>32</v>
      </c>
      <c r="C28" s="26"/>
      <c r="D28" s="27"/>
      <c r="E28" s="20"/>
      <c r="F28" s="20"/>
      <c r="G28" s="20"/>
      <c r="H28" s="20"/>
      <c r="I28" s="20"/>
      <c r="J28" s="20"/>
      <c r="K28" s="20"/>
      <c r="L28" s="20"/>
      <c r="M28" s="20"/>
      <c r="N28" s="20"/>
      <c r="O28" s="1"/>
      <c r="P28" s="1"/>
      <c r="Q28" s="1"/>
      <c r="R28" s="1"/>
      <c r="S28" s="1"/>
      <c r="T28" s="1"/>
      <c r="U28" s="1"/>
      <c r="V28" s="1"/>
      <c r="W28" s="1"/>
      <c r="X28" s="1"/>
      <c r="Y28" s="1"/>
      <c r="Z28" s="1"/>
    </row>
    <row r="29" spans="1:26" ht="15.6">
      <c r="A29" s="1"/>
      <c r="B29" s="20"/>
      <c r="C29" s="26"/>
      <c r="D29" s="27"/>
      <c r="E29" s="20"/>
      <c r="F29" s="20"/>
      <c r="G29" s="20"/>
      <c r="H29" s="20"/>
      <c r="I29" s="20"/>
      <c r="J29" s="20"/>
      <c r="K29" s="20"/>
      <c r="L29" s="20"/>
      <c r="M29" s="20"/>
      <c r="N29" s="20"/>
      <c r="O29" s="1"/>
      <c r="P29" s="1"/>
      <c r="Q29" s="1"/>
      <c r="R29" s="1"/>
      <c r="S29" s="1"/>
      <c r="T29" s="1"/>
      <c r="U29" s="1"/>
      <c r="V29" s="1"/>
      <c r="W29" s="1"/>
      <c r="X29" s="1"/>
      <c r="Y29" s="1"/>
      <c r="Z29" s="1"/>
    </row>
    <row r="30" spans="1:26" ht="15.6">
      <c r="A30" s="1"/>
      <c r="B30" s="20"/>
      <c r="C30" s="26"/>
      <c r="D30" s="27"/>
      <c r="E30" s="20"/>
      <c r="F30" s="20"/>
      <c r="G30" s="20"/>
      <c r="H30" s="20"/>
      <c r="I30" s="20"/>
      <c r="J30" s="20"/>
      <c r="K30" s="20"/>
      <c r="L30" s="20"/>
      <c r="M30" s="20"/>
      <c r="N30" s="20"/>
      <c r="O30" s="1"/>
      <c r="P30" s="1"/>
      <c r="Q30" s="1"/>
      <c r="R30" s="1"/>
      <c r="S30" s="1"/>
      <c r="T30" s="1"/>
      <c r="U30" s="1"/>
      <c r="V30" s="1"/>
      <c r="W30" s="1"/>
      <c r="X30" s="1"/>
      <c r="Y30" s="1"/>
      <c r="Z30" s="1"/>
    </row>
    <row r="31" spans="1:26" ht="15.6">
      <c r="A31" s="1"/>
      <c r="B31" s="20"/>
      <c r="C31" s="26"/>
      <c r="D31" s="27"/>
      <c r="E31" s="20"/>
      <c r="F31" s="20"/>
      <c r="G31" s="20"/>
      <c r="H31" s="20"/>
      <c r="I31" s="20"/>
      <c r="J31" s="20"/>
      <c r="K31" s="20"/>
      <c r="L31" s="20"/>
      <c r="M31" s="20"/>
      <c r="N31" s="20"/>
      <c r="O31" s="1"/>
      <c r="P31" s="1"/>
      <c r="Q31" s="1"/>
      <c r="R31" s="1"/>
      <c r="S31" s="1"/>
      <c r="T31" s="1"/>
      <c r="U31" s="1"/>
      <c r="V31" s="1"/>
      <c r="W31" s="1"/>
      <c r="X31" s="1"/>
      <c r="Y31" s="1"/>
      <c r="Z31" s="1"/>
    </row>
    <row r="32" spans="1:26" ht="15.6">
      <c r="A32" s="1"/>
      <c r="B32" s="20"/>
      <c r="C32" s="20"/>
      <c r="D32" s="20"/>
      <c r="E32" s="20"/>
      <c r="F32" s="20"/>
      <c r="G32" s="1"/>
      <c r="H32" s="20"/>
      <c r="I32" s="20"/>
      <c r="J32" s="20"/>
      <c r="K32" s="20"/>
      <c r="L32" s="20"/>
      <c r="M32" s="20"/>
      <c r="N32" s="20"/>
      <c r="O32" s="1"/>
      <c r="P32" s="1"/>
      <c r="Q32" s="1"/>
      <c r="R32" s="1"/>
      <c r="S32" s="1"/>
      <c r="T32" s="1"/>
      <c r="U32" s="1"/>
      <c r="V32" s="1"/>
      <c r="W32" s="1"/>
      <c r="X32" s="1"/>
      <c r="Y32" s="1"/>
      <c r="Z32" s="1"/>
    </row>
    <row r="33" spans="1:26" ht="25.8">
      <c r="A33" s="1"/>
      <c r="B33" s="798" t="s">
        <v>33</v>
      </c>
      <c r="C33" s="799"/>
      <c r="D33" s="799"/>
      <c r="E33" s="799"/>
      <c r="F33" s="800"/>
      <c r="G33" s="1"/>
      <c r="H33" s="20"/>
      <c r="I33" s="20"/>
      <c r="J33" s="20"/>
      <c r="K33" s="20"/>
      <c r="L33" s="20"/>
      <c r="M33" s="20"/>
      <c r="N33" s="20"/>
      <c r="O33" s="1"/>
      <c r="P33" s="1"/>
      <c r="Q33" s="1"/>
      <c r="R33" s="1"/>
      <c r="S33" s="1"/>
      <c r="T33" s="1"/>
      <c r="U33" s="1"/>
      <c r="V33" s="1"/>
      <c r="W33" s="1"/>
      <c r="X33" s="1"/>
      <c r="Y33" s="1"/>
      <c r="Z33" s="1"/>
    </row>
    <row r="34" spans="1:26" ht="25.8">
      <c r="A34" s="1"/>
      <c r="B34" s="28"/>
      <c r="C34" s="28"/>
      <c r="D34" s="28"/>
      <c r="E34" s="28"/>
      <c r="F34" s="28"/>
      <c r="G34" s="1"/>
      <c r="H34" s="20"/>
      <c r="I34" s="20"/>
      <c r="J34" s="20"/>
      <c r="K34" s="20"/>
      <c r="L34" s="20"/>
      <c r="M34" s="20"/>
      <c r="N34" s="20"/>
      <c r="O34" s="1"/>
      <c r="P34" s="1"/>
      <c r="Q34" s="1"/>
      <c r="R34" s="1"/>
      <c r="S34" s="1"/>
      <c r="T34" s="1"/>
      <c r="U34" s="1"/>
      <c r="V34" s="1"/>
      <c r="W34" s="1"/>
      <c r="X34" s="1"/>
      <c r="Y34" s="1"/>
      <c r="Z34" s="1"/>
    </row>
    <row r="35" spans="1:26" ht="25.8">
      <c r="A35" s="1"/>
      <c r="B35" s="798" t="s">
        <v>34</v>
      </c>
      <c r="C35" s="799"/>
      <c r="D35" s="799"/>
      <c r="E35" s="799"/>
      <c r="F35" s="800"/>
      <c r="G35" s="1"/>
      <c r="H35" s="1"/>
      <c r="I35" s="1"/>
      <c r="J35" s="1"/>
      <c r="K35" s="1"/>
      <c r="L35" s="1"/>
      <c r="M35" s="1"/>
      <c r="N35" s="1"/>
      <c r="O35" s="1"/>
      <c r="P35" s="1"/>
      <c r="Q35" s="1"/>
      <c r="R35" s="1"/>
      <c r="S35" s="1"/>
      <c r="T35" s="1"/>
      <c r="U35" s="1"/>
      <c r="V35" s="1"/>
      <c r="W35" s="1"/>
      <c r="X35" s="1"/>
      <c r="Y35" s="1"/>
      <c r="Z35" s="1"/>
    </row>
    <row r="36" spans="1:26" ht="14.4">
      <c r="A36" s="1"/>
      <c r="B36" s="29"/>
      <c r="C36" s="816" t="s">
        <v>35</v>
      </c>
      <c r="D36" s="817"/>
      <c r="E36" s="817"/>
      <c r="F36" s="818"/>
      <c r="G36" s="1"/>
      <c r="H36" s="1"/>
      <c r="I36" s="1"/>
      <c r="J36" s="1"/>
      <c r="K36" s="1"/>
      <c r="L36" s="1"/>
      <c r="M36" s="1"/>
      <c r="N36" s="1"/>
      <c r="O36" s="1"/>
      <c r="P36" s="1"/>
      <c r="Q36" s="1"/>
      <c r="R36" s="1"/>
      <c r="S36" s="1"/>
      <c r="T36" s="1"/>
      <c r="U36" s="1"/>
      <c r="V36" s="1"/>
      <c r="W36" s="1"/>
      <c r="X36" s="1"/>
      <c r="Y36" s="1"/>
      <c r="Z36" s="1"/>
    </row>
    <row r="37" spans="1:26" ht="14.4" hidden="1">
      <c r="A37" s="1"/>
      <c r="B37" s="29"/>
      <c r="C37" s="819"/>
      <c r="D37" s="820"/>
      <c r="E37" s="820"/>
      <c r="F37" s="821"/>
      <c r="G37" s="1"/>
      <c r="H37" s="1"/>
      <c r="I37" s="1"/>
      <c r="J37" s="1"/>
      <c r="K37" s="1"/>
      <c r="L37" s="1"/>
      <c r="M37" s="1"/>
      <c r="N37" s="1"/>
      <c r="O37" s="1"/>
      <c r="P37" s="1"/>
      <c r="Q37" s="1"/>
      <c r="R37" s="1"/>
      <c r="S37" s="1"/>
      <c r="T37" s="1"/>
      <c r="U37" s="1"/>
      <c r="V37" s="1"/>
      <c r="W37" s="1"/>
      <c r="X37" s="1"/>
      <c r="Y37" s="1"/>
      <c r="Z37" s="1"/>
    </row>
    <row r="38" spans="1:26" ht="14.4">
      <c r="A38" s="1"/>
      <c r="B38" s="29"/>
      <c r="C38" s="822"/>
      <c r="D38" s="823"/>
      <c r="E38" s="823"/>
      <c r="F38" s="824"/>
      <c r="G38" s="1"/>
      <c r="H38" s="1"/>
      <c r="I38" s="1"/>
      <c r="J38" s="1"/>
      <c r="K38" s="1"/>
      <c r="L38" s="1"/>
      <c r="M38" s="1"/>
      <c r="N38" s="1"/>
      <c r="O38" s="1"/>
      <c r="P38" s="1"/>
      <c r="Q38" s="1"/>
      <c r="R38" s="1"/>
      <c r="S38" s="1"/>
      <c r="T38" s="1"/>
      <c r="U38" s="1"/>
      <c r="V38" s="1"/>
      <c r="W38" s="1"/>
      <c r="X38" s="1"/>
      <c r="Y38" s="1"/>
      <c r="Z38" s="1"/>
    </row>
    <row r="39" spans="1:26" ht="15.6">
      <c r="A39" s="1"/>
      <c r="B39" s="29"/>
      <c r="C39" s="30" t="s">
        <v>36</v>
      </c>
      <c r="D39" s="30" t="s">
        <v>37</v>
      </c>
      <c r="E39" s="31"/>
      <c r="F39" s="31"/>
      <c r="G39" s="1"/>
      <c r="H39" s="1"/>
      <c r="I39" s="1"/>
      <c r="J39" s="1"/>
      <c r="K39" s="1"/>
      <c r="L39" s="1"/>
      <c r="M39" s="1"/>
      <c r="N39" s="1"/>
      <c r="O39" s="1"/>
      <c r="P39" s="1"/>
      <c r="Q39" s="1"/>
      <c r="R39" s="1"/>
      <c r="S39" s="1"/>
      <c r="T39" s="1"/>
      <c r="U39" s="1"/>
      <c r="V39" s="1"/>
      <c r="W39" s="1"/>
      <c r="X39" s="1"/>
      <c r="Y39" s="1"/>
      <c r="Z39" s="1"/>
    </row>
    <row r="40" spans="1:26" ht="14.4">
      <c r="A40" s="1"/>
      <c r="B40" s="825" t="s">
        <v>38</v>
      </c>
      <c r="C40" s="810" t="s">
        <v>594</v>
      </c>
      <c r="D40" s="813" t="s">
        <v>597</v>
      </c>
      <c r="E40" s="814"/>
      <c r="F40" s="826"/>
      <c r="G40" s="1"/>
      <c r="H40" s="1"/>
      <c r="I40" s="1"/>
      <c r="J40" s="1"/>
      <c r="K40" s="1"/>
      <c r="L40" s="1"/>
      <c r="M40" s="1"/>
      <c r="N40" s="1"/>
      <c r="O40" s="1"/>
      <c r="P40" s="1"/>
      <c r="Q40" s="1"/>
      <c r="R40" s="1"/>
      <c r="S40" s="1"/>
      <c r="T40" s="1"/>
      <c r="U40" s="1"/>
      <c r="V40" s="1"/>
      <c r="W40" s="1"/>
      <c r="X40" s="1"/>
      <c r="Y40" s="1"/>
      <c r="Z40" s="1"/>
    </row>
    <row r="41" spans="1:26" ht="14.4">
      <c r="A41" s="1"/>
      <c r="B41" s="811"/>
      <c r="C41" s="811"/>
      <c r="D41" s="811"/>
      <c r="E41" s="811"/>
      <c r="F41" s="811"/>
      <c r="G41" s="1"/>
      <c r="H41" s="1"/>
      <c r="I41" s="1"/>
      <c r="J41" s="1"/>
      <c r="K41" s="1"/>
      <c r="L41" s="1"/>
      <c r="M41" s="1"/>
      <c r="N41" s="1"/>
      <c r="O41" s="1"/>
      <c r="P41" s="1"/>
      <c r="Q41" s="1"/>
      <c r="R41" s="1"/>
      <c r="S41" s="1"/>
      <c r="T41" s="1"/>
      <c r="U41" s="1"/>
      <c r="V41" s="1"/>
      <c r="W41" s="1"/>
      <c r="X41" s="1"/>
      <c r="Y41" s="1"/>
      <c r="Z41" s="1"/>
    </row>
    <row r="42" spans="1:26" ht="14.4">
      <c r="A42" s="1"/>
      <c r="B42" s="811"/>
      <c r="C42" s="812"/>
      <c r="D42" s="812"/>
      <c r="E42" s="812"/>
      <c r="F42" s="811"/>
      <c r="G42" s="1"/>
      <c r="H42" s="1"/>
      <c r="I42" s="1"/>
      <c r="J42" s="1"/>
      <c r="K42" s="1"/>
      <c r="L42" s="1"/>
      <c r="M42" s="1"/>
      <c r="N42" s="1"/>
      <c r="O42" s="1"/>
      <c r="P42" s="1"/>
      <c r="Q42" s="1"/>
      <c r="R42" s="1"/>
      <c r="S42" s="1"/>
      <c r="T42" s="1"/>
      <c r="U42" s="1"/>
      <c r="V42" s="1"/>
      <c r="W42" s="1"/>
      <c r="X42" s="1"/>
      <c r="Y42" s="1"/>
      <c r="Z42" s="1"/>
    </row>
    <row r="43" spans="1:26" ht="14.4">
      <c r="A43" s="1"/>
      <c r="B43" s="811"/>
      <c r="C43" s="810" t="s">
        <v>595</v>
      </c>
      <c r="D43" s="813" t="s">
        <v>598</v>
      </c>
      <c r="E43" s="814"/>
      <c r="F43" s="811"/>
      <c r="G43" s="1"/>
      <c r="H43" s="1"/>
      <c r="I43" s="1"/>
      <c r="J43" s="1"/>
      <c r="K43" s="1"/>
      <c r="L43" s="1"/>
      <c r="M43" s="1"/>
      <c r="N43" s="1"/>
      <c r="O43" s="1"/>
      <c r="P43" s="1"/>
      <c r="Q43" s="1"/>
      <c r="R43" s="1"/>
      <c r="S43" s="1"/>
      <c r="T43" s="1"/>
      <c r="U43" s="1"/>
      <c r="V43" s="1"/>
      <c r="W43" s="1"/>
      <c r="X43" s="1"/>
      <c r="Y43" s="1"/>
      <c r="Z43" s="1"/>
    </row>
    <row r="44" spans="1:26" ht="14.4">
      <c r="A44" s="1"/>
      <c r="B44" s="811"/>
      <c r="C44" s="811"/>
      <c r="D44" s="811"/>
      <c r="E44" s="811"/>
      <c r="F44" s="811"/>
      <c r="G44" s="1"/>
      <c r="H44" s="1"/>
      <c r="I44" s="1"/>
      <c r="J44" s="1"/>
      <c r="K44" s="1"/>
      <c r="L44" s="1"/>
      <c r="M44" s="1"/>
      <c r="N44" s="1"/>
      <c r="O44" s="1"/>
      <c r="P44" s="1"/>
      <c r="Q44" s="1"/>
      <c r="R44" s="1"/>
      <c r="S44" s="1"/>
      <c r="T44" s="1"/>
      <c r="U44" s="1"/>
      <c r="V44" s="1"/>
      <c r="W44" s="1"/>
      <c r="X44" s="1"/>
      <c r="Y44" s="1"/>
      <c r="Z44" s="1"/>
    </row>
    <row r="45" spans="1:26" ht="14.4">
      <c r="A45" s="1"/>
      <c r="B45" s="811"/>
      <c r="C45" s="812"/>
      <c r="D45" s="812"/>
      <c r="E45" s="812"/>
      <c r="F45" s="811"/>
      <c r="G45" s="1"/>
      <c r="H45" s="1"/>
      <c r="I45" s="1"/>
      <c r="J45" s="1"/>
      <c r="K45" s="1"/>
      <c r="L45" s="1"/>
      <c r="M45" s="1"/>
      <c r="N45" s="1"/>
      <c r="O45" s="1"/>
      <c r="P45" s="1"/>
      <c r="Q45" s="1"/>
      <c r="R45" s="1"/>
      <c r="S45" s="1"/>
      <c r="T45" s="1"/>
      <c r="U45" s="1"/>
      <c r="V45" s="1"/>
      <c r="W45" s="1"/>
      <c r="X45" s="1"/>
      <c r="Y45" s="1"/>
      <c r="Z45" s="1"/>
    </row>
    <row r="46" spans="1:26" ht="14.4">
      <c r="A46" s="1"/>
      <c r="B46" s="811"/>
      <c r="C46" s="810" t="s">
        <v>596</v>
      </c>
      <c r="D46" s="813" t="s">
        <v>599</v>
      </c>
      <c r="E46" s="814"/>
      <c r="F46" s="811"/>
      <c r="G46" s="1"/>
      <c r="H46" s="1"/>
      <c r="I46" s="1"/>
      <c r="J46" s="1"/>
      <c r="K46" s="1"/>
      <c r="L46" s="1"/>
      <c r="M46" s="1"/>
      <c r="N46" s="1"/>
      <c r="O46" s="1"/>
      <c r="P46" s="1"/>
      <c r="Q46" s="1"/>
      <c r="R46" s="1"/>
      <c r="S46" s="1"/>
      <c r="T46" s="1"/>
      <c r="U46" s="1"/>
      <c r="V46" s="1"/>
      <c r="W46" s="1"/>
      <c r="X46" s="1"/>
      <c r="Y46" s="1"/>
      <c r="Z46" s="1"/>
    </row>
    <row r="47" spans="1:26" ht="14.4">
      <c r="A47" s="1"/>
      <c r="B47" s="811"/>
      <c r="C47" s="811"/>
      <c r="D47" s="811"/>
      <c r="E47" s="811"/>
      <c r="F47" s="811"/>
      <c r="G47" s="1"/>
      <c r="H47" s="1"/>
      <c r="I47" s="1"/>
      <c r="J47" s="1"/>
      <c r="K47" s="1"/>
      <c r="L47" s="1"/>
      <c r="M47" s="1"/>
      <c r="N47" s="1"/>
      <c r="O47" s="1"/>
      <c r="P47" s="1"/>
      <c r="Q47" s="1"/>
      <c r="R47" s="1"/>
      <c r="S47" s="1"/>
      <c r="T47" s="1"/>
      <c r="U47" s="1"/>
      <c r="V47" s="1"/>
      <c r="W47" s="1"/>
      <c r="X47" s="1"/>
      <c r="Y47" s="1"/>
      <c r="Z47" s="1"/>
    </row>
    <row r="48" spans="1:26" ht="14.4">
      <c r="A48" s="1"/>
      <c r="B48" s="811"/>
      <c r="C48" s="811"/>
      <c r="D48" s="811"/>
      <c r="E48" s="812"/>
      <c r="F48" s="811"/>
      <c r="G48" s="1"/>
      <c r="H48" s="1"/>
      <c r="I48" s="1"/>
      <c r="J48" s="1"/>
      <c r="K48" s="1"/>
      <c r="L48" s="1"/>
      <c r="M48" s="1"/>
      <c r="N48" s="1"/>
      <c r="O48" s="1"/>
      <c r="P48" s="1"/>
      <c r="Q48" s="1"/>
      <c r="R48" s="1"/>
      <c r="S48" s="1"/>
      <c r="T48" s="1"/>
      <c r="U48" s="1"/>
      <c r="V48" s="1"/>
      <c r="W48" s="1"/>
      <c r="X48" s="1"/>
      <c r="Y48" s="1"/>
      <c r="Z48" s="1"/>
    </row>
    <row r="49" spans="1:26" ht="14.4">
      <c r="A49" s="1"/>
      <c r="B49" s="811"/>
      <c r="C49" s="811"/>
      <c r="D49" s="811"/>
      <c r="E49" s="814"/>
      <c r="F49" s="811"/>
      <c r="G49" s="1"/>
      <c r="H49" s="1"/>
      <c r="I49" s="1"/>
      <c r="J49" s="1"/>
      <c r="K49" s="1"/>
      <c r="L49" s="1"/>
      <c r="M49" s="1"/>
      <c r="N49" s="1"/>
      <c r="O49" s="1"/>
      <c r="P49" s="1"/>
      <c r="Q49" s="1"/>
      <c r="R49" s="1"/>
      <c r="S49" s="1"/>
      <c r="T49" s="1"/>
      <c r="U49" s="1"/>
      <c r="V49" s="1"/>
      <c r="W49" s="1"/>
      <c r="X49" s="1"/>
      <c r="Y49" s="1"/>
      <c r="Z49" s="1"/>
    </row>
    <row r="50" spans="1:26" ht="14.4">
      <c r="A50" s="1"/>
      <c r="B50" s="811"/>
      <c r="C50" s="811"/>
      <c r="D50" s="811"/>
      <c r="E50" s="811"/>
      <c r="F50" s="811"/>
      <c r="G50" s="1"/>
      <c r="H50" s="1"/>
      <c r="I50" s="1"/>
      <c r="J50" s="1"/>
      <c r="K50" s="1"/>
      <c r="L50" s="1"/>
      <c r="M50" s="1"/>
      <c r="N50" s="1"/>
      <c r="O50" s="1"/>
      <c r="P50" s="1"/>
      <c r="Q50" s="1"/>
      <c r="R50" s="1"/>
      <c r="S50" s="1"/>
      <c r="T50" s="1"/>
      <c r="U50" s="1"/>
      <c r="V50" s="1"/>
      <c r="W50" s="1"/>
      <c r="X50" s="1"/>
      <c r="Y50" s="1"/>
      <c r="Z50" s="1"/>
    </row>
    <row r="51" spans="1:26" ht="14.4">
      <c r="A51" s="1"/>
      <c r="B51" s="811"/>
      <c r="C51" s="811"/>
      <c r="D51" s="811"/>
      <c r="E51" s="812"/>
      <c r="F51" s="811"/>
      <c r="G51" s="1"/>
      <c r="H51" s="1"/>
      <c r="I51" s="1"/>
      <c r="J51" s="1"/>
      <c r="K51" s="1"/>
      <c r="L51" s="1"/>
      <c r="M51" s="1"/>
      <c r="N51" s="1"/>
      <c r="O51" s="1"/>
      <c r="P51" s="1"/>
      <c r="Q51" s="1"/>
      <c r="R51" s="1"/>
      <c r="S51" s="1"/>
      <c r="T51" s="1"/>
      <c r="U51" s="1"/>
      <c r="V51" s="1"/>
      <c r="W51" s="1"/>
      <c r="X51" s="1"/>
      <c r="Y51" s="1"/>
      <c r="Z51" s="1"/>
    </row>
    <row r="52" spans="1:26" ht="14.4">
      <c r="A52" s="1"/>
      <c r="B52" s="811"/>
      <c r="C52" s="811"/>
      <c r="D52" s="811"/>
      <c r="E52" s="814"/>
      <c r="F52" s="811"/>
      <c r="G52" s="1"/>
      <c r="H52" s="1"/>
      <c r="I52" s="1"/>
      <c r="J52" s="1"/>
      <c r="K52" s="1"/>
      <c r="L52" s="1"/>
      <c r="M52" s="1"/>
      <c r="N52" s="1"/>
      <c r="O52" s="1"/>
      <c r="P52" s="1"/>
      <c r="Q52" s="1"/>
      <c r="R52" s="1"/>
      <c r="S52" s="1"/>
      <c r="T52" s="1"/>
      <c r="U52" s="1"/>
      <c r="V52" s="1"/>
      <c r="W52" s="1"/>
      <c r="X52" s="1"/>
      <c r="Y52" s="1"/>
      <c r="Z52" s="1"/>
    </row>
    <row r="53" spans="1:26" ht="14.4">
      <c r="A53" s="1"/>
      <c r="B53" s="812"/>
      <c r="C53" s="812"/>
      <c r="D53" s="812"/>
      <c r="E53" s="812"/>
      <c r="F53" s="812"/>
      <c r="G53" s="1"/>
      <c r="H53" s="1"/>
      <c r="I53" s="1"/>
      <c r="J53" s="1"/>
      <c r="K53" s="1"/>
      <c r="L53" s="1"/>
      <c r="M53" s="1"/>
      <c r="N53" s="1"/>
      <c r="O53" s="1"/>
      <c r="P53" s="1"/>
      <c r="Q53" s="1"/>
      <c r="R53" s="1"/>
      <c r="S53" s="1"/>
      <c r="T53" s="1"/>
      <c r="U53" s="1"/>
      <c r="V53" s="1"/>
      <c r="W53" s="1"/>
      <c r="X53" s="1"/>
      <c r="Y53" s="1"/>
      <c r="Z53" s="1"/>
    </row>
    <row r="54" spans="1:26" ht="14.4">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4">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5.8">
      <c r="A56" s="1"/>
      <c r="B56" s="815" t="s">
        <v>40</v>
      </c>
      <c r="C56" s="799"/>
      <c r="D56" s="800"/>
      <c r="E56" s="1"/>
      <c r="F56" s="1"/>
      <c r="G56" s="1"/>
      <c r="H56" s="1"/>
      <c r="I56" s="1"/>
      <c r="J56" s="1"/>
      <c r="K56" s="1"/>
      <c r="L56" s="1"/>
      <c r="M56" s="1"/>
      <c r="N56" s="1"/>
      <c r="O56" s="1"/>
      <c r="P56" s="1"/>
      <c r="Q56" s="1"/>
      <c r="R56" s="1"/>
      <c r="S56" s="1"/>
      <c r="T56" s="1"/>
      <c r="U56" s="1"/>
      <c r="V56" s="1"/>
      <c r="W56" s="1"/>
      <c r="X56" s="1"/>
      <c r="Y56" s="1"/>
      <c r="Z56" s="1"/>
    </row>
    <row r="57" spans="1:26" ht="16.2" thickBot="1">
      <c r="A57" s="1"/>
      <c r="B57" s="32" t="s">
        <v>41</v>
      </c>
      <c r="C57" s="33" t="s">
        <v>42</v>
      </c>
      <c r="D57" s="34" t="s">
        <v>43</v>
      </c>
      <c r="E57" s="1"/>
      <c r="F57" s="1"/>
      <c r="G57" s="1"/>
      <c r="H57" s="1"/>
      <c r="I57" s="1"/>
      <c r="J57" s="1"/>
      <c r="K57" s="1"/>
      <c r="L57" s="1"/>
      <c r="M57" s="1"/>
      <c r="N57" s="1"/>
      <c r="O57" s="1"/>
      <c r="P57" s="1"/>
      <c r="Q57" s="1"/>
      <c r="R57" s="1"/>
      <c r="S57" s="1"/>
      <c r="T57" s="1"/>
      <c r="U57" s="1"/>
      <c r="V57" s="1"/>
      <c r="W57" s="1"/>
      <c r="X57" s="1"/>
      <c r="Y57" s="1"/>
      <c r="Z57" s="1"/>
    </row>
    <row r="58" spans="1:26" ht="28.8">
      <c r="A58" s="1"/>
      <c r="B58" s="35" t="s">
        <v>594</v>
      </c>
      <c r="C58" s="36">
        <v>190000</v>
      </c>
      <c r="D58" s="37" t="s">
        <v>44</v>
      </c>
      <c r="E58" s="1"/>
      <c r="F58" s="1"/>
      <c r="G58" s="1"/>
      <c r="H58" s="1"/>
      <c r="I58" s="1"/>
      <c r="J58" s="1"/>
      <c r="K58" s="1"/>
      <c r="L58" s="1"/>
      <c r="M58" s="1"/>
      <c r="N58" s="1"/>
      <c r="O58" s="1"/>
      <c r="P58" s="1"/>
      <c r="Q58" s="1"/>
      <c r="R58" s="1"/>
      <c r="S58" s="1"/>
      <c r="T58" s="1"/>
      <c r="U58" s="1"/>
      <c r="V58" s="1"/>
      <c r="W58" s="1"/>
      <c r="X58" s="1"/>
      <c r="Y58" s="1"/>
      <c r="Z58" s="1"/>
    </row>
    <row r="59" spans="1:26" ht="28.8">
      <c r="A59" s="1"/>
      <c r="B59" s="38" t="s">
        <v>595</v>
      </c>
      <c r="C59" s="39">
        <v>240000</v>
      </c>
      <c r="D59" s="40" t="s">
        <v>45</v>
      </c>
      <c r="E59" s="1"/>
      <c r="F59" s="1"/>
      <c r="G59" s="1"/>
      <c r="H59" s="1"/>
      <c r="I59" s="1"/>
      <c r="J59" s="1"/>
      <c r="K59" s="1"/>
      <c r="L59" s="1"/>
      <c r="M59" s="1"/>
      <c r="N59" s="1"/>
      <c r="O59" s="1"/>
      <c r="P59" s="1"/>
      <c r="Q59" s="1"/>
      <c r="R59" s="1"/>
      <c r="S59" s="1"/>
      <c r="T59" s="1"/>
      <c r="U59" s="1"/>
      <c r="V59" s="1"/>
      <c r="W59" s="1"/>
      <c r="X59" s="1"/>
      <c r="Y59" s="1"/>
      <c r="Z59" s="1"/>
    </row>
    <row r="60" spans="1:26" ht="29.4" thickBot="1">
      <c r="A60" s="1"/>
      <c r="B60" s="41" t="s">
        <v>596</v>
      </c>
      <c r="C60" s="42">
        <v>310000</v>
      </c>
      <c r="D60" s="43" t="s">
        <v>46</v>
      </c>
      <c r="E60" s="1"/>
      <c r="F60" s="1"/>
      <c r="G60" s="1"/>
      <c r="H60" s="1"/>
      <c r="I60" s="1"/>
      <c r="J60" s="1"/>
      <c r="K60" s="1"/>
      <c r="L60" s="1"/>
      <c r="M60" s="1"/>
      <c r="N60" s="1"/>
      <c r="O60" s="1"/>
      <c r="P60" s="1"/>
      <c r="Q60" s="1"/>
      <c r="R60" s="1"/>
      <c r="S60" s="1"/>
      <c r="T60" s="1"/>
      <c r="U60" s="1"/>
      <c r="V60" s="1"/>
      <c r="W60" s="1"/>
      <c r="X60" s="1"/>
      <c r="Y60" s="1"/>
      <c r="Z60" s="1"/>
    </row>
    <row r="61" spans="1:26" ht="16.2" thickBot="1">
      <c r="A61" s="1"/>
      <c r="B61" s="44" t="s">
        <v>597</v>
      </c>
      <c r="C61" s="45">
        <v>88000</v>
      </c>
      <c r="D61" s="46" t="s">
        <v>47</v>
      </c>
      <c r="E61" s="4" t="s">
        <v>48</v>
      </c>
      <c r="F61" s="1"/>
      <c r="G61" s="1"/>
      <c r="H61" s="1"/>
      <c r="I61" s="1"/>
      <c r="J61" s="1"/>
      <c r="K61" s="1"/>
      <c r="L61" s="1"/>
      <c r="M61" s="1"/>
      <c r="N61" s="1"/>
      <c r="O61" s="1"/>
      <c r="P61" s="1"/>
      <c r="Q61" s="1"/>
      <c r="R61" s="1"/>
      <c r="S61" s="1"/>
      <c r="T61" s="1"/>
      <c r="U61" s="1"/>
      <c r="V61" s="1"/>
      <c r="W61" s="1"/>
      <c r="X61" s="1"/>
      <c r="Y61" s="1"/>
      <c r="Z61" s="1"/>
    </row>
    <row r="62" spans="1:26" ht="29.4" thickBot="1">
      <c r="A62" s="1"/>
      <c r="B62" s="44" t="s">
        <v>598</v>
      </c>
      <c r="C62" s="47">
        <v>108000</v>
      </c>
      <c r="D62" s="48" t="s">
        <v>49</v>
      </c>
      <c r="E62" s="4" t="s">
        <v>48</v>
      </c>
      <c r="F62" s="1"/>
      <c r="G62" s="1"/>
      <c r="H62" s="1"/>
      <c r="I62" s="1"/>
      <c r="J62" s="1"/>
      <c r="K62" s="1"/>
      <c r="L62" s="1"/>
      <c r="M62" s="1"/>
      <c r="N62" s="1"/>
      <c r="O62" s="1"/>
      <c r="P62" s="1"/>
      <c r="Q62" s="1"/>
      <c r="R62" s="1"/>
      <c r="S62" s="1"/>
      <c r="T62" s="1"/>
      <c r="U62" s="1"/>
      <c r="V62" s="1"/>
      <c r="W62" s="1"/>
      <c r="X62" s="1"/>
      <c r="Y62" s="1"/>
      <c r="Z62" s="1"/>
    </row>
    <row r="63" spans="1:26" ht="43.2">
      <c r="A63" s="1"/>
      <c r="B63" s="44" t="s">
        <v>599</v>
      </c>
      <c r="C63" s="49">
        <v>132000</v>
      </c>
      <c r="D63" s="48" t="s">
        <v>50</v>
      </c>
      <c r="E63" s="4" t="s">
        <v>48</v>
      </c>
      <c r="F63" s="1"/>
      <c r="G63" s="1"/>
      <c r="H63" s="1"/>
      <c r="I63" s="1"/>
      <c r="J63" s="1"/>
      <c r="K63" s="1"/>
      <c r="L63" s="1"/>
      <c r="M63" s="1"/>
      <c r="N63" s="1"/>
      <c r="O63" s="1"/>
      <c r="P63" s="1"/>
      <c r="Q63" s="1"/>
      <c r="R63" s="1"/>
      <c r="S63" s="1"/>
      <c r="T63" s="1"/>
      <c r="U63" s="1"/>
      <c r="V63" s="1"/>
      <c r="W63" s="1"/>
      <c r="X63" s="1"/>
      <c r="Y63" s="1"/>
      <c r="Z63" s="1"/>
    </row>
    <row r="64" spans="1:26" ht="16.2" thickBot="1">
      <c r="A64" s="1"/>
      <c r="B64" s="50"/>
      <c r="C64" s="51"/>
      <c r="D64" s="52"/>
      <c r="E64" s="1"/>
      <c r="F64" s="1"/>
      <c r="G64" s="1"/>
      <c r="H64" s="1"/>
      <c r="I64" s="1"/>
      <c r="J64" s="1"/>
      <c r="K64" s="1"/>
      <c r="L64" s="1"/>
      <c r="M64" s="1"/>
      <c r="N64" s="1"/>
      <c r="O64" s="1"/>
      <c r="P64" s="1"/>
      <c r="Q64" s="1"/>
      <c r="R64" s="1"/>
      <c r="S64" s="1"/>
      <c r="T64" s="1"/>
      <c r="U64" s="1"/>
      <c r="V64" s="1"/>
      <c r="W64" s="1"/>
      <c r="X64" s="1"/>
      <c r="Y64" s="1"/>
      <c r="Z64" s="1"/>
    </row>
    <row r="65" spans="1:26" ht="15.6">
      <c r="A65" s="1"/>
      <c r="B65" s="53"/>
      <c r="C65" s="54"/>
      <c r="D65" s="55"/>
      <c r="E65" s="1"/>
      <c r="F65" s="1"/>
      <c r="G65" s="1"/>
      <c r="H65" s="1"/>
      <c r="I65" s="1"/>
      <c r="J65" s="4"/>
      <c r="K65" s="1"/>
      <c r="L65" s="1"/>
      <c r="M65" s="1"/>
      <c r="N65" s="1"/>
      <c r="O65" s="1"/>
      <c r="P65" s="1"/>
      <c r="Q65" s="1"/>
      <c r="R65" s="1"/>
      <c r="S65" s="1"/>
      <c r="T65" s="1"/>
      <c r="U65" s="1"/>
      <c r="V65" s="1"/>
      <c r="W65" s="1"/>
      <c r="X65" s="1"/>
      <c r="Y65" s="1"/>
      <c r="Z65" s="1"/>
    </row>
    <row r="66" spans="1:26" ht="15.6">
      <c r="A66" s="1"/>
      <c r="B66" s="56"/>
      <c r="C66" s="57"/>
      <c r="D66" s="58"/>
      <c r="E66" s="1"/>
      <c r="F66" s="1"/>
      <c r="G66" s="1"/>
      <c r="H66" s="1"/>
      <c r="I66" s="1"/>
      <c r="J66" s="1"/>
      <c r="K66" s="1"/>
      <c r="L66" s="1"/>
      <c r="M66" s="1"/>
      <c r="N66" s="1"/>
      <c r="O66" s="1"/>
      <c r="P66" s="1"/>
      <c r="Q66" s="1"/>
      <c r="R66" s="1"/>
      <c r="S66" s="1"/>
      <c r="T66" s="1"/>
      <c r="U66" s="1"/>
      <c r="V66" s="1"/>
      <c r="W66" s="1"/>
      <c r="X66" s="1"/>
      <c r="Y66" s="1"/>
      <c r="Z66" s="1"/>
    </row>
    <row r="67" spans="1:26" ht="15.6">
      <c r="A67" s="1"/>
      <c r="B67" s="56"/>
      <c r="C67" s="57"/>
      <c r="D67" s="58"/>
      <c r="E67" s="1"/>
      <c r="F67" s="1"/>
      <c r="G67" s="1"/>
      <c r="H67" s="1"/>
      <c r="I67" s="1"/>
      <c r="J67" s="1"/>
      <c r="K67" s="1"/>
      <c r="L67" s="1"/>
      <c r="M67" s="1"/>
      <c r="N67" s="1"/>
      <c r="O67" s="1"/>
      <c r="P67" s="1"/>
      <c r="Q67" s="1"/>
      <c r="R67" s="1"/>
      <c r="S67" s="1"/>
      <c r="T67" s="1"/>
      <c r="U67" s="1"/>
      <c r="V67" s="1"/>
      <c r="W67" s="1"/>
      <c r="X67" s="1"/>
      <c r="Y67" s="1"/>
      <c r="Z67" s="1"/>
    </row>
    <row r="68" spans="1:26" ht="15.6">
      <c r="A68" s="1"/>
      <c r="B68" s="56"/>
      <c r="C68" s="57"/>
      <c r="D68" s="58"/>
      <c r="E68" s="1"/>
      <c r="F68" s="1"/>
      <c r="G68" s="1"/>
      <c r="H68" s="1"/>
      <c r="I68" s="1"/>
      <c r="J68" s="1"/>
      <c r="K68" s="1"/>
      <c r="L68" s="1"/>
      <c r="M68" s="1"/>
      <c r="N68" s="1"/>
      <c r="O68" s="1"/>
      <c r="P68" s="1"/>
      <c r="Q68" s="1"/>
      <c r="R68" s="1"/>
      <c r="S68" s="1"/>
      <c r="T68" s="1"/>
      <c r="U68" s="1"/>
      <c r="V68" s="1"/>
      <c r="W68" s="1"/>
      <c r="X68" s="1"/>
      <c r="Y68" s="1"/>
      <c r="Z68" s="1"/>
    </row>
    <row r="69" spans="1:26" ht="16.2" thickBot="1">
      <c r="A69" s="1"/>
      <c r="B69" s="59"/>
      <c r="C69" s="60"/>
      <c r="D69" s="61"/>
      <c r="E69" s="1"/>
      <c r="F69" s="1"/>
      <c r="G69" s="1"/>
      <c r="H69" s="1"/>
      <c r="I69" s="1"/>
      <c r="J69" s="1"/>
      <c r="K69" s="1"/>
      <c r="L69" s="1"/>
      <c r="M69" s="1"/>
      <c r="N69" s="1"/>
      <c r="O69" s="1"/>
      <c r="P69" s="1"/>
      <c r="Q69" s="1"/>
      <c r="R69" s="1"/>
      <c r="S69" s="1"/>
      <c r="T69" s="1"/>
      <c r="U69" s="1"/>
      <c r="V69" s="1"/>
      <c r="W69" s="1"/>
      <c r="X69" s="1"/>
      <c r="Y69" s="1"/>
      <c r="Z69" s="1"/>
    </row>
    <row r="70" spans="1:26" ht="16.2" thickBot="1">
      <c r="A70" s="1"/>
      <c r="B70" s="62"/>
      <c r="C70" s="63"/>
      <c r="D70" s="64"/>
      <c r="E70" s="1"/>
      <c r="F70" s="1"/>
      <c r="G70" s="1"/>
      <c r="H70" s="1"/>
      <c r="I70" s="1"/>
      <c r="J70" s="1"/>
      <c r="K70" s="1"/>
      <c r="L70" s="1"/>
      <c r="M70" s="1"/>
      <c r="N70" s="1"/>
      <c r="O70" s="1"/>
      <c r="P70" s="1"/>
      <c r="Q70" s="1"/>
      <c r="R70" s="1"/>
      <c r="S70" s="1"/>
      <c r="T70" s="1"/>
      <c r="U70" s="1"/>
      <c r="V70" s="1"/>
      <c r="W70" s="1"/>
      <c r="X70" s="1"/>
      <c r="Y70" s="1"/>
      <c r="Z70" s="1"/>
    </row>
    <row r="71" spans="1:26" ht="14.4">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4">
      <c r="A72" s="1"/>
      <c r="B72" s="4"/>
      <c r="C72" s="1"/>
      <c r="D72" s="1"/>
      <c r="E72" s="1"/>
      <c r="F72" s="1"/>
      <c r="G72" s="1"/>
      <c r="H72" s="1"/>
      <c r="I72" s="1"/>
      <c r="J72" s="1"/>
      <c r="K72" s="1"/>
      <c r="L72" s="1"/>
      <c r="M72" s="1"/>
      <c r="N72" s="1"/>
      <c r="O72" s="1"/>
      <c r="P72" s="1"/>
      <c r="Q72" s="1"/>
      <c r="R72" s="1"/>
      <c r="S72" s="1"/>
      <c r="T72" s="1"/>
      <c r="U72" s="1"/>
      <c r="V72" s="1"/>
      <c r="W72" s="1"/>
      <c r="X72" s="1"/>
      <c r="Y72" s="1"/>
      <c r="Z72" s="1"/>
    </row>
    <row r="73" spans="1:26" ht="14.4">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4">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4">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4">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4">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4">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4">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4">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4">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4">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sheetData>
  <mergeCells count="24">
    <mergeCell ref="B56:D56"/>
    <mergeCell ref="B33:F33"/>
    <mergeCell ref="B35:F35"/>
    <mergeCell ref="C36:F38"/>
    <mergeCell ref="B40:B53"/>
    <mergeCell ref="D40:D42"/>
    <mergeCell ref="E40:E42"/>
    <mergeCell ref="F40:F53"/>
    <mergeCell ref="C46:C53"/>
    <mergeCell ref="D46:D53"/>
    <mergeCell ref="E46:E48"/>
    <mergeCell ref="E49:E51"/>
    <mergeCell ref="E52:E53"/>
    <mergeCell ref="B16:J16"/>
    <mergeCell ref="A22:D22"/>
    <mergeCell ref="C40:C42"/>
    <mergeCell ref="C43:C45"/>
    <mergeCell ref="D43:D45"/>
    <mergeCell ref="E43:E45"/>
    <mergeCell ref="B3:J3"/>
    <mergeCell ref="B4:J4"/>
    <mergeCell ref="B7:J7"/>
    <mergeCell ref="B8:J8"/>
    <mergeCell ref="B15:J15"/>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398"/>
  <sheetViews>
    <sheetView workbookViewId="0">
      <pane xSplit="2" ySplit="1" topLeftCell="X160" activePane="bottomRight" state="frozen"/>
      <selection pane="topRight" activeCell="C1" sqref="C1"/>
      <selection pane="bottomLeft" activeCell="A2" sqref="A2"/>
      <selection pane="bottomRight" activeCell="AB14" sqref="AB14"/>
    </sheetView>
  </sheetViews>
  <sheetFormatPr baseColWidth="10" defaultColWidth="12.59765625" defaultRowHeight="15" customHeight="1"/>
  <cols>
    <col min="1" max="1" width="39" customWidth="1"/>
    <col min="2" max="2" width="30.59765625" customWidth="1"/>
    <col min="3" max="3" width="25" customWidth="1"/>
    <col min="4" max="4" width="32.59765625" customWidth="1"/>
    <col min="5" max="5" width="13.59765625" customWidth="1"/>
    <col min="6" max="6" width="22.09765625" customWidth="1"/>
    <col min="7" max="7" width="14" customWidth="1"/>
    <col min="8" max="8" width="19.59765625" customWidth="1"/>
    <col min="9" max="9" width="17.09765625" customWidth="1"/>
    <col min="10" max="10" width="20.09765625" customWidth="1"/>
    <col min="11" max="11" width="14" customWidth="1"/>
    <col min="12" max="12" width="19.59765625" customWidth="1"/>
    <col min="13" max="13" width="14.5" customWidth="1"/>
    <col min="14" max="14" width="19.5" customWidth="1"/>
    <col min="15" max="15" width="15.09765625" customWidth="1"/>
    <col min="16" max="16" width="21.69921875" customWidth="1"/>
    <col min="17" max="17" width="14" customWidth="1"/>
    <col min="18" max="18" width="21.5" customWidth="1"/>
    <col min="19" max="19" width="14.19921875" customWidth="1"/>
    <col min="20" max="20" width="21.19921875" customWidth="1"/>
    <col min="21" max="21" width="14" customWidth="1"/>
    <col min="22" max="22" width="19.5" customWidth="1"/>
    <col min="23" max="23" width="17" customWidth="1"/>
    <col min="24" max="24" width="21.09765625" customWidth="1"/>
    <col min="25" max="25" width="14.5" customWidth="1"/>
    <col min="26" max="26" width="18.59765625" customWidth="1"/>
    <col min="27" max="27" width="16.59765625" customWidth="1"/>
    <col min="28" max="28" width="21" customWidth="1"/>
    <col min="29" max="29" width="16.3984375" customWidth="1"/>
    <col min="30" max="44" width="10" customWidth="1"/>
  </cols>
  <sheetData>
    <row r="1" spans="1:44" ht="61.2">
      <c r="A1" s="65"/>
      <c r="B1" s="66" t="s">
        <v>4</v>
      </c>
      <c r="C1" s="65"/>
      <c r="D1" s="65"/>
      <c r="E1" s="65"/>
      <c r="F1" s="65"/>
      <c r="G1" s="67"/>
      <c r="H1" s="67"/>
      <c r="I1" s="67"/>
      <c r="J1" s="67"/>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1"/>
    </row>
    <row r="2" spans="1:44" ht="14.4">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14.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14.4">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row>
    <row r="5" spans="1:44" ht="25.8">
      <c r="A5" s="1"/>
      <c r="B5" s="798" t="s">
        <v>51</v>
      </c>
      <c r="C5" s="799"/>
      <c r="D5" s="800"/>
      <c r="E5" s="1"/>
      <c r="F5" s="1"/>
      <c r="G5" s="798" t="s">
        <v>52</v>
      </c>
      <c r="H5" s="799"/>
      <c r="I5" s="799"/>
      <c r="J5" s="799"/>
      <c r="K5" s="799"/>
      <c r="L5" s="800"/>
      <c r="M5" s="28"/>
      <c r="N5" s="28"/>
      <c r="O5" s="28"/>
      <c r="P5" s="28"/>
      <c r="Q5" s="28"/>
      <c r="R5" s="28"/>
      <c r="S5" s="28"/>
      <c r="T5" s="28"/>
      <c r="U5" s="28"/>
      <c r="V5" s="1"/>
      <c r="W5" s="1"/>
      <c r="X5" s="1"/>
      <c r="Y5" s="1"/>
      <c r="Z5" s="1"/>
      <c r="AA5" s="1"/>
      <c r="AB5" s="1"/>
      <c r="AC5" s="1"/>
      <c r="AD5" s="1"/>
      <c r="AE5" s="1"/>
      <c r="AF5" s="1"/>
      <c r="AG5" s="1"/>
      <c r="AH5" s="1"/>
      <c r="AI5" s="1"/>
      <c r="AJ5" s="1"/>
      <c r="AK5" s="1"/>
      <c r="AL5" s="1"/>
      <c r="AM5" s="1"/>
      <c r="AN5" s="1"/>
      <c r="AO5" s="1"/>
      <c r="AP5" s="1"/>
      <c r="AQ5" s="1"/>
      <c r="AR5" s="1"/>
    </row>
    <row r="6" spans="1:44" ht="14.4">
      <c r="A6" s="68"/>
      <c r="B6" s="69">
        <v>2026</v>
      </c>
      <c r="C6" s="70">
        <v>2027</v>
      </c>
      <c r="D6" s="71">
        <v>2028</v>
      </c>
      <c r="E6" s="1"/>
      <c r="F6" s="1"/>
      <c r="G6" s="853" t="s">
        <v>53</v>
      </c>
      <c r="H6" s="817"/>
      <c r="I6" s="817"/>
      <c r="J6" s="817"/>
      <c r="K6" s="817"/>
      <c r="L6" s="818"/>
      <c r="M6" s="72"/>
      <c r="N6" s="72"/>
      <c r="O6" s="72"/>
      <c r="P6" s="72"/>
      <c r="Q6" s="72"/>
      <c r="R6" s="72"/>
      <c r="S6" s="72"/>
      <c r="T6" s="72"/>
      <c r="U6" s="72"/>
      <c r="V6" s="1"/>
      <c r="W6" s="1"/>
      <c r="X6" s="1"/>
      <c r="Y6" s="1"/>
      <c r="Z6" s="1"/>
      <c r="AA6" s="1"/>
      <c r="AB6" s="1"/>
      <c r="AC6" s="1"/>
      <c r="AD6" s="1"/>
      <c r="AE6" s="1"/>
      <c r="AF6" s="1"/>
      <c r="AG6" s="1"/>
      <c r="AH6" s="1"/>
      <c r="AI6" s="1"/>
      <c r="AJ6" s="1"/>
      <c r="AK6" s="1"/>
      <c r="AL6" s="1"/>
      <c r="AM6" s="1"/>
      <c r="AN6" s="1"/>
      <c r="AO6" s="1"/>
      <c r="AP6" s="1"/>
      <c r="AQ6" s="1"/>
      <c r="AR6" s="1"/>
    </row>
    <row r="7" spans="1:44" ht="14.4">
      <c r="A7" s="68"/>
      <c r="B7" s="73">
        <f>Hipótesis!C24</f>
        <v>0.02</v>
      </c>
      <c r="C7" s="74">
        <f>Hipótesis!C25</f>
        <v>0.06</v>
      </c>
      <c r="D7" s="75">
        <f>Hipótesis!C26</f>
        <v>0.1</v>
      </c>
      <c r="E7" s="1"/>
      <c r="F7" s="1"/>
      <c r="G7" s="819"/>
      <c r="H7" s="820"/>
      <c r="I7" s="820"/>
      <c r="J7" s="820"/>
      <c r="K7" s="820"/>
      <c r="L7" s="821"/>
      <c r="M7" s="72"/>
      <c r="N7" s="72"/>
      <c r="O7" s="72"/>
      <c r="P7" s="72"/>
      <c r="Q7" s="72"/>
      <c r="R7" s="72"/>
      <c r="S7" s="72"/>
      <c r="T7" s="72"/>
      <c r="U7" s="72"/>
      <c r="V7" s="1"/>
      <c r="W7" s="1"/>
      <c r="X7" s="1"/>
      <c r="Y7" s="1"/>
      <c r="Z7" s="1"/>
      <c r="AA7" s="1"/>
      <c r="AB7" s="1"/>
      <c r="AC7" s="1"/>
      <c r="AD7" s="1"/>
      <c r="AE7" s="1"/>
      <c r="AF7" s="1"/>
      <c r="AG7" s="1"/>
      <c r="AH7" s="1"/>
      <c r="AI7" s="1"/>
      <c r="AJ7" s="1"/>
      <c r="AK7" s="1"/>
      <c r="AL7" s="1"/>
      <c r="AM7" s="1"/>
      <c r="AN7" s="1"/>
      <c r="AO7" s="1"/>
      <c r="AP7" s="1"/>
      <c r="AQ7" s="1"/>
      <c r="AR7" s="1"/>
    </row>
    <row r="8" spans="1:44" ht="14.4">
      <c r="A8" s="68"/>
      <c r="B8" s="76">
        <f>Hipótesis!D24</f>
        <v>102480000</v>
      </c>
      <c r="C8" s="77">
        <f>Hipótesis!D25</f>
        <v>307440000</v>
      </c>
      <c r="D8" s="78">
        <f>Hipótesis!D26</f>
        <v>512400000</v>
      </c>
      <c r="E8" s="1"/>
      <c r="F8" s="1"/>
      <c r="G8" s="819"/>
      <c r="H8" s="820"/>
      <c r="I8" s="820"/>
      <c r="J8" s="820"/>
      <c r="K8" s="820"/>
      <c r="L8" s="821"/>
      <c r="M8" s="72"/>
      <c r="N8" s="72"/>
      <c r="O8" s="72"/>
      <c r="P8" s="72"/>
      <c r="Q8" s="72"/>
      <c r="R8" s="72"/>
      <c r="S8" s="72"/>
      <c r="T8" s="72"/>
      <c r="U8" s="72"/>
      <c r="V8" s="1"/>
      <c r="W8" s="1"/>
      <c r="X8" s="1"/>
      <c r="Y8" s="1"/>
      <c r="Z8" s="1"/>
      <c r="AA8" s="1"/>
      <c r="AB8" s="1"/>
      <c r="AC8" s="1"/>
      <c r="AD8" s="1"/>
      <c r="AE8" s="1"/>
      <c r="AF8" s="1"/>
      <c r="AG8" s="1"/>
      <c r="AH8" s="1"/>
      <c r="AI8" s="1"/>
      <c r="AJ8" s="1"/>
      <c r="AK8" s="1"/>
      <c r="AL8" s="1"/>
      <c r="AM8" s="1"/>
      <c r="AN8" s="1"/>
      <c r="AO8" s="1"/>
      <c r="AP8" s="1"/>
      <c r="AQ8" s="1"/>
      <c r="AR8" s="1"/>
    </row>
    <row r="9" spans="1:44" ht="14.4">
      <c r="A9" s="1"/>
      <c r="B9" s="1"/>
      <c r="C9" s="1"/>
      <c r="D9" s="1"/>
      <c r="E9" s="1"/>
      <c r="F9" s="1"/>
      <c r="G9" s="819"/>
      <c r="H9" s="820"/>
      <c r="I9" s="820"/>
      <c r="J9" s="820"/>
      <c r="K9" s="820"/>
      <c r="L9" s="821"/>
      <c r="M9" s="72"/>
      <c r="N9" s="72"/>
      <c r="O9" s="72"/>
      <c r="P9" s="72"/>
      <c r="Q9" s="72"/>
      <c r="R9" s="72"/>
      <c r="S9" s="72"/>
      <c r="T9" s="72"/>
      <c r="U9" s="72"/>
      <c r="V9" s="1"/>
      <c r="W9" s="1"/>
      <c r="X9" s="1"/>
      <c r="Y9" s="1"/>
      <c r="Z9" s="1"/>
      <c r="AA9" s="1"/>
      <c r="AB9" s="1"/>
      <c r="AC9" s="1"/>
      <c r="AD9" s="1"/>
      <c r="AE9" s="1"/>
      <c r="AF9" s="1"/>
      <c r="AG9" s="1"/>
      <c r="AH9" s="1"/>
      <c r="AI9" s="1"/>
      <c r="AJ9" s="1"/>
      <c r="AK9" s="1"/>
      <c r="AL9" s="1"/>
      <c r="AM9" s="1"/>
      <c r="AN9" s="1"/>
      <c r="AO9" s="1"/>
      <c r="AP9" s="1"/>
      <c r="AQ9" s="1"/>
      <c r="AR9" s="1"/>
    </row>
    <row r="10" spans="1:44" ht="14.4">
      <c r="A10" s="1" t="s">
        <v>54</v>
      </c>
      <c r="B10" s="1"/>
      <c r="C10" s="1"/>
      <c r="D10" s="1"/>
      <c r="E10" s="1"/>
      <c r="F10" s="1"/>
      <c r="G10" s="819"/>
      <c r="H10" s="820"/>
      <c r="I10" s="820"/>
      <c r="J10" s="820"/>
      <c r="K10" s="820"/>
      <c r="L10" s="821"/>
      <c r="M10" s="72"/>
      <c r="N10" s="72"/>
      <c r="O10" s="72"/>
      <c r="P10" s="72"/>
      <c r="Q10" s="72"/>
      <c r="R10" s="72"/>
      <c r="S10" s="72"/>
      <c r="T10" s="72"/>
      <c r="U10" s="72"/>
      <c r="V10" s="1"/>
      <c r="W10" s="1"/>
      <c r="X10" s="1"/>
      <c r="Y10" s="1"/>
      <c r="Z10" s="1"/>
      <c r="AA10" s="1"/>
      <c r="AB10" s="1"/>
      <c r="AC10" s="1"/>
      <c r="AD10" s="1"/>
      <c r="AE10" s="1"/>
      <c r="AF10" s="1"/>
      <c r="AG10" s="1"/>
      <c r="AH10" s="1"/>
      <c r="AI10" s="1"/>
      <c r="AJ10" s="1"/>
      <c r="AK10" s="1"/>
      <c r="AL10" s="1"/>
      <c r="AM10" s="1"/>
      <c r="AN10" s="1"/>
      <c r="AO10" s="1"/>
      <c r="AP10" s="1"/>
      <c r="AQ10" s="1"/>
      <c r="AR10" s="1"/>
    </row>
    <row r="11" spans="1:44" ht="14.4">
      <c r="A11" s="1"/>
      <c r="B11" s="1"/>
      <c r="C11" s="1"/>
      <c r="D11" s="1"/>
      <c r="E11" s="1"/>
      <c r="F11" s="1"/>
      <c r="G11" s="819"/>
      <c r="H11" s="820"/>
      <c r="I11" s="820"/>
      <c r="J11" s="820"/>
      <c r="K11" s="820"/>
      <c r="L11" s="821"/>
      <c r="M11" s="72"/>
      <c r="N11" s="72"/>
      <c r="O11" s="72"/>
      <c r="P11" s="72"/>
      <c r="Q11" s="72"/>
      <c r="R11" s="72"/>
      <c r="S11" s="72"/>
      <c r="T11" s="72"/>
      <c r="U11" s="72"/>
      <c r="V11" s="1"/>
      <c r="W11" s="1"/>
      <c r="X11" s="1"/>
      <c r="Y11" s="1"/>
      <c r="Z11" s="1"/>
      <c r="AA11" s="1"/>
      <c r="AB11" s="1"/>
      <c r="AC11" s="1"/>
      <c r="AD11" s="1"/>
      <c r="AE11" s="1"/>
      <c r="AF11" s="1"/>
      <c r="AG11" s="1"/>
      <c r="AH11" s="1"/>
      <c r="AI11" s="1"/>
      <c r="AJ11" s="1"/>
      <c r="AK11" s="1"/>
      <c r="AL11" s="1"/>
      <c r="AM11" s="1"/>
      <c r="AN11" s="1"/>
      <c r="AO11" s="1"/>
      <c r="AP11" s="1"/>
      <c r="AQ11" s="1"/>
      <c r="AR11" s="1"/>
    </row>
    <row r="12" spans="1:44" ht="72" customHeight="1">
      <c r="A12" s="79"/>
      <c r="B12" s="1"/>
      <c r="C12" s="1"/>
      <c r="D12" s="1"/>
      <c r="E12" s="1"/>
      <c r="F12" s="1"/>
      <c r="G12" s="822"/>
      <c r="H12" s="823"/>
      <c r="I12" s="823"/>
      <c r="J12" s="823"/>
      <c r="K12" s="823"/>
      <c r="L12" s="824"/>
      <c r="M12" s="72"/>
      <c r="N12" s="72"/>
      <c r="O12" s="72"/>
      <c r="P12" s="72"/>
      <c r="Q12" s="72"/>
      <c r="R12" s="72"/>
      <c r="S12" s="72"/>
      <c r="T12" s="72"/>
      <c r="U12" s="72"/>
      <c r="V12" s="1"/>
      <c r="W12" s="1"/>
      <c r="X12" s="1"/>
      <c r="Y12" s="1"/>
      <c r="Z12" s="1"/>
      <c r="AA12" s="1"/>
      <c r="AB12" s="1"/>
      <c r="AC12" s="1"/>
      <c r="AD12" s="1"/>
      <c r="AE12" s="1"/>
      <c r="AF12" s="1"/>
      <c r="AG12" s="1"/>
      <c r="AH12" s="1"/>
      <c r="AI12" s="1"/>
      <c r="AJ12" s="1"/>
      <c r="AK12" s="1"/>
      <c r="AL12" s="1"/>
      <c r="AM12" s="1"/>
      <c r="AN12" s="1"/>
      <c r="AO12" s="1"/>
      <c r="AP12" s="1"/>
      <c r="AQ12" s="1"/>
      <c r="AR12" s="1"/>
    </row>
    <row r="13" spans="1:44" ht="14.4">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row>
    <row r="14" spans="1:44" ht="18">
      <c r="A14" s="1"/>
      <c r="B14" s="1"/>
      <c r="C14" s="1"/>
      <c r="D14" s="1"/>
      <c r="E14" s="1"/>
      <c r="F14" s="80"/>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row>
    <row r="15" spans="1:44" ht="25.8">
      <c r="A15" s="847" t="s">
        <v>55</v>
      </c>
      <c r="B15" s="799"/>
      <c r="C15" s="799"/>
      <c r="D15" s="799"/>
      <c r="E15" s="799"/>
      <c r="F15" s="799"/>
      <c r="G15" s="799"/>
      <c r="H15" s="799"/>
      <c r="I15" s="799"/>
      <c r="J15" s="799"/>
      <c r="K15" s="799"/>
      <c r="L15" s="799"/>
      <c r="M15" s="799"/>
      <c r="N15" s="799"/>
      <c r="O15" s="799"/>
      <c r="P15" s="799"/>
      <c r="Q15" s="799"/>
      <c r="R15" s="799"/>
      <c r="S15" s="799"/>
      <c r="T15" s="799"/>
      <c r="U15" s="799"/>
      <c r="V15" s="799"/>
      <c r="W15" s="799"/>
      <c r="X15" s="799"/>
      <c r="Y15" s="799"/>
      <c r="Z15" s="799"/>
      <c r="AA15" s="799"/>
      <c r="AB15" s="800"/>
      <c r="AC15" s="1"/>
      <c r="AD15" s="1"/>
      <c r="AE15" s="1"/>
      <c r="AF15" s="1"/>
      <c r="AG15" s="1"/>
      <c r="AH15" s="1"/>
      <c r="AI15" s="1"/>
      <c r="AJ15" s="1"/>
      <c r="AK15" s="1"/>
      <c r="AL15" s="1"/>
      <c r="AM15" s="1"/>
      <c r="AN15" s="1"/>
      <c r="AO15" s="1"/>
      <c r="AP15" s="1"/>
      <c r="AQ15" s="1"/>
      <c r="AR15" s="1"/>
    </row>
    <row r="16" spans="1:44" ht="14.4">
      <c r="A16" s="854" t="s">
        <v>56</v>
      </c>
      <c r="B16" s="854" t="s">
        <v>42</v>
      </c>
      <c r="C16" s="857" t="s">
        <v>57</v>
      </c>
      <c r="D16" s="828"/>
      <c r="E16" s="837" t="s">
        <v>58</v>
      </c>
      <c r="F16" s="828"/>
      <c r="G16" s="837" t="s">
        <v>59</v>
      </c>
      <c r="H16" s="828"/>
      <c r="I16" s="837" t="s">
        <v>60</v>
      </c>
      <c r="J16" s="828"/>
      <c r="K16" s="837" t="s">
        <v>61</v>
      </c>
      <c r="L16" s="828"/>
      <c r="M16" s="837" t="s">
        <v>62</v>
      </c>
      <c r="N16" s="828"/>
      <c r="O16" s="837" t="s">
        <v>63</v>
      </c>
      <c r="P16" s="828"/>
      <c r="Q16" s="837" t="s">
        <v>64</v>
      </c>
      <c r="R16" s="828"/>
      <c r="S16" s="837" t="s">
        <v>65</v>
      </c>
      <c r="T16" s="828"/>
      <c r="U16" s="837" t="s">
        <v>66</v>
      </c>
      <c r="V16" s="828"/>
      <c r="W16" s="837" t="s">
        <v>67</v>
      </c>
      <c r="X16" s="828"/>
      <c r="Y16" s="837" t="s">
        <v>68</v>
      </c>
      <c r="Z16" s="828"/>
      <c r="AA16" s="837" t="s">
        <v>69</v>
      </c>
      <c r="AB16" s="828"/>
      <c r="AC16" s="1"/>
      <c r="AD16" s="1"/>
      <c r="AE16" s="1"/>
      <c r="AF16" s="1"/>
      <c r="AG16" s="1"/>
      <c r="AH16" s="1"/>
      <c r="AI16" s="1"/>
      <c r="AJ16" s="1"/>
      <c r="AK16" s="1"/>
      <c r="AL16" s="1"/>
      <c r="AM16" s="1"/>
      <c r="AN16" s="1"/>
      <c r="AO16" s="1"/>
      <c r="AP16" s="1"/>
      <c r="AQ16" s="1"/>
      <c r="AR16" s="1"/>
    </row>
    <row r="17" spans="1:44" ht="14.4">
      <c r="A17" s="855"/>
      <c r="B17" s="855"/>
      <c r="C17" s="838" t="s">
        <v>70</v>
      </c>
      <c r="D17" s="840" t="s">
        <v>71</v>
      </c>
      <c r="E17" s="852">
        <f>F32/$D$32</f>
        <v>6.0797799174690512E-2</v>
      </c>
      <c r="F17" s="831"/>
      <c r="G17" s="852">
        <f>H32/$D$32</f>
        <v>5.6396148555708389E-2</v>
      </c>
      <c r="H17" s="831"/>
      <c r="I17" s="852">
        <f>J32/$D$32</f>
        <v>3.0261348005502064E-2</v>
      </c>
      <c r="J17" s="831"/>
      <c r="K17" s="852">
        <f>L32/$D$32</f>
        <v>7.8129298486932605E-2</v>
      </c>
      <c r="L17" s="831"/>
      <c r="M17" s="852">
        <f>N32/$D$32</f>
        <v>4.5116918844566714E-2</v>
      </c>
      <c r="N17" s="831"/>
      <c r="O17" s="852">
        <f>P32/$D$32</f>
        <v>4.5116918844566714E-2</v>
      </c>
      <c r="P17" s="831"/>
      <c r="Q17" s="852">
        <f>R32/$D$32</f>
        <v>9.2984869325997255E-2</v>
      </c>
      <c r="R17" s="831"/>
      <c r="S17" s="852">
        <f>T32/$D$32</f>
        <v>5.9972489683631364E-2</v>
      </c>
      <c r="T17" s="831"/>
      <c r="U17" s="852">
        <f>V32/$D$32</f>
        <v>0.12077028885832188</v>
      </c>
      <c r="V17" s="831"/>
      <c r="W17" s="852">
        <f>X32/$D$32</f>
        <v>0.13892709766162312</v>
      </c>
      <c r="X17" s="831"/>
      <c r="Y17" s="852">
        <f>Z32/$D$32</f>
        <v>0.15708390646492434</v>
      </c>
      <c r="Z17" s="831"/>
      <c r="AA17" s="852">
        <f>AB32/$D$32</f>
        <v>0.11444291609353507</v>
      </c>
      <c r="AB17" s="831"/>
      <c r="AC17" s="1"/>
      <c r="AD17" s="1"/>
      <c r="AE17" s="1"/>
      <c r="AF17" s="1"/>
      <c r="AG17" s="1"/>
      <c r="AH17" s="1"/>
      <c r="AI17" s="1"/>
      <c r="AJ17" s="1"/>
      <c r="AK17" s="1"/>
      <c r="AL17" s="1"/>
      <c r="AM17" s="1"/>
      <c r="AN17" s="1"/>
      <c r="AO17" s="1"/>
      <c r="AP17" s="1"/>
      <c r="AQ17" s="1"/>
      <c r="AR17" s="1"/>
    </row>
    <row r="18" spans="1:44" ht="14.4">
      <c r="A18" s="856"/>
      <c r="B18" s="856"/>
      <c r="C18" s="839"/>
      <c r="D18" s="841"/>
      <c r="E18" s="81" t="s">
        <v>26</v>
      </c>
      <c r="F18" s="82" t="s">
        <v>71</v>
      </c>
      <c r="G18" s="83" t="s">
        <v>26</v>
      </c>
      <c r="H18" s="84" t="s">
        <v>71</v>
      </c>
      <c r="I18" s="83" t="s">
        <v>26</v>
      </c>
      <c r="J18" s="84" t="s">
        <v>71</v>
      </c>
      <c r="K18" s="83" t="s">
        <v>26</v>
      </c>
      <c r="L18" s="84" t="s">
        <v>71</v>
      </c>
      <c r="M18" s="83" t="s">
        <v>26</v>
      </c>
      <c r="N18" s="84" t="s">
        <v>71</v>
      </c>
      <c r="O18" s="83" t="s">
        <v>26</v>
      </c>
      <c r="P18" s="84" t="s">
        <v>71</v>
      </c>
      <c r="Q18" s="83" t="s">
        <v>26</v>
      </c>
      <c r="R18" s="84" t="s">
        <v>71</v>
      </c>
      <c r="S18" s="83" t="s">
        <v>26</v>
      </c>
      <c r="T18" s="84" t="s">
        <v>71</v>
      </c>
      <c r="U18" s="83" t="s">
        <v>26</v>
      </c>
      <c r="V18" s="84" t="s">
        <v>71</v>
      </c>
      <c r="W18" s="83" t="s">
        <v>26</v>
      </c>
      <c r="X18" s="84" t="s">
        <v>71</v>
      </c>
      <c r="Y18" s="83" t="s">
        <v>26</v>
      </c>
      <c r="Z18" s="84" t="s">
        <v>71</v>
      </c>
      <c r="AA18" s="83" t="s">
        <v>26</v>
      </c>
      <c r="AB18" s="84" t="s">
        <v>71</v>
      </c>
      <c r="AC18" s="1"/>
      <c r="AD18" s="1"/>
      <c r="AE18" s="1"/>
      <c r="AF18" s="1"/>
      <c r="AG18" s="1"/>
      <c r="AH18" s="1"/>
      <c r="AI18" s="1"/>
      <c r="AJ18" s="1"/>
      <c r="AK18" s="1"/>
      <c r="AL18" s="1"/>
      <c r="AM18" s="1"/>
      <c r="AN18" s="1"/>
      <c r="AO18" s="1"/>
      <c r="AP18" s="1"/>
      <c r="AQ18" s="1"/>
      <c r="AR18" s="1"/>
    </row>
    <row r="19" spans="1:44" ht="15.6">
      <c r="A19" s="85" t="str">
        <f>Hipótesis!$B$58</f>
        <v>Instalación A</v>
      </c>
      <c r="B19" s="86">
        <f>Hipótesis!C58</f>
        <v>190000</v>
      </c>
      <c r="C19" s="87">
        <f t="shared" ref="C19:C24" si="0">E19+G19+I19+K19+M19+O19+Q19+S19+U19+W19+Y19+AA19</f>
        <v>15</v>
      </c>
      <c r="D19" s="88">
        <f t="shared" ref="D19:D31" si="1">B19*C19</f>
        <v>2850000</v>
      </c>
      <c r="E19" s="89">
        <v>0</v>
      </c>
      <c r="F19" s="90">
        <f>E19*$B$19</f>
        <v>0</v>
      </c>
      <c r="G19" s="89">
        <v>15</v>
      </c>
      <c r="H19" s="90">
        <f t="shared" ref="H19:H25" si="2">G19*$B19</f>
        <v>2850000</v>
      </c>
      <c r="I19" s="89">
        <v>0</v>
      </c>
      <c r="J19" s="90">
        <f>I19*$B$19</f>
        <v>0</v>
      </c>
      <c r="K19" s="89">
        <v>0</v>
      </c>
      <c r="L19" s="90">
        <f>K19*$B$19</f>
        <v>0</v>
      </c>
      <c r="M19" s="89">
        <v>0</v>
      </c>
      <c r="N19" s="90">
        <f>M19*$B$19</f>
        <v>0</v>
      </c>
      <c r="O19" s="89">
        <v>0</v>
      </c>
      <c r="P19" s="90">
        <f>O19*$B$19</f>
        <v>0</v>
      </c>
      <c r="Q19" s="89">
        <v>0</v>
      </c>
      <c r="R19" s="90">
        <f>Q19*$B$19</f>
        <v>0</v>
      </c>
      <c r="S19" s="89">
        <v>0</v>
      </c>
      <c r="T19" s="90">
        <f>S19*$B$19</f>
        <v>0</v>
      </c>
      <c r="U19" s="89">
        <v>0</v>
      </c>
      <c r="V19" s="90">
        <f>U19*$B$19</f>
        <v>0</v>
      </c>
      <c r="W19" s="89">
        <v>0</v>
      </c>
      <c r="X19" s="90">
        <f>W19*$B$19</f>
        <v>0</v>
      </c>
      <c r="Y19" s="89">
        <v>0</v>
      </c>
      <c r="Z19" s="90">
        <f>Y19*$B$19</f>
        <v>0</v>
      </c>
      <c r="AA19" s="89">
        <v>0</v>
      </c>
      <c r="AB19" s="90">
        <f>AA19*$B$19</f>
        <v>0</v>
      </c>
      <c r="AC19" s="1"/>
      <c r="AD19" s="1"/>
      <c r="AE19" s="1"/>
      <c r="AF19" s="1"/>
      <c r="AG19" s="1"/>
      <c r="AH19" s="1"/>
      <c r="AI19" s="1"/>
      <c r="AJ19" s="1"/>
      <c r="AK19" s="1"/>
      <c r="AL19" s="1"/>
      <c r="AM19" s="1"/>
      <c r="AN19" s="1"/>
      <c r="AO19" s="1"/>
      <c r="AP19" s="1"/>
      <c r="AQ19" s="1"/>
      <c r="AR19" s="1"/>
    </row>
    <row r="20" spans="1:44" ht="15.6">
      <c r="A20" s="85" t="str">
        <f>Hipótesis!$B$59</f>
        <v>Instalación B</v>
      </c>
      <c r="B20" s="91">
        <f>Hipótesis!C59</f>
        <v>240000</v>
      </c>
      <c r="C20" s="92">
        <f t="shared" si="0"/>
        <v>30</v>
      </c>
      <c r="D20" s="93">
        <f t="shared" si="1"/>
        <v>7200000</v>
      </c>
      <c r="E20" s="92">
        <v>0</v>
      </c>
      <c r="F20" s="94">
        <f>E20*$B$20</f>
        <v>0</v>
      </c>
      <c r="G20" s="92">
        <v>0</v>
      </c>
      <c r="H20" s="94">
        <f t="shared" si="2"/>
        <v>0</v>
      </c>
      <c r="I20" s="92">
        <v>0</v>
      </c>
      <c r="J20" s="94">
        <f>I20*$B$20</f>
        <v>0</v>
      </c>
      <c r="K20" s="92">
        <v>15</v>
      </c>
      <c r="L20" s="94">
        <f>K20*$B$20</f>
        <v>3600000</v>
      </c>
      <c r="M20" s="92">
        <v>0</v>
      </c>
      <c r="N20" s="94">
        <f>M20*$B$20</f>
        <v>0</v>
      </c>
      <c r="O20" s="92">
        <v>0</v>
      </c>
      <c r="P20" s="94">
        <f>O20*$B$20</f>
        <v>0</v>
      </c>
      <c r="Q20" s="92">
        <v>15</v>
      </c>
      <c r="R20" s="94">
        <f>Q20*$B$20</f>
        <v>3600000</v>
      </c>
      <c r="S20" s="92">
        <v>0</v>
      </c>
      <c r="T20" s="94">
        <f>S20*$B$20</f>
        <v>0</v>
      </c>
      <c r="U20" s="92">
        <v>0</v>
      </c>
      <c r="V20" s="94">
        <f>U20*$B$20</f>
        <v>0</v>
      </c>
      <c r="W20" s="92">
        <v>0</v>
      </c>
      <c r="X20" s="94">
        <f>W20*$B$20</f>
        <v>0</v>
      </c>
      <c r="Y20" s="92">
        <v>0</v>
      </c>
      <c r="Z20" s="94">
        <f>Y20*$B$20</f>
        <v>0</v>
      </c>
      <c r="AA20" s="92">
        <v>0</v>
      </c>
      <c r="AB20" s="94">
        <f>AA20*$B$20</f>
        <v>0</v>
      </c>
      <c r="AC20" s="1"/>
      <c r="AD20" s="1"/>
      <c r="AE20" s="1"/>
      <c r="AF20" s="1"/>
      <c r="AG20" s="1"/>
      <c r="AH20" s="1"/>
      <c r="AI20" s="1"/>
      <c r="AJ20" s="1"/>
      <c r="AK20" s="1"/>
      <c r="AL20" s="1"/>
      <c r="AM20" s="1"/>
      <c r="AN20" s="1"/>
      <c r="AO20" s="1"/>
      <c r="AP20" s="1"/>
      <c r="AQ20" s="1"/>
      <c r="AR20" s="1"/>
    </row>
    <row r="21" spans="1:44" ht="15.6">
      <c r="A21" s="85" t="str">
        <f>Hipótesis!$B$60</f>
        <v>Instalación C</v>
      </c>
      <c r="B21" s="95">
        <f>Hipótesis!C60</f>
        <v>310000</v>
      </c>
      <c r="C21" s="96">
        <f t="shared" si="0"/>
        <v>60</v>
      </c>
      <c r="D21" s="93">
        <f t="shared" si="1"/>
        <v>18600000</v>
      </c>
      <c r="E21" s="97">
        <v>15</v>
      </c>
      <c r="F21" s="98">
        <f>E21*$B$21</f>
        <v>4650000</v>
      </c>
      <c r="G21" s="97">
        <v>0</v>
      </c>
      <c r="H21" s="98">
        <f t="shared" si="2"/>
        <v>0</v>
      </c>
      <c r="I21" s="97">
        <v>0</v>
      </c>
      <c r="J21" s="98">
        <f>I21*$B$21</f>
        <v>0</v>
      </c>
      <c r="K21" s="97">
        <v>0</v>
      </c>
      <c r="L21" s="98">
        <f>K21*$B$21</f>
        <v>0</v>
      </c>
      <c r="M21" s="97">
        <v>0</v>
      </c>
      <c r="N21" s="98">
        <f>M21*$B$21</f>
        <v>0</v>
      </c>
      <c r="O21" s="97">
        <v>0</v>
      </c>
      <c r="P21" s="98">
        <f>O21*$B$21</f>
        <v>0</v>
      </c>
      <c r="Q21" s="97">
        <v>0</v>
      </c>
      <c r="R21" s="98">
        <f>Q21*$B$21</f>
        <v>0</v>
      </c>
      <c r="S21" s="97">
        <v>0</v>
      </c>
      <c r="T21" s="98">
        <f>S21*$B$21</f>
        <v>0</v>
      </c>
      <c r="U21" s="97">
        <v>15</v>
      </c>
      <c r="V21" s="98">
        <f>U21*$B$21</f>
        <v>4650000</v>
      </c>
      <c r="W21" s="97">
        <v>15</v>
      </c>
      <c r="X21" s="98">
        <f>W21*$B$21</f>
        <v>4650000</v>
      </c>
      <c r="Y21" s="97">
        <v>15</v>
      </c>
      <c r="Z21" s="98">
        <f>Y21*$B$21</f>
        <v>4650000</v>
      </c>
      <c r="AA21" s="97">
        <v>0</v>
      </c>
      <c r="AB21" s="98">
        <f>AA21*$B$21</f>
        <v>0</v>
      </c>
      <c r="AC21" s="1"/>
      <c r="AD21" s="1"/>
      <c r="AE21" s="1"/>
      <c r="AF21" s="1"/>
      <c r="AG21" s="1"/>
      <c r="AH21" s="1"/>
      <c r="AI21" s="1"/>
      <c r="AJ21" s="1"/>
      <c r="AK21" s="1"/>
      <c r="AL21" s="1"/>
      <c r="AM21" s="1"/>
      <c r="AN21" s="1"/>
      <c r="AO21" s="1"/>
      <c r="AP21" s="1"/>
      <c r="AQ21" s="1"/>
      <c r="AR21" s="1"/>
    </row>
    <row r="22" spans="1:44" ht="15.6">
      <c r="A22" s="99" t="str">
        <f>Hipótesis!$B$61</f>
        <v>Plan A</v>
      </c>
      <c r="B22" s="100">
        <f>Hipótesis!C61</f>
        <v>88000</v>
      </c>
      <c r="C22" s="101">
        <f t="shared" si="0"/>
        <v>165</v>
      </c>
      <c r="D22" s="102">
        <f t="shared" si="1"/>
        <v>14520000</v>
      </c>
      <c r="E22" s="103">
        <f t="shared" ref="E22:E24" si="3">E19</f>
        <v>0</v>
      </c>
      <c r="F22" s="104">
        <f>E22*$B$22</f>
        <v>0</v>
      </c>
      <c r="G22" s="103">
        <f t="shared" ref="G22:G24" si="4">E22+G19</f>
        <v>15</v>
      </c>
      <c r="H22" s="104">
        <f t="shared" si="2"/>
        <v>1320000</v>
      </c>
      <c r="I22" s="103">
        <f t="shared" ref="I22:I24" si="5">G22+I19</f>
        <v>15</v>
      </c>
      <c r="J22" s="104">
        <f>I22*$B$22</f>
        <v>1320000</v>
      </c>
      <c r="K22" s="103">
        <f t="shared" ref="K22:K24" si="6">I22+K19</f>
        <v>15</v>
      </c>
      <c r="L22" s="104">
        <f>K22*$B$22</f>
        <v>1320000</v>
      </c>
      <c r="M22" s="103">
        <f t="shared" ref="M22:M24" si="7">K22+M19</f>
        <v>15</v>
      </c>
      <c r="N22" s="104">
        <f>M22*$B$22</f>
        <v>1320000</v>
      </c>
      <c r="O22" s="103">
        <f t="shared" ref="O22:O24" si="8">M22+O19</f>
        <v>15</v>
      </c>
      <c r="P22" s="104">
        <f>O22*$B$22</f>
        <v>1320000</v>
      </c>
      <c r="Q22" s="103">
        <f t="shared" ref="Q22:Q24" si="9">O22+Q19</f>
        <v>15</v>
      </c>
      <c r="R22" s="104">
        <f>Q22*$B$22</f>
        <v>1320000</v>
      </c>
      <c r="S22" s="103">
        <f t="shared" ref="S22:S24" si="10">Q22+S19</f>
        <v>15</v>
      </c>
      <c r="T22" s="104">
        <f>S22*$B$22</f>
        <v>1320000</v>
      </c>
      <c r="U22" s="103">
        <f t="shared" ref="U22:U24" si="11">S22+U19</f>
        <v>15</v>
      </c>
      <c r="V22" s="104">
        <f>U22*$B$22</f>
        <v>1320000</v>
      </c>
      <c r="W22" s="103">
        <f t="shared" ref="W22:W24" si="12">U22+W19</f>
        <v>15</v>
      </c>
      <c r="X22" s="104">
        <f>W22*$B$22</f>
        <v>1320000</v>
      </c>
      <c r="Y22" s="103">
        <f t="shared" ref="Y22:Y24" si="13">W22+Y19</f>
        <v>15</v>
      </c>
      <c r="Z22" s="104">
        <f>Y22*$B$22</f>
        <v>1320000</v>
      </c>
      <c r="AA22" s="103">
        <f t="shared" ref="AA22:AA24" si="14">Y22+AA19</f>
        <v>15</v>
      </c>
      <c r="AB22" s="104">
        <f>AA22*$B$22</f>
        <v>1320000</v>
      </c>
      <c r="AC22" s="1"/>
      <c r="AD22" s="1"/>
      <c r="AE22" s="1"/>
      <c r="AF22" s="1"/>
      <c r="AG22" s="1"/>
      <c r="AH22" s="1"/>
      <c r="AI22" s="1"/>
      <c r="AJ22" s="1"/>
      <c r="AK22" s="1"/>
      <c r="AL22" s="1"/>
      <c r="AM22" s="1"/>
      <c r="AN22" s="1"/>
      <c r="AO22" s="1"/>
      <c r="AP22" s="1"/>
      <c r="AQ22" s="1"/>
      <c r="AR22" s="1"/>
    </row>
    <row r="23" spans="1:44" ht="15.6">
      <c r="A23" s="99" t="str">
        <f>Hipótesis!$B$62</f>
        <v>Plan B</v>
      </c>
      <c r="B23" s="105">
        <f>Hipótesis!C62</f>
        <v>108000</v>
      </c>
      <c r="C23" s="106">
        <f t="shared" si="0"/>
        <v>225</v>
      </c>
      <c r="D23" s="107">
        <f t="shared" si="1"/>
        <v>24300000</v>
      </c>
      <c r="E23" s="108">
        <f t="shared" si="3"/>
        <v>0</v>
      </c>
      <c r="F23" s="109">
        <f>E23*$B$23</f>
        <v>0</v>
      </c>
      <c r="G23" s="108">
        <f t="shared" si="4"/>
        <v>0</v>
      </c>
      <c r="H23" s="109">
        <f t="shared" si="2"/>
        <v>0</v>
      </c>
      <c r="I23" s="108">
        <f t="shared" si="5"/>
        <v>0</v>
      </c>
      <c r="J23" s="109">
        <f>I23*$B$23</f>
        <v>0</v>
      </c>
      <c r="K23" s="108">
        <f t="shared" si="6"/>
        <v>15</v>
      </c>
      <c r="L23" s="109">
        <f>K23*$B$23</f>
        <v>1620000</v>
      </c>
      <c r="M23" s="108">
        <f t="shared" si="7"/>
        <v>15</v>
      </c>
      <c r="N23" s="109">
        <f>M23*$B$23</f>
        <v>1620000</v>
      </c>
      <c r="O23" s="108">
        <f t="shared" si="8"/>
        <v>15</v>
      </c>
      <c r="P23" s="109">
        <f>O23*$B$23</f>
        <v>1620000</v>
      </c>
      <c r="Q23" s="108">
        <f t="shared" si="9"/>
        <v>30</v>
      </c>
      <c r="R23" s="109">
        <f>Q23*$B$23</f>
        <v>3240000</v>
      </c>
      <c r="S23" s="108">
        <f t="shared" si="10"/>
        <v>30</v>
      </c>
      <c r="T23" s="109">
        <f>S23*$B$23</f>
        <v>3240000</v>
      </c>
      <c r="U23" s="108">
        <f t="shared" si="11"/>
        <v>30</v>
      </c>
      <c r="V23" s="109">
        <f>U23*$B$23</f>
        <v>3240000</v>
      </c>
      <c r="W23" s="108">
        <f t="shared" si="12"/>
        <v>30</v>
      </c>
      <c r="X23" s="109">
        <f>W23*$B$23</f>
        <v>3240000</v>
      </c>
      <c r="Y23" s="108">
        <f t="shared" si="13"/>
        <v>30</v>
      </c>
      <c r="Z23" s="109">
        <f>Y23*$B$23</f>
        <v>3240000</v>
      </c>
      <c r="AA23" s="108">
        <f t="shared" si="14"/>
        <v>30</v>
      </c>
      <c r="AB23" s="109">
        <f>AA23*$B$23</f>
        <v>3240000</v>
      </c>
      <c r="AC23" s="1"/>
      <c r="AD23" s="1"/>
      <c r="AE23" s="1"/>
      <c r="AF23" s="1"/>
      <c r="AG23" s="1"/>
      <c r="AH23" s="1"/>
      <c r="AI23" s="1"/>
      <c r="AJ23" s="1"/>
      <c r="AK23" s="1"/>
      <c r="AL23" s="1"/>
      <c r="AM23" s="1"/>
      <c r="AN23" s="1"/>
      <c r="AO23" s="1"/>
      <c r="AP23" s="1"/>
      <c r="AQ23" s="1"/>
      <c r="AR23" s="1"/>
    </row>
    <row r="24" spans="1:44" ht="15.6">
      <c r="A24" s="99" t="str">
        <f>Hipótesis!$B$63</f>
        <v>Plan C</v>
      </c>
      <c r="B24" s="105">
        <f>Hipótesis!C63</f>
        <v>132000</v>
      </c>
      <c r="C24" s="106">
        <f t="shared" si="0"/>
        <v>315</v>
      </c>
      <c r="D24" s="107">
        <f t="shared" si="1"/>
        <v>41580000</v>
      </c>
      <c r="E24" s="108">
        <f t="shared" si="3"/>
        <v>15</v>
      </c>
      <c r="F24" s="109">
        <f>E24*$B$24</f>
        <v>1980000</v>
      </c>
      <c r="G24" s="108">
        <f t="shared" si="4"/>
        <v>15</v>
      </c>
      <c r="H24" s="109">
        <f t="shared" si="2"/>
        <v>1980000</v>
      </c>
      <c r="I24" s="108">
        <f t="shared" si="5"/>
        <v>15</v>
      </c>
      <c r="J24" s="109">
        <f>I24*$B$24</f>
        <v>1980000</v>
      </c>
      <c r="K24" s="108">
        <f t="shared" si="6"/>
        <v>15</v>
      </c>
      <c r="L24" s="109">
        <f>K24*$B$24</f>
        <v>1980000</v>
      </c>
      <c r="M24" s="108">
        <f t="shared" si="7"/>
        <v>15</v>
      </c>
      <c r="N24" s="109">
        <f>M24*$B$24</f>
        <v>1980000</v>
      </c>
      <c r="O24" s="108">
        <f t="shared" si="8"/>
        <v>15</v>
      </c>
      <c r="P24" s="109">
        <f>O24*$B$24</f>
        <v>1980000</v>
      </c>
      <c r="Q24" s="108">
        <f t="shared" si="9"/>
        <v>15</v>
      </c>
      <c r="R24" s="109">
        <f>Q24*$B$24</f>
        <v>1980000</v>
      </c>
      <c r="S24" s="108">
        <f t="shared" si="10"/>
        <v>15</v>
      </c>
      <c r="T24" s="109">
        <f>S24*$B$24</f>
        <v>1980000</v>
      </c>
      <c r="U24" s="108">
        <f t="shared" si="11"/>
        <v>30</v>
      </c>
      <c r="V24" s="109">
        <f>U24*$B$24</f>
        <v>3960000</v>
      </c>
      <c r="W24" s="108">
        <f t="shared" si="12"/>
        <v>45</v>
      </c>
      <c r="X24" s="109">
        <f>W24*$B$24</f>
        <v>5940000</v>
      </c>
      <c r="Y24" s="108">
        <f t="shared" si="13"/>
        <v>60</v>
      </c>
      <c r="Z24" s="109">
        <f>Y24*$B$24</f>
        <v>7920000</v>
      </c>
      <c r="AA24" s="108">
        <f t="shared" si="14"/>
        <v>60</v>
      </c>
      <c r="AB24" s="109">
        <f>AA24*$B$24</f>
        <v>7920000</v>
      </c>
      <c r="AC24" s="1"/>
      <c r="AD24" s="1"/>
      <c r="AE24" s="1"/>
      <c r="AF24" s="1"/>
      <c r="AG24" s="1"/>
      <c r="AH24" s="1"/>
      <c r="AI24" s="1"/>
      <c r="AJ24" s="1"/>
      <c r="AK24" s="1"/>
      <c r="AL24" s="1"/>
      <c r="AM24" s="1"/>
      <c r="AN24" s="1"/>
      <c r="AO24" s="1"/>
      <c r="AP24" s="1"/>
      <c r="AQ24" s="1"/>
      <c r="AR24" s="1"/>
    </row>
    <row r="25" spans="1:44" ht="15.6">
      <c r="A25" s="110"/>
      <c r="B25" s="111">
        <f>Hipótesis!C64</f>
        <v>0</v>
      </c>
      <c r="C25" s="112"/>
      <c r="D25" s="113">
        <f t="shared" si="1"/>
        <v>0</v>
      </c>
      <c r="E25" s="114">
        <v>0</v>
      </c>
      <c r="F25" s="115">
        <f>E25*$B$25</f>
        <v>0</v>
      </c>
      <c r="G25" s="114">
        <v>0</v>
      </c>
      <c r="H25" s="115">
        <f t="shared" si="2"/>
        <v>0</v>
      </c>
      <c r="I25" s="114">
        <v>0</v>
      </c>
      <c r="J25" s="115">
        <f>I25*$B$25</f>
        <v>0</v>
      </c>
      <c r="K25" s="114">
        <v>0</v>
      </c>
      <c r="L25" s="115">
        <f>K25*$B$25</f>
        <v>0</v>
      </c>
      <c r="M25" s="114">
        <v>0</v>
      </c>
      <c r="N25" s="115">
        <f>M25*$B$25</f>
        <v>0</v>
      </c>
      <c r="O25" s="114">
        <v>0</v>
      </c>
      <c r="P25" s="115">
        <f>O25*$B$25</f>
        <v>0</v>
      </c>
      <c r="Q25" s="114">
        <v>0</v>
      </c>
      <c r="R25" s="115">
        <f>Q25*$B$25</f>
        <v>0</v>
      </c>
      <c r="S25" s="114">
        <v>0</v>
      </c>
      <c r="T25" s="115">
        <f>S25*$B$25</f>
        <v>0</v>
      </c>
      <c r="U25" s="114">
        <v>0</v>
      </c>
      <c r="V25" s="115">
        <f>U25*$B$25</f>
        <v>0</v>
      </c>
      <c r="W25" s="114">
        <v>0</v>
      </c>
      <c r="X25" s="115">
        <f>W25*$B$25</f>
        <v>0</v>
      </c>
      <c r="Y25" s="114">
        <v>0</v>
      </c>
      <c r="Z25" s="115">
        <f>Y25*$B$25</f>
        <v>0</v>
      </c>
      <c r="AA25" s="114">
        <v>0</v>
      </c>
      <c r="AB25" s="115">
        <f>AA25*$B$25</f>
        <v>0</v>
      </c>
      <c r="AC25" s="1"/>
      <c r="AD25" s="1"/>
      <c r="AE25" s="1"/>
      <c r="AF25" s="1"/>
      <c r="AG25" s="1"/>
      <c r="AH25" s="1"/>
      <c r="AI25" s="1"/>
      <c r="AJ25" s="1"/>
      <c r="AK25" s="1"/>
      <c r="AL25" s="1"/>
      <c r="AM25" s="1"/>
      <c r="AN25" s="1"/>
      <c r="AO25" s="1"/>
      <c r="AP25" s="1"/>
      <c r="AQ25" s="1"/>
      <c r="AR25" s="1"/>
    </row>
    <row r="26" spans="1:44" ht="15.6">
      <c r="A26" s="116"/>
      <c r="B26" s="117">
        <f>Hipótesis!C65</f>
        <v>0</v>
      </c>
      <c r="C26" s="118"/>
      <c r="D26" s="119">
        <f t="shared" si="1"/>
        <v>0</v>
      </c>
      <c r="E26" s="120">
        <v>0</v>
      </c>
      <c r="F26" s="121">
        <v>0</v>
      </c>
      <c r="G26" s="120">
        <v>0</v>
      </c>
      <c r="H26" s="121">
        <v>0</v>
      </c>
      <c r="I26" s="120">
        <v>0</v>
      </c>
      <c r="J26" s="121">
        <v>0</v>
      </c>
      <c r="K26" s="120">
        <v>0</v>
      </c>
      <c r="L26" s="121">
        <v>0</v>
      </c>
      <c r="M26" s="120">
        <v>0</v>
      </c>
      <c r="N26" s="121">
        <v>0</v>
      </c>
      <c r="O26" s="120">
        <v>0</v>
      </c>
      <c r="P26" s="121">
        <v>0</v>
      </c>
      <c r="Q26" s="120">
        <v>0</v>
      </c>
      <c r="R26" s="121">
        <v>0</v>
      </c>
      <c r="S26" s="120">
        <v>0</v>
      </c>
      <c r="T26" s="121">
        <v>0</v>
      </c>
      <c r="U26" s="120">
        <v>0</v>
      </c>
      <c r="V26" s="121">
        <v>0</v>
      </c>
      <c r="W26" s="120">
        <v>0</v>
      </c>
      <c r="X26" s="121">
        <v>0</v>
      </c>
      <c r="Y26" s="120">
        <v>0</v>
      </c>
      <c r="Z26" s="121">
        <v>0</v>
      </c>
      <c r="AA26" s="120">
        <v>0</v>
      </c>
      <c r="AB26" s="121">
        <v>0</v>
      </c>
      <c r="AC26" s="1"/>
      <c r="AD26" s="1"/>
      <c r="AE26" s="1"/>
      <c r="AF26" s="1"/>
      <c r="AG26" s="1"/>
      <c r="AH26" s="1"/>
      <c r="AI26" s="1"/>
      <c r="AJ26" s="1"/>
      <c r="AK26" s="1"/>
      <c r="AL26" s="1"/>
      <c r="AM26" s="1"/>
      <c r="AN26" s="1"/>
      <c r="AO26" s="1"/>
      <c r="AP26" s="1"/>
      <c r="AQ26" s="1"/>
      <c r="AR26" s="1"/>
    </row>
    <row r="27" spans="1:44" ht="15.6">
      <c r="A27" s="122"/>
      <c r="B27" s="123">
        <f>Hipótesis!C66</f>
        <v>0</v>
      </c>
      <c r="C27" s="124"/>
      <c r="D27" s="125">
        <f t="shared" si="1"/>
        <v>0</v>
      </c>
      <c r="E27" s="126">
        <v>0</v>
      </c>
      <c r="F27" s="127">
        <v>0</v>
      </c>
      <c r="G27" s="126">
        <v>0</v>
      </c>
      <c r="H27" s="127">
        <v>0</v>
      </c>
      <c r="I27" s="126">
        <v>0</v>
      </c>
      <c r="J27" s="127">
        <v>0</v>
      </c>
      <c r="K27" s="126">
        <v>0</v>
      </c>
      <c r="L27" s="127">
        <v>0</v>
      </c>
      <c r="M27" s="126">
        <v>0</v>
      </c>
      <c r="N27" s="127">
        <v>0</v>
      </c>
      <c r="O27" s="126">
        <v>0</v>
      </c>
      <c r="P27" s="127">
        <v>0</v>
      </c>
      <c r="Q27" s="126">
        <v>0</v>
      </c>
      <c r="R27" s="127">
        <v>0</v>
      </c>
      <c r="S27" s="126">
        <v>0</v>
      </c>
      <c r="T27" s="127">
        <v>0</v>
      </c>
      <c r="U27" s="126">
        <v>0</v>
      </c>
      <c r="V27" s="127">
        <v>0</v>
      </c>
      <c r="W27" s="126">
        <v>0</v>
      </c>
      <c r="X27" s="127">
        <v>0</v>
      </c>
      <c r="Y27" s="126">
        <v>0</v>
      </c>
      <c r="Z27" s="127">
        <v>0</v>
      </c>
      <c r="AA27" s="126">
        <v>0</v>
      </c>
      <c r="AB27" s="127">
        <v>0</v>
      </c>
      <c r="AC27" s="1"/>
      <c r="AD27" s="1"/>
      <c r="AE27" s="1"/>
      <c r="AF27" s="1"/>
      <c r="AG27" s="1"/>
      <c r="AH27" s="1"/>
      <c r="AI27" s="1"/>
      <c r="AJ27" s="1"/>
      <c r="AK27" s="1"/>
      <c r="AL27" s="1"/>
      <c r="AM27" s="1"/>
      <c r="AN27" s="1"/>
      <c r="AO27" s="1"/>
      <c r="AP27" s="1"/>
      <c r="AQ27" s="1"/>
      <c r="AR27" s="1"/>
    </row>
    <row r="28" spans="1:44" ht="15.6">
      <c r="A28" s="122"/>
      <c r="B28" s="123">
        <f>Hipótesis!C67</f>
        <v>0</v>
      </c>
      <c r="C28" s="124"/>
      <c r="D28" s="125">
        <f t="shared" si="1"/>
        <v>0</v>
      </c>
      <c r="E28" s="126">
        <v>0</v>
      </c>
      <c r="F28" s="127">
        <v>0</v>
      </c>
      <c r="G28" s="126">
        <v>0</v>
      </c>
      <c r="H28" s="127">
        <v>0</v>
      </c>
      <c r="I28" s="126">
        <v>0</v>
      </c>
      <c r="J28" s="127">
        <v>0</v>
      </c>
      <c r="K28" s="126">
        <v>0</v>
      </c>
      <c r="L28" s="127">
        <v>0</v>
      </c>
      <c r="M28" s="126">
        <v>0</v>
      </c>
      <c r="N28" s="127">
        <v>0</v>
      </c>
      <c r="O28" s="126">
        <v>0</v>
      </c>
      <c r="P28" s="127">
        <v>0</v>
      </c>
      <c r="Q28" s="126">
        <v>0</v>
      </c>
      <c r="R28" s="127">
        <v>0</v>
      </c>
      <c r="S28" s="126">
        <v>0</v>
      </c>
      <c r="T28" s="127">
        <v>0</v>
      </c>
      <c r="U28" s="126">
        <v>0</v>
      </c>
      <c r="V28" s="127">
        <v>0</v>
      </c>
      <c r="W28" s="126">
        <v>0</v>
      </c>
      <c r="X28" s="127">
        <v>0</v>
      </c>
      <c r="Y28" s="126">
        <v>0</v>
      </c>
      <c r="Z28" s="127">
        <v>0</v>
      </c>
      <c r="AA28" s="126">
        <v>0</v>
      </c>
      <c r="AB28" s="127">
        <v>0</v>
      </c>
      <c r="AC28" s="1"/>
      <c r="AD28" s="1"/>
      <c r="AE28" s="1"/>
      <c r="AF28" s="1"/>
      <c r="AG28" s="1"/>
      <c r="AH28" s="1"/>
      <c r="AI28" s="1"/>
      <c r="AJ28" s="1"/>
      <c r="AK28" s="1"/>
      <c r="AL28" s="1"/>
      <c r="AM28" s="1"/>
      <c r="AN28" s="1"/>
      <c r="AO28" s="1"/>
      <c r="AP28" s="1"/>
      <c r="AQ28" s="1"/>
      <c r="AR28" s="1"/>
    </row>
    <row r="29" spans="1:44" ht="15.6">
      <c r="A29" s="122"/>
      <c r="B29" s="123">
        <f>Hipótesis!C68</f>
        <v>0</v>
      </c>
      <c r="C29" s="124"/>
      <c r="D29" s="125">
        <f t="shared" si="1"/>
        <v>0</v>
      </c>
      <c r="E29" s="126">
        <v>0</v>
      </c>
      <c r="F29" s="127">
        <v>0</v>
      </c>
      <c r="G29" s="126">
        <v>0</v>
      </c>
      <c r="H29" s="127">
        <v>0</v>
      </c>
      <c r="I29" s="126">
        <v>0</v>
      </c>
      <c r="J29" s="127">
        <v>0</v>
      </c>
      <c r="K29" s="126">
        <v>0</v>
      </c>
      <c r="L29" s="127">
        <v>0</v>
      </c>
      <c r="M29" s="126">
        <v>0</v>
      </c>
      <c r="N29" s="127">
        <v>0</v>
      </c>
      <c r="O29" s="126">
        <v>0</v>
      </c>
      <c r="P29" s="127">
        <v>0</v>
      </c>
      <c r="Q29" s="126">
        <v>0</v>
      </c>
      <c r="R29" s="127">
        <v>0</v>
      </c>
      <c r="S29" s="126">
        <v>0</v>
      </c>
      <c r="T29" s="127">
        <v>0</v>
      </c>
      <c r="U29" s="126">
        <v>0</v>
      </c>
      <c r="V29" s="127">
        <v>0</v>
      </c>
      <c r="W29" s="126">
        <v>0</v>
      </c>
      <c r="X29" s="127">
        <v>0</v>
      </c>
      <c r="Y29" s="126">
        <v>0</v>
      </c>
      <c r="Z29" s="127">
        <v>0</v>
      </c>
      <c r="AA29" s="126">
        <v>0</v>
      </c>
      <c r="AB29" s="127">
        <v>0</v>
      </c>
      <c r="AC29" s="1"/>
      <c r="AD29" s="1"/>
      <c r="AE29" s="1"/>
      <c r="AF29" s="1"/>
      <c r="AG29" s="1"/>
      <c r="AH29" s="1"/>
      <c r="AI29" s="1"/>
      <c r="AJ29" s="1"/>
      <c r="AK29" s="1"/>
      <c r="AL29" s="1"/>
      <c r="AM29" s="1"/>
      <c r="AN29" s="1"/>
      <c r="AO29" s="1"/>
      <c r="AP29" s="1"/>
      <c r="AQ29" s="1"/>
      <c r="AR29" s="1"/>
    </row>
    <row r="30" spans="1:44" ht="15.6">
      <c r="A30" s="128"/>
      <c r="B30" s="129">
        <f>Hipótesis!C69</f>
        <v>0</v>
      </c>
      <c r="C30" s="130"/>
      <c r="D30" s="131">
        <f t="shared" si="1"/>
        <v>0</v>
      </c>
      <c r="E30" s="132">
        <v>0</v>
      </c>
      <c r="F30" s="133">
        <v>0</v>
      </c>
      <c r="G30" s="132">
        <v>0</v>
      </c>
      <c r="H30" s="133">
        <v>0</v>
      </c>
      <c r="I30" s="132">
        <v>0</v>
      </c>
      <c r="J30" s="133">
        <v>0</v>
      </c>
      <c r="K30" s="132">
        <v>0</v>
      </c>
      <c r="L30" s="133">
        <v>0</v>
      </c>
      <c r="M30" s="132">
        <v>0</v>
      </c>
      <c r="N30" s="133">
        <v>0</v>
      </c>
      <c r="O30" s="132">
        <v>0</v>
      </c>
      <c r="P30" s="133">
        <v>0</v>
      </c>
      <c r="Q30" s="132">
        <v>0</v>
      </c>
      <c r="R30" s="133">
        <v>0</v>
      </c>
      <c r="S30" s="132">
        <v>0</v>
      </c>
      <c r="T30" s="133">
        <v>0</v>
      </c>
      <c r="U30" s="132">
        <v>0</v>
      </c>
      <c r="V30" s="133">
        <v>0</v>
      </c>
      <c r="W30" s="132">
        <v>0</v>
      </c>
      <c r="X30" s="133">
        <v>0</v>
      </c>
      <c r="Y30" s="132">
        <v>0</v>
      </c>
      <c r="Z30" s="133">
        <v>0</v>
      </c>
      <c r="AA30" s="132">
        <v>0</v>
      </c>
      <c r="AB30" s="133">
        <v>0</v>
      </c>
      <c r="AC30" s="1"/>
      <c r="AD30" s="1"/>
      <c r="AE30" s="1"/>
      <c r="AF30" s="1"/>
      <c r="AG30" s="1"/>
      <c r="AH30" s="1"/>
      <c r="AI30" s="1"/>
      <c r="AJ30" s="1"/>
      <c r="AK30" s="1"/>
      <c r="AL30" s="1"/>
      <c r="AM30" s="1"/>
      <c r="AN30" s="1"/>
      <c r="AO30" s="1"/>
      <c r="AP30" s="1"/>
      <c r="AQ30" s="1"/>
      <c r="AR30" s="1"/>
    </row>
    <row r="31" spans="1:44" ht="15.6">
      <c r="A31" s="134"/>
      <c r="B31" s="135">
        <f>Hipótesis!C70</f>
        <v>0</v>
      </c>
      <c r="C31" s="136"/>
      <c r="D31" s="137">
        <f t="shared" si="1"/>
        <v>0</v>
      </c>
      <c r="E31" s="138">
        <v>0</v>
      </c>
      <c r="F31" s="139">
        <v>0</v>
      </c>
      <c r="G31" s="138">
        <v>0</v>
      </c>
      <c r="H31" s="139">
        <v>0</v>
      </c>
      <c r="I31" s="138">
        <v>0</v>
      </c>
      <c r="J31" s="139">
        <v>0</v>
      </c>
      <c r="K31" s="138">
        <v>0</v>
      </c>
      <c r="L31" s="139">
        <v>0</v>
      </c>
      <c r="M31" s="138">
        <v>0</v>
      </c>
      <c r="N31" s="139">
        <v>0</v>
      </c>
      <c r="O31" s="138">
        <v>0</v>
      </c>
      <c r="P31" s="139">
        <v>0</v>
      </c>
      <c r="Q31" s="138">
        <v>0</v>
      </c>
      <c r="R31" s="139">
        <v>0</v>
      </c>
      <c r="S31" s="138">
        <v>0</v>
      </c>
      <c r="T31" s="139">
        <v>0</v>
      </c>
      <c r="U31" s="138">
        <v>0</v>
      </c>
      <c r="V31" s="139">
        <v>0</v>
      </c>
      <c r="W31" s="138">
        <v>0</v>
      </c>
      <c r="X31" s="139">
        <v>0</v>
      </c>
      <c r="Y31" s="138">
        <v>0</v>
      </c>
      <c r="Z31" s="139">
        <v>0</v>
      </c>
      <c r="AA31" s="138">
        <v>0</v>
      </c>
      <c r="AB31" s="139">
        <v>0</v>
      </c>
      <c r="AC31" s="1"/>
      <c r="AD31" s="1"/>
      <c r="AE31" s="1"/>
      <c r="AF31" s="1"/>
      <c r="AG31" s="1"/>
      <c r="AH31" s="1"/>
      <c r="AI31" s="1"/>
      <c r="AJ31" s="1"/>
      <c r="AK31" s="1"/>
      <c r="AL31" s="1"/>
      <c r="AM31" s="1"/>
      <c r="AN31" s="1"/>
      <c r="AO31" s="1"/>
      <c r="AP31" s="1"/>
      <c r="AQ31" s="1"/>
      <c r="AR31" s="1"/>
    </row>
    <row r="32" spans="1:44" ht="15.6">
      <c r="A32" s="873" t="s">
        <v>72</v>
      </c>
      <c r="B32" s="828"/>
      <c r="C32" s="140"/>
      <c r="D32" s="141">
        <f>SUM(D19:D31)</f>
        <v>109050000</v>
      </c>
      <c r="E32" s="142"/>
      <c r="F32" s="143">
        <f>SUM(F19:F31)</f>
        <v>6630000</v>
      </c>
      <c r="G32" s="142"/>
      <c r="H32" s="143">
        <f>SUM(H19:H31)</f>
        <v>6150000</v>
      </c>
      <c r="I32" s="142"/>
      <c r="J32" s="143">
        <f>SUM(J19:J31)</f>
        <v>3300000</v>
      </c>
      <c r="K32" s="142"/>
      <c r="L32" s="143">
        <f>SUM(L19:L31)</f>
        <v>8520000</v>
      </c>
      <c r="M32" s="142"/>
      <c r="N32" s="143">
        <f>SUM(N19:N31)</f>
        <v>4920000</v>
      </c>
      <c r="O32" s="142"/>
      <c r="P32" s="143">
        <f>SUM(P19:P31)</f>
        <v>4920000</v>
      </c>
      <c r="Q32" s="142"/>
      <c r="R32" s="143">
        <f>SUM(R19:R31)</f>
        <v>10140000</v>
      </c>
      <c r="S32" s="142"/>
      <c r="T32" s="143">
        <f>SUM(T19:T31)</f>
        <v>6540000</v>
      </c>
      <c r="U32" s="142"/>
      <c r="V32" s="143">
        <f>SUM(V19:V31)</f>
        <v>13170000</v>
      </c>
      <c r="W32" s="142"/>
      <c r="X32" s="143">
        <f>SUM(X19:X31)</f>
        <v>15150000</v>
      </c>
      <c r="Y32" s="142"/>
      <c r="Z32" s="143">
        <f>SUM(Z19:Z31)</f>
        <v>17130000</v>
      </c>
      <c r="AA32" s="142"/>
      <c r="AB32" s="143">
        <f>SUM(AB19:AB31)</f>
        <v>12480000</v>
      </c>
      <c r="AC32" s="144"/>
      <c r="AD32" s="1"/>
      <c r="AE32" s="1"/>
      <c r="AF32" s="1"/>
      <c r="AG32" s="1"/>
      <c r="AH32" s="1"/>
      <c r="AI32" s="1"/>
      <c r="AJ32" s="1"/>
      <c r="AK32" s="1"/>
      <c r="AL32" s="1"/>
      <c r="AM32" s="1"/>
      <c r="AN32" s="1"/>
      <c r="AO32" s="1"/>
      <c r="AP32" s="1"/>
      <c r="AQ32" s="1"/>
      <c r="AR32" s="1"/>
    </row>
    <row r="33" spans="1:44" ht="15.6">
      <c r="A33" s="874"/>
      <c r="B33" s="831"/>
      <c r="C33" s="145">
        <f t="shared" ref="C33:C35" si="15">C19</f>
        <v>15</v>
      </c>
      <c r="D33" s="146"/>
      <c r="E33" s="147">
        <f t="shared" ref="E33:E35" si="16">E19</f>
        <v>0</v>
      </c>
      <c r="F33" s="148"/>
      <c r="G33" s="147">
        <f t="shared" ref="G33:G35" si="17">G19</f>
        <v>15</v>
      </c>
      <c r="H33" s="148"/>
      <c r="I33" s="147">
        <f t="shared" ref="I33:I35" si="18">I19</f>
        <v>0</v>
      </c>
      <c r="J33" s="148"/>
      <c r="K33" s="147">
        <f t="shared" ref="K33:K35" si="19">K19</f>
        <v>0</v>
      </c>
      <c r="L33" s="148"/>
      <c r="M33" s="147">
        <f t="shared" ref="M33:M35" si="20">M19</f>
        <v>0</v>
      </c>
      <c r="N33" s="148"/>
      <c r="O33" s="147">
        <f t="shared" ref="O33:O35" si="21">O19</f>
        <v>0</v>
      </c>
      <c r="P33" s="148"/>
      <c r="Q33" s="147">
        <f t="shared" ref="Q33:Q35" si="22">Q19</f>
        <v>0</v>
      </c>
      <c r="R33" s="148"/>
      <c r="S33" s="147">
        <f t="shared" ref="S33:S35" si="23">S19</f>
        <v>0</v>
      </c>
      <c r="T33" s="148"/>
      <c r="U33" s="147">
        <f t="shared" ref="U33:U35" si="24">U19</f>
        <v>0</v>
      </c>
      <c r="V33" s="148"/>
      <c r="W33" s="147">
        <f t="shared" ref="W33:W35" si="25">W19</f>
        <v>0</v>
      </c>
      <c r="X33" s="148"/>
      <c r="Y33" s="147">
        <f t="shared" ref="Y33:Y35" si="26">Y19</f>
        <v>0</v>
      </c>
      <c r="Z33" s="148"/>
      <c r="AA33" s="147">
        <f t="shared" ref="AA33:AA35" si="27">AA19</f>
        <v>0</v>
      </c>
      <c r="AB33" s="146"/>
      <c r="AC33" s="1"/>
      <c r="AD33" s="1"/>
      <c r="AE33" s="1"/>
      <c r="AF33" s="1"/>
      <c r="AG33" s="1"/>
      <c r="AH33" s="1"/>
      <c r="AI33" s="1"/>
      <c r="AJ33" s="1"/>
      <c r="AK33" s="1"/>
      <c r="AL33" s="1"/>
      <c r="AM33" s="1"/>
      <c r="AN33" s="1"/>
      <c r="AO33" s="1"/>
      <c r="AP33" s="1"/>
      <c r="AQ33" s="1"/>
      <c r="AR33" s="1"/>
    </row>
    <row r="34" spans="1:44" ht="15.6">
      <c r="A34" s="874"/>
      <c r="B34" s="831"/>
      <c r="C34" s="149">
        <f t="shared" si="15"/>
        <v>30</v>
      </c>
      <c r="D34" s="150"/>
      <c r="E34" s="151">
        <f t="shared" si="16"/>
        <v>0</v>
      </c>
      <c r="F34" s="152"/>
      <c r="G34" s="151">
        <f t="shared" si="17"/>
        <v>0</v>
      </c>
      <c r="H34" s="152"/>
      <c r="I34" s="151">
        <f t="shared" si="18"/>
        <v>0</v>
      </c>
      <c r="J34" s="152"/>
      <c r="K34" s="151">
        <f t="shared" si="19"/>
        <v>15</v>
      </c>
      <c r="L34" s="152"/>
      <c r="M34" s="151">
        <f t="shared" si="20"/>
        <v>0</v>
      </c>
      <c r="N34" s="152"/>
      <c r="O34" s="151">
        <f t="shared" si="21"/>
        <v>0</v>
      </c>
      <c r="P34" s="152"/>
      <c r="Q34" s="151">
        <f t="shared" si="22"/>
        <v>15</v>
      </c>
      <c r="R34" s="152"/>
      <c r="S34" s="151">
        <f t="shared" si="23"/>
        <v>0</v>
      </c>
      <c r="T34" s="152"/>
      <c r="U34" s="151">
        <f t="shared" si="24"/>
        <v>0</v>
      </c>
      <c r="V34" s="152"/>
      <c r="W34" s="151">
        <f t="shared" si="25"/>
        <v>0</v>
      </c>
      <c r="X34" s="152"/>
      <c r="Y34" s="151">
        <f t="shared" si="26"/>
        <v>0</v>
      </c>
      <c r="Z34" s="152"/>
      <c r="AA34" s="151">
        <f t="shared" si="27"/>
        <v>0</v>
      </c>
      <c r="AB34" s="150"/>
      <c r="AC34" s="1"/>
      <c r="AD34" s="1"/>
      <c r="AE34" s="1"/>
      <c r="AF34" s="1"/>
      <c r="AG34" s="1"/>
      <c r="AH34" s="1"/>
      <c r="AI34" s="1"/>
      <c r="AJ34" s="1"/>
      <c r="AK34" s="1"/>
      <c r="AL34" s="1"/>
      <c r="AM34" s="1"/>
      <c r="AN34" s="1"/>
      <c r="AO34" s="1"/>
      <c r="AP34" s="1"/>
      <c r="AQ34" s="1"/>
      <c r="AR34" s="1"/>
    </row>
    <row r="35" spans="1:44" ht="15.6">
      <c r="A35" s="875"/>
      <c r="B35" s="834"/>
      <c r="C35" s="153">
        <f t="shared" si="15"/>
        <v>60</v>
      </c>
      <c r="D35" s="154"/>
      <c r="E35" s="155">
        <f t="shared" si="16"/>
        <v>15</v>
      </c>
      <c r="F35" s="156"/>
      <c r="G35" s="155">
        <f t="shared" si="17"/>
        <v>0</v>
      </c>
      <c r="H35" s="156"/>
      <c r="I35" s="155">
        <f t="shared" si="18"/>
        <v>0</v>
      </c>
      <c r="J35" s="156"/>
      <c r="K35" s="155">
        <f t="shared" si="19"/>
        <v>0</v>
      </c>
      <c r="L35" s="156"/>
      <c r="M35" s="155">
        <f t="shared" si="20"/>
        <v>0</v>
      </c>
      <c r="N35" s="156"/>
      <c r="O35" s="155">
        <f t="shared" si="21"/>
        <v>0</v>
      </c>
      <c r="P35" s="156"/>
      <c r="Q35" s="155">
        <f t="shared" si="22"/>
        <v>0</v>
      </c>
      <c r="R35" s="156"/>
      <c r="S35" s="155">
        <f t="shared" si="23"/>
        <v>0</v>
      </c>
      <c r="T35" s="156"/>
      <c r="U35" s="155">
        <f t="shared" si="24"/>
        <v>15</v>
      </c>
      <c r="V35" s="156"/>
      <c r="W35" s="155">
        <f t="shared" si="25"/>
        <v>15</v>
      </c>
      <c r="X35" s="156"/>
      <c r="Y35" s="155">
        <f t="shared" si="26"/>
        <v>15</v>
      </c>
      <c r="Z35" s="156"/>
      <c r="AA35" s="155">
        <f t="shared" si="27"/>
        <v>0</v>
      </c>
      <c r="AB35" s="154"/>
      <c r="AC35" s="1"/>
      <c r="AD35" s="1"/>
      <c r="AE35" s="1"/>
      <c r="AF35" s="1"/>
      <c r="AG35" s="1"/>
      <c r="AH35" s="1"/>
      <c r="AI35" s="1"/>
      <c r="AJ35" s="1"/>
      <c r="AK35" s="1"/>
      <c r="AL35" s="1"/>
      <c r="AM35" s="1"/>
      <c r="AN35" s="1"/>
      <c r="AO35" s="1"/>
      <c r="AP35" s="1"/>
      <c r="AQ35" s="1"/>
      <c r="AR35" s="1"/>
    </row>
    <row r="36" spans="1:44" ht="15.6">
      <c r="A36" s="876"/>
      <c r="B36" s="800"/>
      <c r="C36" s="157">
        <f>SUM(C22:C25)</f>
        <v>705</v>
      </c>
      <c r="D36" s="158"/>
      <c r="E36" s="159">
        <f>SUM(E22:E25)</f>
        <v>15</v>
      </c>
      <c r="F36" s="160"/>
      <c r="G36" s="159">
        <f>SUM(G22:G25)</f>
        <v>30</v>
      </c>
      <c r="H36" s="160"/>
      <c r="I36" s="159">
        <f>SUM(I22:I25)</f>
        <v>30</v>
      </c>
      <c r="J36" s="160"/>
      <c r="K36" s="159">
        <f>SUM(K22:K25)</f>
        <v>45</v>
      </c>
      <c r="L36" s="160"/>
      <c r="M36" s="159">
        <f>SUM(M22:M25)</f>
        <v>45</v>
      </c>
      <c r="N36" s="160"/>
      <c r="O36" s="159">
        <f>SUM(O22:O25)</f>
        <v>45</v>
      </c>
      <c r="P36" s="160"/>
      <c r="Q36" s="159">
        <f>SUM(Q22:Q25)</f>
        <v>60</v>
      </c>
      <c r="R36" s="160"/>
      <c r="S36" s="159">
        <f>SUM(S22:S25)</f>
        <v>60</v>
      </c>
      <c r="T36" s="160"/>
      <c r="U36" s="159">
        <f>SUM(U22:U25)</f>
        <v>75</v>
      </c>
      <c r="V36" s="160"/>
      <c r="W36" s="159">
        <f>SUM(W22:W25)</f>
        <v>90</v>
      </c>
      <c r="X36" s="160"/>
      <c r="Y36" s="159">
        <f>SUM(Y22:Y25)</f>
        <v>105</v>
      </c>
      <c r="Z36" s="160"/>
      <c r="AA36" s="159">
        <f>SUM(AA22:AA25)</f>
        <v>105</v>
      </c>
      <c r="AB36" s="161"/>
      <c r="AC36" s="1"/>
      <c r="AD36" s="1"/>
      <c r="AE36" s="1"/>
      <c r="AF36" s="1"/>
      <c r="AG36" s="1"/>
      <c r="AH36" s="1"/>
      <c r="AI36" s="1"/>
      <c r="AJ36" s="1"/>
      <c r="AK36" s="1"/>
      <c r="AL36" s="1"/>
      <c r="AM36" s="1"/>
      <c r="AN36" s="1"/>
      <c r="AO36" s="1"/>
      <c r="AP36" s="1"/>
      <c r="AQ36" s="1"/>
      <c r="AR36" s="1"/>
    </row>
    <row r="37" spans="1:44" ht="15.6">
      <c r="A37" s="844"/>
      <c r="B37" s="845"/>
      <c r="C37" s="162">
        <f>SUM(C26:C30)</f>
        <v>0</v>
      </c>
      <c r="D37" s="163"/>
      <c r="E37" s="164">
        <f>SUM(E26:E30)</f>
        <v>0</v>
      </c>
      <c r="F37" s="165"/>
      <c r="G37" s="164">
        <f>SUM(G26:G30)</f>
        <v>0</v>
      </c>
      <c r="H37" s="165"/>
      <c r="I37" s="164">
        <f>SUM(I26:I30)</f>
        <v>0</v>
      </c>
      <c r="J37" s="165"/>
      <c r="K37" s="164">
        <f>SUM(K26:K30)</f>
        <v>0</v>
      </c>
      <c r="L37" s="165"/>
      <c r="M37" s="164">
        <f>SUM(M26:M30)</f>
        <v>0</v>
      </c>
      <c r="N37" s="165"/>
      <c r="O37" s="164">
        <f>SUM(O26:O30)</f>
        <v>0</v>
      </c>
      <c r="P37" s="165"/>
      <c r="Q37" s="164">
        <f>SUM(Q26:Q30)</f>
        <v>0</v>
      </c>
      <c r="R37" s="165"/>
      <c r="S37" s="164">
        <f>SUM(S26:S30)</f>
        <v>0</v>
      </c>
      <c r="T37" s="165"/>
      <c r="U37" s="164">
        <f>SUM(U26:U30)</f>
        <v>0</v>
      </c>
      <c r="V37" s="165"/>
      <c r="W37" s="164">
        <f>SUM(W26:W30)</f>
        <v>0</v>
      </c>
      <c r="X37" s="165"/>
      <c r="Y37" s="164">
        <f>SUM(Y26:Y30)</f>
        <v>0</v>
      </c>
      <c r="Z37" s="165"/>
      <c r="AA37" s="164">
        <f>SUM(AA26:AA30)</f>
        <v>0</v>
      </c>
      <c r="AB37" s="166"/>
      <c r="AC37" s="1"/>
      <c r="AD37" s="1"/>
      <c r="AE37" s="1"/>
      <c r="AF37" s="1"/>
      <c r="AG37" s="1"/>
      <c r="AH37" s="1"/>
      <c r="AI37" s="1"/>
      <c r="AJ37" s="1"/>
      <c r="AK37" s="1"/>
      <c r="AL37" s="1"/>
      <c r="AM37" s="1"/>
      <c r="AN37" s="1"/>
      <c r="AO37" s="1"/>
      <c r="AP37" s="1"/>
      <c r="AQ37" s="1"/>
      <c r="AR37" s="1"/>
    </row>
    <row r="38" spans="1:44" ht="15.6">
      <c r="A38" s="846"/>
      <c r="B38" s="800"/>
      <c r="C38" s="167">
        <f>C31</f>
        <v>0</v>
      </c>
      <c r="D38" s="168"/>
      <c r="E38" s="169">
        <f>E31</f>
        <v>0</v>
      </c>
      <c r="F38" s="170"/>
      <c r="G38" s="169">
        <f>G31</f>
        <v>0</v>
      </c>
      <c r="H38" s="170"/>
      <c r="I38" s="169">
        <f>I31</f>
        <v>0</v>
      </c>
      <c r="J38" s="170"/>
      <c r="K38" s="169">
        <f>K31</f>
        <v>0</v>
      </c>
      <c r="L38" s="170"/>
      <c r="M38" s="169">
        <f>M31</f>
        <v>0</v>
      </c>
      <c r="N38" s="170"/>
      <c r="O38" s="169">
        <f>O31</f>
        <v>0</v>
      </c>
      <c r="P38" s="170"/>
      <c r="Q38" s="169">
        <f>Q31</f>
        <v>0</v>
      </c>
      <c r="R38" s="170"/>
      <c r="S38" s="169">
        <f>S31</f>
        <v>0</v>
      </c>
      <c r="T38" s="170"/>
      <c r="U38" s="169">
        <f>U31</f>
        <v>0</v>
      </c>
      <c r="V38" s="170"/>
      <c r="W38" s="169">
        <f>W31</f>
        <v>0</v>
      </c>
      <c r="X38" s="170"/>
      <c r="Y38" s="169">
        <f>Y31</f>
        <v>0</v>
      </c>
      <c r="Z38" s="170"/>
      <c r="AA38" s="169">
        <f>AA31</f>
        <v>0</v>
      </c>
      <c r="AB38" s="171"/>
      <c r="AC38" s="1"/>
      <c r="AD38" s="1"/>
      <c r="AE38" s="1"/>
      <c r="AF38" s="1"/>
      <c r="AG38" s="1"/>
      <c r="AH38" s="1"/>
      <c r="AI38" s="1"/>
      <c r="AJ38" s="1"/>
      <c r="AK38" s="1"/>
      <c r="AL38" s="1"/>
      <c r="AM38" s="1"/>
      <c r="AN38" s="1"/>
      <c r="AO38" s="1"/>
      <c r="AP38" s="1"/>
      <c r="AQ38" s="1"/>
      <c r="AR38" s="1"/>
    </row>
    <row r="39" spans="1:44" ht="14.4">
      <c r="A39" s="1"/>
      <c r="B39" s="1"/>
      <c r="C39" s="1"/>
      <c r="D39" s="172"/>
      <c r="E39" s="1"/>
      <c r="F39" s="1"/>
      <c r="G39" s="1"/>
      <c r="H39" s="1"/>
      <c r="I39" s="173"/>
      <c r="J39" s="173"/>
      <c r="K39" s="173"/>
      <c r="L39" s="173"/>
      <c r="M39" s="1"/>
      <c r="N39" s="173"/>
      <c r="O39" s="173"/>
      <c r="P39" s="173"/>
      <c r="Q39" s="173"/>
      <c r="R39" s="173"/>
      <c r="S39" s="173"/>
      <c r="T39" s="173"/>
      <c r="U39" s="173"/>
      <c r="V39" s="173"/>
      <c r="W39" s="173"/>
      <c r="X39" s="173"/>
      <c r="Y39" s="173"/>
      <c r="Z39" s="173"/>
      <c r="AA39" s="1"/>
      <c r="AB39" s="173"/>
      <c r="AC39" s="1"/>
      <c r="AD39" s="1"/>
      <c r="AE39" s="1"/>
      <c r="AF39" s="1"/>
      <c r="AG39" s="1"/>
      <c r="AH39" s="1"/>
      <c r="AI39" s="1"/>
      <c r="AJ39" s="1"/>
      <c r="AK39" s="1"/>
      <c r="AL39" s="1"/>
      <c r="AM39" s="1"/>
      <c r="AN39" s="1"/>
      <c r="AO39" s="1"/>
      <c r="AP39" s="1"/>
      <c r="AQ39" s="1"/>
      <c r="AR39" s="1"/>
    </row>
    <row r="40" spans="1:44" ht="25.8">
      <c r="A40" s="847" t="s">
        <v>73</v>
      </c>
      <c r="B40" s="799"/>
      <c r="C40" s="799"/>
      <c r="D40" s="799"/>
      <c r="E40" s="799"/>
      <c r="F40" s="799"/>
      <c r="G40" s="799"/>
      <c r="H40" s="799"/>
      <c r="I40" s="799"/>
      <c r="J40" s="799"/>
      <c r="K40" s="799"/>
      <c r="L40" s="799"/>
      <c r="M40" s="799"/>
      <c r="N40" s="799"/>
      <c r="O40" s="799"/>
      <c r="P40" s="799"/>
      <c r="Q40" s="799"/>
      <c r="R40" s="799"/>
      <c r="S40" s="799"/>
      <c r="T40" s="799"/>
      <c r="U40" s="799"/>
      <c r="V40" s="799"/>
      <c r="W40" s="799"/>
      <c r="X40" s="799"/>
      <c r="Y40" s="799"/>
      <c r="Z40" s="799"/>
      <c r="AA40" s="799"/>
      <c r="AB40" s="800"/>
      <c r="AC40" s="1"/>
      <c r="AD40" s="1"/>
      <c r="AE40" s="1"/>
      <c r="AF40" s="1"/>
      <c r="AG40" s="1"/>
      <c r="AH40" s="1"/>
      <c r="AI40" s="1"/>
      <c r="AJ40" s="1"/>
      <c r="AK40" s="1"/>
      <c r="AL40" s="1"/>
      <c r="AM40" s="1"/>
      <c r="AN40" s="1"/>
      <c r="AO40" s="1"/>
      <c r="AP40" s="1"/>
      <c r="AQ40" s="1"/>
      <c r="AR40" s="1"/>
    </row>
    <row r="41" spans="1:44" ht="25.8">
      <c r="A41" s="174" t="s">
        <v>74</v>
      </c>
      <c r="B41" s="848" t="s">
        <v>75</v>
      </c>
      <c r="C41" s="799"/>
      <c r="D41" s="799"/>
      <c r="E41" s="799"/>
      <c r="F41" s="799"/>
      <c r="G41" s="799"/>
      <c r="H41" s="799"/>
      <c r="I41" s="799"/>
      <c r="J41" s="799"/>
      <c r="K41" s="799"/>
      <c r="L41" s="799"/>
      <c r="M41" s="799"/>
      <c r="N41" s="799"/>
      <c r="O41" s="799"/>
      <c r="P41" s="799"/>
      <c r="Q41" s="799"/>
      <c r="R41" s="799"/>
      <c r="S41" s="799"/>
      <c r="T41" s="799"/>
      <c r="U41" s="799"/>
      <c r="V41" s="799"/>
      <c r="W41" s="799"/>
      <c r="X41" s="799"/>
      <c r="Y41" s="799"/>
      <c r="Z41" s="799"/>
      <c r="AA41" s="799"/>
      <c r="AB41" s="800"/>
      <c r="AC41" s="1"/>
      <c r="AD41" s="1"/>
      <c r="AE41" s="1"/>
      <c r="AF41" s="1"/>
      <c r="AG41" s="1"/>
      <c r="AH41" s="1"/>
      <c r="AI41" s="1"/>
      <c r="AJ41" s="1"/>
      <c r="AK41" s="1"/>
      <c r="AL41" s="1"/>
      <c r="AM41" s="1"/>
      <c r="AN41" s="1"/>
      <c r="AO41" s="1"/>
      <c r="AP41" s="1"/>
      <c r="AQ41" s="1"/>
      <c r="AR41" s="1"/>
    </row>
    <row r="42" spans="1:44" ht="21">
      <c r="A42" s="863" t="s">
        <v>76</v>
      </c>
      <c r="B42" s="818"/>
      <c r="C42" s="849" t="s">
        <v>77</v>
      </c>
      <c r="D42" s="851"/>
      <c r="E42" s="849" t="s">
        <v>78</v>
      </c>
      <c r="F42" s="850"/>
      <c r="G42" s="850"/>
      <c r="H42" s="850"/>
      <c r="I42" s="850"/>
      <c r="J42" s="850"/>
      <c r="K42" s="850"/>
      <c r="L42" s="850"/>
      <c r="M42" s="850"/>
      <c r="N42" s="850"/>
      <c r="O42" s="850"/>
      <c r="P42" s="850"/>
      <c r="Q42" s="850"/>
      <c r="R42" s="850"/>
      <c r="S42" s="850"/>
      <c r="T42" s="850"/>
      <c r="U42" s="850"/>
      <c r="V42" s="850"/>
      <c r="W42" s="850"/>
      <c r="X42" s="850"/>
      <c r="Y42" s="850"/>
      <c r="Z42" s="850"/>
      <c r="AA42" s="850"/>
      <c r="AB42" s="851"/>
      <c r="AC42" s="1"/>
      <c r="AD42" s="1"/>
      <c r="AE42" s="1"/>
      <c r="AF42" s="1"/>
      <c r="AG42" s="1"/>
      <c r="AH42" s="1"/>
      <c r="AI42" s="1"/>
      <c r="AJ42" s="1"/>
      <c r="AK42" s="1"/>
      <c r="AL42" s="1"/>
      <c r="AM42" s="1"/>
      <c r="AN42" s="1"/>
      <c r="AO42" s="1"/>
      <c r="AP42" s="1"/>
      <c r="AQ42" s="1"/>
      <c r="AR42" s="1"/>
    </row>
    <row r="43" spans="1:44" ht="14.4">
      <c r="A43" s="864"/>
      <c r="B43" s="865"/>
      <c r="C43" s="866" t="s">
        <v>26</v>
      </c>
      <c r="D43" s="843"/>
      <c r="E43" s="866" t="s">
        <v>58</v>
      </c>
      <c r="F43" s="843"/>
      <c r="G43" s="842" t="s">
        <v>59</v>
      </c>
      <c r="H43" s="843"/>
      <c r="I43" s="842" t="s">
        <v>60</v>
      </c>
      <c r="J43" s="843"/>
      <c r="K43" s="842" t="s">
        <v>61</v>
      </c>
      <c r="L43" s="843"/>
      <c r="M43" s="842" t="s">
        <v>62</v>
      </c>
      <c r="N43" s="843"/>
      <c r="O43" s="842" t="s">
        <v>63</v>
      </c>
      <c r="P43" s="843"/>
      <c r="Q43" s="842" t="s">
        <v>64</v>
      </c>
      <c r="R43" s="843"/>
      <c r="S43" s="842" t="s">
        <v>65</v>
      </c>
      <c r="T43" s="843"/>
      <c r="U43" s="842" t="s">
        <v>66</v>
      </c>
      <c r="V43" s="843"/>
      <c r="W43" s="842" t="s">
        <v>67</v>
      </c>
      <c r="X43" s="843"/>
      <c r="Y43" s="842" t="s">
        <v>68</v>
      </c>
      <c r="Z43" s="843"/>
      <c r="AA43" s="842" t="s">
        <v>69</v>
      </c>
      <c r="AB43" s="843"/>
      <c r="AC43" s="1"/>
      <c r="AD43" s="1"/>
      <c r="AE43" s="1"/>
      <c r="AF43" s="1"/>
      <c r="AG43" s="1"/>
      <c r="AH43" s="1"/>
      <c r="AI43" s="1"/>
      <c r="AJ43" s="1"/>
      <c r="AK43" s="1"/>
      <c r="AL43" s="1"/>
      <c r="AM43" s="1"/>
      <c r="AN43" s="1"/>
      <c r="AO43" s="1"/>
      <c r="AP43" s="1"/>
      <c r="AQ43" s="1"/>
      <c r="AR43" s="1"/>
    </row>
    <row r="44" spans="1:44" ht="14.4">
      <c r="A44" s="867" t="s">
        <v>79</v>
      </c>
      <c r="B44" s="818"/>
      <c r="C44" s="882" t="s">
        <v>80</v>
      </c>
      <c r="D44" s="828"/>
      <c r="E44" s="877" t="s">
        <v>81</v>
      </c>
      <c r="F44" s="828"/>
      <c r="G44" s="858" t="s">
        <v>82</v>
      </c>
      <c r="H44" s="828"/>
      <c r="I44" s="859" t="s">
        <v>82</v>
      </c>
      <c r="J44" s="831"/>
      <c r="K44" s="858" t="s">
        <v>82</v>
      </c>
      <c r="L44" s="828"/>
      <c r="M44" s="859" t="s">
        <v>82</v>
      </c>
      <c r="N44" s="831"/>
      <c r="O44" s="858" t="s">
        <v>82</v>
      </c>
      <c r="P44" s="828"/>
      <c r="Q44" s="859" t="s">
        <v>82</v>
      </c>
      <c r="R44" s="831"/>
      <c r="S44" s="858" t="s">
        <v>82</v>
      </c>
      <c r="T44" s="828"/>
      <c r="U44" s="858" t="s">
        <v>82</v>
      </c>
      <c r="V44" s="828"/>
      <c r="W44" s="858" t="s">
        <v>82</v>
      </c>
      <c r="X44" s="828"/>
      <c r="Y44" s="858" t="s">
        <v>82</v>
      </c>
      <c r="Z44" s="828"/>
      <c r="AA44" s="858" t="s">
        <v>82</v>
      </c>
      <c r="AB44" s="828"/>
      <c r="AC44" s="1"/>
      <c r="AD44" s="1"/>
      <c r="AE44" s="1"/>
      <c r="AF44" s="1"/>
      <c r="AG44" s="1"/>
      <c r="AH44" s="1"/>
      <c r="AI44" s="1"/>
      <c r="AJ44" s="1"/>
      <c r="AK44" s="1"/>
      <c r="AL44" s="1"/>
      <c r="AM44" s="1"/>
      <c r="AN44" s="1"/>
      <c r="AO44" s="1"/>
      <c r="AP44" s="1"/>
      <c r="AQ44" s="1"/>
      <c r="AR44" s="1"/>
    </row>
    <row r="45" spans="1:44" ht="14.4">
      <c r="A45" s="819"/>
      <c r="B45" s="821"/>
      <c r="C45" s="861" t="s">
        <v>83</v>
      </c>
      <c r="D45" s="831"/>
      <c r="E45" s="859" t="s">
        <v>82</v>
      </c>
      <c r="F45" s="831"/>
      <c r="G45" s="859" t="s">
        <v>82</v>
      </c>
      <c r="H45" s="831"/>
      <c r="I45" s="859" t="s">
        <v>82</v>
      </c>
      <c r="J45" s="831"/>
      <c r="K45" s="859" t="s">
        <v>82</v>
      </c>
      <c r="L45" s="831"/>
      <c r="M45" s="859" t="s">
        <v>82</v>
      </c>
      <c r="N45" s="831"/>
      <c r="O45" s="859" t="s">
        <v>82</v>
      </c>
      <c r="P45" s="831"/>
      <c r="Q45" s="859" t="s">
        <v>82</v>
      </c>
      <c r="R45" s="831"/>
      <c r="S45" s="859" t="s">
        <v>82</v>
      </c>
      <c r="T45" s="831"/>
      <c r="U45" s="859" t="s">
        <v>82</v>
      </c>
      <c r="V45" s="831"/>
      <c r="W45" s="859" t="s">
        <v>82</v>
      </c>
      <c r="X45" s="831"/>
      <c r="Y45" s="859" t="s">
        <v>82</v>
      </c>
      <c r="Z45" s="831"/>
      <c r="AA45" s="859" t="s">
        <v>82</v>
      </c>
      <c r="AB45" s="831"/>
      <c r="AC45" s="1"/>
      <c r="AD45" s="1"/>
      <c r="AE45" s="1"/>
      <c r="AF45" s="1"/>
      <c r="AG45" s="1"/>
      <c r="AH45" s="1"/>
      <c r="AI45" s="1"/>
      <c r="AJ45" s="1"/>
      <c r="AK45" s="1"/>
      <c r="AL45" s="1"/>
      <c r="AM45" s="1"/>
      <c r="AN45" s="1"/>
      <c r="AO45" s="1"/>
      <c r="AP45" s="1"/>
      <c r="AQ45" s="1"/>
      <c r="AR45" s="1"/>
    </row>
    <row r="46" spans="1:44" ht="14.4">
      <c r="A46" s="819"/>
      <c r="B46" s="821"/>
      <c r="C46" s="861" t="s">
        <v>84</v>
      </c>
      <c r="D46" s="831"/>
      <c r="E46" s="878" t="s">
        <v>85</v>
      </c>
      <c r="F46" s="831"/>
      <c r="G46" s="859" t="s">
        <v>82</v>
      </c>
      <c r="H46" s="831"/>
      <c r="I46" s="859" t="s">
        <v>82</v>
      </c>
      <c r="J46" s="831"/>
      <c r="K46" s="859" t="s">
        <v>82</v>
      </c>
      <c r="L46" s="831"/>
      <c r="M46" s="859" t="s">
        <v>82</v>
      </c>
      <c r="N46" s="831"/>
      <c r="O46" s="859" t="s">
        <v>82</v>
      </c>
      <c r="P46" s="831"/>
      <c r="Q46" s="859" t="s">
        <v>82</v>
      </c>
      <c r="R46" s="831"/>
      <c r="S46" s="859" t="s">
        <v>82</v>
      </c>
      <c r="T46" s="831"/>
      <c r="U46" s="859" t="s">
        <v>82</v>
      </c>
      <c r="V46" s="831"/>
      <c r="W46" s="859" t="s">
        <v>82</v>
      </c>
      <c r="X46" s="831"/>
      <c r="Y46" s="859" t="s">
        <v>82</v>
      </c>
      <c r="Z46" s="831"/>
      <c r="AA46" s="859" t="s">
        <v>82</v>
      </c>
      <c r="AB46" s="831"/>
      <c r="AC46" s="1"/>
      <c r="AD46" s="1"/>
      <c r="AE46" s="1"/>
      <c r="AF46" s="1"/>
      <c r="AG46" s="1"/>
      <c r="AH46" s="1"/>
      <c r="AI46" s="1"/>
      <c r="AJ46" s="1"/>
      <c r="AK46" s="1"/>
      <c r="AL46" s="1"/>
      <c r="AM46" s="1"/>
      <c r="AN46" s="1"/>
      <c r="AO46" s="1"/>
      <c r="AP46" s="1"/>
      <c r="AQ46" s="1"/>
      <c r="AR46" s="1"/>
    </row>
    <row r="47" spans="1:44" ht="14.4">
      <c r="A47" s="819"/>
      <c r="B47" s="821"/>
      <c r="C47" s="861" t="s">
        <v>86</v>
      </c>
      <c r="D47" s="831"/>
      <c r="E47" s="862" t="s">
        <v>82</v>
      </c>
      <c r="F47" s="831"/>
      <c r="G47" s="859" t="s">
        <v>82</v>
      </c>
      <c r="H47" s="831"/>
      <c r="I47" s="859" t="s">
        <v>82</v>
      </c>
      <c r="J47" s="831"/>
      <c r="K47" s="859" t="s">
        <v>82</v>
      </c>
      <c r="L47" s="831"/>
      <c r="M47" s="859" t="s">
        <v>82</v>
      </c>
      <c r="N47" s="831"/>
      <c r="O47" s="859" t="s">
        <v>82</v>
      </c>
      <c r="P47" s="831"/>
      <c r="Q47" s="860" t="s">
        <v>87</v>
      </c>
      <c r="R47" s="831"/>
      <c r="S47" s="859" t="s">
        <v>82</v>
      </c>
      <c r="T47" s="831"/>
      <c r="U47" s="859" t="s">
        <v>82</v>
      </c>
      <c r="V47" s="831"/>
      <c r="W47" s="859" t="s">
        <v>82</v>
      </c>
      <c r="X47" s="831"/>
      <c r="Y47" s="859" t="s">
        <v>82</v>
      </c>
      <c r="Z47" s="831"/>
      <c r="AA47" s="859" t="s">
        <v>82</v>
      </c>
      <c r="AB47" s="831"/>
      <c r="AC47" s="1"/>
      <c r="AD47" s="1"/>
      <c r="AE47" s="1"/>
      <c r="AF47" s="1"/>
      <c r="AG47" s="1"/>
      <c r="AH47" s="1"/>
      <c r="AI47" s="1"/>
      <c r="AJ47" s="1"/>
      <c r="AK47" s="1"/>
      <c r="AL47" s="1"/>
      <c r="AM47" s="1"/>
      <c r="AN47" s="1"/>
      <c r="AO47" s="1"/>
      <c r="AP47" s="1"/>
      <c r="AQ47" s="1"/>
      <c r="AR47" s="1"/>
    </row>
    <row r="48" spans="1:44" ht="14.4">
      <c r="A48" s="819"/>
      <c r="B48" s="821"/>
      <c r="C48" s="861" t="s">
        <v>88</v>
      </c>
      <c r="D48" s="831"/>
      <c r="E48" s="862" t="s">
        <v>82</v>
      </c>
      <c r="F48" s="831"/>
      <c r="G48" s="859" t="s">
        <v>82</v>
      </c>
      <c r="H48" s="831"/>
      <c r="I48" s="859" t="s">
        <v>82</v>
      </c>
      <c r="J48" s="831"/>
      <c r="K48" s="859" t="s">
        <v>82</v>
      </c>
      <c r="L48" s="831"/>
      <c r="M48" s="859" t="s">
        <v>82</v>
      </c>
      <c r="N48" s="831"/>
      <c r="O48" s="859" t="s">
        <v>82</v>
      </c>
      <c r="P48" s="831"/>
      <c r="Q48" s="859" t="s">
        <v>82</v>
      </c>
      <c r="R48" s="831"/>
      <c r="S48" s="859" t="s">
        <v>82</v>
      </c>
      <c r="T48" s="831"/>
      <c r="U48" s="859" t="s">
        <v>82</v>
      </c>
      <c r="V48" s="831"/>
      <c r="W48" s="899" t="s">
        <v>82</v>
      </c>
      <c r="X48" s="831"/>
      <c r="Y48" s="859" t="s">
        <v>82</v>
      </c>
      <c r="Z48" s="831"/>
      <c r="AA48" s="859" t="s">
        <v>82</v>
      </c>
      <c r="AB48" s="831"/>
      <c r="AC48" s="1"/>
      <c r="AD48" s="1"/>
      <c r="AE48" s="1"/>
      <c r="AF48" s="1"/>
      <c r="AG48" s="1"/>
      <c r="AH48" s="1"/>
      <c r="AI48" s="1"/>
      <c r="AJ48" s="1"/>
      <c r="AK48" s="1"/>
      <c r="AL48" s="1"/>
      <c r="AM48" s="1"/>
      <c r="AN48" s="1"/>
      <c r="AO48" s="1"/>
      <c r="AP48" s="1"/>
      <c r="AQ48" s="1"/>
      <c r="AR48" s="1"/>
    </row>
    <row r="49" spans="1:44" ht="14.4">
      <c r="A49" s="819"/>
      <c r="B49" s="821"/>
      <c r="C49" s="861" t="s">
        <v>89</v>
      </c>
      <c r="D49" s="831"/>
      <c r="E49" s="862" t="s">
        <v>82</v>
      </c>
      <c r="F49" s="831"/>
      <c r="G49" s="859" t="s">
        <v>82</v>
      </c>
      <c r="H49" s="831"/>
      <c r="I49" s="859" t="s">
        <v>82</v>
      </c>
      <c r="J49" s="831"/>
      <c r="K49" s="859" t="s">
        <v>82</v>
      </c>
      <c r="L49" s="831"/>
      <c r="M49" s="859" t="s">
        <v>82</v>
      </c>
      <c r="N49" s="831"/>
      <c r="O49" s="859" t="s">
        <v>82</v>
      </c>
      <c r="P49" s="831"/>
      <c r="Q49" s="859" t="s">
        <v>82</v>
      </c>
      <c r="R49" s="831"/>
      <c r="S49" s="859" t="s">
        <v>82</v>
      </c>
      <c r="T49" s="831"/>
      <c r="U49" s="859" t="s">
        <v>82</v>
      </c>
      <c r="V49" s="831"/>
      <c r="W49" s="899" t="s">
        <v>82</v>
      </c>
      <c r="X49" s="831"/>
      <c r="Y49" s="859" t="s">
        <v>82</v>
      </c>
      <c r="Z49" s="831"/>
      <c r="AA49" s="859" t="s">
        <v>82</v>
      </c>
      <c r="AB49" s="831"/>
      <c r="AC49" s="1"/>
      <c r="AD49" s="1"/>
      <c r="AE49" s="1"/>
      <c r="AF49" s="1"/>
      <c r="AG49" s="1"/>
      <c r="AH49" s="1"/>
      <c r="AI49" s="1"/>
      <c r="AJ49" s="1"/>
      <c r="AK49" s="1"/>
      <c r="AL49" s="1"/>
      <c r="AM49" s="1"/>
      <c r="AN49" s="1"/>
      <c r="AO49" s="1"/>
      <c r="AP49" s="1"/>
      <c r="AQ49" s="1"/>
      <c r="AR49" s="1"/>
    </row>
    <row r="50" spans="1:44" ht="14.4">
      <c r="A50" s="819"/>
      <c r="B50" s="821"/>
      <c r="C50" s="861" t="s">
        <v>90</v>
      </c>
      <c r="D50" s="831"/>
      <c r="E50" s="862" t="s">
        <v>82</v>
      </c>
      <c r="F50" s="831"/>
      <c r="G50" s="859" t="s">
        <v>82</v>
      </c>
      <c r="H50" s="831"/>
      <c r="I50" s="859" t="s">
        <v>82</v>
      </c>
      <c r="J50" s="831"/>
      <c r="K50" s="859" t="s">
        <v>82</v>
      </c>
      <c r="L50" s="831"/>
      <c r="M50" s="859" t="s">
        <v>82</v>
      </c>
      <c r="N50" s="831"/>
      <c r="O50" s="859" t="s">
        <v>82</v>
      </c>
      <c r="P50" s="831"/>
      <c r="Q50" s="859" t="s">
        <v>82</v>
      </c>
      <c r="R50" s="831"/>
      <c r="S50" s="859" t="s">
        <v>82</v>
      </c>
      <c r="T50" s="831"/>
      <c r="U50" s="859" t="s">
        <v>82</v>
      </c>
      <c r="V50" s="831"/>
      <c r="W50" s="899" t="s">
        <v>82</v>
      </c>
      <c r="X50" s="831"/>
      <c r="Y50" s="859" t="s">
        <v>82</v>
      </c>
      <c r="Z50" s="831"/>
      <c r="AA50" s="859" t="s">
        <v>82</v>
      </c>
      <c r="AB50" s="831"/>
      <c r="AC50" s="1"/>
      <c r="AD50" s="1"/>
      <c r="AE50" s="1"/>
      <c r="AF50" s="1"/>
      <c r="AG50" s="1"/>
      <c r="AH50" s="1"/>
      <c r="AI50" s="1"/>
      <c r="AJ50" s="1"/>
      <c r="AK50" s="1"/>
      <c r="AL50" s="1"/>
      <c r="AM50" s="1"/>
      <c r="AN50" s="1"/>
      <c r="AO50" s="1"/>
      <c r="AP50" s="1"/>
      <c r="AQ50" s="1"/>
      <c r="AR50" s="1"/>
    </row>
    <row r="51" spans="1:44" ht="14.4">
      <c r="A51" s="819"/>
      <c r="B51" s="821"/>
      <c r="C51" s="861">
        <v>0</v>
      </c>
      <c r="D51" s="831"/>
      <c r="E51" s="862" t="s">
        <v>82</v>
      </c>
      <c r="F51" s="831"/>
      <c r="G51" s="859" t="s">
        <v>82</v>
      </c>
      <c r="H51" s="831"/>
      <c r="I51" s="859" t="s">
        <v>82</v>
      </c>
      <c r="J51" s="831"/>
      <c r="K51" s="859" t="s">
        <v>82</v>
      </c>
      <c r="L51" s="831"/>
      <c r="M51" s="859" t="s">
        <v>82</v>
      </c>
      <c r="N51" s="831"/>
      <c r="O51" s="859" t="s">
        <v>82</v>
      </c>
      <c r="P51" s="831"/>
      <c r="Q51" s="859" t="s">
        <v>82</v>
      </c>
      <c r="R51" s="831"/>
      <c r="S51" s="859" t="s">
        <v>82</v>
      </c>
      <c r="T51" s="831"/>
      <c r="U51" s="859" t="s">
        <v>82</v>
      </c>
      <c r="V51" s="831"/>
      <c r="W51" s="859" t="s">
        <v>82</v>
      </c>
      <c r="X51" s="831"/>
      <c r="Y51" s="859" t="s">
        <v>82</v>
      </c>
      <c r="Z51" s="831"/>
      <c r="AA51" s="859" t="s">
        <v>82</v>
      </c>
      <c r="AB51" s="831"/>
      <c r="AC51" s="1"/>
      <c r="AD51" s="1"/>
      <c r="AE51" s="1"/>
      <c r="AF51" s="1"/>
      <c r="AG51" s="1"/>
      <c r="AH51" s="1"/>
      <c r="AI51" s="1"/>
      <c r="AJ51" s="1"/>
      <c r="AK51" s="1"/>
      <c r="AL51" s="1"/>
      <c r="AM51" s="1"/>
      <c r="AN51" s="1"/>
      <c r="AO51" s="1"/>
      <c r="AP51" s="1"/>
      <c r="AQ51" s="1"/>
      <c r="AR51" s="1"/>
    </row>
    <row r="52" spans="1:44" ht="14.4">
      <c r="A52" s="819"/>
      <c r="B52" s="821"/>
      <c r="C52" s="861">
        <v>0</v>
      </c>
      <c r="D52" s="831"/>
      <c r="E52" s="862" t="s">
        <v>82</v>
      </c>
      <c r="F52" s="831"/>
      <c r="G52" s="859" t="s">
        <v>82</v>
      </c>
      <c r="H52" s="831"/>
      <c r="I52" s="859" t="s">
        <v>82</v>
      </c>
      <c r="J52" s="831"/>
      <c r="K52" s="859" t="s">
        <v>82</v>
      </c>
      <c r="L52" s="831"/>
      <c r="M52" s="859" t="s">
        <v>82</v>
      </c>
      <c r="N52" s="831"/>
      <c r="O52" s="859" t="s">
        <v>82</v>
      </c>
      <c r="P52" s="831"/>
      <c r="Q52" s="859" t="s">
        <v>82</v>
      </c>
      <c r="R52" s="831"/>
      <c r="S52" s="859" t="s">
        <v>82</v>
      </c>
      <c r="T52" s="831"/>
      <c r="U52" s="859" t="s">
        <v>82</v>
      </c>
      <c r="V52" s="831"/>
      <c r="W52" s="859" t="s">
        <v>82</v>
      </c>
      <c r="X52" s="831"/>
      <c r="Y52" s="859" t="s">
        <v>82</v>
      </c>
      <c r="Z52" s="831"/>
      <c r="AA52" s="859" t="s">
        <v>82</v>
      </c>
      <c r="AB52" s="831"/>
      <c r="AC52" s="1"/>
      <c r="AD52" s="1"/>
      <c r="AE52" s="1"/>
      <c r="AF52" s="1"/>
      <c r="AG52" s="1"/>
      <c r="AH52" s="1"/>
      <c r="AI52" s="1"/>
      <c r="AJ52" s="1"/>
      <c r="AK52" s="1"/>
      <c r="AL52" s="1"/>
      <c r="AM52" s="1"/>
      <c r="AN52" s="1"/>
      <c r="AO52" s="1"/>
      <c r="AP52" s="1"/>
      <c r="AQ52" s="1"/>
      <c r="AR52" s="1"/>
    </row>
    <row r="53" spans="1:44" ht="14.4">
      <c r="A53" s="819"/>
      <c r="B53" s="821"/>
      <c r="C53" s="861">
        <v>0</v>
      </c>
      <c r="D53" s="831"/>
      <c r="E53" s="862" t="s">
        <v>82</v>
      </c>
      <c r="F53" s="831"/>
      <c r="G53" s="859" t="s">
        <v>82</v>
      </c>
      <c r="H53" s="831"/>
      <c r="I53" s="859" t="s">
        <v>82</v>
      </c>
      <c r="J53" s="831"/>
      <c r="K53" s="859" t="s">
        <v>82</v>
      </c>
      <c r="L53" s="831"/>
      <c r="M53" s="859" t="s">
        <v>82</v>
      </c>
      <c r="N53" s="831"/>
      <c r="O53" s="859" t="s">
        <v>82</v>
      </c>
      <c r="P53" s="831"/>
      <c r="Q53" s="859" t="s">
        <v>82</v>
      </c>
      <c r="R53" s="831"/>
      <c r="S53" s="859" t="s">
        <v>82</v>
      </c>
      <c r="T53" s="831"/>
      <c r="U53" s="859" t="s">
        <v>82</v>
      </c>
      <c r="V53" s="831"/>
      <c r="W53" s="859" t="s">
        <v>82</v>
      </c>
      <c r="X53" s="831"/>
      <c r="Y53" s="859" t="s">
        <v>82</v>
      </c>
      <c r="Z53" s="831"/>
      <c r="AA53" s="859" t="s">
        <v>82</v>
      </c>
      <c r="AB53" s="831"/>
      <c r="AC53" s="1"/>
      <c r="AD53" s="1"/>
      <c r="AE53" s="1"/>
      <c r="AF53" s="1"/>
      <c r="AG53" s="1"/>
      <c r="AH53" s="1"/>
      <c r="AI53" s="1"/>
      <c r="AJ53" s="1"/>
      <c r="AK53" s="1"/>
      <c r="AL53" s="1"/>
      <c r="AM53" s="1"/>
      <c r="AN53" s="1"/>
      <c r="AO53" s="1"/>
      <c r="AP53" s="1"/>
      <c r="AQ53" s="1"/>
      <c r="AR53" s="1"/>
    </row>
    <row r="54" spans="1:44" ht="14.4">
      <c r="A54" s="819"/>
      <c r="B54" s="821"/>
      <c r="C54" s="861">
        <v>0</v>
      </c>
      <c r="D54" s="831"/>
      <c r="E54" s="862" t="s">
        <v>82</v>
      </c>
      <c r="F54" s="831"/>
      <c r="G54" s="859" t="s">
        <v>82</v>
      </c>
      <c r="H54" s="831"/>
      <c r="I54" s="859" t="s">
        <v>82</v>
      </c>
      <c r="J54" s="831"/>
      <c r="K54" s="859" t="s">
        <v>82</v>
      </c>
      <c r="L54" s="831"/>
      <c r="M54" s="859" t="s">
        <v>82</v>
      </c>
      <c r="N54" s="831"/>
      <c r="O54" s="859" t="s">
        <v>82</v>
      </c>
      <c r="P54" s="831"/>
      <c r="Q54" s="859" t="s">
        <v>82</v>
      </c>
      <c r="R54" s="831"/>
      <c r="S54" s="859" t="s">
        <v>82</v>
      </c>
      <c r="T54" s="831"/>
      <c r="U54" s="859" t="s">
        <v>82</v>
      </c>
      <c r="V54" s="831"/>
      <c r="W54" s="859" t="s">
        <v>82</v>
      </c>
      <c r="X54" s="831"/>
      <c r="Y54" s="859" t="s">
        <v>82</v>
      </c>
      <c r="Z54" s="831"/>
      <c r="AA54" s="859" t="s">
        <v>82</v>
      </c>
      <c r="AB54" s="831"/>
      <c r="AC54" s="1"/>
      <c r="AD54" s="1"/>
      <c r="AE54" s="1"/>
      <c r="AF54" s="1"/>
      <c r="AG54" s="1"/>
      <c r="AH54" s="1"/>
      <c r="AI54" s="1"/>
      <c r="AJ54" s="1"/>
      <c r="AK54" s="1"/>
      <c r="AL54" s="1"/>
      <c r="AM54" s="1"/>
      <c r="AN54" s="1"/>
      <c r="AO54" s="1"/>
      <c r="AP54" s="1"/>
      <c r="AQ54" s="1"/>
      <c r="AR54" s="1"/>
    </row>
    <row r="55" spans="1:44" ht="14.4">
      <c r="A55" s="819"/>
      <c r="B55" s="821"/>
      <c r="C55" s="861">
        <v>0</v>
      </c>
      <c r="D55" s="831"/>
      <c r="E55" s="862" t="s">
        <v>82</v>
      </c>
      <c r="F55" s="831"/>
      <c r="G55" s="859" t="s">
        <v>82</v>
      </c>
      <c r="H55" s="831"/>
      <c r="I55" s="859" t="s">
        <v>82</v>
      </c>
      <c r="J55" s="831"/>
      <c r="K55" s="859" t="s">
        <v>82</v>
      </c>
      <c r="L55" s="831"/>
      <c r="M55" s="859" t="s">
        <v>82</v>
      </c>
      <c r="N55" s="831"/>
      <c r="O55" s="859" t="s">
        <v>82</v>
      </c>
      <c r="P55" s="831"/>
      <c r="Q55" s="859" t="s">
        <v>82</v>
      </c>
      <c r="R55" s="831"/>
      <c r="S55" s="859" t="s">
        <v>82</v>
      </c>
      <c r="T55" s="831"/>
      <c r="U55" s="859" t="s">
        <v>82</v>
      </c>
      <c r="V55" s="831"/>
      <c r="W55" s="859" t="s">
        <v>82</v>
      </c>
      <c r="X55" s="831"/>
      <c r="Y55" s="859" t="s">
        <v>82</v>
      </c>
      <c r="Z55" s="831"/>
      <c r="AA55" s="859" t="s">
        <v>82</v>
      </c>
      <c r="AB55" s="831"/>
      <c r="AC55" s="1"/>
      <c r="AD55" s="1"/>
      <c r="AE55" s="1"/>
      <c r="AF55" s="1"/>
      <c r="AG55" s="1"/>
      <c r="AH55" s="1"/>
      <c r="AI55" s="1"/>
      <c r="AJ55" s="1"/>
      <c r="AK55" s="1"/>
      <c r="AL55" s="1"/>
      <c r="AM55" s="1"/>
      <c r="AN55" s="1"/>
      <c r="AO55" s="1"/>
      <c r="AP55" s="1"/>
      <c r="AQ55" s="1"/>
      <c r="AR55" s="1"/>
    </row>
    <row r="56" spans="1:44" ht="14.4">
      <c r="A56" s="819"/>
      <c r="B56" s="821"/>
      <c r="C56" s="861">
        <v>0</v>
      </c>
      <c r="D56" s="831"/>
      <c r="E56" s="862" t="s">
        <v>82</v>
      </c>
      <c r="F56" s="831"/>
      <c r="G56" s="859" t="s">
        <v>82</v>
      </c>
      <c r="H56" s="831"/>
      <c r="I56" s="859" t="s">
        <v>82</v>
      </c>
      <c r="J56" s="831"/>
      <c r="K56" s="859" t="s">
        <v>82</v>
      </c>
      <c r="L56" s="831"/>
      <c r="M56" s="859" t="s">
        <v>82</v>
      </c>
      <c r="N56" s="831"/>
      <c r="O56" s="859" t="s">
        <v>82</v>
      </c>
      <c r="P56" s="831"/>
      <c r="Q56" s="859" t="s">
        <v>82</v>
      </c>
      <c r="R56" s="831"/>
      <c r="S56" s="859" t="s">
        <v>82</v>
      </c>
      <c r="T56" s="831"/>
      <c r="U56" s="859" t="s">
        <v>82</v>
      </c>
      <c r="V56" s="831"/>
      <c r="W56" s="859" t="s">
        <v>82</v>
      </c>
      <c r="X56" s="831"/>
      <c r="Y56" s="859" t="s">
        <v>82</v>
      </c>
      <c r="Z56" s="831"/>
      <c r="AA56" s="859" t="s">
        <v>82</v>
      </c>
      <c r="AB56" s="831"/>
      <c r="AC56" s="1"/>
      <c r="AD56" s="1"/>
      <c r="AE56" s="1"/>
      <c r="AF56" s="1"/>
      <c r="AG56" s="1"/>
      <c r="AH56" s="1"/>
      <c r="AI56" s="1"/>
      <c r="AJ56" s="1"/>
      <c r="AK56" s="1"/>
      <c r="AL56" s="1"/>
      <c r="AM56" s="1"/>
      <c r="AN56" s="1"/>
      <c r="AO56" s="1"/>
      <c r="AP56" s="1"/>
      <c r="AQ56" s="1"/>
      <c r="AR56" s="1"/>
    </row>
    <row r="57" spans="1:44" ht="14.4">
      <c r="A57" s="819"/>
      <c r="B57" s="821"/>
      <c r="C57" s="861">
        <v>0</v>
      </c>
      <c r="D57" s="831"/>
      <c r="E57" s="862" t="s">
        <v>82</v>
      </c>
      <c r="F57" s="831"/>
      <c r="G57" s="859" t="s">
        <v>82</v>
      </c>
      <c r="H57" s="831"/>
      <c r="I57" s="859" t="s">
        <v>82</v>
      </c>
      <c r="J57" s="831"/>
      <c r="K57" s="859" t="s">
        <v>82</v>
      </c>
      <c r="L57" s="831"/>
      <c r="M57" s="859" t="s">
        <v>82</v>
      </c>
      <c r="N57" s="831"/>
      <c r="O57" s="859" t="s">
        <v>82</v>
      </c>
      <c r="P57" s="831"/>
      <c r="Q57" s="859" t="s">
        <v>82</v>
      </c>
      <c r="R57" s="831"/>
      <c r="S57" s="859" t="s">
        <v>82</v>
      </c>
      <c r="T57" s="831"/>
      <c r="U57" s="859" t="s">
        <v>82</v>
      </c>
      <c r="V57" s="831"/>
      <c r="W57" s="859" t="s">
        <v>82</v>
      </c>
      <c r="X57" s="831"/>
      <c r="Y57" s="859" t="s">
        <v>82</v>
      </c>
      <c r="Z57" s="831"/>
      <c r="AA57" s="859" t="s">
        <v>82</v>
      </c>
      <c r="AB57" s="831"/>
      <c r="AC57" s="1"/>
      <c r="AD57" s="1"/>
      <c r="AE57" s="1"/>
      <c r="AF57" s="1"/>
      <c r="AG57" s="1"/>
      <c r="AH57" s="1"/>
      <c r="AI57" s="1"/>
      <c r="AJ57" s="1"/>
      <c r="AK57" s="1"/>
      <c r="AL57" s="1"/>
      <c r="AM57" s="1"/>
      <c r="AN57" s="1"/>
      <c r="AO57" s="1"/>
      <c r="AP57" s="1"/>
      <c r="AQ57" s="1"/>
      <c r="AR57" s="1"/>
    </row>
    <row r="58" spans="1:44" ht="14.4">
      <c r="A58" s="819"/>
      <c r="B58" s="821"/>
      <c r="C58" s="861">
        <v>0</v>
      </c>
      <c r="D58" s="831"/>
      <c r="E58" s="862" t="s">
        <v>82</v>
      </c>
      <c r="F58" s="831"/>
      <c r="G58" s="859" t="s">
        <v>82</v>
      </c>
      <c r="H58" s="831"/>
      <c r="I58" s="859" t="s">
        <v>82</v>
      </c>
      <c r="J58" s="831"/>
      <c r="K58" s="859" t="s">
        <v>82</v>
      </c>
      <c r="L58" s="831"/>
      <c r="M58" s="859" t="s">
        <v>82</v>
      </c>
      <c r="N58" s="831"/>
      <c r="O58" s="859" t="s">
        <v>82</v>
      </c>
      <c r="P58" s="831"/>
      <c r="Q58" s="859" t="s">
        <v>82</v>
      </c>
      <c r="R58" s="831"/>
      <c r="S58" s="859" t="s">
        <v>82</v>
      </c>
      <c r="T58" s="831"/>
      <c r="U58" s="859" t="s">
        <v>82</v>
      </c>
      <c r="V58" s="831"/>
      <c r="W58" s="859" t="s">
        <v>82</v>
      </c>
      <c r="X58" s="831"/>
      <c r="Y58" s="859" t="s">
        <v>82</v>
      </c>
      <c r="Z58" s="831"/>
      <c r="AA58" s="859" t="s">
        <v>82</v>
      </c>
      <c r="AB58" s="831"/>
      <c r="AC58" s="1"/>
      <c r="AD58" s="1"/>
      <c r="AE58" s="1"/>
      <c r="AF58" s="1"/>
      <c r="AG58" s="1"/>
      <c r="AH58" s="1"/>
      <c r="AI58" s="1"/>
      <c r="AJ58" s="1"/>
      <c r="AK58" s="1"/>
      <c r="AL58" s="1"/>
      <c r="AM58" s="1"/>
      <c r="AN58" s="1"/>
      <c r="AO58" s="1"/>
      <c r="AP58" s="1"/>
      <c r="AQ58" s="1"/>
      <c r="AR58" s="1"/>
    </row>
    <row r="59" spans="1:44" ht="14.4">
      <c r="A59" s="819"/>
      <c r="B59" s="821"/>
      <c r="C59" s="861">
        <v>0</v>
      </c>
      <c r="D59" s="831"/>
      <c r="E59" s="862" t="s">
        <v>82</v>
      </c>
      <c r="F59" s="831"/>
      <c r="G59" s="859" t="s">
        <v>82</v>
      </c>
      <c r="H59" s="831"/>
      <c r="I59" s="859" t="s">
        <v>82</v>
      </c>
      <c r="J59" s="831"/>
      <c r="K59" s="859" t="s">
        <v>82</v>
      </c>
      <c r="L59" s="831"/>
      <c r="M59" s="859" t="s">
        <v>82</v>
      </c>
      <c r="N59" s="831"/>
      <c r="O59" s="859" t="s">
        <v>82</v>
      </c>
      <c r="P59" s="831"/>
      <c r="Q59" s="859" t="s">
        <v>82</v>
      </c>
      <c r="R59" s="831"/>
      <c r="S59" s="859" t="s">
        <v>82</v>
      </c>
      <c r="T59" s="831"/>
      <c r="U59" s="859" t="s">
        <v>82</v>
      </c>
      <c r="V59" s="831"/>
      <c r="W59" s="859" t="s">
        <v>82</v>
      </c>
      <c r="X59" s="831"/>
      <c r="Y59" s="859" t="s">
        <v>82</v>
      </c>
      <c r="Z59" s="831"/>
      <c r="AA59" s="859" t="s">
        <v>82</v>
      </c>
      <c r="AB59" s="831"/>
      <c r="AC59" s="1"/>
      <c r="AD59" s="1"/>
      <c r="AE59" s="1"/>
      <c r="AF59" s="1"/>
      <c r="AG59" s="1"/>
      <c r="AH59" s="1"/>
      <c r="AI59" s="1"/>
      <c r="AJ59" s="1"/>
      <c r="AK59" s="1"/>
      <c r="AL59" s="1"/>
      <c r="AM59" s="1"/>
      <c r="AN59" s="1"/>
      <c r="AO59" s="1"/>
      <c r="AP59" s="1"/>
      <c r="AQ59" s="1"/>
      <c r="AR59" s="1"/>
    </row>
    <row r="60" spans="1:44" ht="14.4">
      <c r="A60" s="819"/>
      <c r="B60" s="821"/>
      <c r="C60" s="861">
        <v>0</v>
      </c>
      <c r="D60" s="831"/>
      <c r="E60" s="862" t="s">
        <v>82</v>
      </c>
      <c r="F60" s="831"/>
      <c r="G60" s="859" t="s">
        <v>82</v>
      </c>
      <c r="H60" s="831"/>
      <c r="I60" s="859" t="s">
        <v>82</v>
      </c>
      <c r="J60" s="831"/>
      <c r="K60" s="859" t="s">
        <v>82</v>
      </c>
      <c r="L60" s="831"/>
      <c r="M60" s="859" t="s">
        <v>82</v>
      </c>
      <c r="N60" s="831"/>
      <c r="O60" s="859" t="s">
        <v>82</v>
      </c>
      <c r="P60" s="831"/>
      <c r="Q60" s="859" t="s">
        <v>82</v>
      </c>
      <c r="R60" s="831"/>
      <c r="S60" s="859" t="s">
        <v>82</v>
      </c>
      <c r="T60" s="831"/>
      <c r="U60" s="859" t="s">
        <v>82</v>
      </c>
      <c r="V60" s="831"/>
      <c r="W60" s="859" t="s">
        <v>82</v>
      </c>
      <c r="X60" s="831"/>
      <c r="Y60" s="859" t="s">
        <v>82</v>
      </c>
      <c r="Z60" s="831"/>
      <c r="AA60" s="859" t="s">
        <v>82</v>
      </c>
      <c r="AB60" s="831"/>
      <c r="AC60" s="1"/>
      <c r="AD60" s="1"/>
      <c r="AE60" s="1"/>
      <c r="AF60" s="1"/>
      <c r="AG60" s="1"/>
      <c r="AH60" s="1"/>
      <c r="AI60" s="1"/>
      <c r="AJ60" s="1"/>
      <c r="AK60" s="1"/>
      <c r="AL60" s="1"/>
      <c r="AM60" s="1"/>
      <c r="AN60" s="1"/>
      <c r="AO60" s="1"/>
      <c r="AP60" s="1"/>
      <c r="AQ60" s="1"/>
      <c r="AR60" s="1"/>
    </row>
    <row r="61" spans="1:44" ht="14.4">
      <c r="A61" s="822"/>
      <c r="B61" s="824"/>
      <c r="C61" s="869">
        <v>0</v>
      </c>
      <c r="D61" s="870"/>
      <c r="E61" s="871" t="s">
        <v>82</v>
      </c>
      <c r="F61" s="834"/>
      <c r="G61" s="868" t="s">
        <v>82</v>
      </c>
      <c r="H61" s="834"/>
      <c r="I61" s="868" t="s">
        <v>82</v>
      </c>
      <c r="J61" s="834"/>
      <c r="K61" s="868" t="s">
        <v>82</v>
      </c>
      <c r="L61" s="834"/>
      <c r="M61" s="868" t="s">
        <v>82</v>
      </c>
      <c r="N61" s="834"/>
      <c r="O61" s="868" t="s">
        <v>82</v>
      </c>
      <c r="P61" s="834"/>
      <c r="Q61" s="868" t="s">
        <v>82</v>
      </c>
      <c r="R61" s="834"/>
      <c r="S61" s="868" t="s">
        <v>82</v>
      </c>
      <c r="T61" s="834"/>
      <c r="U61" s="868" t="s">
        <v>82</v>
      </c>
      <c r="V61" s="834"/>
      <c r="W61" s="868" t="s">
        <v>82</v>
      </c>
      <c r="X61" s="834"/>
      <c r="Y61" s="868" t="s">
        <v>82</v>
      </c>
      <c r="Z61" s="834"/>
      <c r="AA61" s="868" t="s">
        <v>82</v>
      </c>
      <c r="AB61" s="834"/>
      <c r="AC61" s="1"/>
      <c r="AD61" s="1"/>
      <c r="AE61" s="1"/>
      <c r="AF61" s="1"/>
      <c r="AG61" s="1"/>
      <c r="AH61" s="1"/>
      <c r="AI61" s="1"/>
      <c r="AJ61" s="1"/>
      <c r="AK61" s="1"/>
      <c r="AL61" s="1"/>
      <c r="AM61" s="1"/>
      <c r="AN61" s="1"/>
      <c r="AO61" s="1"/>
      <c r="AP61" s="1"/>
      <c r="AQ61" s="1"/>
      <c r="AR61" s="1"/>
    </row>
    <row r="62" spans="1:44" ht="14.4">
      <c r="A62" s="867" t="s">
        <v>91</v>
      </c>
      <c r="B62" s="818"/>
      <c r="C62" s="827" t="s">
        <v>92</v>
      </c>
      <c r="D62" s="828"/>
      <c r="E62" s="877" t="s">
        <v>93</v>
      </c>
      <c r="F62" s="828"/>
      <c r="G62" s="858" t="s">
        <v>82</v>
      </c>
      <c r="H62" s="828"/>
      <c r="I62" s="872" t="s">
        <v>82</v>
      </c>
      <c r="J62" s="828"/>
      <c r="K62" s="872" t="s">
        <v>82</v>
      </c>
      <c r="L62" s="828"/>
      <c r="M62" s="872" t="s">
        <v>82</v>
      </c>
      <c r="N62" s="828"/>
      <c r="O62" s="872" t="s">
        <v>82</v>
      </c>
      <c r="P62" s="828"/>
      <c r="Q62" s="872" t="s">
        <v>82</v>
      </c>
      <c r="R62" s="828"/>
      <c r="S62" s="872" t="s">
        <v>82</v>
      </c>
      <c r="T62" s="828"/>
      <c r="U62" s="872" t="s">
        <v>82</v>
      </c>
      <c r="V62" s="828"/>
      <c r="W62" s="858" t="s">
        <v>82</v>
      </c>
      <c r="X62" s="828"/>
      <c r="Y62" s="858" t="s">
        <v>82</v>
      </c>
      <c r="Z62" s="828"/>
      <c r="AA62" s="858" t="s">
        <v>82</v>
      </c>
      <c r="AB62" s="828"/>
      <c r="AC62" s="1"/>
      <c r="AD62" s="1"/>
      <c r="AE62" s="1"/>
      <c r="AF62" s="1"/>
      <c r="AG62" s="1"/>
      <c r="AH62" s="1"/>
      <c r="AI62" s="1"/>
      <c r="AJ62" s="1"/>
      <c r="AK62" s="1"/>
      <c r="AL62" s="1"/>
      <c r="AM62" s="1"/>
      <c r="AN62" s="1"/>
      <c r="AO62" s="1"/>
      <c r="AP62" s="1"/>
      <c r="AQ62" s="1"/>
      <c r="AR62" s="1"/>
    </row>
    <row r="63" spans="1:44" ht="14.4">
      <c r="A63" s="819"/>
      <c r="B63" s="821"/>
      <c r="C63" s="830" t="s">
        <v>94</v>
      </c>
      <c r="D63" s="831"/>
      <c r="E63" s="878" t="s">
        <v>95</v>
      </c>
      <c r="F63" s="831"/>
      <c r="G63" s="859" t="s">
        <v>82</v>
      </c>
      <c r="H63" s="831"/>
      <c r="I63" s="862" t="s">
        <v>82</v>
      </c>
      <c r="J63" s="831"/>
      <c r="K63" s="862" t="s">
        <v>82</v>
      </c>
      <c r="L63" s="831"/>
      <c r="M63" s="862" t="s">
        <v>82</v>
      </c>
      <c r="N63" s="831"/>
      <c r="O63" s="862" t="s">
        <v>82</v>
      </c>
      <c r="P63" s="831"/>
      <c r="Q63" s="878" t="s">
        <v>96</v>
      </c>
      <c r="R63" s="831"/>
      <c r="S63" s="862" t="s">
        <v>82</v>
      </c>
      <c r="T63" s="831"/>
      <c r="U63" s="862" t="s">
        <v>82</v>
      </c>
      <c r="V63" s="831"/>
      <c r="W63" s="861" t="s">
        <v>82</v>
      </c>
      <c r="X63" s="831"/>
      <c r="Y63" s="861" t="s">
        <v>82</v>
      </c>
      <c r="Z63" s="831"/>
      <c r="AA63" s="859" t="s">
        <v>82</v>
      </c>
      <c r="AB63" s="831"/>
      <c r="AC63" s="1"/>
      <c r="AD63" s="1"/>
      <c r="AE63" s="1"/>
      <c r="AF63" s="1"/>
      <c r="AG63" s="1"/>
      <c r="AH63" s="1"/>
      <c r="AI63" s="1"/>
      <c r="AJ63" s="1"/>
      <c r="AK63" s="1"/>
      <c r="AL63" s="1"/>
      <c r="AM63" s="1"/>
      <c r="AN63" s="1"/>
      <c r="AO63" s="1"/>
      <c r="AP63" s="1"/>
      <c r="AQ63" s="1"/>
      <c r="AR63" s="1"/>
    </row>
    <row r="64" spans="1:44" ht="14.4">
      <c r="A64" s="819"/>
      <c r="B64" s="821"/>
      <c r="C64" s="830" t="s">
        <v>97</v>
      </c>
      <c r="D64" s="831"/>
      <c r="E64" s="878" t="s">
        <v>98</v>
      </c>
      <c r="F64" s="831"/>
      <c r="G64" s="859" t="s">
        <v>82</v>
      </c>
      <c r="H64" s="831"/>
      <c r="I64" s="862" t="s">
        <v>82</v>
      </c>
      <c r="J64" s="831"/>
      <c r="K64" s="862" t="s">
        <v>82</v>
      </c>
      <c r="L64" s="831"/>
      <c r="M64" s="862" t="s">
        <v>82</v>
      </c>
      <c r="N64" s="831"/>
      <c r="O64" s="862" t="s">
        <v>82</v>
      </c>
      <c r="P64" s="831"/>
      <c r="Q64" s="862" t="s">
        <v>82</v>
      </c>
      <c r="R64" s="831"/>
      <c r="S64" s="862" t="s">
        <v>82</v>
      </c>
      <c r="T64" s="831"/>
      <c r="U64" s="862" t="s">
        <v>82</v>
      </c>
      <c r="V64" s="831"/>
      <c r="W64" s="861" t="s">
        <v>82</v>
      </c>
      <c r="X64" s="831"/>
      <c r="Y64" s="861" t="s">
        <v>82</v>
      </c>
      <c r="Z64" s="831"/>
      <c r="AA64" s="859" t="s">
        <v>82</v>
      </c>
      <c r="AB64" s="831"/>
      <c r="AC64" s="1"/>
      <c r="AD64" s="1"/>
      <c r="AE64" s="1"/>
      <c r="AF64" s="1"/>
      <c r="AG64" s="1"/>
      <c r="AH64" s="1"/>
      <c r="AI64" s="1"/>
      <c r="AJ64" s="1"/>
      <c r="AK64" s="1"/>
      <c r="AL64" s="1"/>
      <c r="AM64" s="1"/>
      <c r="AN64" s="1"/>
      <c r="AO64" s="1"/>
      <c r="AP64" s="1"/>
      <c r="AQ64" s="1"/>
      <c r="AR64" s="1"/>
    </row>
    <row r="65" spans="1:44" ht="14.4">
      <c r="A65" s="819"/>
      <c r="B65" s="821"/>
      <c r="C65" s="830" t="s">
        <v>99</v>
      </c>
      <c r="D65" s="831"/>
      <c r="E65" s="878" t="s">
        <v>100</v>
      </c>
      <c r="F65" s="831"/>
      <c r="G65" s="859" t="s">
        <v>82</v>
      </c>
      <c r="H65" s="831"/>
      <c r="I65" s="862" t="s">
        <v>82</v>
      </c>
      <c r="J65" s="831"/>
      <c r="K65" s="862" t="s">
        <v>82</v>
      </c>
      <c r="L65" s="831"/>
      <c r="M65" s="862" t="s">
        <v>82</v>
      </c>
      <c r="N65" s="831"/>
      <c r="O65" s="862" t="s">
        <v>82</v>
      </c>
      <c r="P65" s="831"/>
      <c r="Q65" s="862" t="s">
        <v>82</v>
      </c>
      <c r="R65" s="831"/>
      <c r="S65" s="862" t="s">
        <v>82</v>
      </c>
      <c r="T65" s="831"/>
      <c r="U65" s="862" t="s">
        <v>82</v>
      </c>
      <c r="V65" s="831"/>
      <c r="W65" s="861" t="s">
        <v>82</v>
      </c>
      <c r="X65" s="831"/>
      <c r="Y65" s="861" t="s">
        <v>82</v>
      </c>
      <c r="Z65" s="831"/>
      <c r="AA65" s="859" t="s">
        <v>82</v>
      </c>
      <c r="AB65" s="831"/>
      <c r="AC65" s="1"/>
      <c r="AD65" s="1"/>
      <c r="AE65" s="1"/>
      <c r="AF65" s="1"/>
      <c r="AG65" s="1"/>
      <c r="AH65" s="1"/>
      <c r="AI65" s="1"/>
      <c r="AJ65" s="1"/>
      <c r="AK65" s="1"/>
      <c r="AL65" s="1"/>
      <c r="AM65" s="1"/>
      <c r="AN65" s="1"/>
      <c r="AO65" s="1"/>
      <c r="AP65" s="1"/>
      <c r="AQ65" s="1"/>
      <c r="AR65" s="1"/>
    </row>
    <row r="66" spans="1:44" ht="14.4">
      <c r="A66" s="819"/>
      <c r="B66" s="821"/>
      <c r="C66" s="830">
        <v>0</v>
      </c>
      <c r="D66" s="831"/>
      <c r="E66" s="862" t="s">
        <v>82</v>
      </c>
      <c r="F66" s="831"/>
      <c r="G66" s="859" t="s">
        <v>82</v>
      </c>
      <c r="H66" s="831"/>
      <c r="I66" s="862" t="s">
        <v>82</v>
      </c>
      <c r="J66" s="831"/>
      <c r="K66" s="862" t="s">
        <v>82</v>
      </c>
      <c r="L66" s="831"/>
      <c r="M66" s="862" t="s">
        <v>82</v>
      </c>
      <c r="N66" s="831"/>
      <c r="O66" s="862" t="s">
        <v>82</v>
      </c>
      <c r="P66" s="831"/>
      <c r="Q66" s="862" t="s">
        <v>82</v>
      </c>
      <c r="R66" s="831"/>
      <c r="S66" s="862" t="s">
        <v>82</v>
      </c>
      <c r="T66" s="831"/>
      <c r="U66" s="862" t="s">
        <v>82</v>
      </c>
      <c r="V66" s="831"/>
      <c r="W66" s="859" t="s">
        <v>82</v>
      </c>
      <c r="X66" s="831"/>
      <c r="Y66" s="859" t="s">
        <v>82</v>
      </c>
      <c r="Z66" s="831"/>
      <c r="AA66" s="859" t="s">
        <v>82</v>
      </c>
      <c r="AB66" s="831"/>
      <c r="AC66" s="1"/>
      <c r="AD66" s="1"/>
      <c r="AE66" s="1"/>
      <c r="AF66" s="1"/>
      <c r="AG66" s="1"/>
      <c r="AH66" s="1"/>
      <c r="AI66" s="1"/>
      <c r="AJ66" s="1"/>
      <c r="AK66" s="1"/>
      <c r="AL66" s="1"/>
      <c r="AM66" s="1"/>
      <c r="AN66" s="1"/>
      <c r="AO66" s="1"/>
      <c r="AP66" s="1"/>
      <c r="AQ66" s="1"/>
      <c r="AR66" s="1"/>
    </row>
    <row r="67" spans="1:44" ht="14.4">
      <c r="A67" s="819"/>
      <c r="B67" s="821"/>
      <c r="C67" s="830">
        <v>0</v>
      </c>
      <c r="D67" s="831"/>
      <c r="E67" s="862" t="s">
        <v>82</v>
      </c>
      <c r="F67" s="831"/>
      <c r="G67" s="859" t="s">
        <v>82</v>
      </c>
      <c r="H67" s="831"/>
      <c r="I67" s="862" t="s">
        <v>82</v>
      </c>
      <c r="J67" s="831"/>
      <c r="K67" s="862" t="s">
        <v>82</v>
      </c>
      <c r="L67" s="831"/>
      <c r="M67" s="862" t="s">
        <v>82</v>
      </c>
      <c r="N67" s="831"/>
      <c r="O67" s="862" t="s">
        <v>82</v>
      </c>
      <c r="P67" s="831"/>
      <c r="Q67" s="862" t="s">
        <v>82</v>
      </c>
      <c r="R67" s="831"/>
      <c r="S67" s="862" t="s">
        <v>82</v>
      </c>
      <c r="T67" s="831"/>
      <c r="U67" s="862" t="s">
        <v>82</v>
      </c>
      <c r="V67" s="831"/>
      <c r="W67" s="859" t="s">
        <v>82</v>
      </c>
      <c r="X67" s="831"/>
      <c r="Y67" s="859" t="s">
        <v>82</v>
      </c>
      <c r="Z67" s="831"/>
      <c r="AA67" s="859" t="s">
        <v>82</v>
      </c>
      <c r="AB67" s="831"/>
      <c r="AC67" s="1"/>
      <c r="AD67" s="1"/>
      <c r="AE67" s="1"/>
      <c r="AF67" s="1"/>
      <c r="AG67" s="1"/>
      <c r="AH67" s="1"/>
      <c r="AI67" s="1"/>
      <c r="AJ67" s="1"/>
      <c r="AK67" s="1"/>
      <c r="AL67" s="1"/>
      <c r="AM67" s="1"/>
      <c r="AN67" s="1"/>
      <c r="AO67" s="1"/>
      <c r="AP67" s="1"/>
      <c r="AQ67" s="1"/>
      <c r="AR67" s="1"/>
    </row>
    <row r="68" spans="1:44" ht="14.4">
      <c r="A68" s="864"/>
      <c r="B68" s="865"/>
      <c r="C68" s="833">
        <v>0</v>
      </c>
      <c r="D68" s="834"/>
      <c r="E68" s="883" t="s">
        <v>82</v>
      </c>
      <c r="F68" s="870"/>
      <c r="G68" s="879" t="s">
        <v>82</v>
      </c>
      <c r="H68" s="870"/>
      <c r="I68" s="883" t="s">
        <v>82</v>
      </c>
      <c r="J68" s="870"/>
      <c r="K68" s="883" t="s">
        <v>82</v>
      </c>
      <c r="L68" s="870"/>
      <c r="M68" s="883" t="s">
        <v>82</v>
      </c>
      <c r="N68" s="870"/>
      <c r="O68" s="883" t="s">
        <v>82</v>
      </c>
      <c r="P68" s="870"/>
      <c r="Q68" s="883" t="s">
        <v>82</v>
      </c>
      <c r="R68" s="870"/>
      <c r="S68" s="883" t="s">
        <v>82</v>
      </c>
      <c r="T68" s="870"/>
      <c r="U68" s="883" t="s">
        <v>82</v>
      </c>
      <c r="V68" s="870"/>
      <c r="W68" s="879" t="s">
        <v>82</v>
      </c>
      <c r="X68" s="870"/>
      <c r="Y68" s="879" t="s">
        <v>82</v>
      </c>
      <c r="Z68" s="870"/>
      <c r="AA68" s="868" t="s">
        <v>82</v>
      </c>
      <c r="AB68" s="834"/>
      <c r="AC68" s="1"/>
      <c r="AD68" s="1"/>
      <c r="AE68" s="1"/>
      <c r="AF68" s="1"/>
      <c r="AG68" s="1"/>
      <c r="AH68" s="1"/>
      <c r="AI68" s="1"/>
      <c r="AJ68" s="1"/>
      <c r="AK68" s="1"/>
      <c r="AL68" s="1"/>
      <c r="AM68" s="1"/>
      <c r="AN68" s="1"/>
      <c r="AO68" s="1"/>
      <c r="AP68" s="1"/>
      <c r="AQ68" s="1"/>
      <c r="AR68" s="1"/>
    </row>
    <row r="69" spans="1:44" ht="14.4">
      <c r="A69" s="867" t="s">
        <v>101</v>
      </c>
      <c r="B69" s="818"/>
      <c r="C69" s="884" t="s">
        <v>102</v>
      </c>
      <c r="D69" s="885"/>
      <c r="E69" s="880" t="s">
        <v>103</v>
      </c>
      <c r="F69" s="828"/>
      <c r="G69" s="880" t="s">
        <v>104</v>
      </c>
      <c r="H69" s="828"/>
      <c r="I69" s="880" t="s">
        <v>104</v>
      </c>
      <c r="J69" s="828"/>
      <c r="K69" s="880" t="s">
        <v>104</v>
      </c>
      <c r="L69" s="828"/>
      <c r="M69" s="827" t="s">
        <v>82</v>
      </c>
      <c r="N69" s="828"/>
      <c r="O69" s="827" t="s">
        <v>82</v>
      </c>
      <c r="P69" s="828"/>
      <c r="Q69" s="880" t="s">
        <v>105</v>
      </c>
      <c r="R69" s="828"/>
      <c r="S69" s="827" t="s">
        <v>82</v>
      </c>
      <c r="T69" s="828"/>
      <c r="U69" s="827" t="s">
        <v>82</v>
      </c>
      <c r="V69" s="828"/>
      <c r="W69" s="827" t="s">
        <v>82</v>
      </c>
      <c r="X69" s="828"/>
      <c r="Y69" s="827" t="s">
        <v>82</v>
      </c>
      <c r="Z69" s="828"/>
      <c r="AA69" s="827" t="s">
        <v>82</v>
      </c>
      <c r="AB69" s="828"/>
      <c r="AC69" s="175"/>
      <c r="AD69" s="1"/>
      <c r="AE69" s="1"/>
      <c r="AF69" s="1"/>
      <c r="AG69" s="1"/>
      <c r="AH69" s="1"/>
      <c r="AI69" s="1"/>
      <c r="AJ69" s="1"/>
      <c r="AK69" s="1"/>
      <c r="AL69" s="1"/>
      <c r="AM69" s="1"/>
      <c r="AN69" s="1"/>
      <c r="AO69" s="1"/>
      <c r="AP69" s="1"/>
      <c r="AQ69" s="1"/>
      <c r="AR69" s="1"/>
    </row>
    <row r="70" spans="1:44" ht="14.4">
      <c r="A70" s="819"/>
      <c r="B70" s="821"/>
      <c r="C70" s="830" t="s">
        <v>106</v>
      </c>
      <c r="D70" s="831"/>
      <c r="E70" s="832" t="s">
        <v>107</v>
      </c>
      <c r="F70" s="831"/>
      <c r="G70" s="832" t="s">
        <v>108</v>
      </c>
      <c r="H70" s="831"/>
      <c r="I70" s="830" t="s">
        <v>82</v>
      </c>
      <c r="J70" s="831"/>
      <c r="K70" s="832" t="s">
        <v>108</v>
      </c>
      <c r="L70" s="831"/>
      <c r="M70" s="830" t="s">
        <v>82</v>
      </c>
      <c r="N70" s="831"/>
      <c r="O70" s="830" t="s">
        <v>82</v>
      </c>
      <c r="P70" s="831"/>
      <c r="Q70" s="832" t="s">
        <v>109</v>
      </c>
      <c r="R70" s="831"/>
      <c r="S70" s="830" t="s">
        <v>82</v>
      </c>
      <c r="T70" s="831"/>
      <c r="U70" s="830" t="s">
        <v>82</v>
      </c>
      <c r="V70" s="831"/>
      <c r="W70" s="830" t="s">
        <v>82</v>
      </c>
      <c r="X70" s="831"/>
      <c r="Y70" s="830" t="s">
        <v>82</v>
      </c>
      <c r="Z70" s="831"/>
      <c r="AA70" s="830" t="s">
        <v>82</v>
      </c>
      <c r="AB70" s="831"/>
      <c r="AC70" s="175"/>
      <c r="AD70" s="1"/>
      <c r="AE70" s="1"/>
      <c r="AF70" s="1"/>
      <c r="AG70" s="1"/>
      <c r="AH70" s="1"/>
      <c r="AI70" s="1"/>
      <c r="AJ70" s="1"/>
      <c r="AK70" s="1"/>
      <c r="AL70" s="1"/>
      <c r="AM70" s="1"/>
      <c r="AN70" s="1"/>
      <c r="AO70" s="1"/>
      <c r="AP70" s="1"/>
      <c r="AQ70" s="1"/>
      <c r="AR70" s="1"/>
    </row>
    <row r="71" spans="1:44" ht="14.4">
      <c r="A71" s="819"/>
      <c r="B71" s="821"/>
      <c r="C71" s="830" t="s">
        <v>110</v>
      </c>
      <c r="D71" s="831"/>
      <c r="E71" s="832" t="s">
        <v>111</v>
      </c>
      <c r="F71" s="831"/>
      <c r="G71" s="832" t="s">
        <v>112</v>
      </c>
      <c r="H71" s="831"/>
      <c r="I71" s="830" t="s">
        <v>82</v>
      </c>
      <c r="J71" s="831"/>
      <c r="K71" s="830" t="s">
        <v>82</v>
      </c>
      <c r="L71" s="831"/>
      <c r="M71" s="830" t="s">
        <v>82</v>
      </c>
      <c r="N71" s="831"/>
      <c r="O71" s="830" t="s">
        <v>82</v>
      </c>
      <c r="P71" s="831"/>
      <c r="Q71" s="832" t="s">
        <v>113</v>
      </c>
      <c r="R71" s="831"/>
      <c r="S71" s="830" t="s">
        <v>82</v>
      </c>
      <c r="T71" s="831"/>
      <c r="U71" s="830" t="s">
        <v>82</v>
      </c>
      <c r="V71" s="831"/>
      <c r="W71" s="830" t="s">
        <v>82</v>
      </c>
      <c r="X71" s="831"/>
      <c r="Y71" s="830" t="s">
        <v>82</v>
      </c>
      <c r="Z71" s="831"/>
      <c r="AA71" s="830" t="s">
        <v>82</v>
      </c>
      <c r="AB71" s="831"/>
      <c r="AC71" s="175"/>
      <c r="AD71" s="1"/>
      <c r="AE71" s="1"/>
      <c r="AF71" s="1"/>
      <c r="AG71" s="1"/>
      <c r="AH71" s="1"/>
      <c r="AI71" s="1"/>
      <c r="AJ71" s="1"/>
      <c r="AK71" s="1"/>
      <c r="AL71" s="1"/>
      <c r="AM71" s="1"/>
      <c r="AN71" s="1"/>
      <c r="AO71" s="1"/>
      <c r="AP71" s="1"/>
      <c r="AQ71" s="1"/>
      <c r="AR71" s="1"/>
    </row>
    <row r="72" spans="1:44" ht="14.4">
      <c r="A72" s="819"/>
      <c r="B72" s="821"/>
      <c r="C72" s="830" t="s">
        <v>114</v>
      </c>
      <c r="D72" s="831"/>
      <c r="E72" s="832" t="s">
        <v>115</v>
      </c>
      <c r="F72" s="831"/>
      <c r="G72" s="832" t="s">
        <v>116</v>
      </c>
      <c r="H72" s="831"/>
      <c r="I72" s="830" t="s">
        <v>82</v>
      </c>
      <c r="J72" s="831"/>
      <c r="K72" s="830" t="s">
        <v>82</v>
      </c>
      <c r="L72" s="831"/>
      <c r="M72" s="830" t="s">
        <v>82</v>
      </c>
      <c r="N72" s="831"/>
      <c r="O72" s="830" t="s">
        <v>82</v>
      </c>
      <c r="P72" s="831"/>
      <c r="Q72" s="832" t="s">
        <v>117</v>
      </c>
      <c r="R72" s="831"/>
      <c r="S72" s="830" t="s">
        <v>82</v>
      </c>
      <c r="T72" s="831"/>
      <c r="U72" s="830" t="s">
        <v>82</v>
      </c>
      <c r="V72" s="831"/>
      <c r="W72" s="830" t="s">
        <v>82</v>
      </c>
      <c r="X72" s="831"/>
      <c r="Y72" s="830" t="s">
        <v>82</v>
      </c>
      <c r="Z72" s="831"/>
      <c r="AA72" s="830" t="s">
        <v>82</v>
      </c>
      <c r="AB72" s="831"/>
      <c r="AC72" s="175"/>
      <c r="AD72" s="1"/>
      <c r="AE72" s="1"/>
      <c r="AF72" s="1"/>
      <c r="AG72" s="1"/>
      <c r="AH72" s="1"/>
      <c r="AI72" s="1"/>
      <c r="AJ72" s="1"/>
      <c r="AK72" s="1"/>
      <c r="AL72" s="1"/>
      <c r="AM72" s="1"/>
      <c r="AN72" s="1"/>
      <c r="AO72" s="1"/>
      <c r="AP72" s="1"/>
      <c r="AQ72" s="1"/>
      <c r="AR72" s="1"/>
    </row>
    <row r="73" spans="1:44" ht="14.4">
      <c r="A73" s="819"/>
      <c r="B73" s="821"/>
      <c r="C73" s="830" t="s">
        <v>118</v>
      </c>
      <c r="D73" s="831"/>
      <c r="E73" s="832" t="s">
        <v>119</v>
      </c>
      <c r="F73" s="831"/>
      <c r="G73" s="832" t="s">
        <v>120</v>
      </c>
      <c r="H73" s="831"/>
      <c r="I73" s="830" t="s">
        <v>82</v>
      </c>
      <c r="J73" s="831"/>
      <c r="K73" s="830" t="s">
        <v>82</v>
      </c>
      <c r="L73" s="831"/>
      <c r="M73" s="830" t="s">
        <v>82</v>
      </c>
      <c r="N73" s="831"/>
      <c r="O73" s="830" t="s">
        <v>82</v>
      </c>
      <c r="P73" s="831"/>
      <c r="Q73" s="832" t="s">
        <v>121</v>
      </c>
      <c r="R73" s="831"/>
      <c r="S73" s="830" t="s">
        <v>82</v>
      </c>
      <c r="T73" s="831"/>
      <c r="U73" s="830" t="s">
        <v>82</v>
      </c>
      <c r="V73" s="831"/>
      <c r="W73" s="830" t="s">
        <v>82</v>
      </c>
      <c r="X73" s="831"/>
      <c r="Y73" s="830" t="s">
        <v>82</v>
      </c>
      <c r="Z73" s="831"/>
      <c r="AA73" s="830" t="s">
        <v>82</v>
      </c>
      <c r="AB73" s="831"/>
      <c r="AC73" s="175"/>
      <c r="AD73" s="1"/>
      <c r="AE73" s="1"/>
      <c r="AF73" s="1"/>
      <c r="AG73" s="1"/>
      <c r="AH73" s="1"/>
      <c r="AI73" s="1"/>
      <c r="AJ73" s="1"/>
      <c r="AK73" s="1"/>
      <c r="AL73" s="1"/>
      <c r="AM73" s="1"/>
      <c r="AN73" s="1"/>
      <c r="AO73" s="1"/>
      <c r="AP73" s="1"/>
      <c r="AQ73" s="1"/>
      <c r="AR73" s="1"/>
    </row>
    <row r="74" spans="1:44" ht="14.4">
      <c r="A74" s="822"/>
      <c r="B74" s="824"/>
      <c r="C74" s="833" t="s">
        <v>122</v>
      </c>
      <c r="D74" s="834"/>
      <c r="E74" s="881" t="s">
        <v>123</v>
      </c>
      <c r="F74" s="834"/>
      <c r="G74" s="881" t="s">
        <v>124</v>
      </c>
      <c r="H74" s="834"/>
      <c r="I74" s="833" t="s">
        <v>82</v>
      </c>
      <c r="J74" s="834"/>
      <c r="K74" s="833" t="s">
        <v>82</v>
      </c>
      <c r="L74" s="834"/>
      <c r="M74" s="833" t="s">
        <v>82</v>
      </c>
      <c r="N74" s="834"/>
      <c r="O74" s="833" t="s">
        <v>82</v>
      </c>
      <c r="P74" s="834"/>
      <c r="Q74" s="881" t="s">
        <v>125</v>
      </c>
      <c r="R74" s="834"/>
      <c r="S74" s="833" t="s">
        <v>82</v>
      </c>
      <c r="T74" s="834"/>
      <c r="U74" s="833" t="s">
        <v>82</v>
      </c>
      <c r="V74" s="834"/>
      <c r="W74" s="833" t="s">
        <v>82</v>
      </c>
      <c r="X74" s="834"/>
      <c r="Y74" s="833" t="s">
        <v>82</v>
      </c>
      <c r="Z74" s="834"/>
      <c r="AA74" s="833" t="s">
        <v>82</v>
      </c>
      <c r="AB74" s="834"/>
      <c r="AC74" s="175"/>
      <c r="AD74" s="1"/>
      <c r="AE74" s="1"/>
      <c r="AF74" s="1"/>
      <c r="AG74" s="1"/>
      <c r="AH74" s="1"/>
      <c r="AI74" s="1"/>
      <c r="AJ74" s="1"/>
      <c r="AK74" s="1"/>
      <c r="AL74" s="1"/>
      <c r="AM74" s="1"/>
      <c r="AN74" s="1"/>
      <c r="AO74" s="1"/>
      <c r="AP74" s="1"/>
      <c r="AQ74" s="1"/>
      <c r="AR74" s="1"/>
    </row>
    <row r="75" spans="1:44" ht="25.8">
      <c r="A75" s="176"/>
      <c r="B75" s="176"/>
      <c r="C75" s="15"/>
      <c r="D75" s="177"/>
      <c r="E75" s="178"/>
      <c r="F75" s="178"/>
      <c r="G75" s="178"/>
      <c r="H75" s="178"/>
      <c r="I75" s="178"/>
      <c r="J75" s="178"/>
      <c r="K75" s="178"/>
      <c r="L75" s="178"/>
      <c r="M75" s="178"/>
      <c r="N75" s="178"/>
      <c r="O75" s="178"/>
      <c r="P75" s="178"/>
      <c r="Q75" s="178"/>
      <c r="R75" s="178"/>
      <c r="S75" s="178"/>
      <c r="T75" s="178"/>
      <c r="U75" s="178"/>
      <c r="V75" s="178"/>
      <c r="W75" s="178"/>
      <c r="X75" s="178"/>
      <c r="Y75" s="178"/>
      <c r="Z75" s="178"/>
      <c r="AA75" s="178"/>
      <c r="AB75" s="178"/>
      <c r="AC75" s="1"/>
      <c r="AD75" s="1"/>
      <c r="AE75" s="1"/>
      <c r="AF75" s="1"/>
      <c r="AG75" s="1"/>
      <c r="AH75" s="1"/>
      <c r="AI75" s="1"/>
      <c r="AJ75" s="1"/>
      <c r="AK75" s="1"/>
      <c r="AL75" s="1"/>
      <c r="AM75" s="1"/>
      <c r="AN75" s="1"/>
      <c r="AO75" s="1"/>
      <c r="AP75" s="1"/>
      <c r="AQ75" s="1"/>
      <c r="AR75" s="1"/>
    </row>
    <row r="76" spans="1:44" ht="25.8">
      <c r="A76" s="179"/>
      <c r="B76" s="179"/>
      <c r="C76" s="180"/>
      <c r="D76" s="181"/>
      <c r="E76" s="182"/>
      <c r="F76" s="182"/>
      <c r="G76" s="182"/>
      <c r="H76" s="182"/>
      <c r="I76" s="182"/>
      <c r="J76" s="182"/>
      <c r="K76" s="182"/>
      <c r="L76" s="182"/>
      <c r="M76" s="182"/>
      <c r="N76" s="182"/>
      <c r="O76" s="182"/>
      <c r="P76" s="182"/>
      <c r="Q76" s="182"/>
      <c r="R76" s="182"/>
      <c r="S76" s="182"/>
      <c r="T76" s="182"/>
      <c r="U76" s="182"/>
      <c r="V76" s="182"/>
      <c r="W76" s="182"/>
      <c r="X76" s="182"/>
      <c r="Y76" s="182"/>
      <c r="Z76" s="182"/>
      <c r="AA76" s="182"/>
      <c r="AB76" s="182"/>
      <c r="AC76" s="180"/>
      <c r="AD76" s="180"/>
      <c r="AE76" s="180"/>
      <c r="AF76" s="180"/>
      <c r="AG76" s="180"/>
      <c r="AH76" s="180"/>
      <c r="AI76" s="180"/>
      <c r="AJ76" s="180"/>
      <c r="AK76" s="180"/>
      <c r="AL76" s="180"/>
      <c r="AM76" s="180"/>
      <c r="AN76" s="180"/>
      <c r="AO76" s="180"/>
      <c r="AP76" s="180"/>
      <c r="AQ76" s="180"/>
      <c r="AR76" s="1"/>
    </row>
    <row r="77" spans="1:44" ht="14.4">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row>
    <row r="78" spans="1:44" ht="25.8">
      <c r="A78" s="847" t="s">
        <v>126</v>
      </c>
      <c r="B78" s="799"/>
      <c r="C78" s="799"/>
      <c r="D78" s="799"/>
      <c r="E78" s="799"/>
      <c r="F78" s="799"/>
      <c r="G78" s="799"/>
      <c r="H78" s="799"/>
      <c r="I78" s="799"/>
      <c r="J78" s="799"/>
      <c r="K78" s="799"/>
      <c r="L78" s="799"/>
      <c r="M78" s="799"/>
      <c r="N78" s="799"/>
      <c r="O78" s="799"/>
      <c r="P78" s="799"/>
      <c r="Q78" s="799"/>
      <c r="R78" s="799"/>
      <c r="S78" s="799"/>
      <c r="T78" s="799"/>
      <c r="U78" s="799"/>
      <c r="V78" s="799"/>
      <c r="W78" s="799"/>
      <c r="X78" s="799"/>
      <c r="Y78" s="799"/>
      <c r="Z78" s="799"/>
      <c r="AA78" s="799"/>
      <c r="AB78" s="800"/>
      <c r="AC78" s="1"/>
      <c r="AD78" s="1"/>
      <c r="AE78" s="1"/>
      <c r="AF78" s="1"/>
      <c r="AG78" s="1"/>
      <c r="AH78" s="1"/>
      <c r="AI78" s="1"/>
      <c r="AJ78" s="1"/>
      <c r="AK78" s="1"/>
      <c r="AL78" s="1"/>
      <c r="AM78" s="1"/>
      <c r="AN78" s="1"/>
      <c r="AO78" s="1"/>
      <c r="AP78" s="1"/>
      <c r="AQ78" s="1"/>
      <c r="AR78" s="1"/>
    </row>
    <row r="79" spans="1:44" ht="14.4">
      <c r="A79" s="886" t="s">
        <v>56</v>
      </c>
      <c r="B79" s="854" t="s">
        <v>42</v>
      </c>
      <c r="C79" s="857" t="s">
        <v>57</v>
      </c>
      <c r="D79" s="828"/>
      <c r="E79" s="837" t="s">
        <v>58</v>
      </c>
      <c r="F79" s="828"/>
      <c r="G79" s="837" t="s">
        <v>59</v>
      </c>
      <c r="H79" s="828"/>
      <c r="I79" s="837" t="s">
        <v>60</v>
      </c>
      <c r="J79" s="828"/>
      <c r="K79" s="837" t="s">
        <v>61</v>
      </c>
      <c r="L79" s="828"/>
      <c r="M79" s="837" t="s">
        <v>62</v>
      </c>
      <c r="N79" s="828"/>
      <c r="O79" s="837" t="s">
        <v>63</v>
      </c>
      <c r="P79" s="828"/>
      <c r="Q79" s="837" t="s">
        <v>64</v>
      </c>
      <c r="R79" s="828"/>
      <c r="S79" s="837" t="s">
        <v>65</v>
      </c>
      <c r="T79" s="828"/>
      <c r="U79" s="837" t="s">
        <v>66</v>
      </c>
      <c r="V79" s="828"/>
      <c r="W79" s="837" t="s">
        <v>67</v>
      </c>
      <c r="X79" s="828"/>
      <c r="Y79" s="837" t="s">
        <v>68</v>
      </c>
      <c r="Z79" s="828"/>
      <c r="AA79" s="837" t="s">
        <v>69</v>
      </c>
      <c r="AB79" s="828"/>
      <c r="AC79" s="1"/>
      <c r="AD79" s="1"/>
      <c r="AE79" s="1"/>
      <c r="AF79" s="1"/>
      <c r="AG79" s="1"/>
      <c r="AH79" s="1"/>
      <c r="AI79" s="1"/>
      <c r="AJ79" s="1"/>
      <c r="AK79" s="1"/>
      <c r="AL79" s="1"/>
      <c r="AM79" s="1"/>
      <c r="AN79" s="1"/>
      <c r="AO79" s="1"/>
      <c r="AP79" s="1"/>
      <c r="AQ79" s="1"/>
      <c r="AR79" s="1"/>
    </row>
    <row r="80" spans="1:44" ht="14.4">
      <c r="A80" s="887"/>
      <c r="B80" s="855"/>
      <c r="C80" s="838" t="s">
        <v>70</v>
      </c>
      <c r="D80" s="840" t="s">
        <v>71</v>
      </c>
      <c r="E80" s="852">
        <v>0.05</v>
      </c>
      <c r="F80" s="831"/>
      <c r="G80" s="852">
        <v>0.05</v>
      </c>
      <c r="H80" s="831"/>
      <c r="I80" s="852">
        <v>0.05</v>
      </c>
      <c r="J80" s="831"/>
      <c r="K80" s="852">
        <v>0.15</v>
      </c>
      <c r="L80" s="831"/>
      <c r="M80" s="852">
        <v>0.1</v>
      </c>
      <c r="N80" s="831"/>
      <c r="O80" s="852">
        <v>7.4999999999999997E-2</v>
      </c>
      <c r="P80" s="831"/>
      <c r="Q80" s="852">
        <v>0.05</v>
      </c>
      <c r="R80" s="831"/>
      <c r="S80" s="852">
        <v>0.05</v>
      </c>
      <c r="T80" s="831"/>
      <c r="U80" s="852">
        <v>0.1</v>
      </c>
      <c r="V80" s="831"/>
      <c r="W80" s="852">
        <v>0.1</v>
      </c>
      <c r="X80" s="831"/>
      <c r="Y80" s="852">
        <v>0.1</v>
      </c>
      <c r="Z80" s="831"/>
      <c r="AA80" s="852">
        <v>7.4999999999999997E-2</v>
      </c>
      <c r="AB80" s="831"/>
      <c r="AC80" s="175"/>
      <c r="AD80" s="1"/>
      <c r="AE80" s="1"/>
      <c r="AF80" s="1"/>
      <c r="AG80" s="1"/>
      <c r="AH80" s="1"/>
      <c r="AI80" s="1"/>
      <c r="AJ80" s="1"/>
      <c r="AK80" s="1"/>
      <c r="AL80" s="1"/>
      <c r="AM80" s="1"/>
      <c r="AN80" s="1"/>
      <c r="AO80" s="1"/>
      <c r="AP80" s="1"/>
      <c r="AQ80" s="1"/>
      <c r="AR80" s="1"/>
    </row>
    <row r="81" spans="1:44" ht="14.4">
      <c r="A81" s="888"/>
      <c r="B81" s="889"/>
      <c r="C81" s="839"/>
      <c r="D81" s="890"/>
      <c r="E81" s="183" t="s">
        <v>26</v>
      </c>
      <c r="F81" s="184" t="s">
        <v>71</v>
      </c>
      <c r="G81" s="183" t="s">
        <v>26</v>
      </c>
      <c r="H81" s="184" t="s">
        <v>71</v>
      </c>
      <c r="I81" s="183" t="s">
        <v>26</v>
      </c>
      <c r="J81" s="184" t="s">
        <v>71</v>
      </c>
      <c r="K81" s="183" t="s">
        <v>26</v>
      </c>
      <c r="L81" s="184" t="s">
        <v>71</v>
      </c>
      <c r="M81" s="183" t="s">
        <v>26</v>
      </c>
      <c r="N81" s="184" t="s">
        <v>71</v>
      </c>
      <c r="O81" s="183" t="s">
        <v>26</v>
      </c>
      <c r="P81" s="184" t="s">
        <v>71</v>
      </c>
      <c r="Q81" s="183" t="s">
        <v>26</v>
      </c>
      <c r="R81" s="184" t="s">
        <v>71</v>
      </c>
      <c r="S81" s="83" t="s">
        <v>26</v>
      </c>
      <c r="T81" s="84" t="s">
        <v>71</v>
      </c>
      <c r="U81" s="83" t="s">
        <v>26</v>
      </c>
      <c r="V81" s="84" t="s">
        <v>71</v>
      </c>
      <c r="W81" s="83" t="s">
        <v>26</v>
      </c>
      <c r="X81" s="84" t="s">
        <v>71</v>
      </c>
      <c r="Y81" s="83" t="s">
        <v>26</v>
      </c>
      <c r="Z81" s="84" t="s">
        <v>71</v>
      </c>
      <c r="AA81" s="83" t="s">
        <v>26</v>
      </c>
      <c r="AB81" s="84" t="s">
        <v>71</v>
      </c>
      <c r="AC81" s="1"/>
      <c r="AD81" s="1"/>
      <c r="AE81" s="1"/>
      <c r="AF81" s="1"/>
      <c r="AG81" s="1"/>
      <c r="AH81" s="1"/>
      <c r="AI81" s="1"/>
      <c r="AJ81" s="1"/>
      <c r="AK81" s="1"/>
      <c r="AL81" s="1"/>
      <c r="AM81" s="1"/>
      <c r="AN81" s="1"/>
      <c r="AO81" s="1"/>
      <c r="AP81" s="1"/>
      <c r="AQ81" s="1"/>
      <c r="AR81" s="1"/>
    </row>
    <row r="82" spans="1:44" ht="15.6">
      <c r="A82" s="85" t="str">
        <f>Hipótesis!$B$58</f>
        <v>Instalación A</v>
      </c>
      <c r="B82" s="185">
        <f>Hipótesis!C58</f>
        <v>190000</v>
      </c>
      <c r="C82" s="87">
        <f t="shared" ref="C82:C87" si="28">E82+G82+I82+K82+M82+O82+Q82+S82+U82+W82+Y82+AA82</f>
        <v>30</v>
      </c>
      <c r="D82" s="186">
        <f t="shared" ref="D82:D94" si="29">B82*C82</f>
        <v>5700000</v>
      </c>
      <c r="E82" s="89">
        <v>0</v>
      </c>
      <c r="F82" s="90">
        <f t="shared" ref="F82:F88" si="30">E82*$B82</f>
        <v>0</v>
      </c>
      <c r="G82" s="89">
        <v>0</v>
      </c>
      <c r="H82" s="90">
        <f t="shared" ref="H82:H88" si="31">G82*$B82</f>
        <v>0</v>
      </c>
      <c r="I82" s="89">
        <v>0</v>
      </c>
      <c r="J82" s="90">
        <f t="shared" ref="J82:J88" si="32">I82*$B82</f>
        <v>0</v>
      </c>
      <c r="K82" s="89">
        <v>15</v>
      </c>
      <c r="L82" s="90">
        <f t="shared" ref="L82:L88" si="33">K82*$B82</f>
        <v>2850000</v>
      </c>
      <c r="M82" s="89">
        <v>0</v>
      </c>
      <c r="N82" s="90">
        <f t="shared" ref="N82:N88" si="34">M82*$B82</f>
        <v>0</v>
      </c>
      <c r="O82" s="89">
        <v>0</v>
      </c>
      <c r="P82" s="90">
        <f t="shared" ref="P82:P88" si="35">O82*$B82</f>
        <v>0</v>
      </c>
      <c r="Q82" s="89">
        <v>0</v>
      </c>
      <c r="R82" s="90">
        <f t="shared" ref="R82:R88" si="36">Q82*$B82</f>
        <v>0</v>
      </c>
      <c r="S82" s="89">
        <v>0</v>
      </c>
      <c r="T82" s="90">
        <f t="shared" ref="T82:T88" si="37">S82*$B82</f>
        <v>0</v>
      </c>
      <c r="U82" s="89">
        <v>15</v>
      </c>
      <c r="V82" s="90">
        <f t="shared" ref="V82:V88" si="38">U82*$B82</f>
        <v>2850000</v>
      </c>
      <c r="W82" s="89">
        <v>0</v>
      </c>
      <c r="X82" s="90">
        <f t="shared" ref="X82:X88" si="39">W82*$B82</f>
        <v>0</v>
      </c>
      <c r="Y82" s="89">
        <v>0</v>
      </c>
      <c r="Z82" s="90">
        <f t="shared" ref="Z82:Z88" si="40">Y82*$B82</f>
        <v>0</v>
      </c>
      <c r="AA82" s="89">
        <v>0</v>
      </c>
      <c r="AB82" s="90">
        <f t="shared" ref="AB82:AB88" si="41">AA82*$B82</f>
        <v>0</v>
      </c>
      <c r="AC82" s="1"/>
      <c r="AD82" s="1"/>
      <c r="AE82" s="1"/>
      <c r="AF82" s="1"/>
      <c r="AG82" s="1"/>
      <c r="AH82" s="1"/>
      <c r="AI82" s="1"/>
      <c r="AJ82" s="1"/>
      <c r="AK82" s="1"/>
      <c r="AL82" s="1"/>
      <c r="AM82" s="1"/>
      <c r="AN82" s="1"/>
      <c r="AO82" s="1"/>
      <c r="AP82" s="1"/>
      <c r="AQ82" s="1"/>
      <c r="AR82" s="1"/>
    </row>
    <row r="83" spans="1:44" ht="15.6">
      <c r="A83" s="85" t="str">
        <f>Hipótesis!$B$59</f>
        <v>Instalación B</v>
      </c>
      <c r="B83" s="187">
        <f>Hipótesis!C59</f>
        <v>240000</v>
      </c>
      <c r="C83" s="92">
        <f t="shared" si="28"/>
        <v>15</v>
      </c>
      <c r="D83" s="94">
        <f t="shared" si="29"/>
        <v>3600000</v>
      </c>
      <c r="E83" s="92">
        <v>0</v>
      </c>
      <c r="F83" s="94">
        <f t="shared" si="30"/>
        <v>0</v>
      </c>
      <c r="G83" s="92">
        <v>0</v>
      </c>
      <c r="H83" s="94">
        <f t="shared" si="31"/>
        <v>0</v>
      </c>
      <c r="I83" s="92">
        <v>15</v>
      </c>
      <c r="J83" s="94">
        <f t="shared" si="32"/>
        <v>3600000</v>
      </c>
      <c r="K83" s="92">
        <v>0</v>
      </c>
      <c r="L83" s="94">
        <f t="shared" si="33"/>
        <v>0</v>
      </c>
      <c r="M83" s="92">
        <v>0</v>
      </c>
      <c r="N83" s="94">
        <f t="shared" si="34"/>
        <v>0</v>
      </c>
      <c r="O83" s="92">
        <v>0</v>
      </c>
      <c r="P83" s="94">
        <f t="shared" si="35"/>
        <v>0</v>
      </c>
      <c r="Q83" s="92">
        <v>0</v>
      </c>
      <c r="R83" s="94">
        <f t="shared" si="36"/>
        <v>0</v>
      </c>
      <c r="S83" s="92">
        <v>0</v>
      </c>
      <c r="T83" s="94">
        <f t="shared" si="37"/>
        <v>0</v>
      </c>
      <c r="U83" s="92">
        <v>0</v>
      </c>
      <c r="V83" s="94">
        <f t="shared" si="38"/>
        <v>0</v>
      </c>
      <c r="W83" s="92">
        <v>0</v>
      </c>
      <c r="X83" s="94">
        <f t="shared" si="39"/>
        <v>0</v>
      </c>
      <c r="Y83" s="92">
        <v>0</v>
      </c>
      <c r="Z83" s="94">
        <f t="shared" si="40"/>
        <v>0</v>
      </c>
      <c r="AA83" s="92">
        <v>0</v>
      </c>
      <c r="AB83" s="94">
        <f t="shared" si="41"/>
        <v>0</v>
      </c>
      <c r="AC83" s="1"/>
      <c r="AD83" s="1"/>
      <c r="AE83" s="1"/>
      <c r="AF83" s="1"/>
      <c r="AG83" s="1"/>
      <c r="AH83" s="1"/>
      <c r="AI83" s="1"/>
      <c r="AJ83" s="1"/>
      <c r="AK83" s="1"/>
      <c r="AL83" s="1"/>
      <c r="AM83" s="1"/>
      <c r="AN83" s="1"/>
      <c r="AO83" s="1"/>
      <c r="AP83" s="1"/>
      <c r="AQ83" s="1"/>
      <c r="AR83" s="1"/>
    </row>
    <row r="84" spans="1:44" ht="15.6">
      <c r="A84" s="85" t="str">
        <f>Hipótesis!$B$60</f>
        <v>Instalación C</v>
      </c>
      <c r="B84" s="188">
        <f>Hipótesis!C60</f>
        <v>310000</v>
      </c>
      <c r="C84" s="96">
        <f t="shared" si="28"/>
        <v>90</v>
      </c>
      <c r="D84" s="189">
        <f t="shared" si="29"/>
        <v>27900000</v>
      </c>
      <c r="E84" s="97">
        <v>15</v>
      </c>
      <c r="F84" s="98">
        <f t="shared" si="30"/>
        <v>4650000</v>
      </c>
      <c r="G84" s="97">
        <v>0</v>
      </c>
      <c r="H84" s="98">
        <f t="shared" si="31"/>
        <v>0</v>
      </c>
      <c r="I84" s="97">
        <v>0</v>
      </c>
      <c r="J84" s="98">
        <f t="shared" si="32"/>
        <v>0</v>
      </c>
      <c r="K84" s="97">
        <v>15</v>
      </c>
      <c r="L84" s="98">
        <f t="shared" si="33"/>
        <v>4650000</v>
      </c>
      <c r="M84" s="97">
        <v>0</v>
      </c>
      <c r="N84" s="98">
        <f t="shared" si="34"/>
        <v>0</v>
      </c>
      <c r="O84" s="97">
        <v>0</v>
      </c>
      <c r="P84" s="98">
        <f t="shared" si="35"/>
        <v>0</v>
      </c>
      <c r="Q84" s="97">
        <v>0</v>
      </c>
      <c r="R84" s="98">
        <f t="shared" si="36"/>
        <v>0</v>
      </c>
      <c r="S84" s="97">
        <v>0</v>
      </c>
      <c r="T84" s="98">
        <f t="shared" si="37"/>
        <v>0</v>
      </c>
      <c r="U84" s="97">
        <v>0</v>
      </c>
      <c r="V84" s="98">
        <f t="shared" si="38"/>
        <v>0</v>
      </c>
      <c r="W84" s="97">
        <v>30</v>
      </c>
      <c r="X84" s="98">
        <f t="shared" si="39"/>
        <v>9300000</v>
      </c>
      <c r="Y84" s="97">
        <v>30</v>
      </c>
      <c r="Z84" s="98">
        <f t="shared" si="40"/>
        <v>9300000</v>
      </c>
      <c r="AA84" s="97">
        <v>0</v>
      </c>
      <c r="AB84" s="98">
        <f t="shared" si="41"/>
        <v>0</v>
      </c>
      <c r="AC84" s="1"/>
      <c r="AD84" s="1"/>
      <c r="AE84" s="1"/>
      <c r="AF84" s="1"/>
      <c r="AG84" s="1"/>
      <c r="AH84" s="1"/>
      <c r="AI84" s="1"/>
      <c r="AJ84" s="1"/>
      <c r="AK84" s="1"/>
      <c r="AL84" s="1"/>
      <c r="AM84" s="1"/>
      <c r="AN84" s="1"/>
      <c r="AO84" s="1"/>
      <c r="AP84" s="1"/>
      <c r="AQ84" s="1"/>
      <c r="AR84" s="1"/>
    </row>
    <row r="85" spans="1:44" ht="15.6">
      <c r="A85" s="99" t="str">
        <f>Hipótesis!$B$61</f>
        <v>Plan A</v>
      </c>
      <c r="B85" s="100">
        <f>Hipótesis!C61</f>
        <v>88000</v>
      </c>
      <c r="C85" s="101">
        <f t="shared" si="28"/>
        <v>375</v>
      </c>
      <c r="D85" s="102">
        <f t="shared" si="29"/>
        <v>33000000</v>
      </c>
      <c r="E85" s="103">
        <f t="shared" ref="E85:E87" si="42">Y22+E82</f>
        <v>15</v>
      </c>
      <c r="F85" s="190">
        <f t="shared" si="30"/>
        <v>1320000</v>
      </c>
      <c r="G85" s="103">
        <f t="shared" ref="G85:G87" si="43">E85+G82</f>
        <v>15</v>
      </c>
      <c r="H85" s="104">
        <f t="shared" si="31"/>
        <v>1320000</v>
      </c>
      <c r="I85" s="103">
        <f t="shared" ref="I85:I87" si="44">G85+I82</f>
        <v>15</v>
      </c>
      <c r="J85" s="104">
        <f t="shared" si="32"/>
        <v>1320000</v>
      </c>
      <c r="K85" s="103">
        <f t="shared" ref="K85:K87" si="45">I85+K82</f>
        <v>30</v>
      </c>
      <c r="L85" s="104">
        <f t="shared" si="33"/>
        <v>2640000</v>
      </c>
      <c r="M85" s="103">
        <f t="shared" ref="M85:M87" si="46">K85+M82</f>
        <v>30</v>
      </c>
      <c r="N85" s="104">
        <f t="shared" si="34"/>
        <v>2640000</v>
      </c>
      <c r="O85" s="103">
        <f t="shared" ref="O85:O87" si="47">M85+O82</f>
        <v>30</v>
      </c>
      <c r="P85" s="104">
        <f t="shared" si="35"/>
        <v>2640000</v>
      </c>
      <c r="Q85" s="103">
        <f t="shared" ref="Q85:Q87" si="48">O85+Q82</f>
        <v>30</v>
      </c>
      <c r="R85" s="104">
        <f t="shared" si="36"/>
        <v>2640000</v>
      </c>
      <c r="S85" s="103">
        <f t="shared" ref="S85:S87" si="49">Q85+S82</f>
        <v>30</v>
      </c>
      <c r="T85" s="104">
        <f t="shared" si="37"/>
        <v>2640000</v>
      </c>
      <c r="U85" s="103">
        <f t="shared" ref="U85:U87" si="50">S85+U82</f>
        <v>45</v>
      </c>
      <c r="V85" s="104">
        <f t="shared" si="38"/>
        <v>3960000</v>
      </c>
      <c r="W85" s="103">
        <f t="shared" ref="W85:W87" si="51">U85+W82</f>
        <v>45</v>
      </c>
      <c r="X85" s="104">
        <f t="shared" si="39"/>
        <v>3960000</v>
      </c>
      <c r="Y85" s="103">
        <f t="shared" ref="Y85:Y87" si="52">W85+Y82</f>
        <v>45</v>
      </c>
      <c r="Z85" s="104">
        <f t="shared" si="40"/>
        <v>3960000</v>
      </c>
      <c r="AA85" s="103">
        <f t="shared" ref="AA85:AA87" si="53">Y85+AA82</f>
        <v>45</v>
      </c>
      <c r="AB85" s="104">
        <f t="shared" si="41"/>
        <v>3960000</v>
      </c>
      <c r="AC85" s="1"/>
      <c r="AD85" s="1"/>
      <c r="AE85" s="1"/>
      <c r="AF85" s="1"/>
      <c r="AG85" s="1"/>
      <c r="AH85" s="1"/>
      <c r="AI85" s="1"/>
      <c r="AJ85" s="1"/>
      <c r="AK85" s="1"/>
      <c r="AL85" s="1"/>
      <c r="AM85" s="1"/>
      <c r="AN85" s="1"/>
      <c r="AO85" s="1"/>
      <c r="AP85" s="1"/>
      <c r="AQ85" s="1"/>
      <c r="AR85" s="1"/>
    </row>
    <row r="86" spans="1:44" ht="15.6">
      <c r="A86" s="99" t="str">
        <f>Hipótesis!$B$62</f>
        <v>Plan B</v>
      </c>
      <c r="B86" s="105">
        <f>Hipótesis!C62</f>
        <v>108000</v>
      </c>
      <c r="C86" s="106">
        <f t="shared" si="28"/>
        <v>510</v>
      </c>
      <c r="D86" s="107">
        <f t="shared" si="29"/>
        <v>55080000</v>
      </c>
      <c r="E86" s="108">
        <f t="shared" si="42"/>
        <v>30</v>
      </c>
      <c r="F86" s="191">
        <f t="shared" si="30"/>
        <v>3240000</v>
      </c>
      <c r="G86" s="108">
        <f t="shared" si="43"/>
        <v>30</v>
      </c>
      <c r="H86" s="109">
        <f t="shared" si="31"/>
        <v>3240000</v>
      </c>
      <c r="I86" s="108">
        <f t="shared" si="44"/>
        <v>45</v>
      </c>
      <c r="J86" s="109">
        <f t="shared" si="32"/>
        <v>4860000</v>
      </c>
      <c r="K86" s="108">
        <f t="shared" si="45"/>
        <v>45</v>
      </c>
      <c r="L86" s="109">
        <f t="shared" si="33"/>
        <v>4860000</v>
      </c>
      <c r="M86" s="108">
        <f t="shared" si="46"/>
        <v>45</v>
      </c>
      <c r="N86" s="109">
        <f t="shared" si="34"/>
        <v>4860000</v>
      </c>
      <c r="O86" s="108">
        <f t="shared" si="47"/>
        <v>45</v>
      </c>
      <c r="P86" s="109">
        <f t="shared" si="35"/>
        <v>4860000</v>
      </c>
      <c r="Q86" s="108">
        <f t="shared" si="48"/>
        <v>45</v>
      </c>
      <c r="R86" s="109">
        <f t="shared" si="36"/>
        <v>4860000</v>
      </c>
      <c r="S86" s="108">
        <f t="shared" si="49"/>
        <v>45</v>
      </c>
      <c r="T86" s="109">
        <f t="shared" si="37"/>
        <v>4860000</v>
      </c>
      <c r="U86" s="108">
        <f t="shared" si="50"/>
        <v>45</v>
      </c>
      <c r="V86" s="109">
        <f t="shared" si="38"/>
        <v>4860000</v>
      </c>
      <c r="W86" s="108">
        <f t="shared" si="51"/>
        <v>45</v>
      </c>
      <c r="X86" s="109">
        <f t="shared" si="39"/>
        <v>4860000</v>
      </c>
      <c r="Y86" s="108">
        <f t="shared" si="52"/>
        <v>45</v>
      </c>
      <c r="Z86" s="109">
        <f t="shared" si="40"/>
        <v>4860000</v>
      </c>
      <c r="AA86" s="108">
        <f t="shared" si="53"/>
        <v>45</v>
      </c>
      <c r="AB86" s="109">
        <f t="shared" si="41"/>
        <v>4860000</v>
      </c>
      <c r="AC86" s="1"/>
      <c r="AD86" s="1"/>
      <c r="AE86" s="1"/>
      <c r="AF86" s="1"/>
      <c r="AG86" s="1"/>
      <c r="AH86" s="1"/>
      <c r="AI86" s="1"/>
      <c r="AJ86" s="1"/>
      <c r="AK86" s="1"/>
      <c r="AL86" s="1"/>
      <c r="AM86" s="1"/>
      <c r="AN86" s="1"/>
      <c r="AO86" s="1"/>
      <c r="AP86" s="1"/>
      <c r="AQ86" s="1"/>
      <c r="AR86" s="1"/>
    </row>
    <row r="87" spans="1:44" ht="15.6">
      <c r="A87" s="99" t="str">
        <f>Hipótesis!$B$63</f>
        <v>Plan C</v>
      </c>
      <c r="B87" s="105">
        <f>Hipótesis!C63</f>
        <v>132000</v>
      </c>
      <c r="C87" s="106">
        <f t="shared" si="28"/>
        <v>1185</v>
      </c>
      <c r="D87" s="107">
        <f t="shared" si="29"/>
        <v>156420000</v>
      </c>
      <c r="E87" s="108">
        <f t="shared" si="42"/>
        <v>75</v>
      </c>
      <c r="F87" s="191">
        <f t="shared" si="30"/>
        <v>9900000</v>
      </c>
      <c r="G87" s="108">
        <f t="shared" si="43"/>
        <v>75</v>
      </c>
      <c r="H87" s="109">
        <f t="shared" si="31"/>
        <v>9900000</v>
      </c>
      <c r="I87" s="108">
        <f t="shared" si="44"/>
        <v>75</v>
      </c>
      <c r="J87" s="109">
        <f t="shared" si="32"/>
        <v>9900000</v>
      </c>
      <c r="K87" s="108">
        <f t="shared" si="45"/>
        <v>90</v>
      </c>
      <c r="L87" s="109">
        <f t="shared" si="33"/>
        <v>11880000</v>
      </c>
      <c r="M87" s="108">
        <f t="shared" si="46"/>
        <v>90</v>
      </c>
      <c r="N87" s="109">
        <f t="shared" si="34"/>
        <v>11880000</v>
      </c>
      <c r="O87" s="108">
        <f t="shared" si="47"/>
        <v>90</v>
      </c>
      <c r="P87" s="109">
        <f t="shared" si="35"/>
        <v>11880000</v>
      </c>
      <c r="Q87" s="108">
        <f t="shared" si="48"/>
        <v>90</v>
      </c>
      <c r="R87" s="109">
        <f t="shared" si="36"/>
        <v>11880000</v>
      </c>
      <c r="S87" s="108">
        <f t="shared" si="49"/>
        <v>90</v>
      </c>
      <c r="T87" s="109">
        <f t="shared" si="37"/>
        <v>11880000</v>
      </c>
      <c r="U87" s="108">
        <f t="shared" si="50"/>
        <v>90</v>
      </c>
      <c r="V87" s="109">
        <f t="shared" si="38"/>
        <v>11880000</v>
      </c>
      <c r="W87" s="108">
        <f t="shared" si="51"/>
        <v>120</v>
      </c>
      <c r="X87" s="109">
        <f t="shared" si="39"/>
        <v>15840000</v>
      </c>
      <c r="Y87" s="108">
        <f t="shared" si="52"/>
        <v>150</v>
      </c>
      <c r="Z87" s="109">
        <f t="shared" si="40"/>
        <v>19800000</v>
      </c>
      <c r="AA87" s="108">
        <f t="shared" si="53"/>
        <v>150</v>
      </c>
      <c r="AB87" s="109">
        <f t="shared" si="41"/>
        <v>19800000</v>
      </c>
      <c r="AC87" s="1"/>
      <c r="AD87" s="1"/>
      <c r="AE87" s="1"/>
      <c r="AF87" s="1"/>
      <c r="AG87" s="1"/>
      <c r="AH87" s="1"/>
      <c r="AI87" s="1"/>
      <c r="AJ87" s="1"/>
      <c r="AK87" s="1"/>
      <c r="AL87" s="1"/>
      <c r="AM87" s="1"/>
      <c r="AN87" s="1"/>
      <c r="AO87" s="1"/>
      <c r="AP87" s="1"/>
      <c r="AQ87" s="1"/>
      <c r="AR87" s="1"/>
    </row>
    <row r="88" spans="1:44" ht="15.6">
      <c r="A88" s="110"/>
      <c r="B88" s="111">
        <f>Hipótesis!C64</f>
        <v>0</v>
      </c>
      <c r="C88" s="192">
        <v>0</v>
      </c>
      <c r="D88" s="113">
        <f t="shared" si="29"/>
        <v>0</v>
      </c>
      <c r="E88" s="114">
        <v>0</v>
      </c>
      <c r="F88" s="191">
        <f t="shared" si="30"/>
        <v>0</v>
      </c>
      <c r="G88" s="114">
        <v>0</v>
      </c>
      <c r="H88" s="109">
        <f t="shared" si="31"/>
        <v>0</v>
      </c>
      <c r="I88" s="114">
        <v>0</v>
      </c>
      <c r="J88" s="109">
        <f t="shared" si="32"/>
        <v>0</v>
      </c>
      <c r="K88" s="114">
        <v>0</v>
      </c>
      <c r="L88" s="109">
        <f t="shared" si="33"/>
        <v>0</v>
      </c>
      <c r="M88" s="114">
        <v>0</v>
      </c>
      <c r="N88" s="109">
        <f t="shared" si="34"/>
        <v>0</v>
      </c>
      <c r="O88" s="114">
        <v>0</v>
      </c>
      <c r="P88" s="109">
        <f t="shared" si="35"/>
        <v>0</v>
      </c>
      <c r="Q88" s="114">
        <v>0</v>
      </c>
      <c r="R88" s="109">
        <f t="shared" si="36"/>
        <v>0</v>
      </c>
      <c r="S88" s="114">
        <v>0</v>
      </c>
      <c r="T88" s="109">
        <f t="shared" si="37"/>
        <v>0</v>
      </c>
      <c r="U88" s="114">
        <v>0</v>
      </c>
      <c r="V88" s="109">
        <f t="shared" si="38"/>
        <v>0</v>
      </c>
      <c r="W88" s="114">
        <v>0</v>
      </c>
      <c r="X88" s="109">
        <f t="shared" si="39"/>
        <v>0</v>
      </c>
      <c r="Y88" s="114">
        <v>0</v>
      </c>
      <c r="Z88" s="109">
        <f t="shared" si="40"/>
        <v>0</v>
      </c>
      <c r="AA88" s="114">
        <v>0</v>
      </c>
      <c r="AB88" s="109">
        <f t="shared" si="41"/>
        <v>0</v>
      </c>
      <c r="AC88" s="1"/>
      <c r="AD88" s="1"/>
      <c r="AE88" s="1"/>
      <c r="AF88" s="1"/>
      <c r="AG88" s="1"/>
      <c r="AH88" s="1"/>
      <c r="AI88" s="1"/>
      <c r="AJ88" s="1"/>
      <c r="AK88" s="1"/>
      <c r="AL88" s="1"/>
      <c r="AM88" s="1"/>
      <c r="AN88" s="1"/>
      <c r="AO88" s="1"/>
      <c r="AP88" s="1"/>
      <c r="AQ88" s="1"/>
      <c r="AR88" s="1"/>
    </row>
    <row r="89" spans="1:44" ht="15.6">
      <c r="A89" s="116"/>
      <c r="B89" s="117">
        <f>Hipótesis!C65</f>
        <v>0</v>
      </c>
      <c r="C89" s="193"/>
      <c r="D89" s="119">
        <f t="shared" si="29"/>
        <v>0</v>
      </c>
      <c r="E89" s="194">
        <f t="shared" ref="E89:E93" si="54">C89*$E$80</f>
        <v>0</v>
      </c>
      <c r="F89" s="119">
        <f t="shared" ref="F89:F93" si="55">D89*$E$17</f>
        <v>0</v>
      </c>
      <c r="G89" s="118">
        <f t="shared" ref="G89:G94" si="56">C89*$G$80</f>
        <v>0</v>
      </c>
      <c r="H89" s="119">
        <f t="shared" ref="H89:H94" si="57">D89*$G$17</f>
        <v>0</v>
      </c>
      <c r="I89" s="118">
        <f t="shared" ref="I89:I94" si="58">C89*$I$80</f>
        <v>0</v>
      </c>
      <c r="J89" s="119">
        <f t="shared" ref="J89:J94" si="59">D89*$I$17</f>
        <v>0</v>
      </c>
      <c r="K89" s="118">
        <f t="shared" ref="K89:K94" si="60">C89*$K$80</f>
        <v>0</v>
      </c>
      <c r="L89" s="119">
        <f t="shared" ref="L89:L94" si="61">D89*$K$17</f>
        <v>0</v>
      </c>
      <c r="M89" s="118">
        <f t="shared" ref="M89:M94" si="62">C89*$M$80</f>
        <v>0</v>
      </c>
      <c r="N89" s="119">
        <f t="shared" ref="N89:N94" si="63">D89*$M$17</f>
        <v>0</v>
      </c>
      <c r="O89" s="118">
        <f t="shared" ref="O89:O94" si="64">C89*$O$80</f>
        <v>0</v>
      </c>
      <c r="P89" s="119">
        <f t="shared" ref="P89:P94" si="65">D89*$O$17</f>
        <v>0</v>
      </c>
      <c r="Q89" s="118">
        <f t="shared" ref="Q89:Q94" si="66">C89*$Q$80</f>
        <v>0</v>
      </c>
      <c r="R89" s="119">
        <f t="shared" ref="R89:R94" si="67">D89*$Q$17</f>
        <v>0</v>
      </c>
      <c r="S89" s="118">
        <f t="shared" ref="S89:S94" si="68">C89*$S$80</f>
        <v>0</v>
      </c>
      <c r="T89" s="119">
        <f t="shared" ref="T89:T94" si="69">D89*$S$17</f>
        <v>0</v>
      </c>
      <c r="U89" s="118">
        <f t="shared" ref="U89:U94" si="70">C89*$U$80</f>
        <v>0</v>
      </c>
      <c r="V89" s="119">
        <f t="shared" ref="V89:V94" si="71">D89*$U$17</f>
        <v>0</v>
      </c>
      <c r="W89" s="118">
        <f t="shared" ref="W89:W94" si="72">C89*$W$80</f>
        <v>0</v>
      </c>
      <c r="X89" s="119">
        <f t="shared" ref="X89:X94" si="73">D89*$W$17</f>
        <v>0</v>
      </c>
      <c r="Y89" s="118">
        <f t="shared" ref="Y89:Y94" si="74">C89*$Y$80</f>
        <v>0</v>
      </c>
      <c r="Z89" s="195">
        <f t="shared" ref="Z89:Z94" si="75">D89*$Y$17</f>
        <v>0</v>
      </c>
      <c r="AA89" s="118">
        <f t="shared" ref="AA89:AA94" si="76">C89*$AA$80</f>
        <v>0</v>
      </c>
      <c r="AB89" s="119">
        <f t="shared" ref="AB89:AB94" si="77">D89*$AA$17</f>
        <v>0</v>
      </c>
      <c r="AC89" s="1"/>
      <c r="AD89" s="1"/>
      <c r="AE89" s="1"/>
      <c r="AF89" s="1"/>
      <c r="AG89" s="1"/>
      <c r="AH89" s="1"/>
      <c r="AI89" s="1"/>
      <c r="AJ89" s="1"/>
      <c r="AK89" s="1"/>
      <c r="AL89" s="1"/>
      <c r="AM89" s="1"/>
      <c r="AN89" s="1"/>
      <c r="AO89" s="1"/>
      <c r="AP89" s="1"/>
      <c r="AQ89" s="1"/>
      <c r="AR89" s="1"/>
    </row>
    <row r="90" spans="1:44" ht="15.6">
      <c r="A90" s="122"/>
      <c r="B90" s="123">
        <f>Hipótesis!C66</f>
        <v>0</v>
      </c>
      <c r="C90" s="196"/>
      <c r="D90" s="125">
        <f t="shared" si="29"/>
        <v>0</v>
      </c>
      <c r="E90" s="124">
        <f t="shared" si="54"/>
        <v>0</v>
      </c>
      <c r="F90" s="125">
        <f t="shared" si="55"/>
        <v>0</v>
      </c>
      <c r="G90" s="124">
        <f t="shared" si="56"/>
        <v>0</v>
      </c>
      <c r="H90" s="125">
        <f t="shared" si="57"/>
        <v>0</v>
      </c>
      <c r="I90" s="124">
        <f t="shared" si="58"/>
        <v>0</v>
      </c>
      <c r="J90" s="125">
        <f t="shared" si="59"/>
        <v>0</v>
      </c>
      <c r="K90" s="124">
        <f t="shared" si="60"/>
        <v>0</v>
      </c>
      <c r="L90" s="125">
        <f t="shared" si="61"/>
        <v>0</v>
      </c>
      <c r="M90" s="124">
        <f t="shared" si="62"/>
        <v>0</v>
      </c>
      <c r="N90" s="125">
        <f t="shared" si="63"/>
        <v>0</v>
      </c>
      <c r="O90" s="124">
        <f t="shared" si="64"/>
        <v>0</v>
      </c>
      <c r="P90" s="125">
        <f t="shared" si="65"/>
        <v>0</v>
      </c>
      <c r="Q90" s="124">
        <f t="shared" si="66"/>
        <v>0</v>
      </c>
      <c r="R90" s="125">
        <f t="shared" si="67"/>
        <v>0</v>
      </c>
      <c r="S90" s="124">
        <f t="shared" si="68"/>
        <v>0</v>
      </c>
      <c r="T90" s="125">
        <f t="shared" si="69"/>
        <v>0</v>
      </c>
      <c r="U90" s="124">
        <f t="shared" si="70"/>
        <v>0</v>
      </c>
      <c r="V90" s="125">
        <f t="shared" si="71"/>
        <v>0</v>
      </c>
      <c r="W90" s="124">
        <f t="shared" si="72"/>
        <v>0</v>
      </c>
      <c r="X90" s="125">
        <f t="shared" si="73"/>
        <v>0</v>
      </c>
      <c r="Y90" s="124">
        <f t="shared" si="74"/>
        <v>0</v>
      </c>
      <c r="Z90" s="197">
        <f t="shared" si="75"/>
        <v>0</v>
      </c>
      <c r="AA90" s="124">
        <f t="shared" si="76"/>
        <v>0</v>
      </c>
      <c r="AB90" s="125">
        <f t="shared" si="77"/>
        <v>0</v>
      </c>
      <c r="AC90" s="1"/>
      <c r="AD90" s="1"/>
      <c r="AE90" s="1"/>
      <c r="AF90" s="1"/>
      <c r="AG90" s="1"/>
      <c r="AH90" s="1"/>
      <c r="AI90" s="1"/>
      <c r="AJ90" s="1"/>
      <c r="AK90" s="1"/>
      <c r="AL90" s="1"/>
      <c r="AM90" s="1"/>
      <c r="AN90" s="1"/>
      <c r="AO90" s="1"/>
      <c r="AP90" s="1"/>
      <c r="AQ90" s="1"/>
      <c r="AR90" s="1"/>
    </row>
    <row r="91" spans="1:44" ht="15.6">
      <c r="A91" s="122"/>
      <c r="B91" s="123">
        <f>Hipótesis!C67</f>
        <v>0</v>
      </c>
      <c r="C91" s="196"/>
      <c r="D91" s="125">
        <f t="shared" si="29"/>
        <v>0</v>
      </c>
      <c r="E91" s="124">
        <f t="shared" si="54"/>
        <v>0</v>
      </c>
      <c r="F91" s="125">
        <f t="shared" si="55"/>
        <v>0</v>
      </c>
      <c r="G91" s="124">
        <f t="shared" si="56"/>
        <v>0</v>
      </c>
      <c r="H91" s="125">
        <f t="shared" si="57"/>
        <v>0</v>
      </c>
      <c r="I91" s="124">
        <f t="shared" si="58"/>
        <v>0</v>
      </c>
      <c r="J91" s="125">
        <f t="shared" si="59"/>
        <v>0</v>
      </c>
      <c r="K91" s="124">
        <f t="shared" si="60"/>
        <v>0</v>
      </c>
      <c r="L91" s="125">
        <f t="shared" si="61"/>
        <v>0</v>
      </c>
      <c r="M91" s="124">
        <f t="shared" si="62"/>
        <v>0</v>
      </c>
      <c r="N91" s="125">
        <f t="shared" si="63"/>
        <v>0</v>
      </c>
      <c r="O91" s="124">
        <f t="shared" si="64"/>
        <v>0</v>
      </c>
      <c r="P91" s="125">
        <f t="shared" si="65"/>
        <v>0</v>
      </c>
      <c r="Q91" s="124">
        <f t="shared" si="66"/>
        <v>0</v>
      </c>
      <c r="R91" s="125">
        <f t="shared" si="67"/>
        <v>0</v>
      </c>
      <c r="S91" s="124">
        <f t="shared" si="68"/>
        <v>0</v>
      </c>
      <c r="T91" s="125">
        <f t="shared" si="69"/>
        <v>0</v>
      </c>
      <c r="U91" s="124">
        <f t="shared" si="70"/>
        <v>0</v>
      </c>
      <c r="V91" s="125">
        <f t="shared" si="71"/>
        <v>0</v>
      </c>
      <c r="W91" s="124">
        <f t="shared" si="72"/>
        <v>0</v>
      </c>
      <c r="X91" s="125">
        <f t="shared" si="73"/>
        <v>0</v>
      </c>
      <c r="Y91" s="124">
        <f t="shared" si="74"/>
        <v>0</v>
      </c>
      <c r="Z91" s="197">
        <f t="shared" si="75"/>
        <v>0</v>
      </c>
      <c r="AA91" s="124">
        <f t="shared" si="76"/>
        <v>0</v>
      </c>
      <c r="AB91" s="125">
        <f t="shared" si="77"/>
        <v>0</v>
      </c>
      <c r="AC91" s="1"/>
      <c r="AD91" s="1"/>
      <c r="AE91" s="1"/>
      <c r="AF91" s="1"/>
      <c r="AG91" s="1"/>
      <c r="AH91" s="1"/>
      <c r="AI91" s="1"/>
      <c r="AJ91" s="1"/>
      <c r="AK91" s="1"/>
      <c r="AL91" s="1"/>
      <c r="AM91" s="1"/>
      <c r="AN91" s="1"/>
      <c r="AO91" s="1"/>
      <c r="AP91" s="1"/>
      <c r="AQ91" s="1"/>
      <c r="AR91" s="1"/>
    </row>
    <row r="92" spans="1:44" ht="15.6">
      <c r="A92" s="122"/>
      <c r="B92" s="123">
        <f>Hipótesis!C68</f>
        <v>0</v>
      </c>
      <c r="C92" s="196"/>
      <c r="D92" s="125">
        <f t="shared" si="29"/>
        <v>0</v>
      </c>
      <c r="E92" s="124">
        <f t="shared" si="54"/>
        <v>0</v>
      </c>
      <c r="F92" s="125">
        <f t="shared" si="55"/>
        <v>0</v>
      </c>
      <c r="G92" s="124">
        <f t="shared" si="56"/>
        <v>0</v>
      </c>
      <c r="H92" s="125">
        <f t="shared" si="57"/>
        <v>0</v>
      </c>
      <c r="I92" s="124">
        <f t="shared" si="58"/>
        <v>0</v>
      </c>
      <c r="J92" s="125">
        <f t="shared" si="59"/>
        <v>0</v>
      </c>
      <c r="K92" s="124">
        <f t="shared" si="60"/>
        <v>0</v>
      </c>
      <c r="L92" s="125">
        <f t="shared" si="61"/>
        <v>0</v>
      </c>
      <c r="M92" s="124">
        <f t="shared" si="62"/>
        <v>0</v>
      </c>
      <c r="N92" s="125">
        <f t="shared" si="63"/>
        <v>0</v>
      </c>
      <c r="O92" s="124">
        <f t="shared" si="64"/>
        <v>0</v>
      </c>
      <c r="P92" s="125">
        <f t="shared" si="65"/>
        <v>0</v>
      </c>
      <c r="Q92" s="124">
        <f t="shared" si="66"/>
        <v>0</v>
      </c>
      <c r="R92" s="125">
        <f t="shared" si="67"/>
        <v>0</v>
      </c>
      <c r="S92" s="124">
        <f t="shared" si="68"/>
        <v>0</v>
      </c>
      <c r="T92" s="125">
        <f t="shared" si="69"/>
        <v>0</v>
      </c>
      <c r="U92" s="124">
        <f t="shared" si="70"/>
        <v>0</v>
      </c>
      <c r="V92" s="125">
        <f t="shared" si="71"/>
        <v>0</v>
      </c>
      <c r="W92" s="124">
        <f t="shared" si="72"/>
        <v>0</v>
      </c>
      <c r="X92" s="125">
        <f t="shared" si="73"/>
        <v>0</v>
      </c>
      <c r="Y92" s="124">
        <f t="shared" si="74"/>
        <v>0</v>
      </c>
      <c r="Z92" s="197">
        <f t="shared" si="75"/>
        <v>0</v>
      </c>
      <c r="AA92" s="124">
        <f t="shared" si="76"/>
        <v>0</v>
      </c>
      <c r="AB92" s="125">
        <f t="shared" si="77"/>
        <v>0</v>
      </c>
      <c r="AC92" s="1"/>
      <c r="AD92" s="1"/>
      <c r="AE92" s="1"/>
      <c r="AF92" s="1"/>
      <c r="AG92" s="1"/>
      <c r="AH92" s="1"/>
      <c r="AI92" s="1"/>
      <c r="AJ92" s="1"/>
      <c r="AK92" s="1"/>
      <c r="AL92" s="1"/>
      <c r="AM92" s="1"/>
      <c r="AN92" s="1"/>
      <c r="AO92" s="1"/>
      <c r="AP92" s="1"/>
      <c r="AQ92" s="1"/>
      <c r="AR92" s="1"/>
    </row>
    <row r="93" spans="1:44" ht="15.6">
      <c r="A93" s="128"/>
      <c r="B93" s="129">
        <f>Hipótesis!C69</f>
        <v>0</v>
      </c>
      <c r="C93" s="198"/>
      <c r="D93" s="131">
        <f t="shared" si="29"/>
        <v>0</v>
      </c>
      <c r="E93" s="130">
        <f t="shared" si="54"/>
        <v>0</v>
      </c>
      <c r="F93" s="131">
        <f t="shared" si="55"/>
        <v>0</v>
      </c>
      <c r="G93" s="130">
        <f t="shared" si="56"/>
        <v>0</v>
      </c>
      <c r="H93" s="131">
        <f t="shared" si="57"/>
        <v>0</v>
      </c>
      <c r="I93" s="130">
        <f t="shared" si="58"/>
        <v>0</v>
      </c>
      <c r="J93" s="131">
        <f t="shared" si="59"/>
        <v>0</v>
      </c>
      <c r="K93" s="130">
        <f t="shared" si="60"/>
        <v>0</v>
      </c>
      <c r="L93" s="131">
        <f t="shared" si="61"/>
        <v>0</v>
      </c>
      <c r="M93" s="130">
        <f t="shared" si="62"/>
        <v>0</v>
      </c>
      <c r="N93" s="131">
        <f t="shared" si="63"/>
        <v>0</v>
      </c>
      <c r="O93" s="130">
        <f t="shared" si="64"/>
        <v>0</v>
      </c>
      <c r="P93" s="131">
        <f t="shared" si="65"/>
        <v>0</v>
      </c>
      <c r="Q93" s="130">
        <f t="shared" si="66"/>
        <v>0</v>
      </c>
      <c r="R93" s="131">
        <f t="shared" si="67"/>
        <v>0</v>
      </c>
      <c r="S93" s="130">
        <f t="shared" si="68"/>
        <v>0</v>
      </c>
      <c r="T93" s="131">
        <f t="shared" si="69"/>
        <v>0</v>
      </c>
      <c r="U93" s="130">
        <f t="shared" si="70"/>
        <v>0</v>
      </c>
      <c r="V93" s="131">
        <f t="shared" si="71"/>
        <v>0</v>
      </c>
      <c r="W93" s="130">
        <f t="shared" si="72"/>
        <v>0</v>
      </c>
      <c r="X93" s="131">
        <f t="shared" si="73"/>
        <v>0</v>
      </c>
      <c r="Y93" s="130">
        <f t="shared" si="74"/>
        <v>0</v>
      </c>
      <c r="Z93" s="199">
        <f t="shared" si="75"/>
        <v>0</v>
      </c>
      <c r="AA93" s="130">
        <f t="shared" si="76"/>
        <v>0</v>
      </c>
      <c r="AB93" s="131">
        <f t="shared" si="77"/>
        <v>0</v>
      </c>
      <c r="AC93" s="1"/>
      <c r="AD93" s="1"/>
      <c r="AE93" s="1"/>
      <c r="AF93" s="1"/>
      <c r="AG93" s="1"/>
      <c r="AH93" s="1"/>
      <c r="AI93" s="1"/>
      <c r="AJ93" s="1"/>
      <c r="AK93" s="1"/>
      <c r="AL93" s="1"/>
      <c r="AM93" s="1"/>
      <c r="AN93" s="1"/>
      <c r="AO93" s="1"/>
      <c r="AP93" s="1"/>
      <c r="AQ93" s="1"/>
      <c r="AR93" s="1"/>
    </row>
    <row r="94" spans="1:44" ht="15.6">
      <c r="A94" s="200"/>
      <c r="B94" s="201">
        <f>Hipótesis!C70</f>
        <v>0</v>
      </c>
      <c r="C94" s="202"/>
      <c r="D94" s="203">
        <f t="shared" si="29"/>
        <v>0</v>
      </c>
      <c r="E94" s="204">
        <f t="shared" ref="E94:F94" si="78">C94*$E$17</f>
        <v>0</v>
      </c>
      <c r="F94" s="203">
        <f t="shared" si="78"/>
        <v>0</v>
      </c>
      <c r="G94" s="204">
        <f t="shared" si="56"/>
        <v>0</v>
      </c>
      <c r="H94" s="203">
        <f t="shared" si="57"/>
        <v>0</v>
      </c>
      <c r="I94" s="204">
        <f t="shared" si="58"/>
        <v>0</v>
      </c>
      <c r="J94" s="203">
        <f t="shared" si="59"/>
        <v>0</v>
      </c>
      <c r="K94" s="204">
        <f t="shared" si="60"/>
        <v>0</v>
      </c>
      <c r="L94" s="203">
        <f t="shared" si="61"/>
        <v>0</v>
      </c>
      <c r="M94" s="204">
        <f t="shared" si="62"/>
        <v>0</v>
      </c>
      <c r="N94" s="203">
        <f t="shared" si="63"/>
        <v>0</v>
      </c>
      <c r="O94" s="204">
        <f t="shared" si="64"/>
        <v>0</v>
      </c>
      <c r="P94" s="203">
        <f t="shared" si="65"/>
        <v>0</v>
      </c>
      <c r="Q94" s="204">
        <f t="shared" si="66"/>
        <v>0</v>
      </c>
      <c r="R94" s="203">
        <f t="shared" si="67"/>
        <v>0</v>
      </c>
      <c r="S94" s="204">
        <f t="shared" si="68"/>
        <v>0</v>
      </c>
      <c r="T94" s="203">
        <f t="shared" si="69"/>
        <v>0</v>
      </c>
      <c r="U94" s="204">
        <f t="shared" si="70"/>
        <v>0</v>
      </c>
      <c r="V94" s="203">
        <f t="shared" si="71"/>
        <v>0</v>
      </c>
      <c r="W94" s="204">
        <f t="shared" si="72"/>
        <v>0</v>
      </c>
      <c r="X94" s="203">
        <f t="shared" si="73"/>
        <v>0</v>
      </c>
      <c r="Y94" s="204">
        <f t="shared" si="74"/>
        <v>0</v>
      </c>
      <c r="Z94" s="205">
        <f t="shared" si="75"/>
        <v>0</v>
      </c>
      <c r="AA94" s="204">
        <f t="shared" si="76"/>
        <v>0</v>
      </c>
      <c r="AB94" s="203">
        <f t="shared" si="77"/>
        <v>0</v>
      </c>
      <c r="AC94" s="1"/>
      <c r="AD94" s="1"/>
      <c r="AE94" s="1"/>
      <c r="AF94" s="1"/>
      <c r="AG94" s="1"/>
      <c r="AH94" s="1"/>
      <c r="AI94" s="1"/>
      <c r="AJ94" s="1"/>
      <c r="AK94" s="1"/>
      <c r="AL94" s="1"/>
      <c r="AM94" s="1"/>
      <c r="AN94" s="1"/>
      <c r="AO94" s="1"/>
      <c r="AP94" s="1"/>
      <c r="AQ94" s="1"/>
      <c r="AR94" s="1"/>
    </row>
    <row r="95" spans="1:44" ht="15.6">
      <c r="A95" s="901" t="s">
        <v>72</v>
      </c>
      <c r="B95" s="800"/>
      <c r="C95" s="180"/>
      <c r="D95" s="143">
        <f>SUM(D82:D94)</f>
        <v>281700000</v>
      </c>
      <c r="E95" s="142"/>
      <c r="F95" s="143">
        <f>SUM(F82:F94)</f>
        <v>19110000</v>
      </c>
      <c r="G95" s="142"/>
      <c r="H95" s="143">
        <f>SUM(H82:H94)</f>
        <v>14460000</v>
      </c>
      <c r="I95" s="142"/>
      <c r="J95" s="143">
        <f>SUM(J82:J94)</f>
        <v>19680000</v>
      </c>
      <c r="K95" s="142"/>
      <c r="L95" s="143">
        <f>SUM(L82:L94)</f>
        <v>26880000</v>
      </c>
      <c r="M95" s="142"/>
      <c r="N95" s="143">
        <f>SUM(N82:N94)</f>
        <v>19380000</v>
      </c>
      <c r="O95" s="142"/>
      <c r="P95" s="143">
        <f>SUM(P82:P94)</f>
        <v>19380000</v>
      </c>
      <c r="Q95" s="142"/>
      <c r="R95" s="143">
        <f>SUM(R82:R94)</f>
        <v>19380000</v>
      </c>
      <c r="S95" s="142"/>
      <c r="T95" s="143">
        <f>SUM(T82:T94)</f>
        <v>19380000</v>
      </c>
      <c r="U95" s="142"/>
      <c r="V95" s="143">
        <f>SUM(V82:V94)</f>
        <v>23550000</v>
      </c>
      <c r="W95" s="142"/>
      <c r="X95" s="143">
        <f>SUM(X82:X94)</f>
        <v>33960000</v>
      </c>
      <c r="Y95" s="142"/>
      <c r="Z95" s="143">
        <f>SUM(Z82:Z94)</f>
        <v>37920000</v>
      </c>
      <c r="AA95" s="142"/>
      <c r="AB95" s="143">
        <f>SUM(AB82:AB94)</f>
        <v>28620000</v>
      </c>
      <c r="AC95" s="1"/>
      <c r="AD95" s="1"/>
      <c r="AE95" s="1"/>
      <c r="AF95" s="1"/>
      <c r="AG95" s="1"/>
      <c r="AH95" s="1"/>
      <c r="AI95" s="1"/>
      <c r="AJ95" s="1"/>
      <c r="AK95" s="1"/>
      <c r="AL95" s="1"/>
      <c r="AM95" s="1"/>
      <c r="AN95" s="1"/>
      <c r="AO95" s="1"/>
      <c r="AP95" s="1"/>
      <c r="AQ95" s="1"/>
      <c r="AR95" s="1"/>
    </row>
    <row r="96" spans="1:44" ht="15.6">
      <c r="A96" s="902"/>
      <c r="B96" s="828"/>
      <c r="C96" s="145">
        <f t="shared" ref="C96:C98" si="79">C82</f>
        <v>30</v>
      </c>
      <c r="D96" s="148"/>
      <c r="E96" s="147">
        <f t="shared" ref="E96:E98" si="80">E82</f>
        <v>0</v>
      </c>
      <c r="F96" s="148"/>
      <c r="G96" s="147">
        <f t="shared" ref="G96:G98" si="81">G82</f>
        <v>0</v>
      </c>
      <c r="H96" s="148"/>
      <c r="I96" s="147">
        <f t="shared" ref="I96:I98" si="82">I82</f>
        <v>0</v>
      </c>
      <c r="J96" s="148"/>
      <c r="K96" s="147">
        <f t="shared" ref="K96:K98" si="83">K82</f>
        <v>15</v>
      </c>
      <c r="L96" s="148"/>
      <c r="M96" s="147">
        <f t="shared" ref="M96:M98" si="84">M82</f>
        <v>0</v>
      </c>
      <c r="N96" s="148"/>
      <c r="O96" s="147">
        <f t="shared" ref="O96:O98" si="85">O82</f>
        <v>0</v>
      </c>
      <c r="P96" s="148"/>
      <c r="Q96" s="147">
        <f t="shared" ref="Q96:Q98" si="86">Q82</f>
        <v>0</v>
      </c>
      <c r="R96" s="148"/>
      <c r="S96" s="147">
        <f t="shared" ref="S96:S98" si="87">S82</f>
        <v>0</v>
      </c>
      <c r="T96" s="148"/>
      <c r="U96" s="147">
        <f t="shared" ref="U96:U98" si="88">U82</f>
        <v>15</v>
      </c>
      <c r="V96" s="148"/>
      <c r="W96" s="147">
        <f t="shared" ref="W96:W98" si="89">W82</f>
        <v>0</v>
      </c>
      <c r="X96" s="148"/>
      <c r="Y96" s="147">
        <f t="shared" ref="Y96:Y98" si="90">Y82</f>
        <v>0</v>
      </c>
      <c r="Z96" s="148"/>
      <c r="AA96" s="147">
        <f t="shared" ref="AA96:AA98" si="91">AA82</f>
        <v>0</v>
      </c>
      <c r="AB96" s="146"/>
      <c r="AC96" s="1"/>
      <c r="AD96" s="1"/>
      <c r="AE96" s="1"/>
      <c r="AF96" s="1"/>
      <c r="AG96" s="1"/>
      <c r="AH96" s="1"/>
      <c r="AI96" s="1"/>
      <c r="AJ96" s="1"/>
      <c r="AK96" s="1"/>
      <c r="AL96" s="1"/>
      <c r="AM96" s="1"/>
      <c r="AN96" s="1"/>
      <c r="AO96" s="1"/>
      <c r="AP96" s="1"/>
      <c r="AQ96" s="1"/>
      <c r="AR96" s="1"/>
    </row>
    <row r="97" spans="1:44" ht="15.6">
      <c r="A97" s="874"/>
      <c r="B97" s="831"/>
      <c r="C97" s="149">
        <f t="shared" si="79"/>
        <v>15</v>
      </c>
      <c r="D97" s="152"/>
      <c r="E97" s="151">
        <f t="shared" si="80"/>
        <v>0</v>
      </c>
      <c r="F97" s="152"/>
      <c r="G97" s="151">
        <f t="shared" si="81"/>
        <v>0</v>
      </c>
      <c r="H97" s="152"/>
      <c r="I97" s="151">
        <f t="shared" si="82"/>
        <v>15</v>
      </c>
      <c r="J97" s="152"/>
      <c r="K97" s="151">
        <f t="shared" si="83"/>
        <v>0</v>
      </c>
      <c r="L97" s="152"/>
      <c r="M97" s="151">
        <f t="shared" si="84"/>
        <v>0</v>
      </c>
      <c r="N97" s="152"/>
      <c r="O97" s="151">
        <f t="shared" si="85"/>
        <v>0</v>
      </c>
      <c r="P97" s="152"/>
      <c r="Q97" s="151">
        <f t="shared" si="86"/>
        <v>0</v>
      </c>
      <c r="R97" s="152"/>
      <c r="S97" s="151">
        <f t="shared" si="87"/>
        <v>0</v>
      </c>
      <c r="T97" s="152"/>
      <c r="U97" s="151">
        <f t="shared" si="88"/>
        <v>0</v>
      </c>
      <c r="V97" s="152"/>
      <c r="W97" s="151">
        <f t="shared" si="89"/>
        <v>0</v>
      </c>
      <c r="X97" s="152"/>
      <c r="Y97" s="151">
        <f t="shared" si="90"/>
        <v>0</v>
      </c>
      <c r="Z97" s="152"/>
      <c r="AA97" s="151">
        <f t="shared" si="91"/>
        <v>0</v>
      </c>
      <c r="AB97" s="150"/>
      <c r="AC97" s="1"/>
      <c r="AD97" s="1"/>
      <c r="AE97" s="1"/>
      <c r="AF97" s="1"/>
      <c r="AG97" s="1"/>
      <c r="AH97" s="1"/>
      <c r="AI97" s="1"/>
      <c r="AJ97" s="1"/>
      <c r="AK97" s="1"/>
      <c r="AL97" s="1"/>
      <c r="AM97" s="1"/>
      <c r="AN97" s="1"/>
      <c r="AO97" s="1"/>
      <c r="AP97" s="1"/>
      <c r="AQ97" s="1"/>
      <c r="AR97" s="1"/>
    </row>
    <row r="98" spans="1:44" ht="15.6">
      <c r="A98" s="875"/>
      <c r="B98" s="834"/>
      <c r="C98" s="153">
        <f t="shared" si="79"/>
        <v>90</v>
      </c>
      <c r="D98" s="156"/>
      <c r="E98" s="155">
        <f t="shared" si="80"/>
        <v>15</v>
      </c>
      <c r="F98" s="156"/>
      <c r="G98" s="155">
        <f t="shared" si="81"/>
        <v>0</v>
      </c>
      <c r="H98" s="156"/>
      <c r="I98" s="155">
        <f t="shared" si="82"/>
        <v>0</v>
      </c>
      <c r="J98" s="156"/>
      <c r="K98" s="155">
        <f t="shared" si="83"/>
        <v>15</v>
      </c>
      <c r="L98" s="156"/>
      <c r="M98" s="155">
        <f t="shared" si="84"/>
        <v>0</v>
      </c>
      <c r="N98" s="156"/>
      <c r="O98" s="155">
        <f t="shared" si="85"/>
        <v>0</v>
      </c>
      <c r="P98" s="156"/>
      <c r="Q98" s="155">
        <f t="shared" si="86"/>
        <v>0</v>
      </c>
      <c r="R98" s="156"/>
      <c r="S98" s="155">
        <f t="shared" si="87"/>
        <v>0</v>
      </c>
      <c r="T98" s="156"/>
      <c r="U98" s="155">
        <f t="shared" si="88"/>
        <v>0</v>
      </c>
      <c r="V98" s="156"/>
      <c r="W98" s="155">
        <f t="shared" si="89"/>
        <v>30</v>
      </c>
      <c r="X98" s="156"/>
      <c r="Y98" s="155">
        <f t="shared" si="90"/>
        <v>30</v>
      </c>
      <c r="Z98" s="156"/>
      <c r="AA98" s="155">
        <f t="shared" si="91"/>
        <v>0</v>
      </c>
      <c r="AB98" s="154"/>
      <c r="AC98" s="1"/>
      <c r="AD98" s="1"/>
      <c r="AE98" s="1"/>
      <c r="AF98" s="1"/>
      <c r="AG98" s="1"/>
      <c r="AH98" s="1"/>
      <c r="AI98" s="1"/>
      <c r="AJ98" s="1"/>
      <c r="AK98" s="1"/>
      <c r="AL98" s="1"/>
      <c r="AM98" s="1"/>
      <c r="AN98" s="1"/>
      <c r="AO98" s="1"/>
      <c r="AP98" s="1"/>
      <c r="AQ98" s="1"/>
      <c r="AR98" s="1"/>
    </row>
    <row r="99" spans="1:44" ht="15.6">
      <c r="A99" s="903"/>
      <c r="B99" s="845"/>
      <c r="C99" s="206">
        <f>SUM(C85:C88)</f>
        <v>2070</v>
      </c>
      <c r="D99" s="158"/>
      <c r="E99" s="159">
        <f>SUM(E85:E88)</f>
        <v>120</v>
      </c>
      <c r="F99" s="160"/>
      <c r="G99" s="159">
        <f>SUM(G85:G88)</f>
        <v>120</v>
      </c>
      <c r="H99" s="160"/>
      <c r="I99" s="159">
        <f>SUM(I85:I88)</f>
        <v>135</v>
      </c>
      <c r="J99" s="160"/>
      <c r="K99" s="159">
        <f>SUM(K85:K88)</f>
        <v>165</v>
      </c>
      <c r="L99" s="160"/>
      <c r="M99" s="159">
        <f>SUM(M85:M88)</f>
        <v>165</v>
      </c>
      <c r="N99" s="160"/>
      <c r="O99" s="159">
        <f>SUM(O85:O88)</f>
        <v>165</v>
      </c>
      <c r="P99" s="160"/>
      <c r="Q99" s="159">
        <f>SUM(Q85:Q88)</f>
        <v>165</v>
      </c>
      <c r="R99" s="160"/>
      <c r="S99" s="159">
        <f>SUM(S85:S88)</f>
        <v>165</v>
      </c>
      <c r="T99" s="160"/>
      <c r="U99" s="159">
        <f>SUM(U85:U88)</f>
        <v>180</v>
      </c>
      <c r="V99" s="160"/>
      <c r="W99" s="159">
        <f>SUM(W85:W88)</f>
        <v>210</v>
      </c>
      <c r="X99" s="160"/>
      <c r="Y99" s="159">
        <f>SUM(Y85:Y88)</f>
        <v>240</v>
      </c>
      <c r="Z99" s="160"/>
      <c r="AA99" s="159">
        <f>SUM(AA85:AA88)</f>
        <v>240</v>
      </c>
      <c r="AB99" s="161"/>
      <c r="AC99" s="1"/>
      <c r="AD99" s="1"/>
      <c r="AE99" s="1"/>
      <c r="AF99" s="1"/>
      <c r="AG99" s="1"/>
      <c r="AH99" s="1"/>
      <c r="AI99" s="1"/>
      <c r="AJ99" s="1"/>
      <c r="AK99" s="1"/>
      <c r="AL99" s="1"/>
      <c r="AM99" s="1"/>
      <c r="AN99" s="1"/>
      <c r="AO99" s="1"/>
      <c r="AP99" s="1"/>
      <c r="AQ99" s="1"/>
      <c r="AR99" s="1"/>
    </row>
    <row r="100" spans="1:44" ht="15.6">
      <c r="A100" s="904"/>
      <c r="B100" s="800"/>
      <c r="C100" s="207">
        <f>SUM(C89:C93)</f>
        <v>0</v>
      </c>
      <c r="D100" s="208"/>
      <c r="E100" s="164">
        <f>SUM(E89:E93)</f>
        <v>0</v>
      </c>
      <c r="F100" s="165"/>
      <c r="G100" s="164">
        <f>SUM(G89:G93)</f>
        <v>0</v>
      </c>
      <c r="H100" s="165"/>
      <c r="I100" s="164">
        <f>SUM(I89:I93)</f>
        <v>0</v>
      </c>
      <c r="J100" s="165"/>
      <c r="K100" s="164">
        <f>SUM(K89:K93)</f>
        <v>0</v>
      </c>
      <c r="L100" s="165"/>
      <c r="M100" s="164">
        <f>SUM(M89:M93)</f>
        <v>0</v>
      </c>
      <c r="N100" s="165"/>
      <c r="O100" s="164">
        <f>SUM(O89:O93)</f>
        <v>0</v>
      </c>
      <c r="P100" s="165"/>
      <c r="Q100" s="164">
        <f>SUM(Q89:Q93)</f>
        <v>0</v>
      </c>
      <c r="R100" s="165"/>
      <c r="S100" s="164">
        <f>SUM(S89:S93)</f>
        <v>0</v>
      </c>
      <c r="T100" s="165"/>
      <c r="U100" s="164">
        <f>SUM(U89:U93)</f>
        <v>0</v>
      </c>
      <c r="V100" s="165"/>
      <c r="W100" s="164">
        <f>SUM(W89:W93)</f>
        <v>0</v>
      </c>
      <c r="X100" s="165"/>
      <c r="Y100" s="164">
        <f>SUM(Y89:Y93)</f>
        <v>0</v>
      </c>
      <c r="Z100" s="165"/>
      <c r="AA100" s="164">
        <f>SUM(AA89:AA93)</f>
        <v>0</v>
      </c>
      <c r="AB100" s="166"/>
      <c r="AC100" s="1"/>
      <c r="AD100" s="1"/>
      <c r="AE100" s="1"/>
      <c r="AF100" s="1"/>
      <c r="AG100" s="1"/>
      <c r="AH100" s="1"/>
      <c r="AI100" s="1"/>
      <c r="AJ100" s="1"/>
      <c r="AK100" s="1"/>
      <c r="AL100" s="1"/>
      <c r="AM100" s="1"/>
      <c r="AN100" s="1"/>
      <c r="AO100" s="1"/>
      <c r="AP100" s="1"/>
      <c r="AQ100" s="1"/>
      <c r="AR100" s="1"/>
    </row>
    <row r="101" spans="1:44" ht="15.6">
      <c r="A101" s="900"/>
      <c r="B101" s="851"/>
      <c r="C101" s="167">
        <f>C94</f>
        <v>0</v>
      </c>
      <c r="D101" s="209"/>
      <c r="E101" s="169">
        <f>E94</f>
        <v>0</v>
      </c>
      <c r="F101" s="170"/>
      <c r="G101" s="169">
        <f>G94</f>
        <v>0</v>
      </c>
      <c r="H101" s="170"/>
      <c r="I101" s="169">
        <f>I94</f>
        <v>0</v>
      </c>
      <c r="J101" s="170"/>
      <c r="K101" s="169">
        <f>K94</f>
        <v>0</v>
      </c>
      <c r="L101" s="170"/>
      <c r="M101" s="169">
        <f>M94</f>
        <v>0</v>
      </c>
      <c r="N101" s="170"/>
      <c r="O101" s="169">
        <f>O94</f>
        <v>0</v>
      </c>
      <c r="P101" s="170"/>
      <c r="Q101" s="169">
        <f>Q94</f>
        <v>0</v>
      </c>
      <c r="R101" s="170"/>
      <c r="S101" s="169">
        <f>S94</f>
        <v>0</v>
      </c>
      <c r="T101" s="170"/>
      <c r="U101" s="169">
        <f>U94</f>
        <v>0</v>
      </c>
      <c r="V101" s="170"/>
      <c r="W101" s="169">
        <f>W94</f>
        <v>0</v>
      </c>
      <c r="X101" s="170"/>
      <c r="Y101" s="169">
        <f>Y94</f>
        <v>0</v>
      </c>
      <c r="Z101" s="170"/>
      <c r="AA101" s="169">
        <f>AA94</f>
        <v>0</v>
      </c>
      <c r="AB101" s="171"/>
      <c r="AC101" s="1"/>
      <c r="AD101" s="1"/>
      <c r="AE101" s="1"/>
      <c r="AF101" s="1"/>
      <c r="AG101" s="1"/>
      <c r="AH101" s="1"/>
      <c r="AI101" s="1"/>
      <c r="AJ101" s="1"/>
      <c r="AK101" s="1"/>
      <c r="AL101" s="1"/>
      <c r="AM101" s="1"/>
      <c r="AN101" s="1"/>
      <c r="AO101" s="1"/>
      <c r="AP101" s="1"/>
      <c r="AQ101" s="1"/>
      <c r="AR101" s="1"/>
    </row>
    <row r="102" spans="1:44" ht="14.4">
      <c r="A102" s="1"/>
      <c r="B102" s="1"/>
      <c r="C102" s="1"/>
      <c r="D102" s="172"/>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row>
    <row r="103" spans="1:44" ht="25.8">
      <c r="A103" s="847" t="s">
        <v>127</v>
      </c>
      <c r="B103" s="799"/>
      <c r="C103" s="799"/>
      <c r="D103" s="799"/>
      <c r="E103" s="799"/>
      <c r="F103" s="799"/>
      <c r="G103" s="799"/>
      <c r="H103" s="799"/>
      <c r="I103" s="799"/>
      <c r="J103" s="799"/>
      <c r="K103" s="799"/>
      <c r="L103" s="799"/>
      <c r="M103" s="799"/>
      <c r="N103" s="799"/>
      <c r="O103" s="799"/>
      <c r="P103" s="799"/>
      <c r="Q103" s="799"/>
      <c r="R103" s="799"/>
      <c r="S103" s="799"/>
      <c r="T103" s="799"/>
      <c r="U103" s="799"/>
      <c r="V103" s="799"/>
      <c r="W103" s="799"/>
      <c r="X103" s="799"/>
      <c r="Y103" s="799"/>
      <c r="Z103" s="799"/>
      <c r="AA103" s="799"/>
      <c r="AB103" s="800"/>
      <c r="AC103" s="1"/>
      <c r="AD103" s="1"/>
      <c r="AE103" s="1"/>
      <c r="AF103" s="1"/>
      <c r="AG103" s="1"/>
      <c r="AH103" s="1"/>
      <c r="AI103" s="1"/>
      <c r="AJ103" s="1"/>
      <c r="AK103" s="1"/>
      <c r="AL103" s="1"/>
      <c r="AM103" s="1"/>
      <c r="AN103" s="1"/>
      <c r="AO103" s="1"/>
      <c r="AP103" s="1"/>
      <c r="AQ103" s="1"/>
      <c r="AR103" s="1"/>
    </row>
    <row r="104" spans="1:44" ht="25.8">
      <c r="A104" s="174" t="s">
        <v>74</v>
      </c>
      <c r="B104" s="848" t="s">
        <v>128</v>
      </c>
      <c r="C104" s="799"/>
      <c r="D104" s="799"/>
      <c r="E104" s="799"/>
      <c r="F104" s="799"/>
      <c r="G104" s="799"/>
      <c r="H104" s="799"/>
      <c r="I104" s="799"/>
      <c r="J104" s="799"/>
      <c r="K104" s="799"/>
      <c r="L104" s="799"/>
      <c r="M104" s="799"/>
      <c r="N104" s="799"/>
      <c r="O104" s="799"/>
      <c r="P104" s="799"/>
      <c r="Q104" s="799"/>
      <c r="R104" s="799"/>
      <c r="S104" s="799"/>
      <c r="T104" s="799"/>
      <c r="U104" s="799"/>
      <c r="V104" s="799"/>
      <c r="W104" s="799"/>
      <c r="X104" s="799"/>
      <c r="Y104" s="799"/>
      <c r="Z104" s="799"/>
      <c r="AA104" s="799"/>
      <c r="AB104" s="800"/>
      <c r="AC104" s="1"/>
      <c r="AD104" s="1"/>
      <c r="AE104" s="1"/>
      <c r="AF104" s="1"/>
      <c r="AG104" s="1"/>
      <c r="AH104" s="1"/>
      <c r="AI104" s="1"/>
      <c r="AJ104" s="1"/>
      <c r="AK104" s="1"/>
      <c r="AL104" s="1"/>
      <c r="AM104" s="1"/>
      <c r="AN104" s="1"/>
      <c r="AO104" s="1"/>
      <c r="AP104" s="1"/>
      <c r="AQ104" s="1"/>
      <c r="AR104" s="1"/>
    </row>
    <row r="105" spans="1:44" ht="21">
      <c r="A105" s="895"/>
      <c r="B105" s="836"/>
      <c r="C105" s="896" t="s">
        <v>76</v>
      </c>
      <c r="D105" s="800"/>
      <c r="E105" s="866" t="s">
        <v>58</v>
      </c>
      <c r="F105" s="843"/>
      <c r="G105" s="842" t="s">
        <v>59</v>
      </c>
      <c r="H105" s="843"/>
      <c r="I105" s="842" t="s">
        <v>60</v>
      </c>
      <c r="J105" s="843"/>
      <c r="K105" s="842" t="s">
        <v>61</v>
      </c>
      <c r="L105" s="843"/>
      <c r="M105" s="842" t="s">
        <v>62</v>
      </c>
      <c r="N105" s="843"/>
      <c r="O105" s="842" t="s">
        <v>63</v>
      </c>
      <c r="P105" s="843"/>
      <c r="Q105" s="842" t="s">
        <v>64</v>
      </c>
      <c r="R105" s="843"/>
      <c r="S105" s="842" t="s">
        <v>65</v>
      </c>
      <c r="T105" s="843"/>
      <c r="U105" s="842" t="s">
        <v>66</v>
      </c>
      <c r="V105" s="843"/>
      <c r="W105" s="842" t="s">
        <v>67</v>
      </c>
      <c r="X105" s="843"/>
      <c r="Y105" s="842" t="s">
        <v>68</v>
      </c>
      <c r="Z105" s="843"/>
      <c r="AA105" s="842" t="s">
        <v>69</v>
      </c>
      <c r="AB105" s="843"/>
      <c r="AC105" s="1"/>
      <c r="AD105" s="1"/>
      <c r="AE105" s="1"/>
      <c r="AF105" s="1"/>
      <c r="AG105" s="1"/>
      <c r="AH105" s="1"/>
      <c r="AI105" s="1"/>
      <c r="AJ105" s="1"/>
      <c r="AK105" s="1"/>
      <c r="AL105" s="1"/>
      <c r="AM105" s="1"/>
      <c r="AN105" s="1"/>
      <c r="AO105" s="1"/>
      <c r="AP105" s="1"/>
      <c r="AQ105" s="1"/>
      <c r="AR105" s="1"/>
    </row>
    <row r="106" spans="1:44" ht="14.4">
      <c r="A106" s="867" t="s">
        <v>79</v>
      </c>
      <c r="B106" s="818"/>
      <c r="C106" s="882" t="s">
        <v>80</v>
      </c>
      <c r="D106" s="828"/>
      <c r="E106" s="827" t="s">
        <v>82</v>
      </c>
      <c r="F106" s="828"/>
      <c r="G106" s="827" t="s">
        <v>82</v>
      </c>
      <c r="H106" s="828"/>
      <c r="I106" s="827" t="s">
        <v>82</v>
      </c>
      <c r="J106" s="828"/>
      <c r="K106" s="827" t="s">
        <v>82</v>
      </c>
      <c r="L106" s="828"/>
      <c r="M106" s="827" t="s">
        <v>82</v>
      </c>
      <c r="N106" s="828"/>
      <c r="O106" s="827" t="s">
        <v>82</v>
      </c>
      <c r="P106" s="828"/>
      <c r="Q106" s="827" t="s">
        <v>82</v>
      </c>
      <c r="R106" s="828"/>
      <c r="S106" s="827" t="s">
        <v>82</v>
      </c>
      <c r="T106" s="828"/>
      <c r="U106" s="827" t="s">
        <v>82</v>
      </c>
      <c r="V106" s="828"/>
      <c r="W106" s="827" t="s">
        <v>82</v>
      </c>
      <c r="X106" s="828"/>
      <c r="Y106" s="827" t="s">
        <v>82</v>
      </c>
      <c r="Z106" s="828"/>
      <c r="AA106" s="827" t="s">
        <v>82</v>
      </c>
      <c r="AB106" s="828"/>
      <c r="AC106" s="1"/>
      <c r="AD106" s="1"/>
      <c r="AE106" s="1"/>
      <c r="AF106" s="1"/>
      <c r="AG106" s="1"/>
      <c r="AH106" s="1"/>
      <c r="AI106" s="1"/>
      <c r="AJ106" s="1"/>
      <c r="AK106" s="1"/>
      <c r="AL106" s="1"/>
      <c r="AM106" s="1"/>
      <c r="AN106" s="1"/>
      <c r="AO106" s="1"/>
      <c r="AP106" s="1"/>
      <c r="AQ106" s="1"/>
      <c r="AR106" s="1"/>
    </row>
    <row r="107" spans="1:44" ht="14.4">
      <c r="A107" s="819"/>
      <c r="B107" s="821"/>
      <c r="C107" s="861" t="s">
        <v>83</v>
      </c>
      <c r="D107" s="831"/>
      <c r="E107" s="878" t="s">
        <v>129</v>
      </c>
      <c r="F107" s="831"/>
      <c r="G107" s="830" t="s">
        <v>82</v>
      </c>
      <c r="H107" s="831"/>
      <c r="I107" s="830" t="s">
        <v>82</v>
      </c>
      <c r="J107" s="831"/>
      <c r="K107" s="830" t="s">
        <v>82</v>
      </c>
      <c r="L107" s="831"/>
      <c r="M107" s="830" t="s">
        <v>82</v>
      </c>
      <c r="N107" s="831"/>
      <c r="O107" s="830" t="s">
        <v>82</v>
      </c>
      <c r="P107" s="831"/>
      <c r="Q107" s="830" t="s">
        <v>82</v>
      </c>
      <c r="R107" s="831"/>
      <c r="S107" s="830" t="s">
        <v>82</v>
      </c>
      <c r="T107" s="831"/>
      <c r="U107" s="830" t="s">
        <v>82</v>
      </c>
      <c r="V107" s="831"/>
      <c r="W107" s="830" t="s">
        <v>82</v>
      </c>
      <c r="X107" s="831"/>
      <c r="Y107" s="830" t="s">
        <v>82</v>
      </c>
      <c r="Z107" s="831"/>
      <c r="AA107" s="830" t="s">
        <v>82</v>
      </c>
      <c r="AB107" s="831"/>
      <c r="AC107" s="1"/>
      <c r="AD107" s="1"/>
      <c r="AE107" s="1"/>
      <c r="AF107" s="1"/>
      <c r="AG107" s="1"/>
      <c r="AH107" s="1"/>
      <c r="AI107" s="1"/>
      <c r="AJ107" s="1"/>
      <c r="AK107" s="1"/>
      <c r="AL107" s="1"/>
      <c r="AM107" s="1"/>
      <c r="AN107" s="1"/>
      <c r="AO107" s="1"/>
      <c r="AP107" s="1"/>
      <c r="AQ107" s="1"/>
      <c r="AR107" s="1"/>
    </row>
    <row r="108" spans="1:44" ht="14.4">
      <c r="A108" s="819"/>
      <c r="B108" s="821"/>
      <c r="C108" s="861" t="s">
        <v>84</v>
      </c>
      <c r="D108" s="831"/>
      <c r="E108" s="830" t="s">
        <v>82</v>
      </c>
      <c r="F108" s="831"/>
      <c r="G108" s="830" t="s">
        <v>82</v>
      </c>
      <c r="H108" s="831"/>
      <c r="I108" s="830" t="s">
        <v>82</v>
      </c>
      <c r="J108" s="831"/>
      <c r="K108" s="830" t="s">
        <v>82</v>
      </c>
      <c r="L108" s="831"/>
      <c r="M108" s="830" t="s">
        <v>82</v>
      </c>
      <c r="N108" s="831"/>
      <c r="O108" s="830" t="s">
        <v>82</v>
      </c>
      <c r="P108" s="831"/>
      <c r="Q108" s="830" t="s">
        <v>82</v>
      </c>
      <c r="R108" s="831"/>
      <c r="S108" s="830" t="s">
        <v>82</v>
      </c>
      <c r="T108" s="831"/>
      <c r="U108" s="830" t="s">
        <v>82</v>
      </c>
      <c r="V108" s="831"/>
      <c r="W108" s="830" t="s">
        <v>82</v>
      </c>
      <c r="X108" s="831"/>
      <c r="Y108" s="830" t="s">
        <v>82</v>
      </c>
      <c r="Z108" s="831"/>
      <c r="AA108" s="830" t="s">
        <v>82</v>
      </c>
      <c r="AB108" s="831"/>
      <c r="AC108" s="1"/>
      <c r="AD108" s="1"/>
      <c r="AE108" s="1"/>
      <c r="AF108" s="1"/>
      <c r="AG108" s="1"/>
      <c r="AH108" s="1"/>
      <c r="AI108" s="1"/>
      <c r="AJ108" s="1"/>
      <c r="AK108" s="1"/>
      <c r="AL108" s="1"/>
      <c r="AM108" s="1"/>
      <c r="AN108" s="1"/>
      <c r="AO108" s="1"/>
      <c r="AP108" s="1"/>
      <c r="AQ108" s="1"/>
      <c r="AR108" s="1"/>
    </row>
    <row r="109" spans="1:44" ht="14.4">
      <c r="A109" s="819"/>
      <c r="B109" s="821"/>
      <c r="C109" s="861" t="s">
        <v>86</v>
      </c>
      <c r="D109" s="831"/>
      <c r="E109" s="830" t="s">
        <v>82</v>
      </c>
      <c r="F109" s="831"/>
      <c r="G109" s="830" t="s">
        <v>82</v>
      </c>
      <c r="H109" s="831"/>
      <c r="I109" s="830" t="s">
        <v>82</v>
      </c>
      <c r="J109" s="831"/>
      <c r="K109" s="830" t="s">
        <v>82</v>
      </c>
      <c r="L109" s="831"/>
      <c r="M109" s="830" t="s">
        <v>82</v>
      </c>
      <c r="N109" s="831"/>
      <c r="O109" s="830" t="s">
        <v>82</v>
      </c>
      <c r="P109" s="831"/>
      <c r="Q109" s="830" t="s">
        <v>82</v>
      </c>
      <c r="R109" s="831"/>
      <c r="S109" s="830" t="s">
        <v>82</v>
      </c>
      <c r="T109" s="831"/>
      <c r="U109" s="830" t="s">
        <v>82</v>
      </c>
      <c r="V109" s="831"/>
      <c r="W109" s="830" t="s">
        <v>82</v>
      </c>
      <c r="X109" s="831"/>
      <c r="Y109" s="830" t="s">
        <v>82</v>
      </c>
      <c r="Z109" s="831"/>
      <c r="AA109" s="830" t="s">
        <v>82</v>
      </c>
      <c r="AB109" s="831"/>
      <c r="AC109" s="1"/>
      <c r="AD109" s="1"/>
      <c r="AE109" s="1"/>
      <c r="AF109" s="1"/>
      <c r="AG109" s="1"/>
      <c r="AH109" s="1"/>
      <c r="AI109" s="1"/>
      <c r="AJ109" s="1"/>
      <c r="AK109" s="1"/>
      <c r="AL109" s="1"/>
      <c r="AM109" s="1"/>
      <c r="AN109" s="1"/>
      <c r="AO109" s="1"/>
      <c r="AP109" s="1"/>
      <c r="AQ109" s="1"/>
      <c r="AR109" s="1"/>
    </row>
    <row r="110" spans="1:44" ht="14.4">
      <c r="A110" s="819"/>
      <c r="B110" s="821"/>
      <c r="C110" s="861" t="s">
        <v>88</v>
      </c>
      <c r="D110" s="831"/>
      <c r="E110" s="832" t="s">
        <v>130</v>
      </c>
      <c r="F110" s="831"/>
      <c r="G110" s="830" t="s">
        <v>82</v>
      </c>
      <c r="H110" s="831"/>
      <c r="I110" s="830" t="s">
        <v>82</v>
      </c>
      <c r="J110" s="831"/>
      <c r="K110" s="830" t="s">
        <v>82</v>
      </c>
      <c r="L110" s="831"/>
      <c r="M110" s="830" t="s">
        <v>82</v>
      </c>
      <c r="N110" s="831"/>
      <c r="O110" s="830" t="s">
        <v>82</v>
      </c>
      <c r="P110" s="831"/>
      <c r="Q110" s="830" t="s">
        <v>82</v>
      </c>
      <c r="R110" s="831"/>
      <c r="S110" s="830" t="s">
        <v>82</v>
      </c>
      <c r="T110" s="831"/>
      <c r="U110" s="830" t="s">
        <v>82</v>
      </c>
      <c r="V110" s="831"/>
      <c r="W110" s="830" t="s">
        <v>82</v>
      </c>
      <c r="X110" s="831"/>
      <c r="Y110" s="830" t="s">
        <v>82</v>
      </c>
      <c r="Z110" s="831"/>
      <c r="AA110" s="830" t="s">
        <v>82</v>
      </c>
      <c r="AB110" s="831"/>
      <c r="AC110" s="1"/>
      <c r="AD110" s="1"/>
      <c r="AE110" s="1"/>
      <c r="AF110" s="1"/>
      <c r="AG110" s="1"/>
      <c r="AH110" s="1"/>
      <c r="AI110" s="1"/>
      <c r="AJ110" s="1"/>
      <c r="AK110" s="1"/>
      <c r="AL110" s="1"/>
      <c r="AM110" s="1"/>
      <c r="AN110" s="1"/>
      <c r="AO110" s="1"/>
      <c r="AP110" s="1"/>
      <c r="AQ110" s="1"/>
      <c r="AR110" s="1"/>
    </row>
    <row r="111" spans="1:44" ht="14.4">
      <c r="A111" s="819"/>
      <c r="B111" s="821"/>
      <c r="C111" s="861" t="s">
        <v>89</v>
      </c>
      <c r="D111" s="831"/>
      <c r="E111" s="830" t="s">
        <v>82</v>
      </c>
      <c r="F111" s="831"/>
      <c r="G111" s="830" t="s">
        <v>82</v>
      </c>
      <c r="H111" s="831"/>
      <c r="I111" s="832" t="s">
        <v>131</v>
      </c>
      <c r="J111" s="831"/>
      <c r="K111" s="830" t="s">
        <v>82</v>
      </c>
      <c r="L111" s="831"/>
      <c r="M111" s="830" t="s">
        <v>82</v>
      </c>
      <c r="N111" s="831"/>
      <c r="O111" s="830" t="s">
        <v>82</v>
      </c>
      <c r="P111" s="831"/>
      <c r="Q111" s="830" t="s">
        <v>82</v>
      </c>
      <c r="R111" s="831"/>
      <c r="S111" s="830" t="s">
        <v>82</v>
      </c>
      <c r="T111" s="831"/>
      <c r="U111" s="830" t="s">
        <v>82</v>
      </c>
      <c r="V111" s="831"/>
      <c r="W111" s="830" t="s">
        <v>82</v>
      </c>
      <c r="X111" s="831"/>
      <c r="Y111" s="830" t="s">
        <v>82</v>
      </c>
      <c r="Z111" s="831"/>
      <c r="AA111" s="830" t="s">
        <v>82</v>
      </c>
      <c r="AB111" s="831"/>
      <c r="AC111" s="1"/>
      <c r="AD111" s="1"/>
      <c r="AE111" s="1"/>
      <c r="AF111" s="1"/>
      <c r="AG111" s="1"/>
      <c r="AH111" s="1"/>
      <c r="AI111" s="1"/>
      <c r="AJ111" s="1"/>
      <c r="AK111" s="1"/>
      <c r="AL111" s="1"/>
      <c r="AM111" s="1"/>
      <c r="AN111" s="1"/>
      <c r="AO111" s="1"/>
      <c r="AP111" s="1"/>
      <c r="AQ111" s="1"/>
      <c r="AR111" s="1"/>
    </row>
    <row r="112" spans="1:44" ht="14.4">
      <c r="A112" s="819"/>
      <c r="B112" s="821"/>
      <c r="C112" s="861" t="s">
        <v>90</v>
      </c>
      <c r="D112" s="831"/>
      <c r="E112" s="830" t="s">
        <v>82</v>
      </c>
      <c r="F112" s="831"/>
      <c r="G112" s="830" t="s">
        <v>82</v>
      </c>
      <c r="H112" s="831"/>
      <c r="I112" s="830" t="s">
        <v>82</v>
      </c>
      <c r="J112" s="831"/>
      <c r="K112" s="830" t="s">
        <v>82</v>
      </c>
      <c r="L112" s="831"/>
      <c r="M112" s="830" t="s">
        <v>82</v>
      </c>
      <c r="N112" s="831"/>
      <c r="O112" s="830" t="s">
        <v>82</v>
      </c>
      <c r="P112" s="831"/>
      <c r="Q112" s="830" t="s">
        <v>82</v>
      </c>
      <c r="R112" s="831"/>
      <c r="S112" s="830" t="s">
        <v>82</v>
      </c>
      <c r="T112" s="831"/>
      <c r="U112" s="830" t="s">
        <v>82</v>
      </c>
      <c r="V112" s="831"/>
      <c r="W112" s="830" t="s">
        <v>82</v>
      </c>
      <c r="X112" s="831"/>
      <c r="Y112" s="830" t="s">
        <v>82</v>
      </c>
      <c r="Z112" s="831"/>
      <c r="AA112" s="830" t="s">
        <v>82</v>
      </c>
      <c r="AB112" s="831"/>
      <c r="AC112" s="1"/>
      <c r="AD112" s="1"/>
      <c r="AE112" s="1"/>
      <c r="AF112" s="1"/>
      <c r="AG112" s="1"/>
      <c r="AH112" s="1"/>
      <c r="AI112" s="1"/>
      <c r="AJ112" s="1"/>
      <c r="AK112" s="1"/>
      <c r="AL112" s="1"/>
      <c r="AM112" s="1"/>
      <c r="AN112" s="1"/>
      <c r="AO112" s="1"/>
      <c r="AP112" s="1"/>
      <c r="AQ112" s="1"/>
      <c r="AR112" s="1"/>
    </row>
    <row r="113" spans="1:44" ht="14.4">
      <c r="A113" s="819"/>
      <c r="B113" s="821"/>
      <c r="C113" s="861">
        <v>0</v>
      </c>
      <c r="D113" s="831"/>
      <c r="E113" s="830" t="s">
        <v>82</v>
      </c>
      <c r="F113" s="831"/>
      <c r="G113" s="830" t="s">
        <v>82</v>
      </c>
      <c r="H113" s="831"/>
      <c r="I113" s="830" t="s">
        <v>82</v>
      </c>
      <c r="J113" s="831"/>
      <c r="K113" s="830" t="s">
        <v>82</v>
      </c>
      <c r="L113" s="831"/>
      <c r="M113" s="830" t="s">
        <v>82</v>
      </c>
      <c r="N113" s="831"/>
      <c r="O113" s="830" t="s">
        <v>82</v>
      </c>
      <c r="P113" s="831"/>
      <c r="Q113" s="830" t="s">
        <v>82</v>
      </c>
      <c r="R113" s="831"/>
      <c r="S113" s="830" t="s">
        <v>82</v>
      </c>
      <c r="T113" s="831"/>
      <c r="U113" s="830" t="s">
        <v>82</v>
      </c>
      <c r="V113" s="831"/>
      <c r="W113" s="830" t="s">
        <v>82</v>
      </c>
      <c r="X113" s="831"/>
      <c r="Y113" s="830" t="s">
        <v>82</v>
      </c>
      <c r="Z113" s="831"/>
      <c r="AA113" s="830" t="s">
        <v>82</v>
      </c>
      <c r="AB113" s="831"/>
      <c r="AC113" s="1"/>
      <c r="AD113" s="1"/>
      <c r="AE113" s="1"/>
      <c r="AF113" s="1"/>
      <c r="AG113" s="1"/>
      <c r="AH113" s="1"/>
      <c r="AI113" s="1"/>
      <c r="AJ113" s="1"/>
      <c r="AK113" s="1"/>
      <c r="AL113" s="1"/>
      <c r="AM113" s="1"/>
      <c r="AN113" s="1"/>
      <c r="AO113" s="1"/>
      <c r="AP113" s="1"/>
      <c r="AQ113" s="1"/>
      <c r="AR113" s="1"/>
    </row>
    <row r="114" spans="1:44" ht="14.4">
      <c r="A114" s="819"/>
      <c r="B114" s="821"/>
      <c r="C114" s="861">
        <v>0</v>
      </c>
      <c r="D114" s="831"/>
      <c r="E114" s="830" t="s">
        <v>82</v>
      </c>
      <c r="F114" s="831"/>
      <c r="G114" s="830" t="s">
        <v>82</v>
      </c>
      <c r="H114" s="831"/>
      <c r="I114" s="830" t="s">
        <v>82</v>
      </c>
      <c r="J114" s="831"/>
      <c r="K114" s="830" t="s">
        <v>82</v>
      </c>
      <c r="L114" s="831"/>
      <c r="M114" s="830" t="s">
        <v>82</v>
      </c>
      <c r="N114" s="831"/>
      <c r="O114" s="830" t="s">
        <v>82</v>
      </c>
      <c r="P114" s="831"/>
      <c r="Q114" s="830" t="s">
        <v>82</v>
      </c>
      <c r="R114" s="831"/>
      <c r="S114" s="830" t="s">
        <v>82</v>
      </c>
      <c r="T114" s="831"/>
      <c r="U114" s="830" t="s">
        <v>82</v>
      </c>
      <c r="V114" s="831"/>
      <c r="W114" s="830" t="s">
        <v>82</v>
      </c>
      <c r="X114" s="831"/>
      <c r="Y114" s="830" t="s">
        <v>82</v>
      </c>
      <c r="Z114" s="831"/>
      <c r="AA114" s="830" t="s">
        <v>82</v>
      </c>
      <c r="AB114" s="831"/>
      <c r="AC114" s="1"/>
      <c r="AD114" s="1"/>
      <c r="AE114" s="1"/>
      <c r="AF114" s="1"/>
      <c r="AG114" s="1"/>
      <c r="AH114" s="1"/>
      <c r="AI114" s="1"/>
      <c r="AJ114" s="1"/>
      <c r="AK114" s="1"/>
      <c r="AL114" s="1"/>
      <c r="AM114" s="1"/>
      <c r="AN114" s="1"/>
      <c r="AO114" s="1"/>
      <c r="AP114" s="1"/>
      <c r="AQ114" s="1"/>
      <c r="AR114" s="1"/>
    </row>
    <row r="115" spans="1:44" ht="14.4">
      <c r="A115" s="819"/>
      <c r="B115" s="821"/>
      <c r="C115" s="861">
        <v>0</v>
      </c>
      <c r="D115" s="831"/>
      <c r="E115" s="830" t="s">
        <v>82</v>
      </c>
      <c r="F115" s="831"/>
      <c r="G115" s="830" t="s">
        <v>82</v>
      </c>
      <c r="H115" s="831"/>
      <c r="I115" s="830" t="s">
        <v>82</v>
      </c>
      <c r="J115" s="831"/>
      <c r="K115" s="830" t="s">
        <v>82</v>
      </c>
      <c r="L115" s="831"/>
      <c r="M115" s="830" t="s">
        <v>82</v>
      </c>
      <c r="N115" s="831"/>
      <c r="O115" s="830" t="s">
        <v>82</v>
      </c>
      <c r="P115" s="831"/>
      <c r="Q115" s="830" t="s">
        <v>82</v>
      </c>
      <c r="R115" s="831"/>
      <c r="S115" s="830" t="s">
        <v>82</v>
      </c>
      <c r="T115" s="831"/>
      <c r="U115" s="830" t="s">
        <v>82</v>
      </c>
      <c r="V115" s="831"/>
      <c r="W115" s="830" t="s">
        <v>82</v>
      </c>
      <c r="X115" s="831"/>
      <c r="Y115" s="830" t="s">
        <v>82</v>
      </c>
      <c r="Z115" s="831"/>
      <c r="AA115" s="830" t="s">
        <v>82</v>
      </c>
      <c r="AB115" s="831"/>
      <c r="AC115" s="1"/>
      <c r="AD115" s="1"/>
      <c r="AE115" s="1"/>
      <c r="AF115" s="1"/>
      <c r="AG115" s="1"/>
      <c r="AH115" s="1"/>
      <c r="AI115" s="1"/>
      <c r="AJ115" s="1"/>
      <c r="AK115" s="1"/>
      <c r="AL115" s="1"/>
      <c r="AM115" s="1"/>
      <c r="AN115" s="1"/>
      <c r="AO115" s="1"/>
      <c r="AP115" s="1"/>
      <c r="AQ115" s="1"/>
      <c r="AR115" s="1"/>
    </row>
    <row r="116" spans="1:44" ht="14.4">
      <c r="A116" s="819"/>
      <c r="B116" s="821"/>
      <c r="C116" s="861">
        <v>0</v>
      </c>
      <c r="D116" s="831"/>
      <c r="E116" s="830" t="s">
        <v>82</v>
      </c>
      <c r="F116" s="831"/>
      <c r="G116" s="830" t="s">
        <v>82</v>
      </c>
      <c r="H116" s="831"/>
      <c r="I116" s="830" t="s">
        <v>82</v>
      </c>
      <c r="J116" s="831"/>
      <c r="K116" s="830" t="s">
        <v>82</v>
      </c>
      <c r="L116" s="831"/>
      <c r="M116" s="830" t="s">
        <v>82</v>
      </c>
      <c r="N116" s="831"/>
      <c r="O116" s="830" t="s">
        <v>82</v>
      </c>
      <c r="P116" s="831"/>
      <c r="Q116" s="830" t="s">
        <v>82</v>
      </c>
      <c r="R116" s="831"/>
      <c r="S116" s="830" t="s">
        <v>82</v>
      </c>
      <c r="T116" s="831"/>
      <c r="U116" s="830" t="s">
        <v>82</v>
      </c>
      <c r="V116" s="831"/>
      <c r="W116" s="830" t="s">
        <v>82</v>
      </c>
      <c r="X116" s="831"/>
      <c r="Y116" s="830" t="s">
        <v>82</v>
      </c>
      <c r="Z116" s="831"/>
      <c r="AA116" s="830" t="s">
        <v>82</v>
      </c>
      <c r="AB116" s="831"/>
      <c r="AC116" s="1"/>
      <c r="AD116" s="1"/>
      <c r="AE116" s="1"/>
      <c r="AF116" s="1"/>
      <c r="AG116" s="1"/>
      <c r="AH116" s="1"/>
      <c r="AI116" s="1"/>
      <c r="AJ116" s="1"/>
      <c r="AK116" s="1"/>
      <c r="AL116" s="1"/>
      <c r="AM116" s="1"/>
      <c r="AN116" s="1"/>
      <c r="AO116" s="1"/>
      <c r="AP116" s="1"/>
      <c r="AQ116" s="1"/>
      <c r="AR116" s="1"/>
    </row>
    <row r="117" spans="1:44" ht="14.4">
      <c r="A117" s="819"/>
      <c r="B117" s="821"/>
      <c r="C117" s="861">
        <v>0</v>
      </c>
      <c r="D117" s="831"/>
      <c r="E117" s="830" t="s">
        <v>82</v>
      </c>
      <c r="F117" s="831"/>
      <c r="G117" s="830" t="s">
        <v>82</v>
      </c>
      <c r="H117" s="831"/>
      <c r="I117" s="830" t="s">
        <v>82</v>
      </c>
      <c r="J117" s="831"/>
      <c r="K117" s="830" t="s">
        <v>82</v>
      </c>
      <c r="L117" s="831"/>
      <c r="M117" s="830" t="s">
        <v>82</v>
      </c>
      <c r="N117" s="831"/>
      <c r="O117" s="830" t="s">
        <v>82</v>
      </c>
      <c r="P117" s="831"/>
      <c r="Q117" s="830" t="s">
        <v>82</v>
      </c>
      <c r="R117" s="831"/>
      <c r="S117" s="830" t="s">
        <v>82</v>
      </c>
      <c r="T117" s="831"/>
      <c r="U117" s="830" t="s">
        <v>82</v>
      </c>
      <c r="V117" s="831"/>
      <c r="W117" s="830" t="s">
        <v>82</v>
      </c>
      <c r="X117" s="831"/>
      <c r="Y117" s="830" t="s">
        <v>82</v>
      </c>
      <c r="Z117" s="831"/>
      <c r="AA117" s="830" t="s">
        <v>82</v>
      </c>
      <c r="AB117" s="831"/>
      <c r="AC117" s="1"/>
      <c r="AD117" s="1"/>
      <c r="AE117" s="1"/>
      <c r="AF117" s="1"/>
      <c r="AG117" s="1"/>
      <c r="AH117" s="1"/>
      <c r="AI117" s="1"/>
      <c r="AJ117" s="1"/>
      <c r="AK117" s="1"/>
      <c r="AL117" s="1"/>
      <c r="AM117" s="1"/>
      <c r="AN117" s="1"/>
      <c r="AO117" s="1"/>
      <c r="AP117" s="1"/>
      <c r="AQ117" s="1"/>
      <c r="AR117" s="1"/>
    </row>
    <row r="118" spans="1:44" ht="14.4">
      <c r="A118" s="819"/>
      <c r="B118" s="821"/>
      <c r="C118" s="861">
        <v>0</v>
      </c>
      <c r="D118" s="831"/>
      <c r="E118" s="830" t="s">
        <v>82</v>
      </c>
      <c r="F118" s="831"/>
      <c r="G118" s="830" t="s">
        <v>82</v>
      </c>
      <c r="H118" s="831"/>
      <c r="I118" s="830" t="s">
        <v>82</v>
      </c>
      <c r="J118" s="831"/>
      <c r="K118" s="830" t="s">
        <v>82</v>
      </c>
      <c r="L118" s="831"/>
      <c r="M118" s="830" t="s">
        <v>82</v>
      </c>
      <c r="N118" s="831"/>
      <c r="O118" s="830" t="s">
        <v>82</v>
      </c>
      <c r="P118" s="831"/>
      <c r="Q118" s="830" t="s">
        <v>82</v>
      </c>
      <c r="R118" s="831"/>
      <c r="S118" s="830" t="s">
        <v>82</v>
      </c>
      <c r="T118" s="831"/>
      <c r="U118" s="830" t="s">
        <v>82</v>
      </c>
      <c r="V118" s="831"/>
      <c r="W118" s="830" t="s">
        <v>82</v>
      </c>
      <c r="X118" s="831"/>
      <c r="Y118" s="830" t="s">
        <v>82</v>
      </c>
      <c r="Z118" s="831"/>
      <c r="AA118" s="830" t="s">
        <v>82</v>
      </c>
      <c r="AB118" s="831"/>
      <c r="AC118" s="1"/>
      <c r="AD118" s="1"/>
      <c r="AE118" s="1"/>
      <c r="AF118" s="1"/>
      <c r="AG118" s="1"/>
      <c r="AH118" s="1"/>
      <c r="AI118" s="1"/>
      <c r="AJ118" s="1"/>
      <c r="AK118" s="1"/>
      <c r="AL118" s="1"/>
      <c r="AM118" s="1"/>
      <c r="AN118" s="1"/>
      <c r="AO118" s="1"/>
      <c r="AP118" s="1"/>
      <c r="AQ118" s="1"/>
      <c r="AR118" s="1"/>
    </row>
    <row r="119" spans="1:44" ht="14.4">
      <c r="A119" s="819"/>
      <c r="B119" s="821"/>
      <c r="C119" s="861">
        <v>0</v>
      </c>
      <c r="D119" s="831"/>
      <c r="E119" s="830" t="s">
        <v>82</v>
      </c>
      <c r="F119" s="831"/>
      <c r="G119" s="830" t="s">
        <v>82</v>
      </c>
      <c r="H119" s="831"/>
      <c r="I119" s="830" t="s">
        <v>82</v>
      </c>
      <c r="J119" s="831"/>
      <c r="K119" s="830" t="s">
        <v>82</v>
      </c>
      <c r="L119" s="831"/>
      <c r="M119" s="830" t="s">
        <v>82</v>
      </c>
      <c r="N119" s="831"/>
      <c r="O119" s="830" t="s">
        <v>82</v>
      </c>
      <c r="P119" s="831"/>
      <c r="Q119" s="830" t="s">
        <v>82</v>
      </c>
      <c r="R119" s="831"/>
      <c r="S119" s="830" t="s">
        <v>82</v>
      </c>
      <c r="T119" s="831"/>
      <c r="U119" s="830" t="s">
        <v>82</v>
      </c>
      <c r="V119" s="831"/>
      <c r="W119" s="830" t="s">
        <v>82</v>
      </c>
      <c r="X119" s="831"/>
      <c r="Y119" s="830" t="s">
        <v>82</v>
      </c>
      <c r="Z119" s="831"/>
      <c r="AA119" s="830" t="s">
        <v>82</v>
      </c>
      <c r="AB119" s="831"/>
      <c r="AC119" s="1"/>
      <c r="AD119" s="1"/>
      <c r="AE119" s="1"/>
      <c r="AF119" s="1"/>
      <c r="AG119" s="1"/>
      <c r="AH119" s="1"/>
      <c r="AI119" s="1"/>
      <c r="AJ119" s="1"/>
      <c r="AK119" s="1"/>
      <c r="AL119" s="1"/>
      <c r="AM119" s="1"/>
      <c r="AN119" s="1"/>
      <c r="AO119" s="1"/>
      <c r="AP119" s="1"/>
      <c r="AQ119" s="1"/>
      <c r="AR119" s="1"/>
    </row>
    <row r="120" spans="1:44" ht="14.4">
      <c r="A120" s="819"/>
      <c r="B120" s="821"/>
      <c r="C120" s="861">
        <v>0</v>
      </c>
      <c r="D120" s="831"/>
      <c r="E120" s="830" t="s">
        <v>82</v>
      </c>
      <c r="F120" s="831"/>
      <c r="G120" s="830" t="s">
        <v>82</v>
      </c>
      <c r="H120" s="831"/>
      <c r="I120" s="830" t="s">
        <v>82</v>
      </c>
      <c r="J120" s="831"/>
      <c r="K120" s="830" t="s">
        <v>82</v>
      </c>
      <c r="L120" s="831"/>
      <c r="M120" s="830" t="s">
        <v>82</v>
      </c>
      <c r="N120" s="831"/>
      <c r="O120" s="830" t="s">
        <v>82</v>
      </c>
      <c r="P120" s="831"/>
      <c r="Q120" s="830" t="s">
        <v>82</v>
      </c>
      <c r="R120" s="831"/>
      <c r="S120" s="830" t="s">
        <v>82</v>
      </c>
      <c r="T120" s="831"/>
      <c r="U120" s="830" t="s">
        <v>82</v>
      </c>
      <c r="V120" s="831"/>
      <c r="W120" s="830" t="s">
        <v>82</v>
      </c>
      <c r="X120" s="831"/>
      <c r="Y120" s="830" t="s">
        <v>82</v>
      </c>
      <c r="Z120" s="831"/>
      <c r="AA120" s="830" t="s">
        <v>82</v>
      </c>
      <c r="AB120" s="831"/>
      <c r="AC120" s="1"/>
      <c r="AD120" s="1"/>
      <c r="AE120" s="1"/>
      <c r="AF120" s="1"/>
      <c r="AG120" s="1"/>
      <c r="AH120" s="1"/>
      <c r="AI120" s="1"/>
      <c r="AJ120" s="1"/>
      <c r="AK120" s="1"/>
      <c r="AL120" s="1"/>
      <c r="AM120" s="1"/>
      <c r="AN120" s="1"/>
      <c r="AO120" s="1"/>
      <c r="AP120" s="1"/>
      <c r="AQ120" s="1"/>
      <c r="AR120" s="1"/>
    </row>
    <row r="121" spans="1:44" ht="14.4">
      <c r="A121" s="819"/>
      <c r="B121" s="821"/>
      <c r="C121" s="861">
        <v>0</v>
      </c>
      <c r="D121" s="831"/>
      <c r="E121" s="830" t="s">
        <v>82</v>
      </c>
      <c r="F121" s="831"/>
      <c r="G121" s="830" t="s">
        <v>82</v>
      </c>
      <c r="H121" s="831"/>
      <c r="I121" s="830" t="s">
        <v>82</v>
      </c>
      <c r="J121" s="831"/>
      <c r="K121" s="830" t="s">
        <v>82</v>
      </c>
      <c r="L121" s="831"/>
      <c r="M121" s="830" t="s">
        <v>82</v>
      </c>
      <c r="N121" s="831"/>
      <c r="O121" s="830" t="s">
        <v>82</v>
      </c>
      <c r="P121" s="831"/>
      <c r="Q121" s="830" t="s">
        <v>82</v>
      </c>
      <c r="R121" s="831"/>
      <c r="S121" s="830" t="s">
        <v>82</v>
      </c>
      <c r="T121" s="831"/>
      <c r="U121" s="830" t="s">
        <v>82</v>
      </c>
      <c r="V121" s="831"/>
      <c r="W121" s="830" t="s">
        <v>82</v>
      </c>
      <c r="X121" s="831"/>
      <c r="Y121" s="830" t="s">
        <v>82</v>
      </c>
      <c r="Z121" s="831"/>
      <c r="AA121" s="830" t="s">
        <v>82</v>
      </c>
      <c r="AB121" s="831"/>
      <c r="AC121" s="1"/>
      <c r="AD121" s="1"/>
      <c r="AE121" s="1"/>
      <c r="AF121" s="1"/>
      <c r="AG121" s="1"/>
      <c r="AH121" s="1"/>
      <c r="AI121" s="1"/>
      <c r="AJ121" s="1"/>
      <c r="AK121" s="1"/>
      <c r="AL121" s="1"/>
      <c r="AM121" s="1"/>
      <c r="AN121" s="1"/>
      <c r="AO121" s="1"/>
      <c r="AP121" s="1"/>
      <c r="AQ121" s="1"/>
      <c r="AR121" s="1"/>
    </row>
    <row r="122" spans="1:44" ht="14.4">
      <c r="A122" s="819"/>
      <c r="B122" s="821"/>
      <c r="C122" s="861">
        <v>0</v>
      </c>
      <c r="D122" s="831"/>
      <c r="E122" s="830" t="s">
        <v>82</v>
      </c>
      <c r="F122" s="831"/>
      <c r="G122" s="830" t="s">
        <v>82</v>
      </c>
      <c r="H122" s="831"/>
      <c r="I122" s="830" t="s">
        <v>82</v>
      </c>
      <c r="J122" s="831"/>
      <c r="K122" s="830" t="s">
        <v>82</v>
      </c>
      <c r="L122" s="831"/>
      <c r="M122" s="830" t="s">
        <v>82</v>
      </c>
      <c r="N122" s="831"/>
      <c r="O122" s="830" t="s">
        <v>82</v>
      </c>
      <c r="P122" s="831"/>
      <c r="Q122" s="830" t="s">
        <v>82</v>
      </c>
      <c r="R122" s="831"/>
      <c r="S122" s="830" t="s">
        <v>82</v>
      </c>
      <c r="T122" s="831"/>
      <c r="U122" s="830" t="s">
        <v>82</v>
      </c>
      <c r="V122" s="831"/>
      <c r="W122" s="830" t="s">
        <v>82</v>
      </c>
      <c r="X122" s="831"/>
      <c r="Y122" s="830" t="s">
        <v>82</v>
      </c>
      <c r="Z122" s="831"/>
      <c r="AA122" s="830" t="s">
        <v>82</v>
      </c>
      <c r="AB122" s="831"/>
      <c r="AC122" s="1"/>
      <c r="AD122" s="1"/>
      <c r="AE122" s="1"/>
      <c r="AF122" s="1"/>
      <c r="AG122" s="1"/>
      <c r="AH122" s="1"/>
      <c r="AI122" s="1"/>
      <c r="AJ122" s="1"/>
      <c r="AK122" s="1"/>
      <c r="AL122" s="1"/>
      <c r="AM122" s="1"/>
      <c r="AN122" s="1"/>
      <c r="AO122" s="1"/>
      <c r="AP122" s="1"/>
      <c r="AQ122" s="1"/>
      <c r="AR122" s="1"/>
    </row>
    <row r="123" spans="1:44" ht="14.4">
      <c r="A123" s="822"/>
      <c r="B123" s="824"/>
      <c r="C123" s="869">
        <v>0</v>
      </c>
      <c r="D123" s="870"/>
      <c r="E123" s="833" t="s">
        <v>82</v>
      </c>
      <c r="F123" s="834"/>
      <c r="G123" s="833" t="s">
        <v>82</v>
      </c>
      <c r="H123" s="834"/>
      <c r="I123" s="833" t="s">
        <v>82</v>
      </c>
      <c r="J123" s="834"/>
      <c r="K123" s="833" t="s">
        <v>82</v>
      </c>
      <c r="L123" s="834"/>
      <c r="M123" s="835" t="s">
        <v>82</v>
      </c>
      <c r="N123" s="836"/>
      <c r="O123" s="833" t="s">
        <v>82</v>
      </c>
      <c r="P123" s="834"/>
      <c r="Q123" s="833" t="s">
        <v>82</v>
      </c>
      <c r="R123" s="834"/>
      <c r="S123" s="833" t="s">
        <v>82</v>
      </c>
      <c r="T123" s="834"/>
      <c r="U123" s="833" t="s">
        <v>82</v>
      </c>
      <c r="V123" s="834"/>
      <c r="W123" s="833" t="s">
        <v>82</v>
      </c>
      <c r="X123" s="834"/>
      <c r="Y123" s="833" t="s">
        <v>82</v>
      </c>
      <c r="Z123" s="834"/>
      <c r="AA123" s="833" t="s">
        <v>82</v>
      </c>
      <c r="AB123" s="834"/>
      <c r="AC123" s="1"/>
      <c r="AD123" s="1"/>
      <c r="AE123" s="1"/>
      <c r="AF123" s="1"/>
      <c r="AG123" s="1"/>
      <c r="AH123" s="1"/>
      <c r="AI123" s="1"/>
      <c r="AJ123" s="1"/>
      <c r="AK123" s="1"/>
      <c r="AL123" s="1"/>
      <c r="AM123" s="1"/>
      <c r="AN123" s="1"/>
      <c r="AO123" s="1"/>
      <c r="AP123" s="1"/>
      <c r="AQ123" s="1"/>
      <c r="AR123" s="1"/>
    </row>
    <row r="124" spans="1:44" ht="14.4">
      <c r="A124" s="867" t="s">
        <v>91</v>
      </c>
      <c r="B124" s="818"/>
      <c r="C124" s="827" t="s">
        <v>92</v>
      </c>
      <c r="D124" s="828"/>
      <c r="E124" s="891" t="s">
        <v>82</v>
      </c>
      <c r="F124" s="870"/>
      <c r="G124" s="827" t="s">
        <v>82</v>
      </c>
      <c r="H124" s="828"/>
      <c r="I124" s="829" t="s">
        <v>82</v>
      </c>
      <c r="J124" s="818"/>
      <c r="K124" s="827" t="s">
        <v>82</v>
      </c>
      <c r="L124" s="828"/>
      <c r="M124" s="827" t="s">
        <v>82</v>
      </c>
      <c r="N124" s="828"/>
      <c r="O124" s="827" t="s">
        <v>82</v>
      </c>
      <c r="P124" s="828"/>
      <c r="Q124" s="827" t="s">
        <v>82</v>
      </c>
      <c r="R124" s="828"/>
      <c r="S124" s="827" t="s">
        <v>82</v>
      </c>
      <c r="T124" s="828"/>
      <c r="U124" s="827" t="s">
        <v>82</v>
      </c>
      <c r="V124" s="828"/>
      <c r="W124" s="827" t="s">
        <v>82</v>
      </c>
      <c r="X124" s="828"/>
      <c r="Y124" s="827" t="s">
        <v>82</v>
      </c>
      <c r="Z124" s="828"/>
      <c r="AA124" s="827" t="s">
        <v>82</v>
      </c>
      <c r="AB124" s="828"/>
      <c r="AC124" s="1"/>
      <c r="AD124" s="1"/>
      <c r="AE124" s="1"/>
      <c r="AF124" s="1"/>
      <c r="AG124" s="1"/>
      <c r="AH124" s="1"/>
      <c r="AI124" s="1"/>
      <c r="AJ124" s="1"/>
      <c r="AK124" s="1"/>
      <c r="AL124" s="1"/>
      <c r="AM124" s="1"/>
      <c r="AN124" s="1"/>
      <c r="AO124" s="1"/>
      <c r="AP124" s="1"/>
      <c r="AQ124" s="1"/>
      <c r="AR124" s="1"/>
    </row>
    <row r="125" spans="1:44" ht="14.4">
      <c r="A125" s="819"/>
      <c r="B125" s="821"/>
      <c r="C125" s="830" t="s">
        <v>94</v>
      </c>
      <c r="D125" s="831"/>
      <c r="E125" s="832" t="s">
        <v>96</v>
      </c>
      <c r="F125" s="831"/>
      <c r="G125" s="830" t="s">
        <v>82</v>
      </c>
      <c r="H125" s="831"/>
      <c r="I125" s="832" t="s">
        <v>96</v>
      </c>
      <c r="J125" s="831"/>
      <c r="K125" s="830" t="s">
        <v>82</v>
      </c>
      <c r="L125" s="831"/>
      <c r="M125" s="830" t="s">
        <v>82</v>
      </c>
      <c r="N125" s="831"/>
      <c r="O125" s="830" t="s">
        <v>82</v>
      </c>
      <c r="P125" s="831"/>
      <c r="Q125" s="830" t="s">
        <v>82</v>
      </c>
      <c r="R125" s="831"/>
      <c r="S125" s="830" t="s">
        <v>82</v>
      </c>
      <c r="T125" s="831"/>
      <c r="U125" s="830" t="s">
        <v>82</v>
      </c>
      <c r="V125" s="831"/>
      <c r="W125" s="830" t="s">
        <v>82</v>
      </c>
      <c r="X125" s="831"/>
      <c r="Y125" s="830" t="s">
        <v>82</v>
      </c>
      <c r="Z125" s="831"/>
      <c r="AA125" s="830" t="s">
        <v>82</v>
      </c>
      <c r="AB125" s="831"/>
      <c r="AC125" s="1"/>
      <c r="AD125" s="1"/>
      <c r="AE125" s="1"/>
      <c r="AF125" s="1"/>
      <c r="AG125" s="1"/>
      <c r="AH125" s="1"/>
      <c r="AI125" s="1"/>
      <c r="AJ125" s="1"/>
      <c r="AK125" s="1"/>
      <c r="AL125" s="1"/>
      <c r="AM125" s="1"/>
      <c r="AN125" s="1"/>
      <c r="AO125" s="1"/>
      <c r="AP125" s="1"/>
      <c r="AQ125" s="1"/>
      <c r="AR125" s="1"/>
    </row>
    <row r="126" spans="1:44" ht="14.4">
      <c r="A126" s="819"/>
      <c r="B126" s="821"/>
      <c r="C126" s="830" t="s">
        <v>97</v>
      </c>
      <c r="D126" s="831"/>
      <c r="E126" s="832" t="s">
        <v>132</v>
      </c>
      <c r="F126" s="831"/>
      <c r="G126" s="830" t="s">
        <v>82</v>
      </c>
      <c r="H126" s="831"/>
      <c r="I126" s="830" t="s">
        <v>82</v>
      </c>
      <c r="J126" s="831"/>
      <c r="K126" s="830" t="s">
        <v>82</v>
      </c>
      <c r="L126" s="831"/>
      <c r="M126" s="830" t="s">
        <v>82</v>
      </c>
      <c r="N126" s="831"/>
      <c r="O126" s="830" t="s">
        <v>82</v>
      </c>
      <c r="P126" s="831"/>
      <c r="Q126" s="830" t="s">
        <v>82</v>
      </c>
      <c r="R126" s="831"/>
      <c r="S126" s="830" t="s">
        <v>82</v>
      </c>
      <c r="T126" s="831"/>
      <c r="U126" s="830" t="s">
        <v>82</v>
      </c>
      <c r="V126" s="831"/>
      <c r="W126" s="830" t="s">
        <v>82</v>
      </c>
      <c r="X126" s="831"/>
      <c r="Y126" s="830" t="s">
        <v>82</v>
      </c>
      <c r="Z126" s="831"/>
      <c r="AA126" s="830" t="s">
        <v>82</v>
      </c>
      <c r="AB126" s="831"/>
      <c r="AC126" s="1"/>
      <c r="AD126" s="1"/>
      <c r="AE126" s="1"/>
      <c r="AF126" s="1"/>
      <c r="AG126" s="1"/>
      <c r="AH126" s="1"/>
      <c r="AI126" s="1"/>
      <c r="AJ126" s="1"/>
      <c r="AK126" s="1"/>
      <c r="AL126" s="1"/>
      <c r="AM126" s="1"/>
      <c r="AN126" s="1"/>
      <c r="AO126" s="1"/>
      <c r="AP126" s="1"/>
      <c r="AQ126" s="1"/>
      <c r="AR126" s="1"/>
    </row>
    <row r="127" spans="1:44" ht="14.4">
      <c r="A127" s="819"/>
      <c r="B127" s="821"/>
      <c r="C127" s="830" t="s">
        <v>99</v>
      </c>
      <c r="D127" s="831"/>
      <c r="E127" s="832" t="s">
        <v>133</v>
      </c>
      <c r="F127" s="831"/>
      <c r="G127" s="830" t="s">
        <v>82</v>
      </c>
      <c r="H127" s="831"/>
      <c r="I127" s="830" t="s">
        <v>82</v>
      </c>
      <c r="J127" s="831"/>
      <c r="K127" s="830" t="s">
        <v>82</v>
      </c>
      <c r="L127" s="831"/>
      <c r="M127" s="830" t="s">
        <v>82</v>
      </c>
      <c r="N127" s="831"/>
      <c r="O127" s="830" t="s">
        <v>82</v>
      </c>
      <c r="P127" s="831"/>
      <c r="Q127" s="830" t="s">
        <v>82</v>
      </c>
      <c r="R127" s="831"/>
      <c r="S127" s="830" t="s">
        <v>82</v>
      </c>
      <c r="T127" s="831"/>
      <c r="U127" s="830" t="s">
        <v>82</v>
      </c>
      <c r="V127" s="831"/>
      <c r="W127" s="830" t="s">
        <v>82</v>
      </c>
      <c r="X127" s="831"/>
      <c r="Y127" s="830" t="s">
        <v>82</v>
      </c>
      <c r="Z127" s="831"/>
      <c r="AA127" s="830" t="s">
        <v>82</v>
      </c>
      <c r="AB127" s="831"/>
      <c r="AC127" s="1"/>
      <c r="AD127" s="1"/>
      <c r="AE127" s="1"/>
      <c r="AF127" s="1"/>
      <c r="AG127" s="1"/>
      <c r="AH127" s="1"/>
      <c r="AI127" s="1"/>
      <c r="AJ127" s="1"/>
      <c r="AK127" s="1"/>
      <c r="AL127" s="1"/>
      <c r="AM127" s="1"/>
      <c r="AN127" s="1"/>
      <c r="AO127" s="1"/>
      <c r="AP127" s="1"/>
      <c r="AQ127" s="1"/>
      <c r="AR127" s="1"/>
    </row>
    <row r="128" spans="1:44" ht="14.4">
      <c r="A128" s="819"/>
      <c r="B128" s="821"/>
      <c r="C128" s="830">
        <v>0</v>
      </c>
      <c r="D128" s="831"/>
      <c r="E128" s="830" t="s">
        <v>82</v>
      </c>
      <c r="F128" s="831"/>
      <c r="G128" s="830" t="s">
        <v>82</v>
      </c>
      <c r="H128" s="831"/>
      <c r="I128" s="830" t="s">
        <v>82</v>
      </c>
      <c r="J128" s="831"/>
      <c r="K128" s="830" t="s">
        <v>82</v>
      </c>
      <c r="L128" s="831"/>
      <c r="M128" s="830" t="s">
        <v>82</v>
      </c>
      <c r="N128" s="831"/>
      <c r="O128" s="830" t="s">
        <v>82</v>
      </c>
      <c r="P128" s="831"/>
      <c r="Q128" s="830" t="s">
        <v>82</v>
      </c>
      <c r="R128" s="831"/>
      <c r="S128" s="830" t="s">
        <v>82</v>
      </c>
      <c r="T128" s="831"/>
      <c r="U128" s="830" t="s">
        <v>82</v>
      </c>
      <c r="V128" s="831"/>
      <c r="W128" s="830" t="s">
        <v>82</v>
      </c>
      <c r="X128" s="831"/>
      <c r="Y128" s="830" t="s">
        <v>82</v>
      </c>
      <c r="Z128" s="831"/>
      <c r="AA128" s="830" t="s">
        <v>82</v>
      </c>
      <c r="AB128" s="831"/>
      <c r="AC128" s="1"/>
      <c r="AD128" s="1"/>
      <c r="AE128" s="1"/>
      <c r="AF128" s="1"/>
      <c r="AG128" s="1"/>
      <c r="AH128" s="1"/>
      <c r="AI128" s="1"/>
      <c r="AJ128" s="1"/>
      <c r="AK128" s="1"/>
      <c r="AL128" s="1"/>
      <c r="AM128" s="1"/>
      <c r="AN128" s="1"/>
      <c r="AO128" s="1"/>
      <c r="AP128" s="1"/>
      <c r="AQ128" s="1"/>
      <c r="AR128" s="1"/>
    </row>
    <row r="129" spans="1:44" ht="14.4">
      <c r="A129" s="819"/>
      <c r="B129" s="821"/>
      <c r="C129" s="830">
        <v>0</v>
      </c>
      <c r="D129" s="831"/>
      <c r="E129" s="830" t="s">
        <v>82</v>
      </c>
      <c r="F129" s="831"/>
      <c r="G129" s="830" t="s">
        <v>82</v>
      </c>
      <c r="H129" s="831"/>
      <c r="I129" s="830" t="s">
        <v>82</v>
      </c>
      <c r="J129" s="831"/>
      <c r="K129" s="830" t="s">
        <v>82</v>
      </c>
      <c r="L129" s="831"/>
      <c r="M129" s="830" t="s">
        <v>82</v>
      </c>
      <c r="N129" s="831"/>
      <c r="O129" s="830" t="s">
        <v>82</v>
      </c>
      <c r="P129" s="831"/>
      <c r="Q129" s="830" t="s">
        <v>82</v>
      </c>
      <c r="R129" s="831"/>
      <c r="S129" s="830" t="s">
        <v>82</v>
      </c>
      <c r="T129" s="831"/>
      <c r="U129" s="830" t="s">
        <v>82</v>
      </c>
      <c r="V129" s="831"/>
      <c r="W129" s="830" t="s">
        <v>82</v>
      </c>
      <c r="X129" s="831"/>
      <c r="Y129" s="830" t="s">
        <v>82</v>
      </c>
      <c r="Z129" s="831"/>
      <c r="AA129" s="830" t="s">
        <v>82</v>
      </c>
      <c r="AB129" s="831"/>
      <c r="AC129" s="1"/>
      <c r="AD129" s="1"/>
      <c r="AE129" s="1"/>
      <c r="AF129" s="1"/>
      <c r="AG129" s="1"/>
      <c r="AH129" s="1"/>
      <c r="AI129" s="1"/>
      <c r="AJ129" s="1"/>
      <c r="AK129" s="1"/>
      <c r="AL129" s="1"/>
      <c r="AM129" s="1"/>
      <c r="AN129" s="1"/>
      <c r="AO129" s="1"/>
      <c r="AP129" s="1"/>
      <c r="AQ129" s="1"/>
      <c r="AR129" s="1"/>
    </row>
    <row r="130" spans="1:44" ht="14.4">
      <c r="A130" s="864"/>
      <c r="B130" s="865"/>
      <c r="C130" s="833">
        <v>0</v>
      </c>
      <c r="D130" s="834"/>
      <c r="E130" s="891" t="s">
        <v>82</v>
      </c>
      <c r="F130" s="870"/>
      <c r="G130" s="891" t="s">
        <v>82</v>
      </c>
      <c r="H130" s="870"/>
      <c r="I130" s="891" t="s">
        <v>82</v>
      </c>
      <c r="J130" s="870"/>
      <c r="K130" s="891" t="s">
        <v>82</v>
      </c>
      <c r="L130" s="870"/>
      <c r="M130" s="891" t="s">
        <v>82</v>
      </c>
      <c r="N130" s="870"/>
      <c r="O130" s="891" t="s">
        <v>82</v>
      </c>
      <c r="P130" s="870"/>
      <c r="Q130" s="891" t="s">
        <v>82</v>
      </c>
      <c r="R130" s="870"/>
      <c r="S130" s="891" t="s">
        <v>82</v>
      </c>
      <c r="T130" s="870"/>
      <c r="U130" s="891" t="s">
        <v>82</v>
      </c>
      <c r="V130" s="870"/>
      <c r="W130" s="891" t="s">
        <v>82</v>
      </c>
      <c r="X130" s="870"/>
      <c r="Y130" s="891" t="s">
        <v>82</v>
      </c>
      <c r="Z130" s="870"/>
      <c r="AA130" s="891" t="s">
        <v>82</v>
      </c>
      <c r="AB130" s="892"/>
      <c r="AC130" s="175"/>
      <c r="AD130" s="1"/>
      <c r="AE130" s="1"/>
      <c r="AF130" s="1"/>
      <c r="AG130" s="1"/>
      <c r="AH130" s="1"/>
      <c r="AI130" s="1"/>
      <c r="AJ130" s="1"/>
      <c r="AK130" s="1"/>
      <c r="AL130" s="1"/>
      <c r="AM130" s="1"/>
      <c r="AN130" s="1"/>
      <c r="AO130" s="1"/>
      <c r="AP130" s="1"/>
      <c r="AQ130" s="1"/>
      <c r="AR130" s="1"/>
    </row>
    <row r="131" spans="1:44" ht="14.4">
      <c r="A131" s="867" t="s">
        <v>101</v>
      </c>
      <c r="B131" s="818"/>
      <c r="C131" s="884" t="s">
        <v>134</v>
      </c>
      <c r="D131" s="885"/>
      <c r="E131" s="880" t="s">
        <v>135</v>
      </c>
      <c r="F131" s="828"/>
      <c r="G131" s="827" t="s">
        <v>82</v>
      </c>
      <c r="H131" s="828"/>
      <c r="I131" s="827" t="s">
        <v>82</v>
      </c>
      <c r="J131" s="828"/>
      <c r="K131" s="827" t="s">
        <v>82</v>
      </c>
      <c r="L131" s="828"/>
      <c r="M131" s="827" t="s">
        <v>82</v>
      </c>
      <c r="N131" s="828"/>
      <c r="O131" s="827" t="s">
        <v>82</v>
      </c>
      <c r="P131" s="828"/>
      <c r="Q131" s="880" t="s">
        <v>136</v>
      </c>
      <c r="R131" s="828"/>
      <c r="S131" s="827" t="s">
        <v>82</v>
      </c>
      <c r="T131" s="828"/>
      <c r="U131" s="827" t="s">
        <v>82</v>
      </c>
      <c r="V131" s="828"/>
      <c r="W131" s="827" t="s">
        <v>82</v>
      </c>
      <c r="X131" s="828"/>
      <c r="Y131" s="827" t="s">
        <v>82</v>
      </c>
      <c r="Z131" s="828"/>
      <c r="AA131" s="827" t="s">
        <v>82</v>
      </c>
      <c r="AB131" s="893"/>
      <c r="AC131" s="175"/>
      <c r="AD131" s="1"/>
      <c r="AE131" s="1"/>
      <c r="AF131" s="1"/>
      <c r="AG131" s="1"/>
      <c r="AH131" s="1"/>
      <c r="AI131" s="1"/>
      <c r="AJ131" s="1"/>
      <c r="AK131" s="1"/>
      <c r="AL131" s="1"/>
      <c r="AM131" s="1"/>
      <c r="AN131" s="1"/>
      <c r="AO131" s="1"/>
      <c r="AP131" s="1"/>
      <c r="AQ131" s="1"/>
      <c r="AR131" s="1"/>
    </row>
    <row r="132" spans="1:44" ht="14.4">
      <c r="A132" s="819"/>
      <c r="B132" s="821"/>
      <c r="C132" s="830" t="s">
        <v>137</v>
      </c>
      <c r="D132" s="831"/>
      <c r="E132" s="832" t="s">
        <v>138</v>
      </c>
      <c r="F132" s="831"/>
      <c r="G132" s="830" t="s">
        <v>82</v>
      </c>
      <c r="H132" s="831"/>
      <c r="I132" s="830" t="s">
        <v>82</v>
      </c>
      <c r="J132" s="831"/>
      <c r="K132" s="830" t="s">
        <v>82</v>
      </c>
      <c r="L132" s="831"/>
      <c r="M132" s="830" t="s">
        <v>82</v>
      </c>
      <c r="N132" s="831"/>
      <c r="O132" s="830" t="s">
        <v>82</v>
      </c>
      <c r="P132" s="831"/>
      <c r="Q132" s="832" t="s">
        <v>139</v>
      </c>
      <c r="R132" s="831"/>
      <c r="S132" s="830" t="s">
        <v>82</v>
      </c>
      <c r="T132" s="831"/>
      <c r="U132" s="830" t="s">
        <v>82</v>
      </c>
      <c r="V132" s="831"/>
      <c r="W132" s="830" t="s">
        <v>82</v>
      </c>
      <c r="X132" s="831"/>
      <c r="Y132" s="830" t="s">
        <v>82</v>
      </c>
      <c r="Z132" s="831"/>
      <c r="AA132" s="830" t="s">
        <v>82</v>
      </c>
      <c r="AB132" s="809"/>
      <c r="AC132" s="175"/>
      <c r="AD132" s="1"/>
      <c r="AE132" s="1"/>
      <c r="AF132" s="1"/>
      <c r="AG132" s="1"/>
      <c r="AH132" s="1"/>
      <c r="AI132" s="1"/>
      <c r="AJ132" s="1"/>
      <c r="AK132" s="1"/>
      <c r="AL132" s="1"/>
      <c r="AM132" s="1"/>
      <c r="AN132" s="1"/>
      <c r="AO132" s="1"/>
      <c r="AP132" s="1"/>
      <c r="AQ132" s="1"/>
      <c r="AR132" s="1"/>
    </row>
    <row r="133" spans="1:44" ht="14.4">
      <c r="A133" s="819"/>
      <c r="B133" s="821"/>
      <c r="C133" s="830" t="s">
        <v>140</v>
      </c>
      <c r="D133" s="831"/>
      <c r="E133" s="832" t="s">
        <v>113</v>
      </c>
      <c r="F133" s="831"/>
      <c r="G133" s="830" t="s">
        <v>82</v>
      </c>
      <c r="H133" s="831"/>
      <c r="I133" s="830" t="s">
        <v>82</v>
      </c>
      <c r="J133" s="831"/>
      <c r="K133" s="830" t="s">
        <v>82</v>
      </c>
      <c r="L133" s="831"/>
      <c r="M133" s="830" t="s">
        <v>82</v>
      </c>
      <c r="N133" s="831"/>
      <c r="O133" s="830" t="s">
        <v>82</v>
      </c>
      <c r="P133" s="831"/>
      <c r="Q133" s="832" t="s">
        <v>141</v>
      </c>
      <c r="R133" s="831"/>
      <c r="S133" s="830" t="s">
        <v>82</v>
      </c>
      <c r="T133" s="831"/>
      <c r="U133" s="830" t="s">
        <v>82</v>
      </c>
      <c r="V133" s="831"/>
      <c r="W133" s="830" t="s">
        <v>82</v>
      </c>
      <c r="X133" s="831"/>
      <c r="Y133" s="830" t="s">
        <v>82</v>
      </c>
      <c r="Z133" s="831"/>
      <c r="AA133" s="830" t="s">
        <v>82</v>
      </c>
      <c r="AB133" s="809"/>
      <c r="AC133" s="175"/>
      <c r="AD133" s="1"/>
      <c r="AE133" s="1"/>
      <c r="AF133" s="1"/>
      <c r="AG133" s="1"/>
      <c r="AH133" s="1"/>
      <c r="AI133" s="1"/>
      <c r="AJ133" s="1"/>
      <c r="AK133" s="1"/>
      <c r="AL133" s="1"/>
      <c r="AM133" s="1"/>
      <c r="AN133" s="1"/>
      <c r="AO133" s="1"/>
      <c r="AP133" s="1"/>
      <c r="AQ133" s="1"/>
      <c r="AR133" s="1"/>
    </row>
    <row r="134" spans="1:44" ht="14.4">
      <c r="A134" s="819"/>
      <c r="B134" s="821"/>
      <c r="C134" s="830" t="s">
        <v>142</v>
      </c>
      <c r="D134" s="831"/>
      <c r="E134" s="832" t="s">
        <v>117</v>
      </c>
      <c r="F134" s="831"/>
      <c r="G134" s="830" t="s">
        <v>82</v>
      </c>
      <c r="H134" s="831"/>
      <c r="I134" s="830" t="s">
        <v>82</v>
      </c>
      <c r="J134" s="831"/>
      <c r="K134" s="830" t="s">
        <v>82</v>
      </c>
      <c r="L134" s="831"/>
      <c r="M134" s="830" t="s">
        <v>82</v>
      </c>
      <c r="N134" s="831"/>
      <c r="O134" s="830" t="s">
        <v>82</v>
      </c>
      <c r="P134" s="831"/>
      <c r="Q134" s="832" t="s">
        <v>143</v>
      </c>
      <c r="R134" s="831"/>
      <c r="S134" s="830" t="s">
        <v>82</v>
      </c>
      <c r="T134" s="831"/>
      <c r="U134" s="830" t="s">
        <v>82</v>
      </c>
      <c r="V134" s="831"/>
      <c r="W134" s="830" t="s">
        <v>82</v>
      </c>
      <c r="X134" s="831"/>
      <c r="Y134" s="830" t="s">
        <v>82</v>
      </c>
      <c r="Z134" s="831"/>
      <c r="AA134" s="830" t="s">
        <v>82</v>
      </c>
      <c r="AB134" s="809"/>
      <c r="AC134" s="175"/>
      <c r="AD134" s="1"/>
      <c r="AE134" s="1"/>
      <c r="AF134" s="1"/>
      <c r="AG134" s="1"/>
      <c r="AH134" s="1"/>
      <c r="AI134" s="1"/>
      <c r="AJ134" s="1"/>
      <c r="AK134" s="1"/>
      <c r="AL134" s="1"/>
      <c r="AM134" s="1"/>
      <c r="AN134" s="1"/>
      <c r="AO134" s="1"/>
      <c r="AP134" s="1"/>
      <c r="AQ134" s="1"/>
      <c r="AR134" s="1"/>
    </row>
    <row r="135" spans="1:44" ht="14.4">
      <c r="A135" s="819"/>
      <c r="B135" s="821"/>
      <c r="C135" s="830" t="s">
        <v>144</v>
      </c>
      <c r="D135" s="831"/>
      <c r="E135" s="832" t="s">
        <v>121</v>
      </c>
      <c r="F135" s="831"/>
      <c r="G135" s="897" t="s">
        <v>82</v>
      </c>
      <c r="H135" s="898"/>
      <c r="I135" s="897" t="s">
        <v>82</v>
      </c>
      <c r="J135" s="898"/>
      <c r="K135" s="897" t="s">
        <v>82</v>
      </c>
      <c r="L135" s="898"/>
      <c r="M135" s="897" t="s">
        <v>82</v>
      </c>
      <c r="N135" s="898"/>
      <c r="O135" s="897" t="s">
        <v>82</v>
      </c>
      <c r="P135" s="898"/>
      <c r="Q135" s="832" t="s">
        <v>145</v>
      </c>
      <c r="R135" s="831"/>
      <c r="S135" s="897" t="s">
        <v>82</v>
      </c>
      <c r="T135" s="898"/>
      <c r="U135" s="897" t="s">
        <v>82</v>
      </c>
      <c r="V135" s="898"/>
      <c r="W135" s="897" t="s">
        <v>82</v>
      </c>
      <c r="X135" s="898"/>
      <c r="Y135" s="897" t="s">
        <v>82</v>
      </c>
      <c r="Z135" s="898"/>
      <c r="AA135" s="897" t="s">
        <v>82</v>
      </c>
      <c r="AB135" s="806"/>
      <c r="AC135" s="175"/>
      <c r="AD135" s="1"/>
      <c r="AE135" s="1"/>
      <c r="AF135" s="1"/>
      <c r="AG135" s="1"/>
      <c r="AH135" s="1"/>
      <c r="AI135" s="1"/>
      <c r="AJ135" s="1"/>
      <c r="AK135" s="1"/>
      <c r="AL135" s="1"/>
      <c r="AM135" s="1"/>
      <c r="AN135" s="1"/>
      <c r="AO135" s="1"/>
      <c r="AP135" s="1"/>
      <c r="AQ135" s="1"/>
      <c r="AR135" s="1"/>
    </row>
    <row r="136" spans="1:44" ht="14.4">
      <c r="A136" s="864"/>
      <c r="B136" s="865"/>
      <c r="C136" s="833">
        <v>0</v>
      </c>
      <c r="D136" s="834"/>
      <c r="E136" s="881" t="s">
        <v>146</v>
      </c>
      <c r="F136" s="834"/>
      <c r="G136" s="833" t="s">
        <v>82</v>
      </c>
      <c r="H136" s="834"/>
      <c r="I136" s="833" t="s">
        <v>82</v>
      </c>
      <c r="J136" s="834"/>
      <c r="K136" s="833" t="s">
        <v>82</v>
      </c>
      <c r="L136" s="834"/>
      <c r="M136" s="833" t="s">
        <v>82</v>
      </c>
      <c r="N136" s="834"/>
      <c r="O136" s="833" t="s">
        <v>82</v>
      </c>
      <c r="P136" s="834"/>
      <c r="Q136" s="881" t="s">
        <v>147</v>
      </c>
      <c r="R136" s="834"/>
      <c r="S136" s="833" t="s">
        <v>82</v>
      </c>
      <c r="T136" s="834"/>
      <c r="U136" s="833" t="s">
        <v>82</v>
      </c>
      <c r="V136" s="834"/>
      <c r="W136" s="833" t="s">
        <v>82</v>
      </c>
      <c r="X136" s="834"/>
      <c r="Y136" s="833" t="s">
        <v>82</v>
      </c>
      <c r="Z136" s="834"/>
      <c r="AA136" s="833" t="s">
        <v>82</v>
      </c>
      <c r="AB136" s="894"/>
      <c r="AC136" s="175"/>
      <c r="AD136" s="1"/>
      <c r="AE136" s="1"/>
      <c r="AF136" s="1"/>
      <c r="AG136" s="1"/>
      <c r="AH136" s="1"/>
      <c r="AI136" s="1"/>
      <c r="AJ136" s="1"/>
      <c r="AK136" s="1"/>
      <c r="AL136" s="1"/>
      <c r="AM136" s="1"/>
      <c r="AN136" s="1"/>
      <c r="AO136" s="1"/>
      <c r="AP136" s="1"/>
      <c r="AQ136" s="1"/>
      <c r="AR136" s="1"/>
    </row>
    <row r="137" spans="1:44" ht="25.8">
      <c r="A137" s="210"/>
      <c r="B137" s="210"/>
      <c r="C137" s="177"/>
      <c r="D137" s="177"/>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c r="AA137" s="178"/>
      <c r="AB137" s="178"/>
      <c r="AC137" s="1"/>
      <c r="AD137" s="1"/>
      <c r="AE137" s="1"/>
      <c r="AF137" s="1"/>
      <c r="AG137" s="1"/>
      <c r="AH137" s="1"/>
      <c r="AI137" s="1"/>
      <c r="AJ137" s="1"/>
      <c r="AK137" s="1"/>
      <c r="AL137" s="1"/>
      <c r="AM137" s="1"/>
      <c r="AN137" s="1"/>
      <c r="AO137" s="1"/>
      <c r="AP137" s="1"/>
      <c r="AQ137" s="1"/>
      <c r="AR137" s="1"/>
    </row>
    <row r="138" spans="1:44" ht="25.8">
      <c r="A138" s="179"/>
      <c r="B138" s="179"/>
      <c r="C138" s="181"/>
      <c r="D138" s="181"/>
      <c r="E138" s="182"/>
      <c r="F138" s="182"/>
      <c r="G138" s="182"/>
      <c r="H138" s="182"/>
      <c r="I138" s="182"/>
      <c r="J138" s="182"/>
      <c r="K138" s="182"/>
      <c r="L138" s="182"/>
      <c r="M138" s="182"/>
      <c r="N138" s="182"/>
      <c r="O138" s="182"/>
      <c r="P138" s="182"/>
      <c r="Q138" s="182"/>
      <c r="R138" s="182"/>
      <c r="S138" s="182"/>
      <c r="T138" s="182"/>
      <c r="U138" s="182"/>
      <c r="V138" s="182"/>
      <c r="W138" s="182"/>
      <c r="X138" s="182"/>
      <c r="Y138" s="182"/>
      <c r="Z138" s="182"/>
      <c r="AA138" s="182"/>
      <c r="AB138" s="182"/>
      <c r="AC138" s="180"/>
      <c r="AD138" s="180"/>
      <c r="AE138" s="180"/>
      <c r="AF138" s="180"/>
      <c r="AG138" s="180"/>
      <c r="AH138" s="180"/>
      <c r="AI138" s="180"/>
      <c r="AJ138" s="180"/>
      <c r="AK138" s="180"/>
      <c r="AL138" s="180"/>
      <c r="AM138" s="180"/>
      <c r="AN138" s="180"/>
      <c r="AO138" s="180"/>
      <c r="AP138" s="180"/>
      <c r="AQ138" s="180"/>
      <c r="AR138" s="1"/>
    </row>
    <row r="139" spans="1:44" ht="25.8">
      <c r="A139" s="210"/>
      <c r="B139" s="210"/>
      <c r="C139" s="172"/>
      <c r="D139" s="172"/>
      <c r="E139" s="211"/>
      <c r="F139" s="211"/>
      <c r="G139" s="211"/>
      <c r="H139" s="211"/>
      <c r="I139" s="211"/>
      <c r="J139" s="211"/>
      <c r="K139" s="211"/>
      <c r="L139" s="211"/>
      <c r="M139" s="211"/>
      <c r="N139" s="211"/>
      <c r="O139" s="211"/>
      <c r="P139" s="211"/>
      <c r="Q139" s="211"/>
      <c r="R139" s="211"/>
      <c r="S139" s="211"/>
      <c r="T139" s="211"/>
      <c r="U139" s="211"/>
      <c r="V139" s="211"/>
      <c r="W139" s="211"/>
      <c r="X139" s="211"/>
      <c r="Y139" s="211"/>
      <c r="Z139" s="211"/>
      <c r="AA139" s="211"/>
      <c r="AB139" s="211"/>
      <c r="AC139" s="1"/>
      <c r="AD139" s="1"/>
      <c r="AE139" s="1"/>
      <c r="AF139" s="1"/>
      <c r="AG139" s="1"/>
      <c r="AH139" s="1"/>
      <c r="AI139" s="1"/>
      <c r="AJ139" s="1"/>
      <c r="AK139" s="1"/>
      <c r="AL139" s="1"/>
      <c r="AM139" s="1"/>
      <c r="AN139" s="1"/>
      <c r="AO139" s="1"/>
      <c r="AP139" s="1"/>
      <c r="AQ139" s="1"/>
      <c r="AR139" s="1"/>
    </row>
    <row r="140" spans="1:44" ht="25.8">
      <c r="A140" s="798" t="s">
        <v>148</v>
      </c>
      <c r="B140" s="799"/>
      <c r="C140" s="799"/>
      <c r="D140" s="799"/>
      <c r="E140" s="799"/>
      <c r="F140" s="799"/>
      <c r="G140" s="799"/>
      <c r="H140" s="799"/>
      <c r="I140" s="799"/>
      <c r="J140" s="799"/>
      <c r="K140" s="799"/>
      <c r="L140" s="799"/>
      <c r="M140" s="799"/>
      <c r="N140" s="799"/>
      <c r="O140" s="799"/>
      <c r="P140" s="799"/>
      <c r="Q140" s="799"/>
      <c r="R140" s="799"/>
      <c r="S140" s="799"/>
      <c r="T140" s="799"/>
      <c r="U140" s="799"/>
      <c r="V140" s="799"/>
      <c r="W140" s="799"/>
      <c r="X140" s="799"/>
      <c r="Y140" s="799"/>
      <c r="Z140" s="799"/>
      <c r="AA140" s="799"/>
      <c r="AB140" s="800"/>
      <c r="AC140" s="1"/>
      <c r="AD140" s="1"/>
      <c r="AE140" s="1"/>
      <c r="AF140" s="1"/>
      <c r="AG140" s="1"/>
      <c r="AH140" s="1"/>
      <c r="AI140" s="1"/>
      <c r="AJ140" s="1"/>
      <c r="AK140" s="1"/>
      <c r="AL140" s="1"/>
      <c r="AM140" s="1"/>
      <c r="AN140" s="1"/>
      <c r="AO140" s="1"/>
      <c r="AP140" s="1"/>
      <c r="AQ140" s="1"/>
      <c r="AR140" s="1"/>
    </row>
    <row r="141" spans="1:44" ht="14.4">
      <c r="A141" s="906" t="s">
        <v>56</v>
      </c>
      <c r="B141" s="907" t="s">
        <v>42</v>
      </c>
      <c r="C141" s="908" t="s">
        <v>57</v>
      </c>
      <c r="D141" s="898"/>
      <c r="E141" s="905" t="s">
        <v>58</v>
      </c>
      <c r="F141" s="898"/>
      <c r="G141" s="837" t="s">
        <v>59</v>
      </c>
      <c r="H141" s="828"/>
      <c r="I141" s="837" t="s">
        <v>60</v>
      </c>
      <c r="J141" s="828"/>
      <c r="K141" s="837" t="s">
        <v>61</v>
      </c>
      <c r="L141" s="828"/>
      <c r="M141" s="837" t="s">
        <v>62</v>
      </c>
      <c r="N141" s="828"/>
      <c r="O141" s="837" t="s">
        <v>63</v>
      </c>
      <c r="P141" s="828"/>
      <c r="Q141" s="837" t="s">
        <v>64</v>
      </c>
      <c r="R141" s="828"/>
      <c r="S141" s="837" t="s">
        <v>65</v>
      </c>
      <c r="T141" s="828"/>
      <c r="U141" s="837" t="s">
        <v>66</v>
      </c>
      <c r="V141" s="828"/>
      <c r="W141" s="837" t="s">
        <v>67</v>
      </c>
      <c r="X141" s="828"/>
      <c r="Y141" s="837" t="s">
        <v>68</v>
      </c>
      <c r="Z141" s="828"/>
      <c r="AA141" s="837" t="s">
        <v>69</v>
      </c>
      <c r="AB141" s="828"/>
      <c r="AC141" s="1"/>
      <c r="AD141" s="1"/>
      <c r="AE141" s="1"/>
      <c r="AF141" s="1"/>
      <c r="AG141" s="1"/>
      <c r="AH141" s="1"/>
      <c r="AI141" s="1"/>
      <c r="AJ141" s="1"/>
      <c r="AK141" s="1"/>
      <c r="AL141" s="1"/>
      <c r="AM141" s="1"/>
      <c r="AN141" s="1"/>
      <c r="AO141" s="1"/>
      <c r="AP141" s="1"/>
      <c r="AQ141" s="1"/>
      <c r="AR141" s="1"/>
    </row>
    <row r="142" spans="1:44" ht="14.4">
      <c r="A142" s="887"/>
      <c r="B142" s="855"/>
      <c r="C142" s="838" t="s">
        <v>70</v>
      </c>
      <c r="D142" s="840" t="s">
        <v>71</v>
      </c>
      <c r="E142" s="852">
        <v>8.3299999999999999E-2</v>
      </c>
      <c r="F142" s="831"/>
      <c r="G142" s="852">
        <v>8.3299999999999999E-2</v>
      </c>
      <c r="H142" s="831"/>
      <c r="I142" s="852">
        <v>8.3299999999999999E-2</v>
      </c>
      <c r="J142" s="831"/>
      <c r="K142" s="852">
        <v>8.3299999999999999E-2</v>
      </c>
      <c r="L142" s="831"/>
      <c r="M142" s="852">
        <v>8.3299999999999999E-2</v>
      </c>
      <c r="N142" s="831"/>
      <c r="O142" s="852">
        <v>8.3299999999999999E-2</v>
      </c>
      <c r="P142" s="831"/>
      <c r="Q142" s="852">
        <v>8.3299999999999999E-2</v>
      </c>
      <c r="R142" s="831"/>
      <c r="S142" s="852">
        <v>8.3299999999999999E-2</v>
      </c>
      <c r="T142" s="831"/>
      <c r="U142" s="852">
        <v>8.3299999999999999E-2</v>
      </c>
      <c r="V142" s="831"/>
      <c r="W142" s="852">
        <v>8.3299999999999999E-2</v>
      </c>
      <c r="X142" s="831"/>
      <c r="Y142" s="852">
        <v>8.3299999999999999E-2</v>
      </c>
      <c r="Z142" s="831"/>
      <c r="AA142" s="852">
        <v>8.3299999999999999E-2</v>
      </c>
      <c r="AB142" s="831"/>
      <c r="AC142" s="1"/>
      <c r="AD142" s="1"/>
      <c r="AE142" s="1"/>
      <c r="AF142" s="1"/>
      <c r="AG142" s="1"/>
      <c r="AH142" s="1"/>
      <c r="AI142" s="1"/>
      <c r="AJ142" s="1"/>
      <c r="AK142" s="1"/>
      <c r="AL142" s="1"/>
      <c r="AM142" s="1"/>
      <c r="AN142" s="1"/>
      <c r="AO142" s="1"/>
      <c r="AP142" s="1"/>
      <c r="AQ142" s="1"/>
      <c r="AR142" s="1"/>
    </row>
    <row r="143" spans="1:44" ht="14.4">
      <c r="A143" s="888"/>
      <c r="B143" s="889"/>
      <c r="C143" s="839"/>
      <c r="D143" s="890"/>
      <c r="E143" s="183" t="s">
        <v>26</v>
      </c>
      <c r="F143" s="184" t="s">
        <v>71</v>
      </c>
      <c r="G143" s="183" t="s">
        <v>26</v>
      </c>
      <c r="H143" s="184" t="s">
        <v>71</v>
      </c>
      <c r="I143" s="183" t="s">
        <v>26</v>
      </c>
      <c r="J143" s="184" t="s">
        <v>71</v>
      </c>
      <c r="K143" s="183" t="s">
        <v>26</v>
      </c>
      <c r="L143" s="184" t="s">
        <v>71</v>
      </c>
      <c r="M143" s="183" t="s">
        <v>26</v>
      </c>
      <c r="N143" s="184" t="s">
        <v>71</v>
      </c>
      <c r="O143" s="183" t="s">
        <v>26</v>
      </c>
      <c r="P143" s="184" t="s">
        <v>71</v>
      </c>
      <c r="Q143" s="183" t="s">
        <v>26</v>
      </c>
      <c r="R143" s="184" t="s">
        <v>71</v>
      </c>
      <c r="S143" s="83" t="s">
        <v>26</v>
      </c>
      <c r="T143" s="84" t="s">
        <v>71</v>
      </c>
      <c r="U143" s="83" t="s">
        <v>26</v>
      </c>
      <c r="V143" s="84" t="s">
        <v>71</v>
      </c>
      <c r="W143" s="83" t="s">
        <v>26</v>
      </c>
      <c r="X143" s="84" t="s">
        <v>71</v>
      </c>
      <c r="Y143" s="83" t="s">
        <v>26</v>
      </c>
      <c r="Z143" s="84" t="s">
        <v>71</v>
      </c>
      <c r="AA143" s="83" t="s">
        <v>26</v>
      </c>
      <c r="AB143" s="84" t="s">
        <v>71</v>
      </c>
      <c r="AC143" s="1"/>
      <c r="AD143" s="1"/>
      <c r="AE143" s="1"/>
      <c r="AF143" s="1"/>
      <c r="AG143" s="1"/>
      <c r="AH143" s="1"/>
      <c r="AI143" s="1"/>
      <c r="AJ143" s="1"/>
      <c r="AK143" s="1"/>
      <c r="AL143" s="1"/>
      <c r="AM143" s="1"/>
      <c r="AN143" s="1"/>
      <c r="AO143" s="1"/>
      <c r="AP143" s="1"/>
      <c r="AQ143" s="1"/>
      <c r="AR143" s="1"/>
    </row>
    <row r="144" spans="1:44" ht="15.6">
      <c r="A144" s="85" t="str">
        <f>Hipótesis!$B$58</f>
        <v>Instalación A</v>
      </c>
      <c r="B144" s="185">
        <f>Hipótesis!C58</f>
        <v>190000</v>
      </c>
      <c r="C144" s="87">
        <f t="shared" ref="C144:C149" si="92">E144+G144+I144+K144+M144+O144+Q144+S144+U144+W144+Y144+AA144</f>
        <v>75</v>
      </c>
      <c r="D144" s="186">
        <f t="shared" ref="D144:D156" si="93">B144*C144</f>
        <v>14250000</v>
      </c>
      <c r="E144" s="89">
        <v>0</v>
      </c>
      <c r="F144" s="90">
        <f t="shared" ref="F144:F150" si="94">E144*$B144</f>
        <v>0</v>
      </c>
      <c r="G144" s="89">
        <v>15</v>
      </c>
      <c r="H144" s="90">
        <f t="shared" ref="H144:H150" si="95">G144*$B144</f>
        <v>2850000</v>
      </c>
      <c r="I144" s="89">
        <v>15</v>
      </c>
      <c r="J144" s="90">
        <f t="shared" ref="J144:J150" si="96">I144*$B144</f>
        <v>2850000</v>
      </c>
      <c r="K144" s="89">
        <v>15</v>
      </c>
      <c r="L144" s="90">
        <f t="shared" ref="L144:L150" si="97">K144*$B144</f>
        <v>2850000</v>
      </c>
      <c r="M144" s="89">
        <v>15</v>
      </c>
      <c r="N144" s="90">
        <f t="shared" ref="N144:N150" si="98">M144*$B144</f>
        <v>2850000</v>
      </c>
      <c r="O144" s="89">
        <v>0</v>
      </c>
      <c r="P144" s="90">
        <f t="shared" ref="P144:P150" si="99">O144*$B144</f>
        <v>0</v>
      </c>
      <c r="Q144" s="89">
        <v>0</v>
      </c>
      <c r="R144" s="90">
        <f t="shared" ref="R144:R150" si="100">Q144*$B144</f>
        <v>0</v>
      </c>
      <c r="S144" s="89">
        <v>15</v>
      </c>
      <c r="T144" s="90">
        <f t="shared" ref="T144:T150" si="101">S144*$B144</f>
        <v>2850000</v>
      </c>
      <c r="U144" s="89">
        <v>0</v>
      </c>
      <c r="V144" s="90">
        <f t="shared" ref="V144:V150" si="102">U144*$B144</f>
        <v>0</v>
      </c>
      <c r="W144" s="89">
        <v>0</v>
      </c>
      <c r="X144" s="90">
        <f t="shared" ref="X144:X150" si="103">W144*$B144</f>
        <v>0</v>
      </c>
      <c r="Y144" s="89">
        <v>0</v>
      </c>
      <c r="Z144" s="90">
        <f t="shared" ref="Z144:Z150" si="104">Y144*$B144</f>
        <v>0</v>
      </c>
      <c r="AA144" s="89">
        <v>0</v>
      </c>
      <c r="AB144" s="90">
        <f t="shared" ref="AB144:AB150" si="105">AA144*$B144</f>
        <v>0</v>
      </c>
      <c r="AC144" s="1"/>
      <c r="AD144" s="1"/>
      <c r="AE144" s="1"/>
      <c r="AF144" s="1"/>
      <c r="AG144" s="1"/>
      <c r="AH144" s="1"/>
      <c r="AI144" s="1"/>
      <c r="AJ144" s="1"/>
      <c r="AK144" s="1"/>
      <c r="AL144" s="1"/>
      <c r="AM144" s="1"/>
      <c r="AN144" s="1"/>
      <c r="AO144" s="1"/>
      <c r="AP144" s="1"/>
      <c r="AQ144" s="1"/>
      <c r="AR144" s="1"/>
    </row>
    <row r="145" spans="1:44" ht="15.6">
      <c r="A145" s="85" t="str">
        <f>Hipótesis!$B$59</f>
        <v>Instalación B</v>
      </c>
      <c r="B145" s="187">
        <f>Hipótesis!C59</f>
        <v>240000</v>
      </c>
      <c r="C145" s="92">
        <f t="shared" si="92"/>
        <v>60</v>
      </c>
      <c r="D145" s="94">
        <f t="shared" si="93"/>
        <v>14400000</v>
      </c>
      <c r="E145" s="92">
        <v>0</v>
      </c>
      <c r="F145" s="94">
        <f t="shared" si="94"/>
        <v>0</v>
      </c>
      <c r="G145" s="92">
        <v>0</v>
      </c>
      <c r="H145" s="94">
        <f t="shared" si="95"/>
        <v>0</v>
      </c>
      <c r="I145" s="92">
        <v>0</v>
      </c>
      <c r="J145" s="94">
        <f t="shared" si="96"/>
        <v>0</v>
      </c>
      <c r="K145" s="92">
        <v>15</v>
      </c>
      <c r="L145" s="94">
        <f t="shared" si="97"/>
        <v>3600000</v>
      </c>
      <c r="M145" s="92">
        <v>0</v>
      </c>
      <c r="N145" s="94">
        <f t="shared" si="98"/>
        <v>0</v>
      </c>
      <c r="O145" s="92">
        <v>15</v>
      </c>
      <c r="P145" s="94">
        <f t="shared" si="99"/>
        <v>3600000</v>
      </c>
      <c r="Q145" s="92">
        <v>0</v>
      </c>
      <c r="R145" s="94">
        <f t="shared" si="100"/>
        <v>0</v>
      </c>
      <c r="S145" s="92">
        <v>0</v>
      </c>
      <c r="T145" s="94">
        <f t="shared" si="101"/>
        <v>0</v>
      </c>
      <c r="U145" s="92">
        <v>15</v>
      </c>
      <c r="V145" s="94">
        <f t="shared" si="102"/>
        <v>3600000</v>
      </c>
      <c r="W145" s="92">
        <v>15</v>
      </c>
      <c r="X145" s="94">
        <f t="shared" si="103"/>
        <v>3600000</v>
      </c>
      <c r="Y145" s="92">
        <v>0</v>
      </c>
      <c r="Z145" s="94">
        <f t="shared" si="104"/>
        <v>0</v>
      </c>
      <c r="AA145" s="92">
        <v>0</v>
      </c>
      <c r="AB145" s="94">
        <f t="shared" si="105"/>
        <v>0</v>
      </c>
      <c r="AC145" s="1"/>
      <c r="AD145" s="1"/>
      <c r="AE145" s="1"/>
      <c r="AF145" s="1"/>
      <c r="AG145" s="1"/>
      <c r="AH145" s="1"/>
      <c r="AI145" s="1"/>
      <c r="AJ145" s="1"/>
      <c r="AK145" s="1"/>
      <c r="AL145" s="1"/>
      <c r="AM145" s="1"/>
      <c r="AN145" s="1"/>
      <c r="AO145" s="1"/>
      <c r="AP145" s="1"/>
      <c r="AQ145" s="1"/>
      <c r="AR145" s="1"/>
    </row>
    <row r="146" spans="1:44" ht="15.6">
      <c r="A146" s="85" t="str">
        <f>Hipótesis!$B$60</f>
        <v>Instalación C</v>
      </c>
      <c r="B146" s="188">
        <f>Hipótesis!C60</f>
        <v>310000</v>
      </c>
      <c r="C146" s="96">
        <f t="shared" si="92"/>
        <v>75</v>
      </c>
      <c r="D146" s="189">
        <f t="shared" si="93"/>
        <v>23250000</v>
      </c>
      <c r="E146" s="97">
        <v>0</v>
      </c>
      <c r="F146" s="98">
        <f t="shared" si="94"/>
        <v>0</v>
      </c>
      <c r="G146" s="97">
        <v>15</v>
      </c>
      <c r="H146" s="98">
        <f t="shared" si="95"/>
        <v>4650000</v>
      </c>
      <c r="I146" s="97">
        <v>0</v>
      </c>
      <c r="J146" s="98">
        <f t="shared" si="96"/>
        <v>0</v>
      </c>
      <c r="K146" s="97">
        <v>0</v>
      </c>
      <c r="L146" s="98">
        <f t="shared" si="97"/>
        <v>0</v>
      </c>
      <c r="M146" s="97">
        <v>0</v>
      </c>
      <c r="N146" s="98">
        <f t="shared" si="98"/>
        <v>0</v>
      </c>
      <c r="O146" s="97">
        <v>0</v>
      </c>
      <c r="P146" s="98">
        <f t="shared" si="99"/>
        <v>0</v>
      </c>
      <c r="Q146" s="97">
        <v>0</v>
      </c>
      <c r="R146" s="98">
        <f t="shared" si="100"/>
        <v>0</v>
      </c>
      <c r="S146" s="97">
        <v>0</v>
      </c>
      <c r="T146" s="98">
        <f t="shared" si="101"/>
        <v>0</v>
      </c>
      <c r="U146" s="97">
        <v>30</v>
      </c>
      <c r="V146" s="98">
        <f t="shared" si="102"/>
        <v>9300000</v>
      </c>
      <c r="W146" s="97">
        <v>15</v>
      </c>
      <c r="X146" s="98">
        <f t="shared" si="103"/>
        <v>4650000</v>
      </c>
      <c r="Y146" s="97">
        <v>15</v>
      </c>
      <c r="Z146" s="98">
        <f t="shared" si="104"/>
        <v>4650000</v>
      </c>
      <c r="AA146" s="97">
        <v>0</v>
      </c>
      <c r="AB146" s="98">
        <f t="shared" si="105"/>
        <v>0</v>
      </c>
      <c r="AC146" s="1"/>
      <c r="AD146" s="1"/>
      <c r="AE146" s="1"/>
      <c r="AF146" s="1"/>
      <c r="AG146" s="1"/>
      <c r="AH146" s="1"/>
      <c r="AI146" s="1"/>
      <c r="AJ146" s="1"/>
      <c r="AK146" s="1"/>
      <c r="AL146" s="1"/>
      <c r="AM146" s="1"/>
      <c r="AN146" s="1"/>
      <c r="AO146" s="1"/>
      <c r="AP146" s="1"/>
      <c r="AQ146" s="1"/>
      <c r="AR146" s="1"/>
    </row>
    <row r="147" spans="1:44" ht="15.6">
      <c r="A147" s="99" t="str">
        <f>Hipótesis!$B$61</f>
        <v>Plan A</v>
      </c>
      <c r="B147" s="100">
        <f>Hipótesis!C61</f>
        <v>88000</v>
      </c>
      <c r="C147" s="101">
        <f t="shared" si="92"/>
        <v>1185</v>
      </c>
      <c r="D147" s="104">
        <f t="shared" si="93"/>
        <v>104280000</v>
      </c>
      <c r="E147" s="103">
        <f t="shared" ref="E147:E149" si="106">Y85+E144</f>
        <v>45</v>
      </c>
      <c r="F147" s="190">
        <f t="shared" si="94"/>
        <v>3960000</v>
      </c>
      <c r="G147" s="103">
        <f t="shared" ref="G147:G149" si="107">E147+G144</f>
        <v>60</v>
      </c>
      <c r="H147" s="104">
        <f t="shared" si="95"/>
        <v>5280000</v>
      </c>
      <c r="I147" s="103">
        <f t="shared" ref="I147:I149" si="108">G147+I144</f>
        <v>75</v>
      </c>
      <c r="J147" s="104">
        <f t="shared" si="96"/>
        <v>6600000</v>
      </c>
      <c r="K147" s="103">
        <f t="shared" ref="K147:K149" si="109">I147+K144</f>
        <v>90</v>
      </c>
      <c r="L147" s="104">
        <f t="shared" si="97"/>
        <v>7920000</v>
      </c>
      <c r="M147" s="103">
        <f t="shared" ref="M147:M149" si="110">K147+M144</f>
        <v>105</v>
      </c>
      <c r="N147" s="104">
        <f t="shared" si="98"/>
        <v>9240000</v>
      </c>
      <c r="O147" s="103">
        <f t="shared" ref="O147:O149" si="111">M147+O144</f>
        <v>105</v>
      </c>
      <c r="P147" s="104">
        <f t="shared" si="99"/>
        <v>9240000</v>
      </c>
      <c r="Q147" s="103">
        <f t="shared" ref="Q147:Q149" si="112">O147+Q144</f>
        <v>105</v>
      </c>
      <c r="R147" s="104">
        <f t="shared" si="100"/>
        <v>9240000</v>
      </c>
      <c r="S147" s="103">
        <f t="shared" ref="S147:S149" si="113">Q147+S144</f>
        <v>120</v>
      </c>
      <c r="T147" s="104">
        <f t="shared" si="101"/>
        <v>10560000</v>
      </c>
      <c r="U147" s="103">
        <f t="shared" ref="U147:U149" si="114">S147+U144</f>
        <v>120</v>
      </c>
      <c r="V147" s="104">
        <f t="shared" si="102"/>
        <v>10560000</v>
      </c>
      <c r="W147" s="103">
        <f t="shared" ref="W147:W149" si="115">U147+W144</f>
        <v>120</v>
      </c>
      <c r="X147" s="104">
        <f t="shared" si="103"/>
        <v>10560000</v>
      </c>
      <c r="Y147" s="103">
        <f t="shared" ref="Y147:Y149" si="116">W147+Y144</f>
        <v>120</v>
      </c>
      <c r="Z147" s="104">
        <f t="shared" si="104"/>
        <v>10560000</v>
      </c>
      <c r="AA147" s="103">
        <f t="shared" ref="AA147:AA149" si="117">Y147+AA144</f>
        <v>120</v>
      </c>
      <c r="AB147" s="104">
        <f t="shared" si="105"/>
        <v>10560000</v>
      </c>
      <c r="AC147" s="1"/>
      <c r="AD147" s="1"/>
      <c r="AE147" s="1"/>
      <c r="AF147" s="1"/>
      <c r="AG147" s="1"/>
      <c r="AH147" s="1"/>
      <c r="AI147" s="1"/>
      <c r="AJ147" s="1"/>
      <c r="AK147" s="1"/>
      <c r="AL147" s="1"/>
      <c r="AM147" s="1"/>
      <c r="AN147" s="1"/>
      <c r="AO147" s="1"/>
      <c r="AP147" s="1"/>
      <c r="AQ147" s="1"/>
      <c r="AR147" s="1"/>
    </row>
    <row r="148" spans="1:44" ht="15.6">
      <c r="A148" s="99" t="str">
        <f>Hipótesis!$B$62</f>
        <v>Plan B</v>
      </c>
      <c r="B148" s="105">
        <f>Hipótesis!C62</f>
        <v>108000</v>
      </c>
      <c r="C148" s="106">
        <f t="shared" si="92"/>
        <v>885</v>
      </c>
      <c r="D148" s="109">
        <f t="shared" si="93"/>
        <v>95580000</v>
      </c>
      <c r="E148" s="108">
        <f t="shared" si="106"/>
        <v>45</v>
      </c>
      <c r="F148" s="191">
        <f t="shared" si="94"/>
        <v>4860000</v>
      </c>
      <c r="G148" s="108">
        <f t="shared" si="107"/>
        <v>45</v>
      </c>
      <c r="H148" s="109">
        <f t="shared" si="95"/>
        <v>4860000</v>
      </c>
      <c r="I148" s="108">
        <f t="shared" si="108"/>
        <v>45</v>
      </c>
      <c r="J148" s="109">
        <f t="shared" si="96"/>
        <v>4860000</v>
      </c>
      <c r="K148" s="108">
        <f t="shared" si="109"/>
        <v>60</v>
      </c>
      <c r="L148" s="109">
        <f t="shared" si="97"/>
        <v>6480000</v>
      </c>
      <c r="M148" s="108">
        <f t="shared" si="110"/>
        <v>60</v>
      </c>
      <c r="N148" s="109">
        <f t="shared" si="98"/>
        <v>6480000</v>
      </c>
      <c r="O148" s="108">
        <f t="shared" si="111"/>
        <v>75</v>
      </c>
      <c r="P148" s="109">
        <f t="shared" si="99"/>
        <v>8100000</v>
      </c>
      <c r="Q148" s="108">
        <f t="shared" si="112"/>
        <v>75</v>
      </c>
      <c r="R148" s="109">
        <f t="shared" si="100"/>
        <v>8100000</v>
      </c>
      <c r="S148" s="108">
        <f t="shared" si="113"/>
        <v>75</v>
      </c>
      <c r="T148" s="109">
        <f t="shared" si="101"/>
        <v>8100000</v>
      </c>
      <c r="U148" s="108">
        <f t="shared" si="114"/>
        <v>90</v>
      </c>
      <c r="V148" s="109">
        <f t="shared" si="102"/>
        <v>9720000</v>
      </c>
      <c r="W148" s="108">
        <f t="shared" si="115"/>
        <v>105</v>
      </c>
      <c r="X148" s="109">
        <f t="shared" si="103"/>
        <v>11340000</v>
      </c>
      <c r="Y148" s="108">
        <f t="shared" si="116"/>
        <v>105</v>
      </c>
      <c r="Z148" s="109">
        <f t="shared" si="104"/>
        <v>11340000</v>
      </c>
      <c r="AA148" s="108">
        <f t="shared" si="117"/>
        <v>105</v>
      </c>
      <c r="AB148" s="109">
        <f t="shared" si="105"/>
        <v>11340000</v>
      </c>
      <c r="AC148" s="1"/>
      <c r="AD148" s="1"/>
      <c r="AE148" s="1"/>
      <c r="AF148" s="1"/>
      <c r="AG148" s="1"/>
      <c r="AH148" s="1"/>
      <c r="AI148" s="1"/>
      <c r="AJ148" s="1"/>
      <c r="AK148" s="1"/>
      <c r="AL148" s="1"/>
      <c r="AM148" s="1"/>
      <c r="AN148" s="1"/>
      <c r="AO148" s="1"/>
      <c r="AP148" s="1"/>
      <c r="AQ148" s="1"/>
      <c r="AR148" s="1"/>
    </row>
    <row r="149" spans="1:44" ht="15.6">
      <c r="A149" s="99" t="str">
        <f>Hipótesis!$B$63</f>
        <v>Plan C</v>
      </c>
      <c r="B149" s="105">
        <f>Hipótesis!C63</f>
        <v>132000</v>
      </c>
      <c r="C149" s="106">
        <f t="shared" si="92"/>
        <v>2160</v>
      </c>
      <c r="D149" s="109">
        <f t="shared" si="93"/>
        <v>285120000</v>
      </c>
      <c r="E149" s="108">
        <f t="shared" si="106"/>
        <v>150</v>
      </c>
      <c r="F149" s="191">
        <f t="shared" si="94"/>
        <v>19800000</v>
      </c>
      <c r="G149" s="108">
        <f t="shared" si="107"/>
        <v>165</v>
      </c>
      <c r="H149" s="109">
        <f t="shared" si="95"/>
        <v>21780000</v>
      </c>
      <c r="I149" s="108">
        <f t="shared" si="108"/>
        <v>165</v>
      </c>
      <c r="J149" s="109">
        <f t="shared" si="96"/>
        <v>21780000</v>
      </c>
      <c r="K149" s="108">
        <f t="shared" si="109"/>
        <v>165</v>
      </c>
      <c r="L149" s="109">
        <f t="shared" si="97"/>
        <v>21780000</v>
      </c>
      <c r="M149" s="108">
        <f t="shared" si="110"/>
        <v>165</v>
      </c>
      <c r="N149" s="109">
        <f t="shared" si="98"/>
        <v>21780000</v>
      </c>
      <c r="O149" s="108">
        <f t="shared" si="111"/>
        <v>165</v>
      </c>
      <c r="P149" s="109">
        <f t="shared" si="99"/>
        <v>21780000</v>
      </c>
      <c r="Q149" s="108">
        <f t="shared" si="112"/>
        <v>165</v>
      </c>
      <c r="R149" s="109">
        <f t="shared" si="100"/>
        <v>21780000</v>
      </c>
      <c r="S149" s="108">
        <f t="shared" si="113"/>
        <v>165</v>
      </c>
      <c r="T149" s="109">
        <f t="shared" si="101"/>
        <v>21780000</v>
      </c>
      <c r="U149" s="108">
        <f t="shared" si="114"/>
        <v>195</v>
      </c>
      <c r="V149" s="109">
        <f t="shared" si="102"/>
        <v>25740000</v>
      </c>
      <c r="W149" s="108">
        <f t="shared" si="115"/>
        <v>210</v>
      </c>
      <c r="X149" s="109">
        <f t="shared" si="103"/>
        <v>27720000</v>
      </c>
      <c r="Y149" s="108">
        <f t="shared" si="116"/>
        <v>225</v>
      </c>
      <c r="Z149" s="109">
        <f t="shared" si="104"/>
        <v>29700000</v>
      </c>
      <c r="AA149" s="108">
        <f t="shared" si="117"/>
        <v>225</v>
      </c>
      <c r="AB149" s="109">
        <f t="shared" si="105"/>
        <v>29700000</v>
      </c>
      <c r="AC149" s="1"/>
      <c r="AD149" s="1"/>
      <c r="AE149" s="1"/>
      <c r="AF149" s="1"/>
      <c r="AG149" s="1"/>
      <c r="AH149" s="1"/>
      <c r="AI149" s="1"/>
      <c r="AJ149" s="1"/>
      <c r="AK149" s="1"/>
      <c r="AL149" s="1"/>
      <c r="AM149" s="1"/>
      <c r="AN149" s="1"/>
      <c r="AO149" s="1"/>
      <c r="AP149" s="1"/>
      <c r="AQ149" s="1"/>
      <c r="AR149" s="1"/>
    </row>
    <row r="150" spans="1:44" ht="15.6">
      <c r="A150" s="110"/>
      <c r="B150" s="111">
        <f>Hipótesis!C64</f>
        <v>0</v>
      </c>
      <c r="C150" s="112">
        <v>0</v>
      </c>
      <c r="D150" s="115">
        <f t="shared" si="93"/>
        <v>0</v>
      </c>
      <c r="E150" s="114">
        <v>0</v>
      </c>
      <c r="F150" s="191">
        <f t="shared" si="94"/>
        <v>0</v>
      </c>
      <c r="G150" s="114">
        <v>0</v>
      </c>
      <c r="H150" s="109">
        <f t="shared" si="95"/>
        <v>0</v>
      </c>
      <c r="I150" s="114">
        <v>0</v>
      </c>
      <c r="J150" s="109">
        <f t="shared" si="96"/>
        <v>0</v>
      </c>
      <c r="K150" s="114">
        <v>0</v>
      </c>
      <c r="L150" s="109">
        <f t="shared" si="97"/>
        <v>0</v>
      </c>
      <c r="M150" s="114">
        <v>0</v>
      </c>
      <c r="N150" s="109">
        <f t="shared" si="98"/>
        <v>0</v>
      </c>
      <c r="O150" s="114">
        <v>0</v>
      </c>
      <c r="P150" s="109">
        <f t="shared" si="99"/>
        <v>0</v>
      </c>
      <c r="Q150" s="114">
        <v>0</v>
      </c>
      <c r="R150" s="109">
        <f t="shared" si="100"/>
        <v>0</v>
      </c>
      <c r="S150" s="114">
        <v>0</v>
      </c>
      <c r="T150" s="109">
        <f t="shared" si="101"/>
        <v>0</v>
      </c>
      <c r="U150" s="114">
        <v>0</v>
      </c>
      <c r="V150" s="109">
        <f t="shared" si="102"/>
        <v>0</v>
      </c>
      <c r="W150" s="114">
        <v>0</v>
      </c>
      <c r="X150" s="109">
        <f t="shared" si="103"/>
        <v>0</v>
      </c>
      <c r="Y150" s="114">
        <v>0</v>
      </c>
      <c r="Z150" s="109">
        <f t="shared" si="104"/>
        <v>0</v>
      </c>
      <c r="AA150" s="114">
        <v>0</v>
      </c>
      <c r="AB150" s="109">
        <f t="shared" si="105"/>
        <v>0</v>
      </c>
      <c r="AC150" s="1"/>
      <c r="AD150" s="1"/>
      <c r="AE150" s="1"/>
      <c r="AF150" s="1"/>
      <c r="AG150" s="1"/>
      <c r="AH150" s="1"/>
      <c r="AI150" s="1"/>
      <c r="AJ150" s="1"/>
      <c r="AK150" s="1"/>
      <c r="AL150" s="1"/>
      <c r="AM150" s="1"/>
      <c r="AN150" s="1"/>
      <c r="AO150" s="1"/>
      <c r="AP150" s="1"/>
      <c r="AQ150" s="1"/>
      <c r="AR150" s="1"/>
    </row>
    <row r="151" spans="1:44" ht="15.6">
      <c r="A151" s="116"/>
      <c r="B151" s="117">
        <f>Hipótesis!C65</f>
        <v>0</v>
      </c>
      <c r="C151" s="118">
        <v>0</v>
      </c>
      <c r="D151" s="119">
        <f t="shared" si="93"/>
        <v>0</v>
      </c>
      <c r="E151" s="118">
        <f t="shared" ref="E151:E156" si="118">C151*$E$142</f>
        <v>0</v>
      </c>
      <c r="F151" s="119">
        <f t="shared" ref="F151:F156" si="119">D151*$E$17</f>
        <v>0</v>
      </c>
      <c r="G151" s="118">
        <f t="shared" ref="G151:G156" si="120">C151*$G$142</f>
        <v>0</v>
      </c>
      <c r="H151" s="119">
        <f t="shared" ref="H151:H156" si="121">D151*$G$17</f>
        <v>0</v>
      </c>
      <c r="I151" s="118">
        <f t="shared" ref="I151:I156" si="122">C151*$I$142</f>
        <v>0</v>
      </c>
      <c r="J151" s="119">
        <f t="shared" ref="J151:J156" si="123">D151*$I$17</f>
        <v>0</v>
      </c>
      <c r="K151" s="118">
        <f t="shared" ref="K151:K156" si="124">C151*$K$142</f>
        <v>0</v>
      </c>
      <c r="L151" s="119">
        <f t="shared" ref="L151:L156" si="125">D151*$K$17</f>
        <v>0</v>
      </c>
      <c r="M151" s="118">
        <f t="shared" ref="M151:M156" si="126">C151*$M$142</f>
        <v>0</v>
      </c>
      <c r="N151" s="119">
        <f t="shared" ref="N151:N156" si="127">D151*$M$17</f>
        <v>0</v>
      </c>
      <c r="O151" s="118">
        <f t="shared" ref="O151:O156" si="128">C151*$O$142</f>
        <v>0</v>
      </c>
      <c r="P151" s="119">
        <f t="shared" ref="P151:P156" si="129">D151*$O$17</f>
        <v>0</v>
      </c>
      <c r="Q151" s="118">
        <f t="shared" ref="Q151:Q156" si="130">C151*$Q$142</f>
        <v>0</v>
      </c>
      <c r="R151" s="119">
        <f t="shared" ref="R151:R156" si="131">D151*$Q$17</f>
        <v>0</v>
      </c>
      <c r="S151" s="118">
        <f t="shared" ref="S151:S156" si="132">C151*$S$142</f>
        <v>0</v>
      </c>
      <c r="T151" s="119">
        <f t="shared" ref="T151:T156" si="133">D151*$S$17</f>
        <v>0</v>
      </c>
      <c r="U151" s="118">
        <f t="shared" ref="U151:U156" si="134">C151*$U$142</f>
        <v>0</v>
      </c>
      <c r="V151" s="119">
        <f t="shared" ref="V151:V156" si="135">D151*$U$17</f>
        <v>0</v>
      </c>
      <c r="W151" s="118">
        <f t="shared" ref="W151:W156" si="136">C151*$W$142</f>
        <v>0</v>
      </c>
      <c r="X151" s="119">
        <f t="shared" ref="X151:X156" si="137">D151*$W$17</f>
        <v>0</v>
      </c>
      <c r="Y151" s="118">
        <f t="shared" ref="Y151:Y156" si="138">C151*$Y$142</f>
        <v>0</v>
      </c>
      <c r="Z151" s="195">
        <f t="shared" ref="Z151:Z156" si="139">D151*$Y$17</f>
        <v>0</v>
      </c>
      <c r="AA151" s="118">
        <f t="shared" ref="AA151:AA156" si="140">C151*$AA$142</f>
        <v>0</v>
      </c>
      <c r="AB151" s="119">
        <f t="shared" ref="AB151:AB156" si="141">D151*$AA$17</f>
        <v>0</v>
      </c>
      <c r="AC151" s="1"/>
      <c r="AD151" s="1"/>
      <c r="AE151" s="1"/>
      <c r="AF151" s="1"/>
      <c r="AG151" s="1"/>
      <c r="AH151" s="1"/>
      <c r="AI151" s="1"/>
      <c r="AJ151" s="1"/>
      <c r="AK151" s="1"/>
      <c r="AL151" s="1"/>
      <c r="AM151" s="1"/>
      <c r="AN151" s="1"/>
      <c r="AO151" s="1"/>
      <c r="AP151" s="1"/>
      <c r="AQ151" s="1"/>
      <c r="AR151" s="1"/>
    </row>
    <row r="152" spans="1:44" ht="15.6">
      <c r="A152" s="122"/>
      <c r="B152" s="123">
        <f>Hipótesis!C66</f>
        <v>0</v>
      </c>
      <c r="C152" s="124">
        <v>0</v>
      </c>
      <c r="D152" s="125">
        <f t="shared" si="93"/>
        <v>0</v>
      </c>
      <c r="E152" s="124">
        <f t="shared" si="118"/>
        <v>0</v>
      </c>
      <c r="F152" s="125">
        <f t="shared" si="119"/>
        <v>0</v>
      </c>
      <c r="G152" s="124">
        <f t="shared" si="120"/>
        <v>0</v>
      </c>
      <c r="H152" s="125">
        <f t="shared" si="121"/>
        <v>0</v>
      </c>
      <c r="I152" s="124">
        <f t="shared" si="122"/>
        <v>0</v>
      </c>
      <c r="J152" s="125">
        <f t="shared" si="123"/>
        <v>0</v>
      </c>
      <c r="K152" s="124">
        <f t="shared" si="124"/>
        <v>0</v>
      </c>
      <c r="L152" s="125">
        <f t="shared" si="125"/>
        <v>0</v>
      </c>
      <c r="M152" s="124">
        <f t="shared" si="126"/>
        <v>0</v>
      </c>
      <c r="N152" s="125">
        <f t="shared" si="127"/>
        <v>0</v>
      </c>
      <c r="O152" s="124">
        <f t="shared" si="128"/>
        <v>0</v>
      </c>
      <c r="P152" s="125">
        <f t="shared" si="129"/>
        <v>0</v>
      </c>
      <c r="Q152" s="124">
        <f t="shared" si="130"/>
        <v>0</v>
      </c>
      <c r="R152" s="125">
        <f t="shared" si="131"/>
        <v>0</v>
      </c>
      <c r="S152" s="124">
        <f t="shared" si="132"/>
        <v>0</v>
      </c>
      <c r="T152" s="125">
        <f t="shared" si="133"/>
        <v>0</v>
      </c>
      <c r="U152" s="124">
        <f t="shared" si="134"/>
        <v>0</v>
      </c>
      <c r="V152" s="125">
        <f t="shared" si="135"/>
        <v>0</v>
      </c>
      <c r="W152" s="124">
        <f t="shared" si="136"/>
        <v>0</v>
      </c>
      <c r="X152" s="125">
        <f t="shared" si="137"/>
        <v>0</v>
      </c>
      <c r="Y152" s="124">
        <f t="shared" si="138"/>
        <v>0</v>
      </c>
      <c r="Z152" s="197">
        <f t="shared" si="139"/>
        <v>0</v>
      </c>
      <c r="AA152" s="124">
        <f t="shared" si="140"/>
        <v>0</v>
      </c>
      <c r="AB152" s="125">
        <f t="shared" si="141"/>
        <v>0</v>
      </c>
      <c r="AC152" s="1"/>
      <c r="AD152" s="1"/>
      <c r="AE152" s="1"/>
      <c r="AF152" s="1"/>
      <c r="AG152" s="1"/>
      <c r="AH152" s="1"/>
      <c r="AI152" s="1"/>
      <c r="AJ152" s="1"/>
      <c r="AK152" s="1"/>
      <c r="AL152" s="1"/>
      <c r="AM152" s="1"/>
      <c r="AN152" s="1"/>
      <c r="AO152" s="1"/>
      <c r="AP152" s="1"/>
      <c r="AQ152" s="1"/>
      <c r="AR152" s="1"/>
    </row>
    <row r="153" spans="1:44" ht="15.6">
      <c r="A153" s="122"/>
      <c r="B153" s="123">
        <f>Hipótesis!C67</f>
        <v>0</v>
      </c>
      <c r="C153" s="124">
        <v>0</v>
      </c>
      <c r="D153" s="125">
        <f t="shared" si="93"/>
        <v>0</v>
      </c>
      <c r="E153" s="124">
        <f t="shared" si="118"/>
        <v>0</v>
      </c>
      <c r="F153" s="125">
        <f t="shared" si="119"/>
        <v>0</v>
      </c>
      <c r="G153" s="124">
        <f t="shared" si="120"/>
        <v>0</v>
      </c>
      <c r="H153" s="125">
        <f t="shared" si="121"/>
        <v>0</v>
      </c>
      <c r="I153" s="124">
        <f t="shared" si="122"/>
        <v>0</v>
      </c>
      <c r="J153" s="125">
        <f t="shared" si="123"/>
        <v>0</v>
      </c>
      <c r="K153" s="124">
        <f t="shared" si="124"/>
        <v>0</v>
      </c>
      <c r="L153" s="125">
        <f t="shared" si="125"/>
        <v>0</v>
      </c>
      <c r="M153" s="124">
        <f t="shared" si="126"/>
        <v>0</v>
      </c>
      <c r="N153" s="125">
        <f t="shared" si="127"/>
        <v>0</v>
      </c>
      <c r="O153" s="124">
        <f t="shared" si="128"/>
        <v>0</v>
      </c>
      <c r="P153" s="125">
        <f t="shared" si="129"/>
        <v>0</v>
      </c>
      <c r="Q153" s="124">
        <f t="shared" si="130"/>
        <v>0</v>
      </c>
      <c r="R153" s="125">
        <f t="shared" si="131"/>
        <v>0</v>
      </c>
      <c r="S153" s="124">
        <f t="shared" si="132"/>
        <v>0</v>
      </c>
      <c r="T153" s="125">
        <f t="shared" si="133"/>
        <v>0</v>
      </c>
      <c r="U153" s="124">
        <f t="shared" si="134"/>
        <v>0</v>
      </c>
      <c r="V153" s="125">
        <f t="shared" si="135"/>
        <v>0</v>
      </c>
      <c r="W153" s="124">
        <f t="shared" si="136"/>
        <v>0</v>
      </c>
      <c r="X153" s="125">
        <f t="shared" si="137"/>
        <v>0</v>
      </c>
      <c r="Y153" s="124">
        <f t="shared" si="138"/>
        <v>0</v>
      </c>
      <c r="Z153" s="197">
        <f t="shared" si="139"/>
        <v>0</v>
      </c>
      <c r="AA153" s="124">
        <f t="shared" si="140"/>
        <v>0</v>
      </c>
      <c r="AB153" s="125">
        <f t="shared" si="141"/>
        <v>0</v>
      </c>
      <c r="AC153" s="1"/>
      <c r="AD153" s="1"/>
      <c r="AE153" s="1"/>
      <c r="AF153" s="1"/>
      <c r="AG153" s="1"/>
      <c r="AH153" s="1"/>
      <c r="AI153" s="1"/>
      <c r="AJ153" s="1"/>
      <c r="AK153" s="1"/>
      <c r="AL153" s="1"/>
      <c r="AM153" s="1"/>
      <c r="AN153" s="1"/>
      <c r="AO153" s="1"/>
      <c r="AP153" s="1"/>
      <c r="AQ153" s="1"/>
      <c r="AR153" s="1"/>
    </row>
    <row r="154" spans="1:44" ht="15.6">
      <c r="A154" s="122"/>
      <c r="B154" s="123">
        <f>Hipótesis!C68</f>
        <v>0</v>
      </c>
      <c r="C154" s="124">
        <v>0</v>
      </c>
      <c r="D154" s="125">
        <f t="shared" si="93"/>
        <v>0</v>
      </c>
      <c r="E154" s="124">
        <f t="shared" si="118"/>
        <v>0</v>
      </c>
      <c r="F154" s="125">
        <f t="shared" si="119"/>
        <v>0</v>
      </c>
      <c r="G154" s="124">
        <f t="shared" si="120"/>
        <v>0</v>
      </c>
      <c r="H154" s="125">
        <f t="shared" si="121"/>
        <v>0</v>
      </c>
      <c r="I154" s="124">
        <f t="shared" si="122"/>
        <v>0</v>
      </c>
      <c r="J154" s="125">
        <f t="shared" si="123"/>
        <v>0</v>
      </c>
      <c r="K154" s="124">
        <f t="shared" si="124"/>
        <v>0</v>
      </c>
      <c r="L154" s="125">
        <f t="shared" si="125"/>
        <v>0</v>
      </c>
      <c r="M154" s="124">
        <f t="shared" si="126"/>
        <v>0</v>
      </c>
      <c r="N154" s="125">
        <f t="shared" si="127"/>
        <v>0</v>
      </c>
      <c r="O154" s="124">
        <f t="shared" si="128"/>
        <v>0</v>
      </c>
      <c r="P154" s="125">
        <f t="shared" si="129"/>
        <v>0</v>
      </c>
      <c r="Q154" s="124">
        <f t="shared" si="130"/>
        <v>0</v>
      </c>
      <c r="R154" s="125">
        <f t="shared" si="131"/>
        <v>0</v>
      </c>
      <c r="S154" s="124">
        <f t="shared" si="132"/>
        <v>0</v>
      </c>
      <c r="T154" s="125">
        <f t="shared" si="133"/>
        <v>0</v>
      </c>
      <c r="U154" s="124">
        <f t="shared" si="134"/>
        <v>0</v>
      </c>
      <c r="V154" s="125">
        <f t="shared" si="135"/>
        <v>0</v>
      </c>
      <c r="W154" s="124">
        <f t="shared" si="136"/>
        <v>0</v>
      </c>
      <c r="X154" s="125">
        <f t="shared" si="137"/>
        <v>0</v>
      </c>
      <c r="Y154" s="124">
        <f t="shared" si="138"/>
        <v>0</v>
      </c>
      <c r="Z154" s="197">
        <f t="shared" si="139"/>
        <v>0</v>
      </c>
      <c r="AA154" s="124">
        <f t="shared" si="140"/>
        <v>0</v>
      </c>
      <c r="AB154" s="125">
        <f t="shared" si="141"/>
        <v>0</v>
      </c>
      <c r="AC154" s="1"/>
      <c r="AD154" s="1"/>
      <c r="AE154" s="1"/>
      <c r="AF154" s="1"/>
      <c r="AG154" s="1"/>
      <c r="AH154" s="1"/>
      <c r="AI154" s="1"/>
      <c r="AJ154" s="1"/>
      <c r="AK154" s="1"/>
      <c r="AL154" s="1"/>
      <c r="AM154" s="1"/>
      <c r="AN154" s="1"/>
      <c r="AO154" s="1"/>
      <c r="AP154" s="1"/>
      <c r="AQ154" s="1"/>
      <c r="AR154" s="1"/>
    </row>
    <row r="155" spans="1:44" ht="15.6">
      <c r="A155" s="128"/>
      <c r="B155" s="129">
        <f>Hipótesis!C69</f>
        <v>0</v>
      </c>
      <c r="C155" s="130">
        <v>0</v>
      </c>
      <c r="D155" s="131">
        <f t="shared" si="93"/>
        <v>0</v>
      </c>
      <c r="E155" s="130">
        <f t="shared" si="118"/>
        <v>0</v>
      </c>
      <c r="F155" s="131">
        <f t="shared" si="119"/>
        <v>0</v>
      </c>
      <c r="G155" s="130">
        <f t="shared" si="120"/>
        <v>0</v>
      </c>
      <c r="H155" s="131">
        <f t="shared" si="121"/>
        <v>0</v>
      </c>
      <c r="I155" s="130">
        <f t="shared" si="122"/>
        <v>0</v>
      </c>
      <c r="J155" s="131">
        <f t="shared" si="123"/>
        <v>0</v>
      </c>
      <c r="K155" s="130">
        <f t="shared" si="124"/>
        <v>0</v>
      </c>
      <c r="L155" s="131">
        <f t="shared" si="125"/>
        <v>0</v>
      </c>
      <c r="M155" s="130">
        <f t="shared" si="126"/>
        <v>0</v>
      </c>
      <c r="N155" s="131">
        <f t="shared" si="127"/>
        <v>0</v>
      </c>
      <c r="O155" s="130">
        <f t="shared" si="128"/>
        <v>0</v>
      </c>
      <c r="P155" s="131">
        <f t="shared" si="129"/>
        <v>0</v>
      </c>
      <c r="Q155" s="130">
        <f t="shared" si="130"/>
        <v>0</v>
      </c>
      <c r="R155" s="131">
        <f t="shared" si="131"/>
        <v>0</v>
      </c>
      <c r="S155" s="130">
        <f t="shared" si="132"/>
        <v>0</v>
      </c>
      <c r="T155" s="131">
        <f t="shared" si="133"/>
        <v>0</v>
      </c>
      <c r="U155" s="130">
        <f t="shared" si="134"/>
        <v>0</v>
      </c>
      <c r="V155" s="131">
        <f t="shared" si="135"/>
        <v>0</v>
      </c>
      <c r="W155" s="130">
        <f t="shared" si="136"/>
        <v>0</v>
      </c>
      <c r="X155" s="131">
        <f t="shared" si="137"/>
        <v>0</v>
      </c>
      <c r="Y155" s="130">
        <f t="shared" si="138"/>
        <v>0</v>
      </c>
      <c r="Z155" s="199">
        <f t="shared" si="139"/>
        <v>0</v>
      </c>
      <c r="AA155" s="130">
        <f t="shared" si="140"/>
        <v>0</v>
      </c>
      <c r="AB155" s="131">
        <f t="shared" si="141"/>
        <v>0</v>
      </c>
      <c r="AC155" s="1"/>
      <c r="AD155" s="1"/>
      <c r="AE155" s="1"/>
      <c r="AF155" s="1"/>
      <c r="AG155" s="1"/>
      <c r="AH155" s="1"/>
      <c r="AI155" s="1"/>
      <c r="AJ155" s="1"/>
      <c r="AK155" s="1"/>
      <c r="AL155" s="1"/>
      <c r="AM155" s="1"/>
      <c r="AN155" s="1"/>
      <c r="AO155" s="1"/>
      <c r="AP155" s="1"/>
      <c r="AQ155" s="1"/>
      <c r="AR155" s="1"/>
    </row>
    <row r="156" spans="1:44" ht="15.6">
      <c r="A156" s="212"/>
      <c r="B156" s="213">
        <f>Hipótesis!C70</f>
        <v>0</v>
      </c>
      <c r="C156" s="214">
        <v>0</v>
      </c>
      <c r="D156" s="215">
        <f t="shared" si="93"/>
        <v>0</v>
      </c>
      <c r="E156" s="214">
        <f t="shared" si="118"/>
        <v>0</v>
      </c>
      <c r="F156" s="215">
        <f t="shared" si="119"/>
        <v>0</v>
      </c>
      <c r="G156" s="214">
        <f t="shared" si="120"/>
        <v>0</v>
      </c>
      <c r="H156" s="215">
        <f t="shared" si="121"/>
        <v>0</v>
      </c>
      <c r="I156" s="214">
        <f t="shared" si="122"/>
        <v>0</v>
      </c>
      <c r="J156" s="215">
        <f t="shared" si="123"/>
        <v>0</v>
      </c>
      <c r="K156" s="214">
        <f t="shared" si="124"/>
        <v>0</v>
      </c>
      <c r="L156" s="215">
        <f t="shared" si="125"/>
        <v>0</v>
      </c>
      <c r="M156" s="214">
        <f t="shared" si="126"/>
        <v>0</v>
      </c>
      <c r="N156" s="215">
        <f t="shared" si="127"/>
        <v>0</v>
      </c>
      <c r="O156" s="214">
        <f t="shared" si="128"/>
        <v>0</v>
      </c>
      <c r="P156" s="215">
        <f t="shared" si="129"/>
        <v>0</v>
      </c>
      <c r="Q156" s="214">
        <f t="shared" si="130"/>
        <v>0</v>
      </c>
      <c r="R156" s="215">
        <f t="shared" si="131"/>
        <v>0</v>
      </c>
      <c r="S156" s="214">
        <f t="shared" si="132"/>
        <v>0</v>
      </c>
      <c r="T156" s="215">
        <f t="shared" si="133"/>
        <v>0</v>
      </c>
      <c r="U156" s="214">
        <f t="shared" si="134"/>
        <v>0</v>
      </c>
      <c r="V156" s="215">
        <f t="shared" si="135"/>
        <v>0</v>
      </c>
      <c r="W156" s="214">
        <f t="shared" si="136"/>
        <v>0</v>
      </c>
      <c r="X156" s="215">
        <f t="shared" si="137"/>
        <v>0</v>
      </c>
      <c r="Y156" s="214">
        <f t="shared" si="138"/>
        <v>0</v>
      </c>
      <c r="Z156" s="216">
        <f t="shared" si="139"/>
        <v>0</v>
      </c>
      <c r="AA156" s="214">
        <f t="shared" si="140"/>
        <v>0</v>
      </c>
      <c r="AB156" s="215">
        <f t="shared" si="141"/>
        <v>0</v>
      </c>
      <c r="AC156" s="1"/>
      <c r="AD156" s="1"/>
      <c r="AE156" s="1"/>
      <c r="AF156" s="1"/>
      <c r="AG156" s="1"/>
      <c r="AH156" s="1"/>
      <c r="AI156" s="1"/>
      <c r="AJ156" s="1"/>
      <c r="AK156" s="1"/>
      <c r="AL156" s="1"/>
      <c r="AM156" s="1"/>
      <c r="AN156" s="1"/>
      <c r="AO156" s="1"/>
      <c r="AP156" s="1"/>
      <c r="AQ156" s="1"/>
      <c r="AR156" s="1"/>
    </row>
    <row r="157" spans="1:44" ht="14.4">
      <c r="A157" s="910" t="s">
        <v>72</v>
      </c>
      <c r="B157" s="843"/>
      <c r="C157" s="180"/>
      <c r="D157" s="143">
        <f>SUM(D144:D156)</f>
        <v>536880000</v>
      </c>
      <c r="E157" s="142"/>
      <c r="F157" s="143">
        <f>SUM(F144:F156)</f>
        <v>28620000</v>
      </c>
      <c r="G157" s="142"/>
      <c r="H157" s="143">
        <f>SUM(H144:H156)</f>
        <v>39420000</v>
      </c>
      <c r="I157" s="142"/>
      <c r="J157" s="143">
        <f>SUM(J144:J156)</f>
        <v>36090000</v>
      </c>
      <c r="K157" s="142"/>
      <c r="L157" s="143">
        <f>SUM(L144:L156)</f>
        <v>42630000</v>
      </c>
      <c r="M157" s="142"/>
      <c r="N157" s="143">
        <f>SUM(N144:N156)</f>
        <v>40350000</v>
      </c>
      <c r="O157" s="142"/>
      <c r="P157" s="143">
        <f>SUM(P144:P156)</f>
        <v>42720000</v>
      </c>
      <c r="Q157" s="142"/>
      <c r="R157" s="143">
        <f>SUM(R144:R156)</f>
        <v>39120000</v>
      </c>
      <c r="S157" s="142"/>
      <c r="T157" s="143">
        <f>SUM(T144:T156)</f>
        <v>43290000</v>
      </c>
      <c r="U157" s="142"/>
      <c r="V157" s="143">
        <f>SUM(V144:V156)</f>
        <v>58920000</v>
      </c>
      <c r="W157" s="142"/>
      <c r="X157" s="143">
        <f>SUM(X144:X156)</f>
        <v>57870000</v>
      </c>
      <c r="Y157" s="142"/>
      <c r="Z157" s="143">
        <f>SUM(Z144:Z156)</f>
        <v>56250000</v>
      </c>
      <c r="AA157" s="142"/>
      <c r="AB157" s="143">
        <f>SUM(AB144:AB156)</f>
        <v>51600000</v>
      </c>
      <c r="AC157" s="1"/>
      <c r="AD157" s="1"/>
      <c r="AE157" s="1"/>
      <c r="AF157" s="1"/>
      <c r="AG157" s="1"/>
      <c r="AH157" s="1"/>
      <c r="AI157" s="1"/>
      <c r="AJ157" s="1"/>
      <c r="AK157" s="1"/>
      <c r="AL157" s="1"/>
      <c r="AM157" s="1"/>
      <c r="AN157" s="1"/>
      <c r="AO157" s="1"/>
      <c r="AP157" s="1"/>
      <c r="AQ157" s="1"/>
      <c r="AR157" s="1"/>
    </row>
    <row r="158" spans="1:44" ht="15.6">
      <c r="A158" s="902"/>
      <c r="B158" s="828"/>
      <c r="C158" s="145">
        <f t="shared" ref="C158:C160" si="142">C144</f>
        <v>75</v>
      </c>
      <c r="D158" s="148"/>
      <c r="E158" s="147">
        <f t="shared" ref="E158:E160" si="143">E144</f>
        <v>0</v>
      </c>
      <c r="F158" s="148"/>
      <c r="G158" s="147">
        <f t="shared" ref="G158:G160" si="144">G144</f>
        <v>15</v>
      </c>
      <c r="H158" s="148"/>
      <c r="I158" s="147">
        <f t="shared" ref="I158:I160" si="145">I144</f>
        <v>15</v>
      </c>
      <c r="J158" s="148"/>
      <c r="K158" s="147">
        <f t="shared" ref="K158:K160" si="146">K144</f>
        <v>15</v>
      </c>
      <c r="L158" s="148"/>
      <c r="M158" s="147">
        <f t="shared" ref="M158:M160" si="147">M144</f>
        <v>15</v>
      </c>
      <c r="N158" s="148"/>
      <c r="O158" s="147">
        <f t="shared" ref="O158:O160" si="148">O144</f>
        <v>0</v>
      </c>
      <c r="P158" s="148"/>
      <c r="Q158" s="147">
        <f t="shared" ref="Q158:Q160" si="149">Q144</f>
        <v>0</v>
      </c>
      <c r="R158" s="148"/>
      <c r="S158" s="147">
        <f t="shared" ref="S158:S160" si="150">S144</f>
        <v>15</v>
      </c>
      <c r="T158" s="148"/>
      <c r="U158" s="147">
        <f t="shared" ref="U158:U160" si="151">U144</f>
        <v>0</v>
      </c>
      <c r="V158" s="148"/>
      <c r="W158" s="147">
        <f t="shared" ref="W158:W160" si="152">W144</f>
        <v>0</v>
      </c>
      <c r="X158" s="148"/>
      <c r="Y158" s="147">
        <f t="shared" ref="Y158:Y160" si="153">Y144</f>
        <v>0</v>
      </c>
      <c r="Z158" s="148"/>
      <c r="AA158" s="147">
        <f t="shared" ref="AA158:AA160" si="154">AA144</f>
        <v>0</v>
      </c>
      <c r="AB158" s="146"/>
      <c r="AC158" s="1"/>
      <c r="AD158" s="1"/>
      <c r="AE158" s="1"/>
      <c r="AF158" s="1"/>
      <c r="AG158" s="1"/>
      <c r="AH158" s="1"/>
      <c r="AI158" s="1"/>
      <c r="AJ158" s="1"/>
      <c r="AK158" s="1"/>
      <c r="AL158" s="1"/>
      <c r="AM158" s="1"/>
      <c r="AN158" s="1"/>
      <c r="AO158" s="1"/>
      <c r="AP158" s="1"/>
      <c r="AQ158" s="1"/>
      <c r="AR158" s="1"/>
    </row>
    <row r="159" spans="1:44" ht="15.6">
      <c r="A159" s="874"/>
      <c r="B159" s="831"/>
      <c r="C159" s="149">
        <f t="shared" si="142"/>
        <v>60</v>
      </c>
      <c r="D159" s="152"/>
      <c r="E159" s="151">
        <f t="shared" si="143"/>
        <v>0</v>
      </c>
      <c r="F159" s="152"/>
      <c r="G159" s="151">
        <f t="shared" si="144"/>
        <v>0</v>
      </c>
      <c r="H159" s="152"/>
      <c r="I159" s="151">
        <f t="shared" si="145"/>
        <v>0</v>
      </c>
      <c r="J159" s="152"/>
      <c r="K159" s="151">
        <f t="shared" si="146"/>
        <v>15</v>
      </c>
      <c r="L159" s="152"/>
      <c r="M159" s="151">
        <f t="shared" si="147"/>
        <v>0</v>
      </c>
      <c r="N159" s="152"/>
      <c r="O159" s="151">
        <f t="shared" si="148"/>
        <v>15</v>
      </c>
      <c r="P159" s="152"/>
      <c r="Q159" s="151">
        <f t="shared" si="149"/>
        <v>0</v>
      </c>
      <c r="R159" s="152"/>
      <c r="S159" s="151">
        <f t="shared" si="150"/>
        <v>0</v>
      </c>
      <c r="T159" s="152"/>
      <c r="U159" s="151">
        <f t="shared" si="151"/>
        <v>15</v>
      </c>
      <c r="V159" s="152"/>
      <c r="W159" s="151">
        <f t="shared" si="152"/>
        <v>15</v>
      </c>
      <c r="X159" s="152"/>
      <c r="Y159" s="151">
        <f t="shared" si="153"/>
        <v>0</v>
      </c>
      <c r="Z159" s="152"/>
      <c r="AA159" s="151">
        <f t="shared" si="154"/>
        <v>0</v>
      </c>
      <c r="AB159" s="150"/>
      <c r="AC159" s="1"/>
      <c r="AD159" s="1"/>
      <c r="AE159" s="1"/>
      <c r="AF159" s="1"/>
      <c r="AG159" s="1"/>
      <c r="AH159" s="1"/>
      <c r="AI159" s="1"/>
      <c r="AJ159" s="1"/>
      <c r="AK159" s="1"/>
      <c r="AL159" s="1"/>
      <c r="AM159" s="1"/>
      <c r="AN159" s="1"/>
      <c r="AO159" s="1"/>
      <c r="AP159" s="1"/>
      <c r="AQ159" s="1"/>
      <c r="AR159" s="1"/>
    </row>
    <row r="160" spans="1:44" ht="15.6">
      <c r="A160" s="875"/>
      <c r="B160" s="834"/>
      <c r="C160" s="153">
        <f t="shared" si="142"/>
        <v>75</v>
      </c>
      <c r="D160" s="156"/>
      <c r="E160" s="155">
        <f t="shared" si="143"/>
        <v>0</v>
      </c>
      <c r="F160" s="156"/>
      <c r="G160" s="155">
        <f t="shared" si="144"/>
        <v>15</v>
      </c>
      <c r="H160" s="156"/>
      <c r="I160" s="155">
        <f t="shared" si="145"/>
        <v>0</v>
      </c>
      <c r="J160" s="156"/>
      <c r="K160" s="155">
        <f t="shared" si="146"/>
        <v>0</v>
      </c>
      <c r="L160" s="156"/>
      <c r="M160" s="155">
        <f t="shared" si="147"/>
        <v>0</v>
      </c>
      <c r="N160" s="156"/>
      <c r="O160" s="155">
        <f t="shared" si="148"/>
        <v>0</v>
      </c>
      <c r="P160" s="156"/>
      <c r="Q160" s="155">
        <f t="shared" si="149"/>
        <v>0</v>
      </c>
      <c r="R160" s="156"/>
      <c r="S160" s="155">
        <f t="shared" si="150"/>
        <v>0</v>
      </c>
      <c r="T160" s="156"/>
      <c r="U160" s="155">
        <f t="shared" si="151"/>
        <v>30</v>
      </c>
      <c r="V160" s="156"/>
      <c r="W160" s="155">
        <f t="shared" si="152"/>
        <v>15</v>
      </c>
      <c r="X160" s="156"/>
      <c r="Y160" s="155">
        <f t="shared" si="153"/>
        <v>15</v>
      </c>
      <c r="Z160" s="156"/>
      <c r="AA160" s="155">
        <f t="shared" si="154"/>
        <v>0</v>
      </c>
      <c r="AB160" s="154"/>
      <c r="AC160" s="1"/>
      <c r="AD160" s="1"/>
      <c r="AE160" s="1"/>
      <c r="AF160" s="1"/>
      <c r="AG160" s="1"/>
      <c r="AH160" s="1"/>
      <c r="AI160" s="1"/>
      <c r="AJ160" s="1"/>
      <c r="AK160" s="1"/>
      <c r="AL160" s="1"/>
      <c r="AM160" s="1"/>
      <c r="AN160" s="1"/>
      <c r="AO160" s="1"/>
      <c r="AP160" s="1"/>
      <c r="AQ160" s="1"/>
      <c r="AR160" s="1"/>
    </row>
    <row r="161" spans="1:44" ht="15.6">
      <c r="A161" s="911"/>
      <c r="B161" s="845"/>
      <c r="C161" s="206">
        <f>SUM(C147:C150)</f>
        <v>4230</v>
      </c>
      <c r="D161" s="158"/>
      <c r="E161" s="159">
        <f>SUM(E147:E150)</f>
        <v>240</v>
      </c>
      <c r="F161" s="160"/>
      <c r="G161" s="159">
        <f>SUM(G147:G150)</f>
        <v>270</v>
      </c>
      <c r="H161" s="160"/>
      <c r="I161" s="159">
        <f>SUM(I147:I150)</f>
        <v>285</v>
      </c>
      <c r="J161" s="160"/>
      <c r="K161" s="159">
        <f>SUM(K147:K150)</f>
        <v>315</v>
      </c>
      <c r="L161" s="160"/>
      <c r="M161" s="159">
        <f>SUM(M147:M150)</f>
        <v>330</v>
      </c>
      <c r="N161" s="160"/>
      <c r="O161" s="159">
        <f>SUM(O147:O150)</f>
        <v>345</v>
      </c>
      <c r="P161" s="160"/>
      <c r="Q161" s="159">
        <f>SUM(Q147:Q150)</f>
        <v>345</v>
      </c>
      <c r="R161" s="160"/>
      <c r="S161" s="159">
        <f>SUM(S147:S150)</f>
        <v>360</v>
      </c>
      <c r="T161" s="160"/>
      <c r="U161" s="159">
        <f>SUM(U147:U150)</f>
        <v>405</v>
      </c>
      <c r="V161" s="160"/>
      <c r="W161" s="159">
        <f>SUM(W147:W150)</f>
        <v>435</v>
      </c>
      <c r="X161" s="160"/>
      <c r="Y161" s="159">
        <f>SUM(Y147:Y150)</f>
        <v>450</v>
      </c>
      <c r="Z161" s="160"/>
      <c r="AA161" s="159">
        <f>SUM(AA147:AA150)</f>
        <v>450</v>
      </c>
      <c r="AB161" s="161"/>
      <c r="AC161" s="1"/>
      <c r="AD161" s="1"/>
      <c r="AE161" s="1"/>
      <c r="AF161" s="1"/>
      <c r="AG161" s="1"/>
      <c r="AH161" s="1"/>
      <c r="AI161" s="1"/>
      <c r="AJ161" s="1"/>
      <c r="AK161" s="1"/>
      <c r="AL161" s="1"/>
      <c r="AM161" s="1"/>
      <c r="AN161" s="1"/>
      <c r="AO161" s="1"/>
      <c r="AP161" s="1"/>
      <c r="AQ161" s="1"/>
      <c r="AR161" s="1"/>
    </row>
    <row r="162" spans="1:44" ht="15.6">
      <c r="A162" s="904"/>
      <c r="B162" s="800"/>
      <c r="C162" s="207">
        <f>SUM(C151:C155)</f>
        <v>0</v>
      </c>
      <c r="D162" s="208"/>
      <c r="E162" s="164">
        <f>SUM(E151:E155)</f>
        <v>0</v>
      </c>
      <c r="F162" s="165"/>
      <c r="G162" s="164">
        <f>SUM(G151:G155)</f>
        <v>0</v>
      </c>
      <c r="H162" s="165"/>
      <c r="I162" s="164">
        <f>SUM(I151:I155)</f>
        <v>0</v>
      </c>
      <c r="J162" s="165"/>
      <c r="K162" s="164">
        <f>SUM(K151:K155)</f>
        <v>0</v>
      </c>
      <c r="L162" s="165"/>
      <c r="M162" s="164">
        <f>SUM(M151:M155)</f>
        <v>0</v>
      </c>
      <c r="N162" s="165"/>
      <c r="O162" s="164">
        <f>SUM(O151:O155)</f>
        <v>0</v>
      </c>
      <c r="P162" s="165"/>
      <c r="Q162" s="164">
        <f>SUM(Q151:Q155)</f>
        <v>0</v>
      </c>
      <c r="R162" s="165"/>
      <c r="S162" s="164">
        <f>SUM(S151:S155)</f>
        <v>0</v>
      </c>
      <c r="T162" s="165"/>
      <c r="U162" s="164">
        <f>SUM(U151:U155)</f>
        <v>0</v>
      </c>
      <c r="V162" s="165"/>
      <c r="W162" s="164">
        <f>SUM(W151:W155)</f>
        <v>0</v>
      </c>
      <c r="X162" s="165"/>
      <c r="Y162" s="164">
        <f>SUM(Y151:Y155)</f>
        <v>0</v>
      </c>
      <c r="Z162" s="165"/>
      <c r="AA162" s="164">
        <f>SUM(AA151:AA155)</f>
        <v>0</v>
      </c>
      <c r="AB162" s="166"/>
      <c r="AC162" s="1"/>
      <c r="AD162" s="1"/>
      <c r="AE162" s="1"/>
      <c r="AF162" s="1"/>
      <c r="AG162" s="1"/>
      <c r="AH162" s="1"/>
      <c r="AI162" s="1"/>
      <c r="AJ162" s="1"/>
      <c r="AK162" s="1"/>
      <c r="AL162" s="1"/>
      <c r="AM162" s="1"/>
      <c r="AN162" s="1"/>
      <c r="AO162" s="1"/>
      <c r="AP162" s="1"/>
      <c r="AQ162" s="1"/>
      <c r="AR162" s="1"/>
    </row>
    <row r="163" spans="1:44" ht="15.6">
      <c r="A163" s="909"/>
      <c r="B163" s="851"/>
      <c r="C163" s="167">
        <f>C156</f>
        <v>0</v>
      </c>
      <c r="D163" s="209"/>
      <c r="E163" s="169">
        <f>E156</f>
        <v>0</v>
      </c>
      <c r="F163" s="170"/>
      <c r="G163" s="169">
        <f>G156</f>
        <v>0</v>
      </c>
      <c r="H163" s="170"/>
      <c r="I163" s="169">
        <f>I156</f>
        <v>0</v>
      </c>
      <c r="J163" s="170"/>
      <c r="K163" s="169">
        <f>K156</f>
        <v>0</v>
      </c>
      <c r="L163" s="170"/>
      <c r="M163" s="169">
        <f>M156</f>
        <v>0</v>
      </c>
      <c r="N163" s="170"/>
      <c r="O163" s="169">
        <f>O156</f>
        <v>0</v>
      </c>
      <c r="P163" s="170"/>
      <c r="Q163" s="169">
        <f>Q156</f>
        <v>0</v>
      </c>
      <c r="R163" s="170"/>
      <c r="S163" s="169">
        <f>S156</f>
        <v>0</v>
      </c>
      <c r="T163" s="170"/>
      <c r="U163" s="169">
        <f>U156</f>
        <v>0</v>
      </c>
      <c r="V163" s="170"/>
      <c r="W163" s="169">
        <f>W156</f>
        <v>0</v>
      </c>
      <c r="X163" s="170"/>
      <c r="Y163" s="169">
        <f>Y156</f>
        <v>0</v>
      </c>
      <c r="Z163" s="170"/>
      <c r="AA163" s="169">
        <f>AA156</f>
        <v>0</v>
      </c>
      <c r="AB163" s="171"/>
      <c r="AC163" s="1"/>
      <c r="AD163" s="1"/>
      <c r="AE163" s="1"/>
      <c r="AF163" s="1"/>
      <c r="AG163" s="1"/>
      <c r="AH163" s="1"/>
      <c r="AI163" s="1"/>
      <c r="AJ163" s="1"/>
      <c r="AK163" s="1"/>
      <c r="AL163" s="1"/>
      <c r="AM163" s="1"/>
      <c r="AN163" s="1"/>
      <c r="AO163" s="1"/>
      <c r="AP163" s="1"/>
      <c r="AQ163" s="1"/>
      <c r="AR163" s="1"/>
    </row>
    <row r="164" spans="1:44" ht="14.4">
      <c r="A164" s="1"/>
      <c r="B164" s="1"/>
      <c r="C164" s="1"/>
      <c r="D164" s="144"/>
      <c r="E164" s="144"/>
      <c r="F164" s="144"/>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row>
    <row r="165" spans="1:44" ht="25.8">
      <c r="A165" s="847" t="s">
        <v>149</v>
      </c>
      <c r="B165" s="799"/>
      <c r="C165" s="799"/>
      <c r="D165" s="799"/>
      <c r="E165" s="799"/>
      <c r="F165" s="799"/>
      <c r="G165" s="799"/>
      <c r="H165" s="799"/>
      <c r="I165" s="799"/>
      <c r="J165" s="799"/>
      <c r="K165" s="799"/>
      <c r="L165" s="799"/>
      <c r="M165" s="799"/>
      <c r="N165" s="799"/>
      <c r="O165" s="799"/>
      <c r="P165" s="799"/>
      <c r="Q165" s="799"/>
      <c r="R165" s="799"/>
      <c r="S165" s="799"/>
      <c r="T165" s="799"/>
      <c r="U165" s="799"/>
      <c r="V165" s="799"/>
      <c r="W165" s="799"/>
      <c r="X165" s="799"/>
      <c r="Y165" s="799"/>
      <c r="Z165" s="799"/>
      <c r="AA165" s="799"/>
      <c r="AB165" s="800"/>
      <c r="AC165" s="1"/>
      <c r="AD165" s="1"/>
      <c r="AE165" s="1"/>
      <c r="AF165" s="1"/>
      <c r="AG165" s="1"/>
      <c r="AH165" s="1"/>
      <c r="AI165" s="1"/>
      <c r="AJ165" s="1"/>
      <c r="AK165" s="1"/>
      <c r="AL165" s="1"/>
      <c r="AM165" s="1"/>
      <c r="AN165" s="1"/>
      <c r="AO165" s="1"/>
      <c r="AP165" s="1"/>
      <c r="AQ165" s="1"/>
      <c r="AR165" s="1"/>
    </row>
    <row r="166" spans="1:44" ht="25.8">
      <c r="A166" s="174" t="s">
        <v>74</v>
      </c>
      <c r="B166" s="848" t="s">
        <v>150</v>
      </c>
      <c r="C166" s="799"/>
      <c r="D166" s="799"/>
      <c r="E166" s="799"/>
      <c r="F166" s="799"/>
      <c r="G166" s="799"/>
      <c r="H166" s="799"/>
      <c r="I166" s="799"/>
      <c r="J166" s="799"/>
      <c r="K166" s="799"/>
      <c r="L166" s="799"/>
      <c r="M166" s="799"/>
      <c r="N166" s="799"/>
      <c r="O166" s="799"/>
      <c r="P166" s="799"/>
      <c r="Q166" s="799"/>
      <c r="R166" s="799"/>
      <c r="S166" s="799"/>
      <c r="T166" s="799"/>
      <c r="U166" s="799"/>
      <c r="V166" s="799"/>
      <c r="W166" s="799"/>
      <c r="X166" s="799"/>
      <c r="Y166" s="799"/>
      <c r="Z166" s="799"/>
      <c r="AA166" s="799"/>
      <c r="AB166" s="800"/>
      <c r="AC166" s="1"/>
      <c r="AD166" s="1"/>
      <c r="AE166" s="1"/>
      <c r="AF166" s="1"/>
      <c r="AG166" s="1"/>
      <c r="AH166" s="1"/>
      <c r="AI166" s="1"/>
      <c r="AJ166" s="1"/>
      <c r="AK166" s="1"/>
      <c r="AL166" s="1"/>
      <c r="AM166" s="1"/>
      <c r="AN166" s="1"/>
      <c r="AO166" s="1"/>
      <c r="AP166" s="1"/>
      <c r="AQ166" s="1"/>
      <c r="AR166" s="1"/>
    </row>
    <row r="167" spans="1:44" ht="21">
      <c r="A167" s="895"/>
      <c r="B167" s="836"/>
      <c r="C167" s="896" t="s">
        <v>76</v>
      </c>
      <c r="D167" s="800"/>
      <c r="E167" s="866" t="s">
        <v>58</v>
      </c>
      <c r="F167" s="843"/>
      <c r="G167" s="842" t="s">
        <v>59</v>
      </c>
      <c r="H167" s="843"/>
      <c r="I167" s="842" t="s">
        <v>60</v>
      </c>
      <c r="J167" s="843"/>
      <c r="K167" s="842" t="s">
        <v>61</v>
      </c>
      <c r="L167" s="843"/>
      <c r="M167" s="842" t="s">
        <v>62</v>
      </c>
      <c r="N167" s="843"/>
      <c r="O167" s="842" t="s">
        <v>63</v>
      </c>
      <c r="P167" s="843"/>
      <c r="Q167" s="842" t="s">
        <v>64</v>
      </c>
      <c r="R167" s="843"/>
      <c r="S167" s="842" t="s">
        <v>65</v>
      </c>
      <c r="T167" s="843"/>
      <c r="U167" s="842" t="s">
        <v>66</v>
      </c>
      <c r="V167" s="843"/>
      <c r="W167" s="842" t="s">
        <v>67</v>
      </c>
      <c r="X167" s="843"/>
      <c r="Y167" s="842" t="s">
        <v>68</v>
      </c>
      <c r="Z167" s="843"/>
      <c r="AA167" s="842" t="s">
        <v>69</v>
      </c>
      <c r="AB167" s="843"/>
      <c r="AC167" s="1"/>
      <c r="AD167" s="1"/>
      <c r="AE167" s="1"/>
      <c r="AF167" s="1"/>
      <c r="AG167" s="1"/>
      <c r="AH167" s="1"/>
      <c r="AI167" s="1"/>
      <c r="AJ167" s="1"/>
      <c r="AK167" s="1"/>
      <c r="AL167" s="1"/>
      <c r="AM167" s="1"/>
      <c r="AN167" s="1"/>
      <c r="AO167" s="1"/>
      <c r="AP167" s="1"/>
      <c r="AQ167" s="1"/>
      <c r="AR167" s="1"/>
    </row>
    <row r="168" spans="1:44" ht="14.4">
      <c r="A168" s="867" t="s">
        <v>79</v>
      </c>
      <c r="B168" s="818"/>
      <c r="C168" s="882" t="s">
        <v>80</v>
      </c>
      <c r="D168" s="828"/>
      <c r="E168" s="827" t="s">
        <v>82</v>
      </c>
      <c r="F168" s="828"/>
      <c r="G168" s="827" t="s">
        <v>82</v>
      </c>
      <c r="H168" s="828"/>
      <c r="I168" s="827" t="s">
        <v>82</v>
      </c>
      <c r="J168" s="828"/>
      <c r="K168" s="827" t="s">
        <v>82</v>
      </c>
      <c r="L168" s="828"/>
      <c r="M168" s="827" t="s">
        <v>82</v>
      </c>
      <c r="N168" s="828"/>
      <c r="O168" s="827" t="s">
        <v>82</v>
      </c>
      <c r="P168" s="828"/>
      <c r="Q168" s="827" t="s">
        <v>82</v>
      </c>
      <c r="R168" s="828"/>
      <c r="S168" s="827" t="s">
        <v>82</v>
      </c>
      <c r="T168" s="828"/>
      <c r="U168" s="827" t="s">
        <v>82</v>
      </c>
      <c r="V168" s="828"/>
      <c r="W168" s="827" t="s">
        <v>82</v>
      </c>
      <c r="X168" s="828"/>
      <c r="Y168" s="827" t="s">
        <v>82</v>
      </c>
      <c r="Z168" s="828"/>
      <c r="AA168" s="827" t="s">
        <v>82</v>
      </c>
      <c r="AB168" s="828"/>
      <c r="AC168" s="1"/>
      <c r="AD168" s="1"/>
      <c r="AE168" s="1"/>
      <c r="AF168" s="1"/>
      <c r="AG168" s="1"/>
      <c r="AH168" s="1"/>
      <c r="AI168" s="1"/>
      <c r="AJ168" s="1"/>
      <c r="AK168" s="1"/>
      <c r="AL168" s="1"/>
      <c r="AM168" s="1"/>
      <c r="AN168" s="1"/>
      <c r="AO168" s="1"/>
      <c r="AP168" s="1"/>
      <c r="AQ168" s="1"/>
      <c r="AR168" s="1"/>
    </row>
    <row r="169" spans="1:44" ht="14.4">
      <c r="A169" s="819"/>
      <c r="B169" s="821"/>
      <c r="C169" s="861" t="s">
        <v>83</v>
      </c>
      <c r="D169" s="831"/>
      <c r="E169" s="830" t="s">
        <v>82</v>
      </c>
      <c r="F169" s="831"/>
      <c r="G169" s="830" t="s">
        <v>82</v>
      </c>
      <c r="H169" s="831"/>
      <c r="I169" s="830" t="s">
        <v>82</v>
      </c>
      <c r="J169" s="831"/>
      <c r="K169" s="830" t="s">
        <v>82</v>
      </c>
      <c r="L169" s="831"/>
      <c r="M169" s="830" t="s">
        <v>82</v>
      </c>
      <c r="N169" s="831"/>
      <c r="O169" s="830" t="s">
        <v>82</v>
      </c>
      <c r="P169" s="831"/>
      <c r="Q169" s="830" t="s">
        <v>82</v>
      </c>
      <c r="R169" s="831"/>
      <c r="S169" s="830" t="s">
        <v>82</v>
      </c>
      <c r="T169" s="831"/>
      <c r="U169" s="830" t="s">
        <v>82</v>
      </c>
      <c r="V169" s="831"/>
      <c r="W169" s="830" t="s">
        <v>82</v>
      </c>
      <c r="X169" s="831"/>
      <c r="Y169" s="830" t="s">
        <v>82</v>
      </c>
      <c r="Z169" s="831"/>
      <c r="AA169" s="830" t="s">
        <v>82</v>
      </c>
      <c r="AB169" s="831"/>
      <c r="AC169" s="1"/>
      <c r="AD169" s="1"/>
      <c r="AE169" s="1"/>
      <c r="AF169" s="1"/>
      <c r="AG169" s="1"/>
      <c r="AH169" s="1"/>
      <c r="AI169" s="1"/>
      <c r="AJ169" s="1"/>
      <c r="AK169" s="1"/>
      <c r="AL169" s="1"/>
      <c r="AM169" s="1"/>
      <c r="AN169" s="1"/>
      <c r="AO169" s="1"/>
      <c r="AP169" s="1"/>
      <c r="AQ169" s="1"/>
      <c r="AR169" s="1"/>
    </row>
    <row r="170" spans="1:44" ht="14.4">
      <c r="A170" s="819"/>
      <c r="B170" s="821"/>
      <c r="C170" s="861" t="s">
        <v>84</v>
      </c>
      <c r="D170" s="831"/>
      <c r="E170" s="830" t="s">
        <v>82</v>
      </c>
      <c r="F170" s="831"/>
      <c r="G170" s="830" t="s">
        <v>82</v>
      </c>
      <c r="H170" s="831"/>
      <c r="I170" s="830" t="s">
        <v>82</v>
      </c>
      <c r="J170" s="831"/>
      <c r="K170" s="830" t="s">
        <v>82</v>
      </c>
      <c r="L170" s="831"/>
      <c r="M170" s="830" t="s">
        <v>82</v>
      </c>
      <c r="N170" s="831"/>
      <c r="O170" s="830" t="s">
        <v>82</v>
      </c>
      <c r="P170" s="831"/>
      <c r="Q170" s="830" t="s">
        <v>82</v>
      </c>
      <c r="R170" s="831"/>
      <c r="S170" s="830" t="s">
        <v>82</v>
      </c>
      <c r="T170" s="831"/>
      <c r="U170" s="830" t="s">
        <v>82</v>
      </c>
      <c r="V170" s="831"/>
      <c r="W170" s="830" t="s">
        <v>82</v>
      </c>
      <c r="X170" s="831"/>
      <c r="Y170" s="830" t="s">
        <v>82</v>
      </c>
      <c r="Z170" s="831"/>
      <c r="AA170" s="830" t="s">
        <v>82</v>
      </c>
      <c r="AB170" s="831"/>
      <c r="AC170" s="1"/>
      <c r="AD170" s="1"/>
      <c r="AE170" s="1"/>
      <c r="AF170" s="1"/>
      <c r="AG170" s="1"/>
      <c r="AH170" s="1"/>
      <c r="AI170" s="1"/>
      <c r="AJ170" s="1"/>
      <c r="AK170" s="1"/>
      <c r="AL170" s="1"/>
      <c r="AM170" s="1"/>
      <c r="AN170" s="1"/>
      <c r="AO170" s="1"/>
      <c r="AP170" s="1"/>
      <c r="AQ170" s="1"/>
      <c r="AR170" s="1"/>
    </row>
    <row r="171" spans="1:44" ht="14.4">
      <c r="A171" s="819"/>
      <c r="B171" s="821"/>
      <c r="C171" s="861" t="s">
        <v>86</v>
      </c>
      <c r="D171" s="831"/>
      <c r="E171" s="830" t="s">
        <v>82</v>
      </c>
      <c r="F171" s="831"/>
      <c r="G171" s="830" t="s">
        <v>82</v>
      </c>
      <c r="H171" s="831"/>
      <c r="I171" s="830" t="s">
        <v>82</v>
      </c>
      <c r="J171" s="831"/>
      <c r="K171" s="830" t="s">
        <v>82</v>
      </c>
      <c r="L171" s="831"/>
      <c r="M171" s="830" t="s">
        <v>82</v>
      </c>
      <c r="N171" s="831"/>
      <c r="O171" s="830" t="s">
        <v>82</v>
      </c>
      <c r="P171" s="831"/>
      <c r="Q171" s="830" t="s">
        <v>82</v>
      </c>
      <c r="R171" s="831"/>
      <c r="S171" s="830" t="s">
        <v>82</v>
      </c>
      <c r="T171" s="831"/>
      <c r="U171" s="830" t="s">
        <v>82</v>
      </c>
      <c r="V171" s="831"/>
      <c r="W171" s="830" t="s">
        <v>82</v>
      </c>
      <c r="X171" s="831"/>
      <c r="Y171" s="830" t="s">
        <v>82</v>
      </c>
      <c r="Z171" s="831"/>
      <c r="AA171" s="830" t="s">
        <v>82</v>
      </c>
      <c r="AB171" s="831"/>
      <c r="AC171" s="1"/>
      <c r="AD171" s="1"/>
      <c r="AE171" s="1"/>
      <c r="AF171" s="1"/>
      <c r="AG171" s="1"/>
      <c r="AH171" s="1"/>
      <c r="AI171" s="1"/>
      <c r="AJ171" s="1"/>
      <c r="AK171" s="1"/>
      <c r="AL171" s="1"/>
      <c r="AM171" s="1"/>
      <c r="AN171" s="1"/>
      <c r="AO171" s="1"/>
      <c r="AP171" s="1"/>
      <c r="AQ171" s="1"/>
      <c r="AR171" s="1"/>
    </row>
    <row r="172" spans="1:44" ht="14.4">
      <c r="A172" s="819"/>
      <c r="B172" s="821"/>
      <c r="C172" s="861" t="s">
        <v>88</v>
      </c>
      <c r="D172" s="831"/>
      <c r="E172" s="830" t="s">
        <v>82</v>
      </c>
      <c r="F172" s="831"/>
      <c r="G172" s="832" t="s">
        <v>151</v>
      </c>
      <c r="H172" s="831"/>
      <c r="I172" s="830" t="s">
        <v>82</v>
      </c>
      <c r="J172" s="831"/>
      <c r="K172" s="830" t="s">
        <v>82</v>
      </c>
      <c r="L172" s="831"/>
      <c r="M172" s="830" t="s">
        <v>82</v>
      </c>
      <c r="N172" s="831"/>
      <c r="O172" s="830" t="s">
        <v>82</v>
      </c>
      <c r="P172" s="831"/>
      <c r="Q172" s="832" t="s">
        <v>130</v>
      </c>
      <c r="R172" s="831"/>
      <c r="S172" s="830" t="s">
        <v>82</v>
      </c>
      <c r="T172" s="831"/>
      <c r="U172" s="830" t="s">
        <v>82</v>
      </c>
      <c r="V172" s="831"/>
      <c r="W172" s="830" t="s">
        <v>82</v>
      </c>
      <c r="X172" s="831"/>
      <c r="Y172" s="830" t="s">
        <v>82</v>
      </c>
      <c r="Z172" s="831"/>
      <c r="AA172" s="830" t="s">
        <v>82</v>
      </c>
      <c r="AB172" s="831"/>
      <c r="AC172" s="1"/>
      <c r="AD172" s="1"/>
      <c r="AE172" s="1"/>
      <c r="AF172" s="1"/>
      <c r="AG172" s="1"/>
      <c r="AH172" s="1"/>
      <c r="AI172" s="1"/>
      <c r="AJ172" s="1"/>
      <c r="AK172" s="1"/>
      <c r="AL172" s="1"/>
      <c r="AM172" s="1"/>
      <c r="AN172" s="1"/>
      <c r="AO172" s="1"/>
      <c r="AP172" s="1"/>
      <c r="AQ172" s="1"/>
      <c r="AR172" s="1"/>
    </row>
    <row r="173" spans="1:44" ht="14.4">
      <c r="A173" s="819"/>
      <c r="B173" s="821"/>
      <c r="C173" s="861" t="s">
        <v>89</v>
      </c>
      <c r="D173" s="831"/>
      <c r="E173" s="830" t="s">
        <v>82</v>
      </c>
      <c r="F173" s="831"/>
      <c r="G173" s="830" t="s">
        <v>82</v>
      </c>
      <c r="H173" s="831"/>
      <c r="I173" s="830" t="s">
        <v>82</v>
      </c>
      <c r="J173" s="831"/>
      <c r="K173" s="830" t="s">
        <v>82</v>
      </c>
      <c r="L173" s="831"/>
      <c r="M173" s="830" t="s">
        <v>82</v>
      </c>
      <c r="N173" s="831"/>
      <c r="O173" s="830" t="s">
        <v>82</v>
      </c>
      <c r="P173" s="831"/>
      <c r="Q173" s="830" t="s">
        <v>82</v>
      </c>
      <c r="R173" s="831"/>
      <c r="S173" s="830" t="s">
        <v>82</v>
      </c>
      <c r="T173" s="831"/>
      <c r="U173" s="830" t="s">
        <v>82</v>
      </c>
      <c r="V173" s="831"/>
      <c r="W173" s="830" t="s">
        <v>82</v>
      </c>
      <c r="X173" s="831"/>
      <c r="Y173" s="830" t="s">
        <v>82</v>
      </c>
      <c r="Z173" s="831"/>
      <c r="AA173" s="830" t="s">
        <v>82</v>
      </c>
      <c r="AB173" s="831"/>
      <c r="AC173" s="1"/>
      <c r="AD173" s="1"/>
      <c r="AE173" s="1"/>
      <c r="AF173" s="1"/>
      <c r="AG173" s="1"/>
      <c r="AH173" s="1"/>
      <c r="AI173" s="1"/>
      <c r="AJ173" s="1"/>
      <c r="AK173" s="1"/>
      <c r="AL173" s="1"/>
      <c r="AM173" s="1"/>
      <c r="AN173" s="1"/>
      <c r="AO173" s="1"/>
      <c r="AP173" s="1"/>
      <c r="AQ173" s="1"/>
      <c r="AR173" s="1"/>
    </row>
    <row r="174" spans="1:44" ht="14.4">
      <c r="A174" s="819"/>
      <c r="B174" s="821"/>
      <c r="C174" s="861" t="s">
        <v>90</v>
      </c>
      <c r="D174" s="831"/>
      <c r="E174" s="832" t="s">
        <v>152</v>
      </c>
      <c r="F174" s="831"/>
      <c r="G174" s="830" t="s">
        <v>82</v>
      </c>
      <c r="H174" s="831"/>
      <c r="I174" s="830" t="s">
        <v>82</v>
      </c>
      <c r="J174" s="831"/>
      <c r="K174" s="830" t="s">
        <v>82</v>
      </c>
      <c r="L174" s="831"/>
      <c r="M174" s="830" t="s">
        <v>82</v>
      </c>
      <c r="N174" s="831"/>
      <c r="O174" s="830" t="s">
        <v>82</v>
      </c>
      <c r="P174" s="831"/>
      <c r="Q174" s="830" t="s">
        <v>82</v>
      </c>
      <c r="R174" s="831"/>
      <c r="S174" s="830" t="s">
        <v>82</v>
      </c>
      <c r="T174" s="831"/>
      <c r="U174" s="830" t="s">
        <v>82</v>
      </c>
      <c r="V174" s="831"/>
      <c r="W174" s="830" t="s">
        <v>82</v>
      </c>
      <c r="X174" s="831"/>
      <c r="Y174" s="830" t="s">
        <v>82</v>
      </c>
      <c r="Z174" s="831"/>
      <c r="AA174" s="830" t="s">
        <v>82</v>
      </c>
      <c r="AB174" s="831"/>
      <c r="AC174" s="1"/>
      <c r="AD174" s="1"/>
      <c r="AE174" s="1"/>
      <c r="AF174" s="1"/>
      <c r="AG174" s="1"/>
      <c r="AH174" s="1"/>
      <c r="AI174" s="1"/>
      <c r="AJ174" s="1"/>
      <c r="AK174" s="1"/>
      <c r="AL174" s="1"/>
      <c r="AM174" s="1"/>
      <c r="AN174" s="1"/>
      <c r="AO174" s="1"/>
      <c r="AP174" s="1"/>
      <c r="AQ174" s="1"/>
      <c r="AR174" s="1"/>
    </row>
    <row r="175" spans="1:44" ht="14.4">
      <c r="A175" s="819"/>
      <c r="B175" s="821"/>
      <c r="C175" s="861">
        <v>0</v>
      </c>
      <c r="D175" s="831"/>
      <c r="E175" s="830" t="s">
        <v>82</v>
      </c>
      <c r="F175" s="831"/>
      <c r="G175" s="830" t="s">
        <v>82</v>
      </c>
      <c r="H175" s="831"/>
      <c r="I175" s="830" t="s">
        <v>82</v>
      </c>
      <c r="J175" s="831"/>
      <c r="K175" s="830" t="s">
        <v>82</v>
      </c>
      <c r="L175" s="831"/>
      <c r="M175" s="830" t="s">
        <v>82</v>
      </c>
      <c r="N175" s="831"/>
      <c r="O175" s="830" t="s">
        <v>82</v>
      </c>
      <c r="P175" s="831"/>
      <c r="Q175" s="830" t="s">
        <v>82</v>
      </c>
      <c r="R175" s="831"/>
      <c r="S175" s="830" t="s">
        <v>82</v>
      </c>
      <c r="T175" s="831"/>
      <c r="U175" s="830" t="s">
        <v>82</v>
      </c>
      <c r="V175" s="831"/>
      <c r="W175" s="830" t="s">
        <v>82</v>
      </c>
      <c r="X175" s="831"/>
      <c r="Y175" s="830" t="s">
        <v>82</v>
      </c>
      <c r="Z175" s="831"/>
      <c r="AA175" s="830" t="s">
        <v>82</v>
      </c>
      <c r="AB175" s="831"/>
      <c r="AC175" s="1"/>
      <c r="AD175" s="1"/>
      <c r="AE175" s="1"/>
      <c r="AF175" s="1"/>
      <c r="AG175" s="1"/>
      <c r="AH175" s="1"/>
      <c r="AI175" s="1"/>
      <c r="AJ175" s="1"/>
      <c r="AK175" s="1"/>
      <c r="AL175" s="1"/>
      <c r="AM175" s="1"/>
      <c r="AN175" s="1"/>
      <c r="AO175" s="1"/>
      <c r="AP175" s="1"/>
      <c r="AQ175" s="1"/>
      <c r="AR175" s="1"/>
    </row>
    <row r="176" spans="1:44" ht="14.4">
      <c r="A176" s="819"/>
      <c r="B176" s="821"/>
      <c r="C176" s="861">
        <v>0</v>
      </c>
      <c r="D176" s="831"/>
      <c r="E176" s="830" t="s">
        <v>82</v>
      </c>
      <c r="F176" s="831"/>
      <c r="G176" s="830" t="s">
        <v>82</v>
      </c>
      <c r="H176" s="831"/>
      <c r="I176" s="830" t="s">
        <v>82</v>
      </c>
      <c r="J176" s="831"/>
      <c r="K176" s="830" t="s">
        <v>82</v>
      </c>
      <c r="L176" s="831"/>
      <c r="M176" s="830" t="s">
        <v>82</v>
      </c>
      <c r="N176" s="831"/>
      <c r="O176" s="830" t="s">
        <v>82</v>
      </c>
      <c r="P176" s="831"/>
      <c r="Q176" s="830" t="s">
        <v>82</v>
      </c>
      <c r="R176" s="831"/>
      <c r="S176" s="830" t="s">
        <v>82</v>
      </c>
      <c r="T176" s="831"/>
      <c r="U176" s="830" t="s">
        <v>82</v>
      </c>
      <c r="V176" s="831"/>
      <c r="W176" s="830" t="s">
        <v>82</v>
      </c>
      <c r="X176" s="831"/>
      <c r="Y176" s="830" t="s">
        <v>82</v>
      </c>
      <c r="Z176" s="831"/>
      <c r="AA176" s="830" t="s">
        <v>82</v>
      </c>
      <c r="AB176" s="831"/>
      <c r="AC176" s="1"/>
      <c r="AD176" s="1"/>
      <c r="AE176" s="1"/>
      <c r="AF176" s="1"/>
      <c r="AG176" s="1"/>
      <c r="AH176" s="1"/>
      <c r="AI176" s="1"/>
      <c r="AJ176" s="1"/>
      <c r="AK176" s="1"/>
      <c r="AL176" s="1"/>
      <c r="AM176" s="1"/>
      <c r="AN176" s="1"/>
      <c r="AO176" s="1"/>
      <c r="AP176" s="1"/>
      <c r="AQ176" s="1"/>
      <c r="AR176" s="1"/>
    </row>
    <row r="177" spans="1:44" ht="14.4">
      <c r="A177" s="819"/>
      <c r="B177" s="821"/>
      <c r="C177" s="861">
        <v>0</v>
      </c>
      <c r="D177" s="831"/>
      <c r="E177" s="830" t="s">
        <v>82</v>
      </c>
      <c r="F177" s="831"/>
      <c r="G177" s="830" t="s">
        <v>82</v>
      </c>
      <c r="H177" s="831"/>
      <c r="I177" s="830" t="s">
        <v>82</v>
      </c>
      <c r="J177" s="831"/>
      <c r="K177" s="830" t="s">
        <v>82</v>
      </c>
      <c r="L177" s="831"/>
      <c r="M177" s="830" t="s">
        <v>82</v>
      </c>
      <c r="N177" s="831"/>
      <c r="O177" s="830" t="s">
        <v>82</v>
      </c>
      <c r="P177" s="831"/>
      <c r="Q177" s="830" t="s">
        <v>82</v>
      </c>
      <c r="R177" s="831"/>
      <c r="S177" s="830" t="s">
        <v>82</v>
      </c>
      <c r="T177" s="831"/>
      <c r="U177" s="830" t="s">
        <v>82</v>
      </c>
      <c r="V177" s="831"/>
      <c r="W177" s="830" t="s">
        <v>82</v>
      </c>
      <c r="X177" s="831"/>
      <c r="Y177" s="830" t="s">
        <v>82</v>
      </c>
      <c r="Z177" s="831"/>
      <c r="AA177" s="830" t="s">
        <v>82</v>
      </c>
      <c r="AB177" s="831"/>
      <c r="AC177" s="1"/>
      <c r="AD177" s="1"/>
      <c r="AE177" s="1"/>
      <c r="AF177" s="1"/>
      <c r="AG177" s="1"/>
      <c r="AH177" s="1"/>
      <c r="AI177" s="1"/>
      <c r="AJ177" s="1"/>
      <c r="AK177" s="1"/>
      <c r="AL177" s="1"/>
      <c r="AM177" s="1"/>
      <c r="AN177" s="1"/>
      <c r="AO177" s="1"/>
      <c r="AP177" s="1"/>
      <c r="AQ177" s="1"/>
      <c r="AR177" s="1"/>
    </row>
    <row r="178" spans="1:44" ht="14.4">
      <c r="A178" s="819"/>
      <c r="B178" s="821"/>
      <c r="C178" s="861">
        <v>0</v>
      </c>
      <c r="D178" s="831"/>
      <c r="E178" s="830" t="s">
        <v>82</v>
      </c>
      <c r="F178" s="831"/>
      <c r="G178" s="830" t="s">
        <v>82</v>
      </c>
      <c r="H178" s="831"/>
      <c r="I178" s="830" t="s">
        <v>82</v>
      </c>
      <c r="J178" s="831"/>
      <c r="K178" s="830" t="s">
        <v>82</v>
      </c>
      <c r="L178" s="831"/>
      <c r="M178" s="830" t="s">
        <v>82</v>
      </c>
      <c r="N178" s="831"/>
      <c r="O178" s="830" t="s">
        <v>82</v>
      </c>
      <c r="P178" s="831"/>
      <c r="Q178" s="830" t="s">
        <v>82</v>
      </c>
      <c r="R178" s="831"/>
      <c r="S178" s="830" t="s">
        <v>82</v>
      </c>
      <c r="T178" s="831"/>
      <c r="U178" s="830" t="s">
        <v>82</v>
      </c>
      <c r="V178" s="831"/>
      <c r="W178" s="830" t="s">
        <v>82</v>
      </c>
      <c r="X178" s="831"/>
      <c r="Y178" s="830" t="s">
        <v>82</v>
      </c>
      <c r="Z178" s="831"/>
      <c r="AA178" s="830" t="s">
        <v>82</v>
      </c>
      <c r="AB178" s="831"/>
      <c r="AC178" s="1"/>
      <c r="AD178" s="1"/>
      <c r="AE178" s="1"/>
      <c r="AF178" s="1"/>
      <c r="AG178" s="1"/>
      <c r="AH178" s="1"/>
      <c r="AI178" s="1"/>
      <c r="AJ178" s="1"/>
      <c r="AK178" s="1"/>
      <c r="AL178" s="1"/>
      <c r="AM178" s="1"/>
      <c r="AN178" s="1"/>
      <c r="AO178" s="1"/>
      <c r="AP178" s="1"/>
      <c r="AQ178" s="1"/>
      <c r="AR178" s="1"/>
    </row>
    <row r="179" spans="1:44" ht="14.4">
      <c r="A179" s="819"/>
      <c r="B179" s="821"/>
      <c r="C179" s="861">
        <v>0</v>
      </c>
      <c r="D179" s="831"/>
      <c r="E179" s="830" t="s">
        <v>82</v>
      </c>
      <c r="F179" s="831"/>
      <c r="G179" s="830" t="s">
        <v>82</v>
      </c>
      <c r="H179" s="831"/>
      <c r="I179" s="830" t="s">
        <v>82</v>
      </c>
      <c r="J179" s="831"/>
      <c r="K179" s="830" t="s">
        <v>82</v>
      </c>
      <c r="L179" s="831"/>
      <c r="M179" s="830" t="s">
        <v>82</v>
      </c>
      <c r="N179" s="831"/>
      <c r="O179" s="830" t="s">
        <v>82</v>
      </c>
      <c r="P179" s="831"/>
      <c r="Q179" s="830" t="s">
        <v>82</v>
      </c>
      <c r="R179" s="831"/>
      <c r="S179" s="830" t="s">
        <v>82</v>
      </c>
      <c r="T179" s="831"/>
      <c r="U179" s="830" t="s">
        <v>82</v>
      </c>
      <c r="V179" s="831"/>
      <c r="W179" s="830" t="s">
        <v>82</v>
      </c>
      <c r="X179" s="831"/>
      <c r="Y179" s="830" t="s">
        <v>82</v>
      </c>
      <c r="Z179" s="831"/>
      <c r="AA179" s="830" t="s">
        <v>82</v>
      </c>
      <c r="AB179" s="831"/>
      <c r="AC179" s="1"/>
      <c r="AD179" s="1"/>
      <c r="AE179" s="1"/>
      <c r="AF179" s="1"/>
      <c r="AG179" s="1"/>
      <c r="AH179" s="1"/>
      <c r="AI179" s="1"/>
      <c r="AJ179" s="1"/>
      <c r="AK179" s="1"/>
      <c r="AL179" s="1"/>
      <c r="AM179" s="1"/>
      <c r="AN179" s="1"/>
      <c r="AO179" s="1"/>
      <c r="AP179" s="1"/>
      <c r="AQ179" s="1"/>
      <c r="AR179" s="1"/>
    </row>
    <row r="180" spans="1:44" ht="14.4">
      <c r="A180" s="819"/>
      <c r="B180" s="821"/>
      <c r="C180" s="861">
        <v>0</v>
      </c>
      <c r="D180" s="831"/>
      <c r="E180" s="830" t="s">
        <v>82</v>
      </c>
      <c r="F180" s="831"/>
      <c r="G180" s="830" t="s">
        <v>82</v>
      </c>
      <c r="H180" s="831"/>
      <c r="I180" s="830" t="s">
        <v>82</v>
      </c>
      <c r="J180" s="831"/>
      <c r="K180" s="830" t="s">
        <v>82</v>
      </c>
      <c r="L180" s="831"/>
      <c r="M180" s="830" t="s">
        <v>82</v>
      </c>
      <c r="N180" s="831"/>
      <c r="O180" s="830" t="s">
        <v>82</v>
      </c>
      <c r="P180" s="831"/>
      <c r="Q180" s="830" t="s">
        <v>82</v>
      </c>
      <c r="R180" s="831"/>
      <c r="S180" s="830" t="s">
        <v>82</v>
      </c>
      <c r="T180" s="831"/>
      <c r="U180" s="830" t="s">
        <v>82</v>
      </c>
      <c r="V180" s="831"/>
      <c r="W180" s="830" t="s">
        <v>82</v>
      </c>
      <c r="X180" s="831"/>
      <c r="Y180" s="830" t="s">
        <v>82</v>
      </c>
      <c r="Z180" s="831"/>
      <c r="AA180" s="830" t="s">
        <v>82</v>
      </c>
      <c r="AB180" s="831"/>
      <c r="AC180" s="1"/>
      <c r="AD180" s="1"/>
      <c r="AE180" s="1"/>
      <c r="AF180" s="1"/>
      <c r="AG180" s="1"/>
      <c r="AH180" s="1"/>
      <c r="AI180" s="1"/>
      <c r="AJ180" s="1"/>
      <c r="AK180" s="1"/>
      <c r="AL180" s="1"/>
      <c r="AM180" s="1"/>
      <c r="AN180" s="1"/>
      <c r="AO180" s="1"/>
      <c r="AP180" s="1"/>
      <c r="AQ180" s="1"/>
      <c r="AR180" s="1"/>
    </row>
    <row r="181" spans="1:44" ht="14.4">
      <c r="A181" s="819"/>
      <c r="B181" s="821"/>
      <c r="C181" s="861">
        <v>0</v>
      </c>
      <c r="D181" s="831"/>
      <c r="E181" s="830" t="s">
        <v>82</v>
      </c>
      <c r="F181" s="831"/>
      <c r="G181" s="830" t="s">
        <v>82</v>
      </c>
      <c r="H181" s="831"/>
      <c r="I181" s="830" t="s">
        <v>82</v>
      </c>
      <c r="J181" s="831"/>
      <c r="K181" s="830" t="s">
        <v>82</v>
      </c>
      <c r="L181" s="831"/>
      <c r="M181" s="830" t="s">
        <v>82</v>
      </c>
      <c r="N181" s="831"/>
      <c r="O181" s="830" t="s">
        <v>82</v>
      </c>
      <c r="P181" s="831"/>
      <c r="Q181" s="830" t="s">
        <v>82</v>
      </c>
      <c r="R181" s="831"/>
      <c r="S181" s="830" t="s">
        <v>82</v>
      </c>
      <c r="T181" s="831"/>
      <c r="U181" s="830" t="s">
        <v>82</v>
      </c>
      <c r="V181" s="831"/>
      <c r="W181" s="830" t="s">
        <v>82</v>
      </c>
      <c r="X181" s="831"/>
      <c r="Y181" s="830" t="s">
        <v>82</v>
      </c>
      <c r="Z181" s="831"/>
      <c r="AA181" s="830" t="s">
        <v>82</v>
      </c>
      <c r="AB181" s="831"/>
      <c r="AC181" s="1"/>
      <c r="AD181" s="1"/>
      <c r="AE181" s="1"/>
      <c r="AF181" s="1"/>
      <c r="AG181" s="1"/>
      <c r="AH181" s="1"/>
      <c r="AI181" s="1"/>
      <c r="AJ181" s="1"/>
      <c r="AK181" s="1"/>
      <c r="AL181" s="1"/>
      <c r="AM181" s="1"/>
      <c r="AN181" s="1"/>
      <c r="AO181" s="1"/>
      <c r="AP181" s="1"/>
      <c r="AQ181" s="1"/>
      <c r="AR181" s="1"/>
    </row>
    <row r="182" spans="1:44" ht="14.4">
      <c r="A182" s="819"/>
      <c r="B182" s="821"/>
      <c r="C182" s="861">
        <v>0</v>
      </c>
      <c r="D182" s="831"/>
      <c r="E182" s="830" t="s">
        <v>82</v>
      </c>
      <c r="F182" s="831"/>
      <c r="G182" s="830" t="s">
        <v>82</v>
      </c>
      <c r="H182" s="831"/>
      <c r="I182" s="830" t="s">
        <v>82</v>
      </c>
      <c r="J182" s="831"/>
      <c r="K182" s="830" t="s">
        <v>82</v>
      </c>
      <c r="L182" s="831"/>
      <c r="M182" s="830" t="s">
        <v>82</v>
      </c>
      <c r="N182" s="831"/>
      <c r="O182" s="830" t="s">
        <v>82</v>
      </c>
      <c r="P182" s="831"/>
      <c r="Q182" s="830" t="s">
        <v>82</v>
      </c>
      <c r="R182" s="831"/>
      <c r="S182" s="830" t="s">
        <v>82</v>
      </c>
      <c r="T182" s="831"/>
      <c r="U182" s="830" t="s">
        <v>82</v>
      </c>
      <c r="V182" s="831"/>
      <c r="W182" s="830" t="s">
        <v>82</v>
      </c>
      <c r="X182" s="831"/>
      <c r="Y182" s="830" t="s">
        <v>82</v>
      </c>
      <c r="Z182" s="831"/>
      <c r="AA182" s="830" t="s">
        <v>82</v>
      </c>
      <c r="AB182" s="831"/>
      <c r="AC182" s="1"/>
      <c r="AD182" s="1"/>
      <c r="AE182" s="1"/>
      <c r="AF182" s="1"/>
      <c r="AG182" s="1"/>
      <c r="AH182" s="1"/>
      <c r="AI182" s="1"/>
      <c r="AJ182" s="1"/>
      <c r="AK182" s="1"/>
      <c r="AL182" s="1"/>
      <c r="AM182" s="1"/>
      <c r="AN182" s="1"/>
      <c r="AO182" s="1"/>
      <c r="AP182" s="1"/>
      <c r="AQ182" s="1"/>
      <c r="AR182" s="1"/>
    </row>
    <row r="183" spans="1:44" ht="14.4">
      <c r="A183" s="819"/>
      <c r="B183" s="821"/>
      <c r="C183" s="861">
        <v>0</v>
      </c>
      <c r="D183" s="831"/>
      <c r="E183" s="830" t="s">
        <v>82</v>
      </c>
      <c r="F183" s="831"/>
      <c r="G183" s="830" t="s">
        <v>82</v>
      </c>
      <c r="H183" s="831"/>
      <c r="I183" s="830" t="s">
        <v>82</v>
      </c>
      <c r="J183" s="831"/>
      <c r="K183" s="830" t="s">
        <v>82</v>
      </c>
      <c r="L183" s="831"/>
      <c r="M183" s="830" t="s">
        <v>82</v>
      </c>
      <c r="N183" s="831"/>
      <c r="O183" s="830" t="s">
        <v>82</v>
      </c>
      <c r="P183" s="831"/>
      <c r="Q183" s="830" t="s">
        <v>82</v>
      </c>
      <c r="R183" s="831"/>
      <c r="S183" s="830" t="s">
        <v>82</v>
      </c>
      <c r="T183" s="831"/>
      <c r="U183" s="830" t="s">
        <v>82</v>
      </c>
      <c r="V183" s="831"/>
      <c r="W183" s="830" t="s">
        <v>82</v>
      </c>
      <c r="X183" s="831"/>
      <c r="Y183" s="830" t="s">
        <v>82</v>
      </c>
      <c r="Z183" s="831"/>
      <c r="AA183" s="830" t="s">
        <v>82</v>
      </c>
      <c r="AB183" s="831"/>
      <c r="AC183" s="1"/>
      <c r="AD183" s="1"/>
      <c r="AE183" s="1"/>
      <c r="AF183" s="1"/>
      <c r="AG183" s="1"/>
      <c r="AH183" s="1"/>
      <c r="AI183" s="1"/>
      <c r="AJ183" s="1"/>
      <c r="AK183" s="1"/>
      <c r="AL183" s="1"/>
      <c r="AM183" s="1"/>
      <c r="AN183" s="1"/>
      <c r="AO183" s="1"/>
      <c r="AP183" s="1"/>
      <c r="AQ183" s="1"/>
      <c r="AR183" s="1"/>
    </row>
    <row r="184" spans="1:44" ht="14.4">
      <c r="A184" s="819"/>
      <c r="B184" s="821"/>
      <c r="C184" s="861">
        <v>0</v>
      </c>
      <c r="D184" s="831"/>
      <c r="E184" s="830" t="s">
        <v>82</v>
      </c>
      <c r="F184" s="831"/>
      <c r="G184" s="830" t="s">
        <v>82</v>
      </c>
      <c r="H184" s="831"/>
      <c r="I184" s="830" t="s">
        <v>82</v>
      </c>
      <c r="J184" s="831"/>
      <c r="K184" s="830" t="s">
        <v>82</v>
      </c>
      <c r="L184" s="831"/>
      <c r="M184" s="830" t="s">
        <v>82</v>
      </c>
      <c r="N184" s="831"/>
      <c r="O184" s="830" t="s">
        <v>82</v>
      </c>
      <c r="P184" s="831"/>
      <c r="Q184" s="830" t="s">
        <v>82</v>
      </c>
      <c r="R184" s="831"/>
      <c r="S184" s="830" t="s">
        <v>82</v>
      </c>
      <c r="T184" s="831"/>
      <c r="U184" s="830" t="s">
        <v>82</v>
      </c>
      <c r="V184" s="831"/>
      <c r="W184" s="830" t="s">
        <v>82</v>
      </c>
      <c r="X184" s="831"/>
      <c r="Y184" s="830" t="s">
        <v>82</v>
      </c>
      <c r="Z184" s="831"/>
      <c r="AA184" s="830" t="s">
        <v>82</v>
      </c>
      <c r="AB184" s="831"/>
      <c r="AC184" s="1"/>
      <c r="AD184" s="1"/>
      <c r="AE184" s="1"/>
      <c r="AF184" s="1"/>
      <c r="AG184" s="1"/>
      <c r="AH184" s="1"/>
      <c r="AI184" s="1"/>
      <c r="AJ184" s="1"/>
      <c r="AK184" s="1"/>
      <c r="AL184" s="1"/>
      <c r="AM184" s="1"/>
      <c r="AN184" s="1"/>
      <c r="AO184" s="1"/>
      <c r="AP184" s="1"/>
      <c r="AQ184" s="1"/>
      <c r="AR184" s="1"/>
    </row>
    <row r="185" spans="1:44" ht="14.4">
      <c r="A185" s="822"/>
      <c r="B185" s="824"/>
      <c r="C185" s="869">
        <v>0</v>
      </c>
      <c r="D185" s="870"/>
      <c r="E185" s="833" t="s">
        <v>82</v>
      </c>
      <c r="F185" s="834"/>
      <c r="G185" s="833" t="s">
        <v>82</v>
      </c>
      <c r="H185" s="834"/>
      <c r="I185" s="833" t="s">
        <v>82</v>
      </c>
      <c r="J185" s="834"/>
      <c r="K185" s="833" t="s">
        <v>82</v>
      </c>
      <c r="L185" s="834"/>
      <c r="M185" s="833" t="s">
        <v>82</v>
      </c>
      <c r="N185" s="834"/>
      <c r="O185" s="833" t="s">
        <v>82</v>
      </c>
      <c r="P185" s="834"/>
      <c r="Q185" s="833" t="s">
        <v>82</v>
      </c>
      <c r="R185" s="834"/>
      <c r="S185" s="833" t="s">
        <v>82</v>
      </c>
      <c r="T185" s="834"/>
      <c r="U185" s="835" t="s">
        <v>82</v>
      </c>
      <c r="V185" s="836"/>
      <c r="W185" s="833" t="s">
        <v>82</v>
      </c>
      <c r="X185" s="834"/>
      <c r="Y185" s="833" t="s">
        <v>82</v>
      </c>
      <c r="Z185" s="834"/>
      <c r="AA185" s="833" t="s">
        <v>82</v>
      </c>
      <c r="AB185" s="834"/>
      <c r="AC185" s="1"/>
      <c r="AD185" s="1"/>
      <c r="AE185" s="1"/>
      <c r="AF185" s="1"/>
      <c r="AG185" s="1"/>
      <c r="AH185" s="1"/>
      <c r="AI185" s="1"/>
      <c r="AJ185" s="1"/>
      <c r="AK185" s="1"/>
      <c r="AL185" s="1"/>
      <c r="AM185" s="1"/>
      <c r="AN185" s="1"/>
      <c r="AO185" s="1"/>
      <c r="AP185" s="1"/>
      <c r="AQ185" s="1"/>
      <c r="AR185" s="1"/>
    </row>
    <row r="186" spans="1:44" ht="14.4">
      <c r="A186" s="867" t="s">
        <v>91</v>
      </c>
      <c r="B186" s="818"/>
      <c r="C186" s="827" t="s">
        <v>92</v>
      </c>
      <c r="D186" s="828"/>
      <c r="E186" s="829" t="s">
        <v>82</v>
      </c>
      <c r="F186" s="818"/>
      <c r="G186" s="827" t="s">
        <v>82</v>
      </c>
      <c r="H186" s="828"/>
      <c r="I186" s="827" t="s">
        <v>82</v>
      </c>
      <c r="J186" s="828"/>
      <c r="K186" s="829" t="s">
        <v>82</v>
      </c>
      <c r="L186" s="818"/>
      <c r="M186" s="827" t="s">
        <v>82</v>
      </c>
      <c r="N186" s="828"/>
      <c r="O186" s="827" t="s">
        <v>82</v>
      </c>
      <c r="P186" s="828"/>
      <c r="Q186" s="827" t="s">
        <v>82</v>
      </c>
      <c r="R186" s="828"/>
      <c r="S186" s="827" t="s">
        <v>82</v>
      </c>
      <c r="T186" s="828"/>
      <c r="U186" s="827" t="s">
        <v>82</v>
      </c>
      <c r="V186" s="828"/>
      <c r="W186" s="827" t="s">
        <v>82</v>
      </c>
      <c r="X186" s="828"/>
      <c r="Y186" s="827" t="s">
        <v>82</v>
      </c>
      <c r="Z186" s="828"/>
      <c r="AA186" s="827" t="s">
        <v>82</v>
      </c>
      <c r="AB186" s="828"/>
      <c r="AC186" s="1"/>
      <c r="AD186" s="1"/>
      <c r="AE186" s="1"/>
      <c r="AF186" s="1"/>
      <c r="AG186" s="1"/>
      <c r="AH186" s="1"/>
      <c r="AI186" s="1"/>
      <c r="AJ186" s="1"/>
      <c r="AK186" s="1"/>
      <c r="AL186" s="1"/>
      <c r="AM186" s="1"/>
      <c r="AN186" s="1"/>
      <c r="AO186" s="1"/>
      <c r="AP186" s="1"/>
      <c r="AQ186" s="1"/>
      <c r="AR186" s="1"/>
    </row>
    <row r="187" spans="1:44" ht="14.4">
      <c r="A187" s="819"/>
      <c r="B187" s="821"/>
      <c r="C187" s="830" t="s">
        <v>94</v>
      </c>
      <c r="D187" s="831"/>
      <c r="E187" s="832" t="s">
        <v>153</v>
      </c>
      <c r="F187" s="831"/>
      <c r="G187" s="830" t="s">
        <v>82</v>
      </c>
      <c r="H187" s="831"/>
      <c r="I187" s="830" t="s">
        <v>82</v>
      </c>
      <c r="J187" s="831"/>
      <c r="K187" s="912" t="s">
        <v>82</v>
      </c>
      <c r="L187" s="831"/>
      <c r="M187" s="830" t="s">
        <v>82</v>
      </c>
      <c r="N187" s="831"/>
      <c r="O187" s="830" t="s">
        <v>82</v>
      </c>
      <c r="P187" s="831"/>
      <c r="Q187" s="830" t="s">
        <v>82</v>
      </c>
      <c r="R187" s="831"/>
      <c r="S187" s="830" t="s">
        <v>82</v>
      </c>
      <c r="T187" s="831"/>
      <c r="U187" s="830" t="s">
        <v>82</v>
      </c>
      <c r="V187" s="831"/>
      <c r="W187" s="830" t="s">
        <v>82</v>
      </c>
      <c r="X187" s="831"/>
      <c r="Y187" s="830" t="s">
        <v>82</v>
      </c>
      <c r="Z187" s="831"/>
      <c r="AA187" s="830" t="s">
        <v>82</v>
      </c>
      <c r="AB187" s="831"/>
      <c r="AC187" s="1"/>
      <c r="AD187" s="1"/>
      <c r="AE187" s="1"/>
      <c r="AF187" s="1"/>
      <c r="AG187" s="1"/>
      <c r="AH187" s="1"/>
      <c r="AI187" s="1"/>
      <c r="AJ187" s="1"/>
      <c r="AK187" s="1"/>
      <c r="AL187" s="1"/>
      <c r="AM187" s="1"/>
      <c r="AN187" s="1"/>
      <c r="AO187" s="1"/>
      <c r="AP187" s="1"/>
      <c r="AQ187" s="1"/>
      <c r="AR187" s="1"/>
    </row>
    <row r="188" spans="1:44" ht="14.4">
      <c r="A188" s="819"/>
      <c r="B188" s="821"/>
      <c r="C188" s="830" t="s">
        <v>97</v>
      </c>
      <c r="D188" s="831"/>
      <c r="E188" s="832" t="s">
        <v>132</v>
      </c>
      <c r="F188" s="831"/>
      <c r="G188" s="830" t="s">
        <v>82</v>
      </c>
      <c r="H188" s="831"/>
      <c r="I188" s="830" t="s">
        <v>82</v>
      </c>
      <c r="J188" s="831"/>
      <c r="K188" s="912" t="s">
        <v>82</v>
      </c>
      <c r="L188" s="831"/>
      <c r="M188" s="830" t="s">
        <v>82</v>
      </c>
      <c r="N188" s="831"/>
      <c r="O188" s="830" t="s">
        <v>82</v>
      </c>
      <c r="P188" s="831"/>
      <c r="Q188" s="830" t="s">
        <v>82</v>
      </c>
      <c r="R188" s="831"/>
      <c r="S188" s="830" t="s">
        <v>82</v>
      </c>
      <c r="T188" s="831"/>
      <c r="U188" s="830" t="s">
        <v>82</v>
      </c>
      <c r="V188" s="831"/>
      <c r="W188" s="830" t="s">
        <v>82</v>
      </c>
      <c r="X188" s="831"/>
      <c r="Y188" s="830" t="s">
        <v>82</v>
      </c>
      <c r="Z188" s="831"/>
      <c r="AA188" s="830" t="s">
        <v>82</v>
      </c>
      <c r="AB188" s="831"/>
      <c r="AC188" s="1"/>
      <c r="AD188" s="1"/>
      <c r="AE188" s="1"/>
      <c r="AF188" s="1"/>
      <c r="AG188" s="1"/>
      <c r="AH188" s="1"/>
      <c r="AI188" s="1"/>
      <c r="AJ188" s="1"/>
      <c r="AK188" s="1"/>
      <c r="AL188" s="1"/>
      <c r="AM188" s="1"/>
      <c r="AN188" s="1"/>
      <c r="AO188" s="1"/>
      <c r="AP188" s="1"/>
      <c r="AQ188" s="1"/>
      <c r="AR188" s="1"/>
    </row>
    <row r="189" spans="1:44" ht="14.4">
      <c r="A189" s="819"/>
      <c r="B189" s="821"/>
      <c r="C189" s="830" t="s">
        <v>99</v>
      </c>
      <c r="D189" s="831"/>
      <c r="E189" s="832" t="s">
        <v>133</v>
      </c>
      <c r="F189" s="831"/>
      <c r="G189" s="830" t="s">
        <v>82</v>
      </c>
      <c r="H189" s="831"/>
      <c r="I189" s="830" t="s">
        <v>82</v>
      </c>
      <c r="J189" s="831"/>
      <c r="K189" s="912" t="s">
        <v>82</v>
      </c>
      <c r="L189" s="831"/>
      <c r="M189" s="830" t="s">
        <v>82</v>
      </c>
      <c r="N189" s="831"/>
      <c r="O189" s="830" t="s">
        <v>82</v>
      </c>
      <c r="P189" s="831"/>
      <c r="Q189" s="830" t="s">
        <v>82</v>
      </c>
      <c r="R189" s="831"/>
      <c r="S189" s="830" t="s">
        <v>82</v>
      </c>
      <c r="T189" s="831"/>
      <c r="U189" s="830" t="s">
        <v>82</v>
      </c>
      <c r="V189" s="831"/>
      <c r="W189" s="830" t="s">
        <v>82</v>
      </c>
      <c r="X189" s="831"/>
      <c r="Y189" s="830" t="s">
        <v>82</v>
      </c>
      <c r="Z189" s="831"/>
      <c r="AA189" s="830" t="s">
        <v>82</v>
      </c>
      <c r="AB189" s="831"/>
      <c r="AC189" s="1"/>
      <c r="AD189" s="1"/>
      <c r="AE189" s="1"/>
      <c r="AF189" s="1"/>
      <c r="AG189" s="1"/>
      <c r="AH189" s="1"/>
      <c r="AI189" s="1"/>
      <c r="AJ189" s="1"/>
      <c r="AK189" s="1"/>
      <c r="AL189" s="1"/>
      <c r="AM189" s="1"/>
      <c r="AN189" s="1"/>
      <c r="AO189" s="1"/>
      <c r="AP189" s="1"/>
      <c r="AQ189" s="1"/>
      <c r="AR189" s="1"/>
    </row>
    <row r="190" spans="1:44" ht="14.4">
      <c r="A190" s="819"/>
      <c r="B190" s="821"/>
      <c r="C190" s="830">
        <v>0</v>
      </c>
      <c r="D190" s="831"/>
      <c r="E190" s="830" t="s">
        <v>82</v>
      </c>
      <c r="F190" s="831"/>
      <c r="G190" s="830" t="s">
        <v>82</v>
      </c>
      <c r="H190" s="831"/>
      <c r="I190" s="830" t="s">
        <v>82</v>
      </c>
      <c r="J190" s="831"/>
      <c r="K190" s="912" t="s">
        <v>82</v>
      </c>
      <c r="L190" s="831"/>
      <c r="M190" s="830" t="s">
        <v>82</v>
      </c>
      <c r="N190" s="831"/>
      <c r="O190" s="830" t="s">
        <v>82</v>
      </c>
      <c r="P190" s="831"/>
      <c r="Q190" s="830" t="s">
        <v>82</v>
      </c>
      <c r="R190" s="831"/>
      <c r="S190" s="830" t="s">
        <v>82</v>
      </c>
      <c r="T190" s="831"/>
      <c r="U190" s="830" t="s">
        <v>82</v>
      </c>
      <c r="V190" s="831"/>
      <c r="W190" s="830" t="s">
        <v>82</v>
      </c>
      <c r="X190" s="831"/>
      <c r="Y190" s="830" t="s">
        <v>82</v>
      </c>
      <c r="Z190" s="831"/>
      <c r="AA190" s="830" t="s">
        <v>82</v>
      </c>
      <c r="AB190" s="831"/>
      <c r="AC190" s="1"/>
      <c r="AD190" s="1"/>
      <c r="AE190" s="1"/>
      <c r="AF190" s="1"/>
      <c r="AG190" s="1"/>
      <c r="AH190" s="1"/>
      <c r="AI190" s="1"/>
      <c r="AJ190" s="1"/>
      <c r="AK190" s="1"/>
      <c r="AL190" s="1"/>
      <c r="AM190" s="1"/>
      <c r="AN190" s="1"/>
      <c r="AO190" s="1"/>
      <c r="AP190" s="1"/>
      <c r="AQ190" s="1"/>
      <c r="AR190" s="1"/>
    </row>
    <row r="191" spans="1:44" ht="14.4">
      <c r="A191" s="819"/>
      <c r="B191" s="821"/>
      <c r="C191" s="830">
        <v>0</v>
      </c>
      <c r="D191" s="831"/>
      <c r="E191" s="830" t="s">
        <v>82</v>
      </c>
      <c r="F191" s="831"/>
      <c r="G191" s="830" t="s">
        <v>82</v>
      </c>
      <c r="H191" s="831"/>
      <c r="I191" s="830" t="s">
        <v>82</v>
      </c>
      <c r="J191" s="831"/>
      <c r="K191" s="912" t="s">
        <v>82</v>
      </c>
      <c r="L191" s="831"/>
      <c r="M191" s="830" t="s">
        <v>82</v>
      </c>
      <c r="N191" s="831"/>
      <c r="O191" s="830" t="s">
        <v>82</v>
      </c>
      <c r="P191" s="831"/>
      <c r="Q191" s="830" t="s">
        <v>82</v>
      </c>
      <c r="R191" s="831"/>
      <c r="S191" s="830" t="s">
        <v>82</v>
      </c>
      <c r="T191" s="831"/>
      <c r="U191" s="830" t="s">
        <v>82</v>
      </c>
      <c r="V191" s="831"/>
      <c r="W191" s="830" t="s">
        <v>82</v>
      </c>
      <c r="X191" s="831"/>
      <c r="Y191" s="830" t="s">
        <v>82</v>
      </c>
      <c r="Z191" s="831"/>
      <c r="AA191" s="830" t="s">
        <v>82</v>
      </c>
      <c r="AB191" s="831"/>
      <c r="AC191" s="1"/>
      <c r="AD191" s="1"/>
      <c r="AE191" s="1"/>
      <c r="AF191" s="1"/>
      <c r="AG191" s="1"/>
      <c r="AH191" s="1"/>
      <c r="AI191" s="1"/>
      <c r="AJ191" s="1"/>
      <c r="AK191" s="1"/>
      <c r="AL191" s="1"/>
      <c r="AM191" s="1"/>
      <c r="AN191" s="1"/>
      <c r="AO191" s="1"/>
      <c r="AP191" s="1"/>
      <c r="AQ191" s="1"/>
      <c r="AR191" s="1"/>
    </row>
    <row r="192" spans="1:44" ht="14.4">
      <c r="A192" s="864"/>
      <c r="B192" s="865"/>
      <c r="C192" s="833">
        <v>0</v>
      </c>
      <c r="D192" s="834"/>
      <c r="E192" s="891" t="s">
        <v>82</v>
      </c>
      <c r="F192" s="870"/>
      <c r="G192" s="835" t="s">
        <v>82</v>
      </c>
      <c r="H192" s="836"/>
      <c r="I192" s="891" t="s">
        <v>82</v>
      </c>
      <c r="J192" s="870"/>
      <c r="K192" s="835" t="s">
        <v>82</v>
      </c>
      <c r="L192" s="836"/>
      <c r="M192" s="891" t="s">
        <v>82</v>
      </c>
      <c r="N192" s="870"/>
      <c r="O192" s="891" t="s">
        <v>82</v>
      </c>
      <c r="P192" s="870"/>
      <c r="Q192" s="891" t="s">
        <v>82</v>
      </c>
      <c r="R192" s="870"/>
      <c r="S192" s="891" t="s">
        <v>82</v>
      </c>
      <c r="T192" s="870"/>
      <c r="U192" s="891" t="s">
        <v>82</v>
      </c>
      <c r="V192" s="870"/>
      <c r="W192" s="891" t="s">
        <v>82</v>
      </c>
      <c r="X192" s="870"/>
      <c r="Y192" s="891" t="s">
        <v>82</v>
      </c>
      <c r="Z192" s="870"/>
      <c r="AA192" s="891" t="s">
        <v>82</v>
      </c>
      <c r="AB192" s="870"/>
      <c r="AC192" s="1"/>
      <c r="AD192" s="1"/>
      <c r="AE192" s="1"/>
      <c r="AF192" s="1"/>
      <c r="AG192" s="1"/>
      <c r="AH192" s="1"/>
      <c r="AI192" s="1"/>
      <c r="AJ192" s="1"/>
      <c r="AK192" s="1"/>
      <c r="AL192" s="1"/>
      <c r="AM192" s="1"/>
      <c r="AN192" s="1"/>
      <c r="AO192" s="1"/>
      <c r="AP192" s="1"/>
      <c r="AQ192" s="1"/>
      <c r="AR192" s="1"/>
    </row>
    <row r="193" spans="1:44" ht="14.4">
      <c r="A193" s="867" t="s">
        <v>101</v>
      </c>
      <c r="B193" s="818"/>
      <c r="C193" s="884" t="s">
        <v>102</v>
      </c>
      <c r="D193" s="885"/>
      <c r="E193" s="880" t="s">
        <v>154</v>
      </c>
      <c r="F193" s="828"/>
      <c r="G193" s="827" t="s">
        <v>82</v>
      </c>
      <c r="H193" s="828"/>
      <c r="I193" s="827" t="s">
        <v>82</v>
      </c>
      <c r="J193" s="828"/>
      <c r="K193" s="827" t="s">
        <v>82</v>
      </c>
      <c r="L193" s="828"/>
      <c r="M193" s="827" t="s">
        <v>82</v>
      </c>
      <c r="N193" s="828"/>
      <c r="O193" s="827" t="s">
        <v>82</v>
      </c>
      <c r="P193" s="828"/>
      <c r="Q193" s="827" t="s">
        <v>82</v>
      </c>
      <c r="R193" s="828"/>
      <c r="S193" s="827" t="s">
        <v>82</v>
      </c>
      <c r="T193" s="828"/>
      <c r="U193" s="827" t="s">
        <v>82</v>
      </c>
      <c r="V193" s="828"/>
      <c r="W193" s="827" t="s">
        <v>82</v>
      </c>
      <c r="X193" s="828"/>
      <c r="Y193" s="827" t="s">
        <v>82</v>
      </c>
      <c r="Z193" s="828"/>
      <c r="AA193" s="827" t="s">
        <v>82</v>
      </c>
      <c r="AB193" s="828"/>
      <c r="AC193" s="175"/>
      <c r="AD193" s="1"/>
      <c r="AE193" s="1"/>
      <c r="AF193" s="1"/>
      <c r="AG193" s="1"/>
      <c r="AH193" s="1"/>
      <c r="AI193" s="1"/>
      <c r="AJ193" s="1"/>
      <c r="AK193" s="1"/>
      <c r="AL193" s="1"/>
      <c r="AM193" s="1"/>
      <c r="AN193" s="1"/>
      <c r="AO193" s="1"/>
      <c r="AP193" s="1"/>
      <c r="AQ193" s="1"/>
      <c r="AR193" s="1"/>
    </row>
    <row r="194" spans="1:44" ht="14.4">
      <c r="A194" s="819"/>
      <c r="B194" s="821"/>
      <c r="C194" s="830" t="s">
        <v>106</v>
      </c>
      <c r="D194" s="831"/>
      <c r="E194" s="832" t="s">
        <v>155</v>
      </c>
      <c r="F194" s="831"/>
      <c r="G194" s="830" t="s">
        <v>82</v>
      </c>
      <c r="H194" s="831"/>
      <c r="I194" s="830" t="s">
        <v>82</v>
      </c>
      <c r="J194" s="831"/>
      <c r="K194" s="912" t="s">
        <v>82</v>
      </c>
      <c r="L194" s="831"/>
      <c r="M194" s="830" t="s">
        <v>82</v>
      </c>
      <c r="N194" s="831"/>
      <c r="O194" s="830" t="s">
        <v>82</v>
      </c>
      <c r="P194" s="831"/>
      <c r="Q194" s="830" t="s">
        <v>82</v>
      </c>
      <c r="R194" s="831"/>
      <c r="S194" s="830" t="s">
        <v>82</v>
      </c>
      <c r="T194" s="831"/>
      <c r="U194" s="832" t="s">
        <v>139</v>
      </c>
      <c r="V194" s="831"/>
      <c r="W194" s="830" t="s">
        <v>82</v>
      </c>
      <c r="X194" s="831"/>
      <c r="Y194" s="830" t="s">
        <v>82</v>
      </c>
      <c r="Z194" s="831"/>
      <c r="AA194" s="830" t="s">
        <v>82</v>
      </c>
      <c r="AB194" s="831"/>
      <c r="AC194" s="175"/>
      <c r="AD194" s="1"/>
      <c r="AE194" s="1"/>
      <c r="AF194" s="1"/>
      <c r="AG194" s="1"/>
      <c r="AH194" s="1"/>
      <c r="AI194" s="1"/>
      <c r="AJ194" s="1"/>
      <c r="AK194" s="1"/>
      <c r="AL194" s="1"/>
      <c r="AM194" s="1"/>
      <c r="AN194" s="1"/>
      <c r="AO194" s="1"/>
      <c r="AP194" s="1"/>
      <c r="AQ194" s="1"/>
      <c r="AR194" s="1"/>
    </row>
    <row r="195" spans="1:44" ht="14.4">
      <c r="A195" s="819"/>
      <c r="B195" s="821"/>
      <c r="C195" s="830" t="s">
        <v>110</v>
      </c>
      <c r="D195" s="831"/>
      <c r="E195" s="832" t="s">
        <v>156</v>
      </c>
      <c r="F195" s="831"/>
      <c r="G195" s="830" t="s">
        <v>82</v>
      </c>
      <c r="H195" s="831"/>
      <c r="I195" s="830" t="s">
        <v>82</v>
      </c>
      <c r="J195" s="831"/>
      <c r="K195" s="912" t="s">
        <v>82</v>
      </c>
      <c r="L195" s="831"/>
      <c r="M195" s="830" t="s">
        <v>82</v>
      </c>
      <c r="N195" s="831"/>
      <c r="O195" s="830" t="s">
        <v>82</v>
      </c>
      <c r="P195" s="831"/>
      <c r="Q195" s="830" t="s">
        <v>82</v>
      </c>
      <c r="R195" s="831"/>
      <c r="S195" s="830" t="s">
        <v>82</v>
      </c>
      <c r="T195" s="831"/>
      <c r="U195" s="832" t="s">
        <v>141</v>
      </c>
      <c r="V195" s="831"/>
      <c r="W195" s="830" t="s">
        <v>82</v>
      </c>
      <c r="X195" s="831"/>
      <c r="Y195" s="830" t="s">
        <v>82</v>
      </c>
      <c r="Z195" s="831"/>
      <c r="AA195" s="830" t="s">
        <v>82</v>
      </c>
      <c r="AB195" s="831"/>
      <c r="AC195" s="175"/>
      <c r="AD195" s="1"/>
      <c r="AE195" s="1"/>
      <c r="AF195" s="1"/>
      <c r="AG195" s="1"/>
      <c r="AH195" s="1"/>
      <c r="AI195" s="1"/>
      <c r="AJ195" s="1"/>
      <c r="AK195" s="1"/>
      <c r="AL195" s="1"/>
      <c r="AM195" s="1"/>
      <c r="AN195" s="1"/>
      <c r="AO195" s="1"/>
      <c r="AP195" s="1"/>
      <c r="AQ195" s="1"/>
      <c r="AR195" s="1"/>
    </row>
    <row r="196" spans="1:44" ht="14.4">
      <c r="A196" s="819"/>
      <c r="B196" s="821"/>
      <c r="C196" s="830" t="s">
        <v>114</v>
      </c>
      <c r="D196" s="831"/>
      <c r="E196" s="832" t="s">
        <v>157</v>
      </c>
      <c r="F196" s="831"/>
      <c r="G196" s="830" t="s">
        <v>82</v>
      </c>
      <c r="H196" s="831"/>
      <c r="I196" s="830" t="s">
        <v>82</v>
      </c>
      <c r="J196" s="831"/>
      <c r="K196" s="830" t="s">
        <v>82</v>
      </c>
      <c r="L196" s="831"/>
      <c r="M196" s="830" t="s">
        <v>82</v>
      </c>
      <c r="N196" s="831"/>
      <c r="O196" s="830" t="s">
        <v>82</v>
      </c>
      <c r="P196" s="831"/>
      <c r="Q196" s="830" t="s">
        <v>82</v>
      </c>
      <c r="R196" s="831"/>
      <c r="S196" s="830" t="s">
        <v>82</v>
      </c>
      <c r="T196" s="831"/>
      <c r="U196" s="832" t="s">
        <v>143</v>
      </c>
      <c r="V196" s="831"/>
      <c r="W196" s="830" t="s">
        <v>82</v>
      </c>
      <c r="X196" s="831"/>
      <c r="Y196" s="830" t="s">
        <v>82</v>
      </c>
      <c r="Z196" s="831"/>
      <c r="AA196" s="830" t="s">
        <v>82</v>
      </c>
      <c r="AB196" s="831"/>
      <c r="AC196" s="175"/>
      <c r="AD196" s="1"/>
      <c r="AE196" s="1"/>
      <c r="AF196" s="1"/>
      <c r="AG196" s="1"/>
      <c r="AH196" s="1"/>
      <c r="AI196" s="1"/>
      <c r="AJ196" s="1"/>
      <c r="AK196" s="1"/>
      <c r="AL196" s="1"/>
      <c r="AM196" s="1"/>
      <c r="AN196" s="1"/>
      <c r="AO196" s="1"/>
      <c r="AP196" s="1"/>
      <c r="AQ196" s="1"/>
      <c r="AR196" s="1"/>
    </row>
    <row r="197" spans="1:44" ht="14.4">
      <c r="A197" s="819"/>
      <c r="B197" s="821"/>
      <c r="C197" s="830" t="s">
        <v>118</v>
      </c>
      <c r="D197" s="831"/>
      <c r="E197" s="832" t="s">
        <v>158</v>
      </c>
      <c r="F197" s="831"/>
      <c r="G197" s="897" t="s">
        <v>82</v>
      </c>
      <c r="H197" s="898"/>
      <c r="I197" s="897" t="s">
        <v>82</v>
      </c>
      <c r="J197" s="898"/>
      <c r="K197" s="884" t="s">
        <v>82</v>
      </c>
      <c r="L197" s="885"/>
      <c r="M197" s="897" t="s">
        <v>82</v>
      </c>
      <c r="N197" s="898"/>
      <c r="O197" s="897" t="s">
        <v>82</v>
      </c>
      <c r="P197" s="898"/>
      <c r="Q197" s="897" t="s">
        <v>82</v>
      </c>
      <c r="R197" s="898"/>
      <c r="S197" s="897" t="s">
        <v>82</v>
      </c>
      <c r="T197" s="898"/>
      <c r="U197" s="832" t="s">
        <v>145</v>
      </c>
      <c r="V197" s="831"/>
      <c r="W197" s="897" t="s">
        <v>82</v>
      </c>
      <c r="X197" s="898"/>
      <c r="Y197" s="897" t="s">
        <v>82</v>
      </c>
      <c r="Z197" s="898"/>
      <c r="AA197" s="897" t="s">
        <v>82</v>
      </c>
      <c r="AB197" s="898"/>
      <c r="AC197" s="175"/>
      <c r="AD197" s="1"/>
      <c r="AE197" s="1"/>
      <c r="AF197" s="1"/>
      <c r="AG197" s="1"/>
      <c r="AH197" s="1"/>
      <c r="AI197" s="1"/>
      <c r="AJ197" s="1"/>
      <c r="AK197" s="1"/>
      <c r="AL197" s="1"/>
      <c r="AM197" s="1"/>
      <c r="AN197" s="1"/>
      <c r="AO197" s="1"/>
      <c r="AP197" s="1"/>
      <c r="AQ197" s="1"/>
      <c r="AR197" s="1"/>
    </row>
    <row r="198" spans="1:44" ht="14.4">
      <c r="A198" s="864"/>
      <c r="B198" s="865"/>
      <c r="C198" s="833">
        <v>0</v>
      </c>
      <c r="D198" s="834"/>
      <c r="E198" s="881" t="s">
        <v>159</v>
      </c>
      <c r="F198" s="834"/>
      <c r="G198" s="833" t="s">
        <v>82</v>
      </c>
      <c r="H198" s="834"/>
      <c r="I198" s="833" t="s">
        <v>82</v>
      </c>
      <c r="J198" s="834"/>
      <c r="K198" s="833" t="s">
        <v>82</v>
      </c>
      <c r="L198" s="834"/>
      <c r="M198" s="833" t="s">
        <v>82</v>
      </c>
      <c r="N198" s="834"/>
      <c r="O198" s="833" t="s">
        <v>82</v>
      </c>
      <c r="P198" s="834"/>
      <c r="Q198" s="833" t="s">
        <v>82</v>
      </c>
      <c r="R198" s="834"/>
      <c r="S198" s="833" t="s">
        <v>82</v>
      </c>
      <c r="T198" s="834"/>
      <c r="U198" s="881" t="s">
        <v>147</v>
      </c>
      <c r="V198" s="834"/>
      <c r="W198" s="833" t="s">
        <v>82</v>
      </c>
      <c r="X198" s="834"/>
      <c r="Y198" s="833" t="s">
        <v>82</v>
      </c>
      <c r="Z198" s="834"/>
      <c r="AA198" s="833" t="s">
        <v>82</v>
      </c>
      <c r="AB198" s="834"/>
      <c r="AC198" s="175"/>
      <c r="AD198" s="1"/>
      <c r="AE198" s="1"/>
      <c r="AF198" s="1"/>
      <c r="AG198" s="1"/>
      <c r="AH198" s="1"/>
      <c r="AI198" s="1"/>
      <c r="AJ198" s="1"/>
      <c r="AK198" s="1"/>
      <c r="AL198" s="1"/>
      <c r="AM198" s="1"/>
      <c r="AN198" s="1"/>
      <c r="AO198" s="1"/>
      <c r="AP198" s="1"/>
      <c r="AQ198" s="1"/>
      <c r="AR198" s="1"/>
    </row>
    <row r="199" spans="1:44" ht="14.4">
      <c r="A199" s="1"/>
      <c r="B199" s="1"/>
      <c r="C199" s="15"/>
      <c r="D199" s="15"/>
      <c r="E199" s="1"/>
      <c r="F199" s="1"/>
      <c r="G199" s="1"/>
      <c r="H199" s="1"/>
      <c r="I199" s="15"/>
      <c r="J199" s="15"/>
      <c r="K199" s="1"/>
      <c r="L199" s="1"/>
      <c r="M199" s="15"/>
      <c r="N199" s="15"/>
      <c r="O199" s="15"/>
      <c r="P199" s="15"/>
      <c r="Q199" s="15"/>
      <c r="R199" s="15"/>
      <c r="S199" s="15"/>
      <c r="T199" s="15"/>
      <c r="U199" s="15"/>
      <c r="V199" s="15"/>
      <c r="W199" s="15"/>
      <c r="X199" s="15"/>
      <c r="Y199" s="15"/>
      <c r="Z199" s="15"/>
      <c r="AA199" s="15"/>
      <c r="AB199" s="15"/>
      <c r="AC199" s="1"/>
      <c r="AD199" s="1"/>
      <c r="AE199" s="1"/>
      <c r="AF199" s="1"/>
      <c r="AG199" s="1"/>
      <c r="AH199" s="1"/>
      <c r="AI199" s="1"/>
      <c r="AJ199" s="1"/>
      <c r="AK199" s="1"/>
      <c r="AL199" s="1"/>
      <c r="AM199" s="1"/>
      <c r="AN199" s="1"/>
      <c r="AO199" s="1"/>
      <c r="AP199" s="1"/>
      <c r="AQ199" s="1"/>
      <c r="AR199" s="1"/>
    </row>
    <row r="200" spans="1:44" ht="14.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row>
    <row r="201" spans="1:44" ht="14.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row>
    <row r="202" spans="1:44" ht="14.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row>
    <row r="203" spans="1:44" ht="14.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row>
    <row r="204" spans="1:44" ht="14.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row>
    <row r="205" spans="1:44" ht="14.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row>
    <row r="206" spans="1:44" ht="14.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row>
    <row r="207" spans="1:44" ht="14.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row>
    <row r="208" spans="1:44" ht="14.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row>
    <row r="209" spans="1:44" ht="14.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row>
    <row r="210" spans="1:44" ht="14.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row>
    <row r="211" spans="1:44" ht="14.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row>
    <row r="212" spans="1:44" ht="14.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row>
    <row r="213" spans="1:44" ht="14.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row>
    <row r="214" spans="1:44" ht="14.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row>
    <row r="215" spans="1:44" ht="14.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row>
    <row r="216" spans="1:44" ht="14.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row>
    <row r="217" spans="1:44" ht="14.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row>
    <row r="218" spans="1:44" ht="14.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row>
    <row r="219" spans="1:44" ht="14.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row>
    <row r="220" spans="1:44" ht="14.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row>
    <row r="221" spans="1:44" ht="14.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row>
    <row r="222" spans="1:44" ht="14.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row>
    <row r="223" spans="1:44" ht="14.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row>
    <row r="224" spans="1:44" ht="14.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row>
    <row r="225" spans="1:44" ht="14.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row>
    <row r="226" spans="1:44" ht="14.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row>
    <row r="227" spans="1:44" ht="14.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row>
    <row r="228" spans="1:44" ht="14.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row>
    <row r="229" spans="1:44" ht="14.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row>
    <row r="230" spans="1:44" ht="14.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row>
    <row r="231" spans="1:44" ht="14.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row>
    <row r="232" spans="1:44" ht="14.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row>
    <row r="233" spans="1:44" ht="14.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row>
    <row r="234" spans="1:44" ht="14.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row>
    <row r="235" spans="1:44" ht="14.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row>
    <row r="236" spans="1:44" ht="14.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row>
    <row r="237" spans="1:44" ht="14.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row>
    <row r="238" spans="1:44" ht="14.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row>
    <row r="239" spans="1:44" ht="14.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row>
    <row r="240" spans="1:44" ht="14.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row>
    <row r="241" spans="1:44" ht="14.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row>
    <row r="242" spans="1:44" ht="14.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row>
    <row r="243" spans="1:44" ht="14.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row>
    <row r="244" spans="1:44" ht="1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row>
    <row r="245" spans="1:44" ht="14.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row>
    <row r="246" spans="1:44" ht="14.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row>
    <row r="247" spans="1:44" ht="14.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row>
    <row r="248" spans="1:44" ht="14.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row>
    <row r="249" spans="1:44" ht="14.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row>
    <row r="250" spans="1:44" ht="14.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row>
    <row r="251" spans="1:44" ht="14.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row>
    <row r="252" spans="1:44" ht="14.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row>
    <row r="253" spans="1:44" ht="14.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row>
    <row r="254" spans="1:44" ht="14.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row>
    <row r="255" spans="1:44" ht="14.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row>
    <row r="256" spans="1:44" ht="14.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row>
    <row r="257" spans="1:44" ht="14.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row>
    <row r="258" spans="1:44" ht="14.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row>
    <row r="259" spans="1:44" ht="14.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row>
    <row r="260" spans="1:44" ht="14.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row>
    <row r="261" spans="1:44" ht="14.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row>
    <row r="262" spans="1:44" ht="14.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row>
    <row r="263" spans="1:44" ht="14.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row>
    <row r="264" spans="1:44" ht="14.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row>
    <row r="265" spans="1:44" ht="14.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row>
    <row r="266" spans="1:44" ht="14.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row>
    <row r="267" spans="1:44" ht="14.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row>
    <row r="268" spans="1:44" ht="14.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row>
    <row r="269" spans="1:44" ht="14.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row>
    <row r="270" spans="1:44" ht="14.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row>
    <row r="271" spans="1:44" ht="14.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row>
    <row r="272" spans="1:44" ht="14.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row>
    <row r="273" spans="1:44" ht="14.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row>
    <row r="274" spans="1:44" ht="14.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row>
    <row r="275" spans="1:44" ht="14.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row>
    <row r="276" spans="1:44" ht="14.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row>
    <row r="277" spans="1:44" ht="14.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row>
    <row r="278" spans="1:44" ht="14.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row>
    <row r="279" spans="1:44" ht="14.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row>
    <row r="280" spans="1:44" ht="14.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row>
    <row r="281" spans="1:44" ht="14.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row>
    <row r="282" spans="1:44" ht="14.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row>
    <row r="283" spans="1:44" ht="14.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row>
    <row r="284" spans="1:44" ht="14.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row>
    <row r="285" spans="1:44" ht="14.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row>
    <row r="286" spans="1:44" ht="14.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row>
    <row r="287" spans="1:44" ht="14.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row>
    <row r="288" spans="1:44" ht="14.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row>
    <row r="289" spans="1:44" ht="14.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row>
    <row r="290" spans="1:44" ht="14.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row>
    <row r="291" spans="1:44" ht="14.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row>
    <row r="292" spans="1:44" ht="14.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row>
    <row r="293" spans="1:44" ht="14.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row>
    <row r="294" spans="1:44" ht="14.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row>
    <row r="295" spans="1:44" ht="14.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row>
    <row r="296" spans="1:44" ht="14.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row>
    <row r="297" spans="1:44" ht="14.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row>
    <row r="298" spans="1:44" ht="14.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row>
    <row r="299" spans="1:44" ht="14.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row>
    <row r="300" spans="1:44" ht="14.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row>
    <row r="301" spans="1:44" ht="14.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row>
    <row r="302" spans="1:44" ht="14.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row>
    <row r="303" spans="1:44" ht="14.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row>
    <row r="304" spans="1:44" ht="14.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row>
    <row r="305" spans="1:44" ht="14.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row>
    <row r="306" spans="1:44" ht="14.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row>
    <row r="307" spans="1:44" ht="14.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row>
    <row r="308" spans="1:44" ht="14.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row>
    <row r="309" spans="1:44" ht="14.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row>
    <row r="310" spans="1:44" ht="14.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row>
    <row r="311" spans="1:44" ht="14.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row>
    <row r="312" spans="1:44" ht="14.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row>
    <row r="313" spans="1:44" ht="14.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row>
    <row r="314" spans="1:44" ht="14.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row>
    <row r="315" spans="1:44" ht="14.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row>
    <row r="316" spans="1:44" ht="14.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row>
    <row r="317" spans="1:44" ht="14.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row>
    <row r="318" spans="1:44" ht="14.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row>
    <row r="319" spans="1:44" ht="14.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row>
    <row r="320" spans="1:44" ht="14.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row>
    <row r="321" spans="1:44" ht="14.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row>
    <row r="322" spans="1:44" ht="14.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row>
    <row r="323" spans="1:44" ht="14.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row>
    <row r="324" spans="1:44" ht="14.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row>
    <row r="325" spans="1:44" ht="14.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row>
    <row r="326" spans="1:44" ht="14.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row>
    <row r="327" spans="1:44" ht="14.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row>
    <row r="328" spans="1:44" ht="14.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row>
    <row r="329" spans="1:44" ht="14.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row>
    <row r="330" spans="1:44" ht="14.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row>
    <row r="331" spans="1:44" ht="14.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row>
    <row r="332" spans="1:44" ht="14.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row>
    <row r="333" spans="1:44" ht="14.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row>
    <row r="334" spans="1:44" ht="14.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row>
    <row r="335" spans="1:44" ht="14.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row>
    <row r="336" spans="1:44" ht="14.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row>
    <row r="337" spans="1:44" ht="14.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row>
    <row r="338" spans="1:44" ht="14.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row>
    <row r="339" spans="1:44" ht="14.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row>
    <row r="340" spans="1:44" ht="14.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row>
    <row r="341" spans="1:44" ht="14.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row>
    <row r="342" spans="1:44" ht="14.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row>
    <row r="343" spans="1:44" ht="14.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row>
    <row r="344" spans="1:44" ht="1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row>
    <row r="345" spans="1:44" ht="14.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row>
    <row r="346" spans="1:44" ht="14.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row>
    <row r="347" spans="1:44" ht="14.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row>
    <row r="348" spans="1:44" ht="14.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row>
    <row r="349" spans="1:44" ht="14.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row>
    <row r="350" spans="1:44" ht="14.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row>
    <row r="351" spans="1:44" ht="14.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row>
    <row r="352" spans="1:44" ht="14.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row>
    <row r="353" spans="1:44" ht="14.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row>
    <row r="354" spans="1:44" ht="14.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row>
    <row r="355" spans="1:44" ht="14.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row>
    <row r="356" spans="1:44" ht="14.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row>
    <row r="357" spans="1:44" ht="14.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row>
    <row r="358" spans="1:44" ht="14.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row>
    <row r="359" spans="1:44" ht="14.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row>
    <row r="360" spans="1:44" ht="14.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row>
    <row r="361" spans="1:44" ht="14.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row>
    <row r="362" spans="1:44" ht="14.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row>
    <row r="363" spans="1:44" ht="14.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row>
    <row r="364" spans="1:44" ht="14.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row>
    <row r="365" spans="1:44" ht="14.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row>
    <row r="366" spans="1:44" ht="14.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row>
    <row r="367" spans="1:44" ht="14.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row>
    <row r="368" spans="1:44" ht="14.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row>
    <row r="369" spans="1:44" ht="14.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row>
    <row r="370" spans="1:44" ht="14.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row>
    <row r="371" spans="1:44" ht="14.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row>
    <row r="372" spans="1:44" ht="14.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row>
    <row r="373" spans="1:44" ht="14.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row>
    <row r="374" spans="1:44" ht="14.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row>
    <row r="375" spans="1:44" ht="14.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row>
    <row r="376" spans="1:44" ht="14.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row>
    <row r="377" spans="1:44" ht="14.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row>
    <row r="378" spans="1:44" ht="14.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row>
    <row r="379" spans="1:44" ht="14.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row>
    <row r="380" spans="1:44" ht="14.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row>
    <row r="381" spans="1:44" ht="14.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row>
    <row r="382" spans="1:44" ht="14.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row>
    <row r="383" spans="1:44" ht="14.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row>
    <row r="384" spans="1:44" ht="14.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row>
    <row r="385" spans="1:44" ht="14.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row>
    <row r="386" spans="1:44" ht="14.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row>
    <row r="387" spans="1:44" ht="14.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row>
    <row r="388" spans="1:44" ht="14.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row>
    <row r="389" spans="1:44" ht="14.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row>
    <row r="390" spans="1:44" ht="14.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row>
    <row r="391" spans="1:44" ht="14.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row>
    <row r="392" spans="1:44" ht="14.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row>
    <row r="393" spans="1:44" ht="14.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row>
    <row r="394" spans="1:44" ht="14.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row>
    <row r="395" spans="1:44" ht="14.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row>
    <row r="396" spans="1:44" ht="14.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row>
    <row r="397" spans="1:44" ht="14.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row>
    <row r="398" spans="1:44" ht="14.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row>
  </sheetData>
  <mergeCells count="1382">
    <mergeCell ref="W196:X196"/>
    <mergeCell ref="Y196:Z196"/>
    <mergeCell ref="AA196:AB196"/>
    <mergeCell ref="I196:J196"/>
    <mergeCell ref="K196:L196"/>
    <mergeCell ref="M196:N196"/>
    <mergeCell ref="O196:P196"/>
    <mergeCell ref="Q196:R196"/>
    <mergeCell ref="S196:T196"/>
    <mergeCell ref="U196:V196"/>
    <mergeCell ref="W194:X194"/>
    <mergeCell ref="Y194:Z194"/>
    <mergeCell ref="AA194:AB194"/>
    <mergeCell ref="I194:J194"/>
    <mergeCell ref="K194:L194"/>
    <mergeCell ref="M194:N194"/>
    <mergeCell ref="O194:P194"/>
    <mergeCell ref="Q194:R194"/>
    <mergeCell ref="S194:T194"/>
    <mergeCell ref="U194:V194"/>
    <mergeCell ref="W195:X195"/>
    <mergeCell ref="Y195:Z195"/>
    <mergeCell ref="AA195:AB195"/>
    <mergeCell ref="I195:J195"/>
    <mergeCell ref="K195:L195"/>
    <mergeCell ref="M195:N195"/>
    <mergeCell ref="O195:P195"/>
    <mergeCell ref="Q195:R195"/>
    <mergeCell ref="S195:T195"/>
    <mergeCell ref="U195:V195"/>
    <mergeCell ref="AA192:AB192"/>
    <mergeCell ref="I192:J192"/>
    <mergeCell ref="K192:L192"/>
    <mergeCell ref="M192:N192"/>
    <mergeCell ref="O192:P192"/>
    <mergeCell ref="Q192:R192"/>
    <mergeCell ref="S192:T192"/>
    <mergeCell ref="U192:V192"/>
    <mergeCell ref="W193:X193"/>
    <mergeCell ref="Y193:Z193"/>
    <mergeCell ref="AA193:AB193"/>
    <mergeCell ref="I193:J193"/>
    <mergeCell ref="K193:L193"/>
    <mergeCell ref="M193:N193"/>
    <mergeCell ref="O193:P193"/>
    <mergeCell ref="Q193:R193"/>
    <mergeCell ref="S193:T193"/>
    <mergeCell ref="U193:V193"/>
    <mergeCell ref="W198:X198"/>
    <mergeCell ref="Y198:Z198"/>
    <mergeCell ref="AA198:AB198"/>
    <mergeCell ref="I198:J198"/>
    <mergeCell ref="K198:L198"/>
    <mergeCell ref="M198:N198"/>
    <mergeCell ref="O198:P198"/>
    <mergeCell ref="Q198:R198"/>
    <mergeCell ref="S198:T198"/>
    <mergeCell ref="U198:V198"/>
    <mergeCell ref="W190:X190"/>
    <mergeCell ref="Y190:Z190"/>
    <mergeCell ref="AA190:AB190"/>
    <mergeCell ref="I190:J190"/>
    <mergeCell ref="K190:L190"/>
    <mergeCell ref="M190:N190"/>
    <mergeCell ref="O190:P190"/>
    <mergeCell ref="Q190:R190"/>
    <mergeCell ref="S190:T190"/>
    <mergeCell ref="U190:V190"/>
    <mergeCell ref="W191:X191"/>
    <mergeCell ref="Y191:Z191"/>
    <mergeCell ref="AA191:AB191"/>
    <mergeCell ref="I191:J191"/>
    <mergeCell ref="K191:L191"/>
    <mergeCell ref="M191:N191"/>
    <mergeCell ref="O191:P191"/>
    <mergeCell ref="Q191:R191"/>
    <mergeCell ref="S191:T191"/>
    <mergeCell ref="U191:V191"/>
    <mergeCell ref="W192:X192"/>
    <mergeCell ref="Y192:Z192"/>
    <mergeCell ref="I188:J188"/>
    <mergeCell ref="K188:L188"/>
    <mergeCell ref="M188:N188"/>
    <mergeCell ref="O188:P188"/>
    <mergeCell ref="Q188:R188"/>
    <mergeCell ref="S188:T188"/>
    <mergeCell ref="U188:V188"/>
    <mergeCell ref="W189:X189"/>
    <mergeCell ref="Y189:Z189"/>
    <mergeCell ref="AA189:AB189"/>
    <mergeCell ref="I189:J189"/>
    <mergeCell ref="K189:L189"/>
    <mergeCell ref="M189:N189"/>
    <mergeCell ref="O189:P189"/>
    <mergeCell ref="Q189:R189"/>
    <mergeCell ref="S189:T189"/>
    <mergeCell ref="U189:V189"/>
    <mergeCell ref="E169:F169"/>
    <mergeCell ref="G169:H169"/>
    <mergeCell ref="A157:B157"/>
    <mergeCell ref="A158:B158"/>
    <mergeCell ref="A159:B159"/>
    <mergeCell ref="A160:B160"/>
    <mergeCell ref="A161:B161"/>
    <mergeCell ref="A162:B162"/>
    <mergeCell ref="A168:B185"/>
    <mergeCell ref="W197:X197"/>
    <mergeCell ref="Y197:Z197"/>
    <mergeCell ref="AA197:AB197"/>
    <mergeCell ref="I197:J197"/>
    <mergeCell ref="K197:L197"/>
    <mergeCell ref="M197:N197"/>
    <mergeCell ref="O197:P197"/>
    <mergeCell ref="Q197:R197"/>
    <mergeCell ref="S197:T197"/>
    <mergeCell ref="U197:V197"/>
    <mergeCell ref="W187:X187"/>
    <mergeCell ref="Y187:Z187"/>
    <mergeCell ref="AA187:AB187"/>
    <mergeCell ref="I187:J187"/>
    <mergeCell ref="K187:L187"/>
    <mergeCell ref="M187:N187"/>
    <mergeCell ref="O187:P187"/>
    <mergeCell ref="Q187:R187"/>
    <mergeCell ref="S187:T187"/>
    <mergeCell ref="U187:V187"/>
    <mergeCell ref="W188:X188"/>
    <mergeCell ref="Y188:Z188"/>
    <mergeCell ref="AA188:AB188"/>
    <mergeCell ref="A193:B198"/>
    <mergeCell ref="C193:D193"/>
    <mergeCell ref="C194:D194"/>
    <mergeCell ref="C195:D195"/>
    <mergeCell ref="C196:D196"/>
    <mergeCell ref="E134:F134"/>
    <mergeCell ref="G134:H134"/>
    <mergeCell ref="C135:D135"/>
    <mergeCell ref="E135:F135"/>
    <mergeCell ref="E136:F136"/>
    <mergeCell ref="G136:H136"/>
    <mergeCell ref="E141:F141"/>
    <mergeCell ref="G141:H141"/>
    <mergeCell ref="E142:F142"/>
    <mergeCell ref="G142:H142"/>
    <mergeCell ref="A124:B130"/>
    <mergeCell ref="A131:B136"/>
    <mergeCell ref="E132:F132"/>
    <mergeCell ref="G132:H132"/>
    <mergeCell ref="E133:F133"/>
    <mergeCell ref="G133:H133"/>
    <mergeCell ref="G135:H135"/>
    <mergeCell ref="C132:D132"/>
    <mergeCell ref="C136:D136"/>
    <mergeCell ref="A141:A143"/>
    <mergeCell ref="B141:B143"/>
    <mergeCell ref="C141:D141"/>
    <mergeCell ref="C142:C143"/>
    <mergeCell ref="D142:D143"/>
    <mergeCell ref="A163:B163"/>
    <mergeCell ref="C168:D168"/>
    <mergeCell ref="E168:F168"/>
    <mergeCell ref="E195:F195"/>
    <mergeCell ref="E196:F196"/>
    <mergeCell ref="G196:H196"/>
    <mergeCell ref="E197:F197"/>
    <mergeCell ref="G197:H197"/>
    <mergeCell ref="C192:D192"/>
    <mergeCell ref="E192:F192"/>
    <mergeCell ref="E193:F193"/>
    <mergeCell ref="G193:H193"/>
    <mergeCell ref="E194:F194"/>
    <mergeCell ref="G194:H194"/>
    <mergeCell ref="G195:H195"/>
    <mergeCell ref="C197:D197"/>
    <mergeCell ref="C198:D198"/>
    <mergeCell ref="E198:F198"/>
    <mergeCell ref="G198:H198"/>
    <mergeCell ref="C189:D189"/>
    <mergeCell ref="C191:D191"/>
    <mergeCell ref="E187:F187"/>
    <mergeCell ref="G187:H187"/>
    <mergeCell ref="C185:D185"/>
    <mergeCell ref="E185:F185"/>
    <mergeCell ref="G185:H185"/>
    <mergeCell ref="C186:D186"/>
    <mergeCell ref="E186:F186"/>
    <mergeCell ref="G186:H186"/>
    <mergeCell ref="C187:D187"/>
    <mergeCell ref="C190:D190"/>
    <mergeCell ref="E190:F190"/>
    <mergeCell ref="E191:F191"/>
    <mergeCell ref="G191:H191"/>
    <mergeCell ref="A186:B192"/>
    <mergeCell ref="C188:D188"/>
    <mergeCell ref="E188:F188"/>
    <mergeCell ref="G188:H188"/>
    <mergeCell ref="E189:F189"/>
    <mergeCell ref="G189:H189"/>
    <mergeCell ref="G190:H190"/>
    <mergeCell ref="G192:H192"/>
    <mergeCell ref="W116:X116"/>
    <mergeCell ref="Y116:Z116"/>
    <mergeCell ref="AA116:AB116"/>
    <mergeCell ref="I116:J116"/>
    <mergeCell ref="K116:L116"/>
    <mergeCell ref="M116:N116"/>
    <mergeCell ref="O116:P116"/>
    <mergeCell ref="Q116:R116"/>
    <mergeCell ref="S116:T116"/>
    <mergeCell ref="U116:V116"/>
    <mergeCell ref="A101:B101"/>
    <mergeCell ref="C106:D106"/>
    <mergeCell ref="E106:F106"/>
    <mergeCell ref="G106:H106"/>
    <mergeCell ref="C107:D107"/>
    <mergeCell ref="E107:F107"/>
    <mergeCell ref="G107:H107"/>
    <mergeCell ref="E110:F110"/>
    <mergeCell ref="G110:H110"/>
    <mergeCell ref="C108:D108"/>
    <mergeCell ref="E108:F108"/>
    <mergeCell ref="G108:H108"/>
    <mergeCell ref="C109:D109"/>
    <mergeCell ref="E109:F109"/>
    <mergeCell ref="G109:H109"/>
    <mergeCell ref="C110:D110"/>
    <mergeCell ref="E113:F113"/>
    <mergeCell ref="G113:H113"/>
    <mergeCell ref="C111:D111"/>
    <mergeCell ref="E111:F111"/>
    <mergeCell ref="G111:H111"/>
    <mergeCell ref="C112:D112"/>
    <mergeCell ref="W114:X114"/>
    <mergeCell ref="Y114:Z114"/>
    <mergeCell ref="AA114:AB114"/>
    <mergeCell ref="I114:J114"/>
    <mergeCell ref="K114:L114"/>
    <mergeCell ref="M114:N114"/>
    <mergeCell ref="O114:P114"/>
    <mergeCell ref="Q114:R114"/>
    <mergeCell ref="S114:T114"/>
    <mergeCell ref="U114:V114"/>
    <mergeCell ref="W115:X115"/>
    <mergeCell ref="Y115:Z115"/>
    <mergeCell ref="AA115:AB115"/>
    <mergeCell ref="I115:J115"/>
    <mergeCell ref="K115:L115"/>
    <mergeCell ref="M115:N115"/>
    <mergeCell ref="O115:P115"/>
    <mergeCell ref="Q115:R115"/>
    <mergeCell ref="S115:T115"/>
    <mergeCell ref="U115:V115"/>
    <mergeCell ref="W109:X109"/>
    <mergeCell ref="Y109:Z109"/>
    <mergeCell ref="AA109:AB109"/>
    <mergeCell ref="I109:J109"/>
    <mergeCell ref="K109:L109"/>
    <mergeCell ref="M109:N109"/>
    <mergeCell ref="O109:P109"/>
    <mergeCell ref="Q109:R109"/>
    <mergeCell ref="S109:T109"/>
    <mergeCell ref="U109:V109"/>
    <mergeCell ref="W113:X113"/>
    <mergeCell ref="Y113:Z113"/>
    <mergeCell ref="AA113:AB113"/>
    <mergeCell ref="I113:J113"/>
    <mergeCell ref="K113:L113"/>
    <mergeCell ref="M113:N113"/>
    <mergeCell ref="O113:P113"/>
    <mergeCell ref="Q113:R113"/>
    <mergeCell ref="S113:T113"/>
    <mergeCell ref="U113:V113"/>
    <mergeCell ref="W107:X107"/>
    <mergeCell ref="Y107:Z107"/>
    <mergeCell ref="AA107:AB107"/>
    <mergeCell ref="I107:J107"/>
    <mergeCell ref="K107:L107"/>
    <mergeCell ref="M107:N107"/>
    <mergeCell ref="O107:P107"/>
    <mergeCell ref="Q107:R107"/>
    <mergeCell ref="S107:T107"/>
    <mergeCell ref="U107:V107"/>
    <mergeCell ref="W108:X108"/>
    <mergeCell ref="Y108:Z108"/>
    <mergeCell ref="AA108:AB108"/>
    <mergeCell ref="I108:J108"/>
    <mergeCell ref="K108:L108"/>
    <mergeCell ref="M108:N108"/>
    <mergeCell ref="O108:P108"/>
    <mergeCell ref="Q108:R108"/>
    <mergeCell ref="S108:T108"/>
    <mergeCell ref="U108:V108"/>
    <mergeCell ref="O79:P79"/>
    <mergeCell ref="Q79:R79"/>
    <mergeCell ref="S79:T79"/>
    <mergeCell ref="W80:X80"/>
    <mergeCell ref="Y80:Z80"/>
    <mergeCell ref="AA80:AB80"/>
    <mergeCell ref="I80:J80"/>
    <mergeCell ref="K80:L80"/>
    <mergeCell ref="M80:N80"/>
    <mergeCell ref="O80:P80"/>
    <mergeCell ref="Q80:R80"/>
    <mergeCell ref="S80:T80"/>
    <mergeCell ref="U80:V80"/>
    <mergeCell ref="S106:T106"/>
    <mergeCell ref="U106:V106"/>
    <mergeCell ref="W106:X106"/>
    <mergeCell ref="Y106:Z106"/>
    <mergeCell ref="AA106:AB106"/>
    <mergeCell ref="K105:L105"/>
    <mergeCell ref="M105:N105"/>
    <mergeCell ref="I106:J106"/>
    <mergeCell ref="K106:L106"/>
    <mergeCell ref="M106:N106"/>
    <mergeCell ref="O106:P106"/>
    <mergeCell ref="Q106:R106"/>
    <mergeCell ref="O105:P105"/>
    <mergeCell ref="Q105:R105"/>
    <mergeCell ref="S105:T105"/>
    <mergeCell ref="U105:V105"/>
    <mergeCell ref="W105:X105"/>
    <mergeCell ref="Y105:Z105"/>
    <mergeCell ref="A103:AB103"/>
    <mergeCell ref="B104:AB104"/>
    <mergeCell ref="A105:B105"/>
    <mergeCell ref="C105:D105"/>
    <mergeCell ref="E105:F105"/>
    <mergeCell ref="G105:H105"/>
    <mergeCell ref="I105:J105"/>
    <mergeCell ref="AA105:AB105"/>
    <mergeCell ref="W73:X73"/>
    <mergeCell ref="Y73:Z73"/>
    <mergeCell ref="AA73:AB73"/>
    <mergeCell ref="K73:L73"/>
    <mergeCell ref="M73:N73"/>
    <mergeCell ref="O73:P73"/>
    <mergeCell ref="Q73:R73"/>
    <mergeCell ref="S73:T73"/>
    <mergeCell ref="U73:V73"/>
    <mergeCell ref="A78:AB78"/>
    <mergeCell ref="U79:V79"/>
    <mergeCell ref="W79:X79"/>
    <mergeCell ref="Y79:Z79"/>
    <mergeCell ref="AA79:AB79"/>
    <mergeCell ref="I73:J73"/>
    <mergeCell ref="I79:J79"/>
    <mergeCell ref="K79:L79"/>
    <mergeCell ref="M79:N79"/>
    <mergeCell ref="W65:X65"/>
    <mergeCell ref="Y65:Z65"/>
    <mergeCell ref="AA65:AB65"/>
    <mergeCell ref="I65:J65"/>
    <mergeCell ref="K65:L65"/>
    <mergeCell ref="M65:N65"/>
    <mergeCell ref="O65:P65"/>
    <mergeCell ref="Q65:R65"/>
    <mergeCell ref="S65:T65"/>
    <mergeCell ref="U65:V65"/>
    <mergeCell ref="W74:X74"/>
    <mergeCell ref="Y74:Z74"/>
    <mergeCell ref="AA74:AB74"/>
    <mergeCell ref="I74:J74"/>
    <mergeCell ref="K74:L74"/>
    <mergeCell ref="M74:N74"/>
    <mergeCell ref="O74:P74"/>
    <mergeCell ref="Q74:R74"/>
    <mergeCell ref="S74:T74"/>
    <mergeCell ref="U74:V74"/>
    <mergeCell ref="W63:X63"/>
    <mergeCell ref="Y63:Z63"/>
    <mergeCell ref="AA63:AB63"/>
    <mergeCell ref="I63:J63"/>
    <mergeCell ref="K63:L63"/>
    <mergeCell ref="M63:N63"/>
    <mergeCell ref="O63:P63"/>
    <mergeCell ref="Q63:R63"/>
    <mergeCell ref="S63:T63"/>
    <mergeCell ref="U63:V63"/>
    <mergeCell ref="W64:X64"/>
    <mergeCell ref="Y64:Z64"/>
    <mergeCell ref="AA64:AB64"/>
    <mergeCell ref="I64:J64"/>
    <mergeCell ref="K64:L64"/>
    <mergeCell ref="M64:N64"/>
    <mergeCell ref="O64:P64"/>
    <mergeCell ref="Q64:R64"/>
    <mergeCell ref="S64:T64"/>
    <mergeCell ref="U64:V64"/>
    <mergeCell ref="W71:X71"/>
    <mergeCell ref="Y71:Z71"/>
    <mergeCell ref="AA71:AB71"/>
    <mergeCell ref="I71:J71"/>
    <mergeCell ref="K71:L71"/>
    <mergeCell ref="M71:N71"/>
    <mergeCell ref="O71:P71"/>
    <mergeCell ref="Q71:R71"/>
    <mergeCell ref="S71:T71"/>
    <mergeCell ref="U71:V71"/>
    <mergeCell ref="W72:X72"/>
    <mergeCell ref="Y72:Z72"/>
    <mergeCell ref="AA72:AB72"/>
    <mergeCell ref="I72:J72"/>
    <mergeCell ref="K72:L72"/>
    <mergeCell ref="M72:N72"/>
    <mergeCell ref="O72:P72"/>
    <mergeCell ref="Q72:R72"/>
    <mergeCell ref="S72:T72"/>
    <mergeCell ref="U72:V72"/>
    <mergeCell ref="W69:X69"/>
    <mergeCell ref="Y69:Z69"/>
    <mergeCell ref="AA69:AB69"/>
    <mergeCell ref="I69:J69"/>
    <mergeCell ref="K69:L69"/>
    <mergeCell ref="M69:N69"/>
    <mergeCell ref="O69:P69"/>
    <mergeCell ref="Q69:R69"/>
    <mergeCell ref="S69:T69"/>
    <mergeCell ref="U69:V69"/>
    <mergeCell ref="W70:X70"/>
    <mergeCell ref="Y70:Z70"/>
    <mergeCell ref="AA70:AB70"/>
    <mergeCell ref="I70:J70"/>
    <mergeCell ref="K70:L70"/>
    <mergeCell ref="M70:N70"/>
    <mergeCell ref="O70:P70"/>
    <mergeCell ref="Q70:R70"/>
    <mergeCell ref="S70:T70"/>
    <mergeCell ref="U70:V70"/>
    <mergeCell ref="W67:X67"/>
    <mergeCell ref="Y67:Z67"/>
    <mergeCell ref="AA67:AB67"/>
    <mergeCell ref="I67:J67"/>
    <mergeCell ref="K67:L67"/>
    <mergeCell ref="M67:N67"/>
    <mergeCell ref="O67:P67"/>
    <mergeCell ref="Q67:R67"/>
    <mergeCell ref="S67:T67"/>
    <mergeCell ref="U67:V67"/>
    <mergeCell ref="W68:X68"/>
    <mergeCell ref="Y68:Z68"/>
    <mergeCell ref="AA68:AB68"/>
    <mergeCell ref="I68:J68"/>
    <mergeCell ref="K68:L68"/>
    <mergeCell ref="M68:N68"/>
    <mergeCell ref="O68:P68"/>
    <mergeCell ref="Q68:R68"/>
    <mergeCell ref="S68:T68"/>
    <mergeCell ref="U68:V68"/>
    <mergeCell ref="Y57:Z57"/>
    <mergeCell ref="AA57:AB57"/>
    <mergeCell ref="C57:D57"/>
    <mergeCell ref="E57:F57"/>
    <mergeCell ref="I57:J57"/>
    <mergeCell ref="K57:L57"/>
    <mergeCell ref="M57:N57"/>
    <mergeCell ref="O57:P57"/>
    <mergeCell ref="Q57:R57"/>
    <mergeCell ref="G57:H57"/>
    <mergeCell ref="C58:D58"/>
    <mergeCell ref="E58:F58"/>
    <mergeCell ref="G58:H58"/>
    <mergeCell ref="I58:J58"/>
    <mergeCell ref="K58:L58"/>
    <mergeCell ref="M58:N58"/>
    <mergeCell ref="W59:X59"/>
    <mergeCell ref="Y59:Z59"/>
    <mergeCell ref="AA59:AB59"/>
    <mergeCell ref="O58:P58"/>
    <mergeCell ref="Q58:R58"/>
    <mergeCell ref="S58:T58"/>
    <mergeCell ref="U58:V58"/>
    <mergeCell ref="W58:X58"/>
    <mergeCell ref="Y58:Z58"/>
    <mergeCell ref="AA58:AB58"/>
    <mergeCell ref="C59:D59"/>
    <mergeCell ref="E59:F59"/>
    <mergeCell ref="I59:J59"/>
    <mergeCell ref="K59:L59"/>
    <mergeCell ref="M59:N59"/>
    <mergeCell ref="O59:P59"/>
    <mergeCell ref="Q59:R59"/>
    <mergeCell ref="G51:H51"/>
    <mergeCell ref="C52:D52"/>
    <mergeCell ref="E52:F52"/>
    <mergeCell ref="G52:H52"/>
    <mergeCell ref="G55:H55"/>
    <mergeCell ref="C56:D56"/>
    <mergeCell ref="E56:F56"/>
    <mergeCell ref="G56:H56"/>
    <mergeCell ref="S57:T57"/>
    <mergeCell ref="U57:V57"/>
    <mergeCell ref="G53:H53"/>
    <mergeCell ref="C54:D54"/>
    <mergeCell ref="E54:F54"/>
    <mergeCell ref="G54:H54"/>
    <mergeCell ref="I54:J54"/>
    <mergeCell ref="K54:L54"/>
    <mergeCell ref="M54:N54"/>
    <mergeCell ref="W56:X56"/>
    <mergeCell ref="Y56:Z56"/>
    <mergeCell ref="AA56:AB56"/>
    <mergeCell ref="I56:J56"/>
    <mergeCell ref="K56:L56"/>
    <mergeCell ref="M56:N56"/>
    <mergeCell ref="O56:P56"/>
    <mergeCell ref="Q56:R56"/>
    <mergeCell ref="S56:T56"/>
    <mergeCell ref="U56:V56"/>
    <mergeCell ref="W50:X50"/>
    <mergeCell ref="Y50:Z50"/>
    <mergeCell ref="AA50:AB50"/>
    <mergeCell ref="I50:J50"/>
    <mergeCell ref="K50:L50"/>
    <mergeCell ref="M50:N50"/>
    <mergeCell ref="O50:P50"/>
    <mergeCell ref="Q50:R50"/>
    <mergeCell ref="S50:T50"/>
    <mergeCell ref="U50:V50"/>
    <mergeCell ref="W53:X53"/>
    <mergeCell ref="Y53:Z53"/>
    <mergeCell ref="AA53:AB53"/>
    <mergeCell ref="I53:J53"/>
    <mergeCell ref="K53:L53"/>
    <mergeCell ref="M53:N53"/>
    <mergeCell ref="O53:P53"/>
    <mergeCell ref="Q53:R53"/>
    <mergeCell ref="S53:T53"/>
    <mergeCell ref="U53:V53"/>
    <mergeCell ref="W48:X48"/>
    <mergeCell ref="Y48:Z48"/>
    <mergeCell ref="AA48:AB48"/>
    <mergeCell ref="I48:J48"/>
    <mergeCell ref="K48:L48"/>
    <mergeCell ref="M48:N48"/>
    <mergeCell ref="O48:P48"/>
    <mergeCell ref="Q48:R48"/>
    <mergeCell ref="S48:T48"/>
    <mergeCell ref="U48:V48"/>
    <mergeCell ref="W49:X49"/>
    <mergeCell ref="Y49:Z49"/>
    <mergeCell ref="AA49:AB49"/>
    <mergeCell ref="I49:J49"/>
    <mergeCell ref="K49:L49"/>
    <mergeCell ref="M49:N49"/>
    <mergeCell ref="O49:P49"/>
    <mergeCell ref="Q49:R49"/>
    <mergeCell ref="S49:T49"/>
    <mergeCell ref="U49:V49"/>
    <mergeCell ref="W185:X185"/>
    <mergeCell ref="Y185:Z185"/>
    <mergeCell ref="AA185:AB185"/>
    <mergeCell ref="I185:J185"/>
    <mergeCell ref="K185:L185"/>
    <mergeCell ref="M185:N185"/>
    <mergeCell ref="O185:P185"/>
    <mergeCell ref="Q185:R185"/>
    <mergeCell ref="S185:T185"/>
    <mergeCell ref="U185:V185"/>
    <mergeCell ref="W186:X186"/>
    <mergeCell ref="Y186:Z186"/>
    <mergeCell ref="AA186:AB186"/>
    <mergeCell ref="I186:J186"/>
    <mergeCell ref="K186:L186"/>
    <mergeCell ref="M186:N186"/>
    <mergeCell ref="O186:P186"/>
    <mergeCell ref="Q186:R186"/>
    <mergeCell ref="S186:T186"/>
    <mergeCell ref="U186:V186"/>
    <mergeCell ref="C182:D182"/>
    <mergeCell ref="E182:F182"/>
    <mergeCell ref="G182:H182"/>
    <mergeCell ref="C183:D183"/>
    <mergeCell ref="E183:F183"/>
    <mergeCell ref="G183:H183"/>
    <mergeCell ref="C184:D184"/>
    <mergeCell ref="S184:T184"/>
    <mergeCell ref="U184:V184"/>
    <mergeCell ref="W184:X184"/>
    <mergeCell ref="Y184:Z184"/>
    <mergeCell ref="AA184:AB184"/>
    <mergeCell ref="E184:F184"/>
    <mergeCell ref="G184:H184"/>
    <mergeCell ref="I184:J184"/>
    <mergeCell ref="K184:L184"/>
    <mergeCell ref="M184:N184"/>
    <mergeCell ref="O184:P184"/>
    <mergeCell ref="Q184:R184"/>
    <mergeCell ref="E178:F178"/>
    <mergeCell ref="G178:H178"/>
    <mergeCell ref="C176:D176"/>
    <mergeCell ref="E176:F176"/>
    <mergeCell ref="G176:H176"/>
    <mergeCell ref="C177:D177"/>
    <mergeCell ref="E177:F177"/>
    <mergeCell ref="G177:H177"/>
    <mergeCell ref="C178:D178"/>
    <mergeCell ref="E181:F181"/>
    <mergeCell ref="G181:H181"/>
    <mergeCell ref="C179:D179"/>
    <mergeCell ref="E179:F179"/>
    <mergeCell ref="G179:H179"/>
    <mergeCell ref="C180:D180"/>
    <mergeCell ref="E180:F180"/>
    <mergeCell ref="G180:H180"/>
    <mergeCell ref="C181:D181"/>
    <mergeCell ref="E172:F172"/>
    <mergeCell ref="G172:H172"/>
    <mergeCell ref="C170:D170"/>
    <mergeCell ref="E170:F170"/>
    <mergeCell ref="G170:H170"/>
    <mergeCell ref="C171:D171"/>
    <mergeCell ref="E171:F171"/>
    <mergeCell ref="G171:H171"/>
    <mergeCell ref="C172:D172"/>
    <mergeCell ref="E175:F175"/>
    <mergeCell ref="G175:H175"/>
    <mergeCell ref="C173:D173"/>
    <mergeCell ref="E173:F173"/>
    <mergeCell ref="G173:H173"/>
    <mergeCell ref="C174:D174"/>
    <mergeCell ref="E174:F174"/>
    <mergeCell ref="G174:H174"/>
    <mergeCell ref="C175:D175"/>
    <mergeCell ref="W171:X171"/>
    <mergeCell ref="Y171:Z171"/>
    <mergeCell ref="AA171:AB171"/>
    <mergeCell ref="I171:J171"/>
    <mergeCell ref="K171:L171"/>
    <mergeCell ref="M171:N171"/>
    <mergeCell ref="O171:P171"/>
    <mergeCell ref="Q171:R171"/>
    <mergeCell ref="S171:T171"/>
    <mergeCell ref="U171:V171"/>
    <mergeCell ref="E128:F128"/>
    <mergeCell ref="G128:H128"/>
    <mergeCell ref="C126:D126"/>
    <mergeCell ref="E126:F126"/>
    <mergeCell ref="G126:H126"/>
    <mergeCell ref="C127:D127"/>
    <mergeCell ref="E127:F127"/>
    <mergeCell ref="G127:H127"/>
    <mergeCell ref="C128:D128"/>
    <mergeCell ref="E131:F131"/>
    <mergeCell ref="G131:H131"/>
    <mergeCell ref="C129:D129"/>
    <mergeCell ref="E129:F129"/>
    <mergeCell ref="G129:H129"/>
    <mergeCell ref="C130:D130"/>
    <mergeCell ref="E130:F130"/>
    <mergeCell ref="G130:H130"/>
    <mergeCell ref="C131:D131"/>
    <mergeCell ref="C133:D133"/>
    <mergeCell ref="C134:D134"/>
    <mergeCell ref="G168:H168"/>
    <mergeCell ref="C169:D169"/>
    <mergeCell ref="W169:X169"/>
    <mergeCell ref="Y169:Z169"/>
    <mergeCell ref="AA169:AB169"/>
    <mergeCell ref="I169:J169"/>
    <mergeCell ref="K169:L169"/>
    <mergeCell ref="M169:N169"/>
    <mergeCell ref="O169:P169"/>
    <mergeCell ref="Q169:R169"/>
    <mergeCell ref="S169:T169"/>
    <mergeCell ref="U169:V169"/>
    <mergeCell ref="W170:X170"/>
    <mergeCell ref="Y170:Z170"/>
    <mergeCell ref="AA170:AB170"/>
    <mergeCell ref="I170:J170"/>
    <mergeCell ref="K170:L170"/>
    <mergeCell ref="M170:N170"/>
    <mergeCell ref="O170:P170"/>
    <mergeCell ref="Q170:R170"/>
    <mergeCell ref="S170:T170"/>
    <mergeCell ref="U170:V170"/>
    <mergeCell ref="W142:X142"/>
    <mergeCell ref="Y142:Z142"/>
    <mergeCell ref="AA142:AB142"/>
    <mergeCell ref="I142:J142"/>
    <mergeCell ref="K142:L142"/>
    <mergeCell ref="M142:N142"/>
    <mergeCell ref="O142:P142"/>
    <mergeCell ref="Q142:R142"/>
    <mergeCell ref="S142:T142"/>
    <mergeCell ref="U142:V142"/>
    <mergeCell ref="S168:T168"/>
    <mergeCell ref="U168:V168"/>
    <mergeCell ref="W168:X168"/>
    <mergeCell ref="Y168:Z168"/>
    <mergeCell ref="AA168:AB168"/>
    <mergeCell ref="K167:L167"/>
    <mergeCell ref="M167:N167"/>
    <mergeCell ref="I168:J168"/>
    <mergeCell ref="K168:L168"/>
    <mergeCell ref="M168:N168"/>
    <mergeCell ref="O168:P168"/>
    <mergeCell ref="Q168:R168"/>
    <mergeCell ref="AA135:AB135"/>
    <mergeCell ref="K135:L135"/>
    <mergeCell ref="M135:N135"/>
    <mergeCell ref="O135:P135"/>
    <mergeCell ref="Q135:R135"/>
    <mergeCell ref="S135:T135"/>
    <mergeCell ref="U135:V135"/>
    <mergeCell ref="A140:AB140"/>
    <mergeCell ref="U141:V141"/>
    <mergeCell ref="W141:X141"/>
    <mergeCell ref="Y141:Z141"/>
    <mergeCell ref="AA141:AB141"/>
    <mergeCell ref="I135:J135"/>
    <mergeCell ref="I141:J141"/>
    <mergeCell ref="K141:L141"/>
    <mergeCell ref="M141:N141"/>
    <mergeCell ref="O141:P141"/>
    <mergeCell ref="Q141:R141"/>
    <mergeCell ref="S141:T141"/>
    <mergeCell ref="K131:L131"/>
    <mergeCell ref="M131:N131"/>
    <mergeCell ref="O131:P131"/>
    <mergeCell ref="Q131:R131"/>
    <mergeCell ref="S131:T131"/>
    <mergeCell ref="U131:V131"/>
    <mergeCell ref="W136:X136"/>
    <mergeCell ref="Y136:Z136"/>
    <mergeCell ref="AA136:AB136"/>
    <mergeCell ref="I136:J136"/>
    <mergeCell ref="K136:L136"/>
    <mergeCell ref="M136:N136"/>
    <mergeCell ref="O136:P136"/>
    <mergeCell ref="Q136:R136"/>
    <mergeCell ref="S136:T136"/>
    <mergeCell ref="U136:V136"/>
    <mergeCell ref="O167:P167"/>
    <mergeCell ref="Q167:R167"/>
    <mergeCell ref="S167:T167"/>
    <mergeCell ref="U167:V167"/>
    <mergeCell ref="W167:X167"/>
    <mergeCell ref="Y167:Z167"/>
    <mergeCell ref="A165:AB165"/>
    <mergeCell ref="B166:AB166"/>
    <mergeCell ref="A167:B167"/>
    <mergeCell ref="C167:D167"/>
    <mergeCell ref="E167:F167"/>
    <mergeCell ref="G167:H167"/>
    <mergeCell ref="I167:J167"/>
    <mergeCell ref="AA167:AB167"/>
    <mergeCell ref="W135:X135"/>
    <mergeCell ref="Y135:Z135"/>
    <mergeCell ref="AA134:AB134"/>
    <mergeCell ref="I134:J134"/>
    <mergeCell ref="K134:L134"/>
    <mergeCell ref="M134:N134"/>
    <mergeCell ref="O134:P134"/>
    <mergeCell ref="Q134:R134"/>
    <mergeCell ref="S134:T134"/>
    <mergeCell ref="U134:V134"/>
    <mergeCell ref="W129:X129"/>
    <mergeCell ref="Y129:Z129"/>
    <mergeCell ref="AA129:AB129"/>
    <mergeCell ref="I129:J129"/>
    <mergeCell ref="K129:L129"/>
    <mergeCell ref="M129:N129"/>
    <mergeCell ref="O129:P129"/>
    <mergeCell ref="Q129:R129"/>
    <mergeCell ref="S129:T129"/>
    <mergeCell ref="U129:V129"/>
    <mergeCell ref="W130:X130"/>
    <mergeCell ref="Y130:Z130"/>
    <mergeCell ref="AA130:AB130"/>
    <mergeCell ref="I130:J130"/>
    <mergeCell ref="K130:L130"/>
    <mergeCell ref="M130:N130"/>
    <mergeCell ref="O130:P130"/>
    <mergeCell ref="Q130:R130"/>
    <mergeCell ref="S130:T130"/>
    <mergeCell ref="U130:V130"/>
    <mergeCell ref="W131:X131"/>
    <mergeCell ref="Y131:Z131"/>
    <mergeCell ref="AA131:AB131"/>
    <mergeCell ref="I131:J131"/>
    <mergeCell ref="W181:X181"/>
    <mergeCell ref="Y181:Z181"/>
    <mergeCell ref="AA181:AB181"/>
    <mergeCell ref="I181:J181"/>
    <mergeCell ref="K181:L181"/>
    <mergeCell ref="M181:N181"/>
    <mergeCell ref="O181:P181"/>
    <mergeCell ref="Q181:R181"/>
    <mergeCell ref="S181:T181"/>
    <mergeCell ref="U181:V181"/>
    <mergeCell ref="W132:X132"/>
    <mergeCell ref="Y132:Z132"/>
    <mergeCell ref="AA132:AB132"/>
    <mergeCell ref="I132:J132"/>
    <mergeCell ref="K132:L132"/>
    <mergeCell ref="M132:N132"/>
    <mergeCell ref="O132:P132"/>
    <mergeCell ref="Q132:R132"/>
    <mergeCell ref="S132:T132"/>
    <mergeCell ref="U132:V132"/>
    <mergeCell ref="W133:X133"/>
    <mergeCell ref="Y133:Z133"/>
    <mergeCell ref="AA133:AB133"/>
    <mergeCell ref="I133:J133"/>
    <mergeCell ref="K133:L133"/>
    <mergeCell ref="M133:N133"/>
    <mergeCell ref="O133:P133"/>
    <mergeCell ref="Q133:R133"/>
    <mergeCell ref="S133:T133"/>
    <mergeCell ref="U133:V133"/>
    <mergeCell ref="W134:X134"/>
    <mergeCell ref="Y134:Z134"/>
    <mergeCell ref="W179:X179"/>
    <mergeCell ref="Y179:Z179"/>
    <mergeCell ref="AA179:AB179"/>
    <mergeCell ref="I179:J179"/>
    <mergeCell ref="K179:L179"/>
    <mergeCell ref="M179:N179"/>
    <mergeCell ref="O179:P179"/>
    <mergeCell ref="Q179:R179"/>
    <mergeCell ref="S179:T179"/>
    <mergeCell ref="U179:V179"/>
    <mergeCell ref="W180:X180"/>
    <mergeCell ref="Y180:Z180"/>
    <mergeCell ref="AA180:AB180"/>
    <mergeCell ref="I180:J180"/>
    <mergeCell ref="K180:L180"/>
    <mergeCell ref="M180:N180"/>
    <mergeCell ref="O180:P180"/>
    <mergeCell ref="Q180:R180"/>
    <mergeCell ref="S180:T180"/>
    <mergeCell ref="U180:V180"/>
    <mergeCell ref="K176:L176"/>
    <mergeCell ref="M176:N176"/>
    <mergeCell ref="O176:P176"/>
    <mergeCell ref="Q176:R176"/>
    <mergeCell ref="S176:T176"/>
    <mergeCell ref="U176:V176"/>
    <mergeCell ref="W177:X177"/>
    <mergeCell ref="Y177:Z177"/>
    <mergeCell ref="AA177:AB177"/>
    <mergeCell ref="I177:J177"/>
    <mergeCell ref="K177:L177"/>
    <mergeCell ref="M177:N177"/>
    <mergeCell ref="O177:P177"/>
    <mergeCell ref="Q177:R177"/>
    <mergeCell ref="S177:T177"/>
    <mergeCell ref="U177:V177"/>
    <mergeCell ref="W178:X178"/>
    <mergeCell ref="Y178:Z178"/>
    <mergeCell ref="AA178:AB178"/>
    <mergeCell ref="I178:J178"/>
    <mergeCell ref="K178:L178"/>
    <mergeCell ref="M178:N178"/>
    <mergeCell ref="O178:P178"/>
    <mergeCell ref="Q178:R178"/>
    <mergeCell ref="S178:T178"/>
    <mergeCell ref="U178:V178"/>
    <mergeCell ref="AA174:AB174"/>
    <mergeCell ref="I174:J174"/>
    <mergeCell ref="K174:L174"/>
    <mergeCell ref="M174:N174"/>
    <mergeCell ref="O174:P174"/>
    <mergeCell ref="Q174:R174"/>
    <mergeCell ref="S174:T174"/>
    <mergeCell ref="U174:V174"/>
    <mergeCell ref="W183:X183"/>
    <mergeCell ref="Y183:Z183"/>
    <mergeCell ref="AA183:AB183"/>
    <mergeCell ref="I183:J183"/>
    <mergeCell ref="K183:L183"/>
    <mergeCell ref="M183:N183"/>
    <mergeCell ref="O183:P183"/>
    <mergeCell ref="Q183:R183"/>
    <mergeCell ref="S183:T183"/>
    <mergeCell ref="U183:V183"/>
    <mergeCell ref="W175:X175"/>
    <mergeCell ref="Y175:Z175"/>
    <mergeCell ref="AA175:AB175"/>
    <mergeCell ref="I175:J175"/>
    <mergeCell ref="K175:L175"/>
    <mergeCell ref="M175:N175"/>
    <mergeCell ref="O175:P175"/>
    <mergeCell ref="Q175:R175"/>
    <mergeCell ref="S175:T175"/>
    <mergeCell ref="U175:V175"/>
    <mergeCell ref="W176:X176"/>
    <mergeCell ref="Y176:Z176"/>
    <mergeCell ref="AA176:AB176"/>
    <mergeCell ref="I176:J176"/>
    <mergeCell ref="W182:X182"/>
    <mergeCell ref="Y182:Z182"/>
    <mergeCell ref="AA182:AB182"/>
    <mergeCell ref="I182:J182"/>
    <mergeCell ref="K182:L182"/>
    <mergeCell ref="M182:N182"/>
    <mergeCell ref="O182:P182"/>
    <mergeCell ref="Q182:R182"/>
    <mergeCell ref="S182:T182"/>
    <mergeCell ref="U182:V182"/>
    <mergeCell ref="W172:X172"/>
    <mergeCell ref="Y172:Z172"/>
    <mergeCell ref="AA172:AB172"/>
    <mergeCell ref="I172:J172"/>
    <mergeCell ref="K172:L172"/>
    <mergeCell ref="M172:N172"/>
    <mergeCell ref="O172:P172"/>
    <mergeCell ref="Q172:R172"/>
    <mergeCell ref="S172:T172"/>
    <mergeCell ref="U172:V172"/>
    <mergeCell ref="W173:X173"/>
    <mergeCell ref="Y173:Z173"/>
    <mergeCell ref="AA173:AB173"/>
    <mergeCell ref="I173:J173"/>
    <mergeCell ref="K173:L173"/>
    <mergeCell ref="M173:N173"/>
    <mergeCell ref="O173:P173"/>
    <mergeCell ref="Q173:R173"/>
    <mergeCell ref="S173:T173"/>
    <mergeCell ref="U173:V173"/>
    <mergeCell ref="W174:X174"/>
    <mergeCell ref="Y174:Z174"/>
    <mergeCell ref="W127:X127"/>
    <mergeCell ref="Y127:Z127"/>
    <mergeCell ref="AA127:AB127"/>
    <mergeCell ref="I127:J127"/>
    <mergeCell ref="K127:L127"/>
    <mergeCell ref="M127:N127"/>
    <mergeCell ref="O127:P127"/>
    <mergeCell ref="Q127:R127"/>
    <mergeCell ref="S127:T127"/>
    <mergeCell ref="U127:V127"/>
    <mergeCell ref="W128:X128"/>
    <mergeCell ref="Y128:Z128"/>
    <mergeCell ref="AA128:AB128"/>
    <mergeCell ref="I128:J128"/>
    <mergeCell ref="K128:L128"/>
    <mergeCell ref="M128:N128"/>
    <mergeCell ref="O128:P128"/>
    <mergeCell ref="Q128:R128"/>
    <mergeCell ref="S128:T128"/>
    <mergeCell ref="U128:V128"/>
    <mergeCell ref="C123:D123"/>
    <mergeCell ref="E123:F123"/>
    <mergeCell ref="G123:H123"/>
    <mergeCell ref="C124:D124"/>
    <mergeCell ref="E124:F124"/>
    <mergeCell ref="G124:H124"/>
    <mergeCell ref="C125:D125"/>
    <mergeCell ref="S126:T126"/>
    <mergeCell ref="U126:V126"/>
    <mergeCell ref="W126:X126"/>
    <mergeCell ref="Y126:Z126"/>
    <mergeCell ref="AA126:AB126"/>
    <mergeCell ref="E125:F125"/>
    <mergeCell ref="G125:H125"/>
    <mergeCell ref="I126:J126"/>
    <mergeCell ref="K126:L126"/>
    <mergeCell ref="M126:N126"/>
    <mergeCell ref="O126:P126"/>
    <mergeCell ref="Q126:R126"/>
    <mergeCell ref="E119:F119"/>
    <mergeCell ref="G119:H119"/>
    <mergeCell ref="C117:D117"/>
    <mergeCell ref="E117:F117"/>
    <mergeCell ref="G117:H117"/>
    <mergeCell ref="C118:D118"/>
    <mergeCell ref="E118:F118"/>
    <mergeCell ref="G118:H118"/>
    <mergeCell ref="C119:D119"/>
    <mergeCell ref="E122:F122"/>
    <mergeCell ref="G122:H122"/>
    <mergeCell ref="C120:D120"/>
    <mergeCell ref="E120:F120"/>
    <mergeCell ref="G120:H120"/>
    <mergeCell ref="C121:D121"/>
    <mergeCell ref="E121:F121"/>
    <mergeCell ref="G121:H121"/>
    <mergeCell ref="C122:D122"/>
    <mergeCell ref="E80:F80"/>
    <mergeCell ref="G80:H80"/>
    <mergeCell ref="A79:A81"/>
    <mergeCell ref="B79:B81"/>
    <mergeCell ref="C79:D79"/>
    <mergeCell ref="E79:F79"/>
    <mergeCell ref="G79:H79"/>
    <mergeCell ref="C80:C81"/>
    <mergeCell ref="D80:D81"/>
    <mergeCell ref="E116:F116"/>
    <mergeCell ref="G116:H116"/>
    <mergeCell ref="C114:D114"/>
    <mergeCell ref="E114:F114"/>
    <mergeCell ref="G114:H114"/>
    <mergeCell ref="C115:D115"/>
    <mergeCell ref="E115:F115"/>
    <mergeCell ref="G115:H115"/>
    <mergeCell ref="C116:D116"/>
    <mergeCell ref="E112:F112"/>
    <mergeCell ref="G112:H112"/>
    <mergeCell ref="C113:D113"/>
    <mergeCell ref="A95:B95"/>
    <mergeCell ref="A96:B96"/>
    <mergeCell ref="A97:B97"/>
    <mergeCell ref="A98:B98"/>
    <mergeCell ref="A99:B99"/>
    <mergeCell ref="A100:B100"/>
    <mergeCell ref="A106:B123"/>
    <mergeCell ref="A62:B68"/>
    <mergeCell ref="C62:D62"/>
    <mergeCell ref="E62:F62"/>
    <mergeCell ref="G62:H62"/>
    <mergeCell ref="G64:H64"/>
    <mergeCell ref="C71:D71"/>
    <mergeCell ref="E71:F71"/>
    <mergeCell ref="C72:D72"/>
    <mergeCell ref="E72:F72"/>
    <mergeCell ref="C73:D73"/>
    <mergeCell ref="E73:F73"/>
    <mergeCell ref="C74:D74"/>
    <mergeCell ref="E74:F74"/>
    <mergeCell ref="C68:D68"/>
    <mergeCell ref="E68:F68"/>
    <mergeCell ref="A69:B74"/>
    <mergeCell ref="C69:D69"/>
    <mergeCell ref="E69:F69"/>
    <mergeCell ref="C70:D70"/>
    <mergeCell ref="E70:F70"/>
    <mergeCell ref="C65:D65"/>
    <mergeCell ref="E65:F65"/>
    <mergeCell ref="G65:H65"/>
    <mergeCell ref="C66:D66"/>
    <mergeCell ref="E66:F66"/>
    <mergeCell ref="G66:H66"/>
    <mergeCell ref="C67:D67"/>
    <mergeCell ref="E67:F67"/>
    <mergeCell ref="G67:H67"/>
    <mergeCell ref="G68:H68"/>
    <mergeCell ref="G69:H69"/>
    <mergeCell ref="G70:H70"/>
    <mergeCell ref="G71:H71"/>
    <mergeCell ref="G72:H72"/>
    <mergeCell ref="G73:H73"/>
    <mergeCell ref="G74:H74"/>
    <mergeCell ref="C44:D44"/>
    <mergeCell ref="C46:D46"/>
    <mergeCell ref="C55:D55"/>
    <mergeCell ref="E55:F55"/>
    <mergeCell ref="G47:H47"/>
    <mergeCell ref="C48:D48"/>
    <mergeCell ref="E48:F48"/>
    <mergeCell ref="G48:H48"/>
    <mergeCell ref="G49:H49"/>
    <mergeCell ref="C50:D50"/>
    <mergeCell ref="E50:F50"/>
    <mergeCell ref="G50:H50"/>
    <mergeCell ref="C51:D51"/>
    <mergeCell ref="E51:F51"/>
    <mergeCell ref="C53:D53"/>
    <mergeCell ref="E53:F53"/>
    <mergeCell ref="W66:X66"/>
    <mergeCell ref="Y66:Z66"/>
    <mergeCell ref="AA66:AB66"/>
    <mergeCell ref="I66:J66"/>
    <mergeCell ref="K66:L66"/>
    <mergeCell ref="M66:N66"/>
    <mergeCell ref="O66:P66"/>
    <mergeCell ref="Q66:R66"/>
    <mergeCell ref="S66:T66"/>
    <mergeCell ref="U66:V66"/>
    <mergeCell ref="E17:F17"/>
    <mergeCell ref="G17:H17"/>
    <mergeCell ref="A32:B32"/>
    <mergeCell ref="A33:B33"/>
    <mergeCell ref="A34:B34"/>
    <mergeCell ref="A35:B35"/>
    <mergeCell ref="A36:B36"/>
    <mergeCell ref="E44:F44"/>
    <mergeCell ref="G44:H44"/>
    <mergeCell ref="C45:D45"/>
    <mergeCell ref="E45:F45"/>
    <mergeCell ref="E46:F46"/>
    <mergeCell ref="G46:H46"/>
    <mergeCell ref="C47:D47"/>
    <mergeCell ref="E47:F47"/>
    <mergeCell ref="C49:D49"/>
    <mergeCell ref="E49:F49"/>
    <mergeCell ref="E63:F63"/>
    <mergeCell ref="G63:H63"/>
    <mergeCell ref="C64:D64"/>
    <mergeCell ref="E64:F64"/>
    <mergeCell ref="C63:D63"/>
    <mergeCell ref="W61:X61"/>
    <mergeCell ref="Y61:Z61"/>
    <mergeCell ref="AA61:AB61"/>
    <mergeCell ref="C61:D61"/>
    <mergeCell ref="E61:F61"/>
    <mergeCell ref="I61:J61"/>
    <mergeCell ref="K61:L61"/>
    <mergeCell ref="M61:N61"/>
    <mergeCell ref="O61:P61"/>
    <mergeCell ref="Q61:R61"/>
    <mergeCell ref="W62:X62"/>
    <mergeCell ref="Y62:Z62"/>
    <mergeCell ref="AA62:AB62"/>
    <mergeCell ref="I62:J62"/>
    <mergeCell ref="K62:L62"/>
    <mergeCell ref="M62:N62"/>
    <mergeCell ref="O62:P62"/>
    <mergeCell ref="Q62:R62"/>
    <mergeCell ref="S62:T62"/>
    <mergeCell ref="U62:V62"/>
    <mergeCell ref="G59:H59"/>
    <mergeCell ref="C60:D60"/>
    <mergeCell ref="E60:F60"/>
    <mergeCell ref="G60:H60"/>
    <mergeCell ref="I60:J60"/>
    <mergeCell ref="K60:L60"/>
    <mergeCell ref="M60:N60"/>
    <mergeCell ref="A42:B43"/>
    <mergeCell ref="C42:D42"/>
    <mergeCell ref="C43:D43"/>
    <mergeCell ref="E43:F43"/>
    <mergeCell ref="G43:H43"/>
    <mergeCell ref="A44:B61"/>
    <mergeCell ref="G45:H45"/>
    <mergeCell ref="G61:H61"/>
    <mergeCell ref="S61:T61"/>
    <mergeCell ref="U61:V61"/>
    <mergeCell ref="I52:J52"/>
    <mergeCell ref="K52:L52"/>
    <mergeCell ref="M52:N52"/>
    <mergeCell ref="O52:P52"/>
    <mergeCell ref="Q52:R52"/>
    <mergeCell ref="S52:T52"/>
    <mergeCell ref="U52:V52"/>
    <mergeCell ref="S55:T55"/>
    <mergeCell ref="U55:V55"/>
    <mergeCell ref="I55:J55"/>
    <mergeCell ref="K55:L55"/>
    <mergeCell ref="M55:N55"/>
    <mergeCell ref="O55:P55"/>
    <mergeCell ref="Q55:R55"/>
    <mergeCell ref="O54:P54"/>
    <mergeCell ref="W51:X51"/>
    <mergeCell ref="Y51:Z51"/>
    <mergeCell ref="AA51:AB51"/>
    <mergeCell ref="I51:J51"/>
    <mergeCell ref="K51:L51"/>
    <mergeCell ref="M51:N51"/>
    <mergeCell ref="O51:P51"/>
    <mergeCell ref="Q51:R51"/>
    <mergeCell ref="S51:T51"/>
    <mergeCell ref="U51:V51"/>
    <mergeCell ref="O60:P60"/>
    <mergeCell ref="Q60:R60"/>
    <mergeCell ref="S60:T60"/>
    <mergeCell ref="U60:V60"/>
    <mergeCell ref="W60:X60"/>
    <mergeCell ref="Y60:Z60"/>
    <mergeCell ref="AA60:AB60"/>
    <mergeCell ref="W52:X52"/>
    <mergeCell ref="Y52:Z52"/>
    <mergeCell ref="AA52:AB52"/>
    <mergeCell ref="W55:X55"/>
    <mergeCell ref="Y55:Z55"/>
    <mergeCell ref="AA55:AB55"/>
    <mergeCell ref="Q54:R54"/>
    <mergeCell ref="S54:T54"/>
    <mergeCell ref="U54:V54"/>
    <mergeCell ref="W54:X54"/>
    <mergeCell ref="Y54:Z54"/>
    <mergeCell ref="AA54:AB54"/>
    <mergeCell ref="S59:T59"/>
    <mergeCell ref="U59:V59"/>
    <mergeCell ref="W57:X57"/>
    <mergeCell ref="W46:X46"/>
    <mergeCell ref="Y46:Z46"/>
    <mergeCell ref="AA46:AB46"/>
    <mergeCell ref="I46:J46"/>
    <mergeCell ref="K46:L46"/>
    <mergeCell ref="M46:N46"/>
    <mergeCell ref="O46:P46"/>
    <mergeCell ref="Q46:R46"/>
    <mergeCell ref="S46:T46"/>
    <mergeCell ref="U46:V46"/>
    <mergeCell ref="W47:X47"/>
    <mergeCell ref="Y47:Z47"/>
    <mergeCell ref="AA47:AB47"/>
    <mergeCell ref="I47:J47"/>
    <mergeCell ref="K47:L47"/>
    <mergeCell ref="M47:N47"/>
    <mergeCell ref="O47:P47"/>
    <mergeCell ref="Q47:R47"/>
    <mergeCell ref="S47:T47"/>
    <mergeCell ref="U47:V47"/>
    <mergeCell ref="B5:D5"/>
    <mergeCell ref="G5:L5"/>
    <mergeCell ref="G6:L12"/>
    <mergeCell ref="A15:AB15"/>
    <mergeCell ref="A16:A18"/>
    <mergeCell ref="B16:B18"/>
    <mergeCell ref="C16:D16"/>
    <mergeCell ref="S44:T44"/>
    <mergeCell ref="U44:V44"/>
    <mergeCell ref="W44:X44"/>
    <mergeCell ref="Y44:Z44"/>
    <mergeCell ref="AA44:AB44"/>
    <mergeCell ref="M43:N43"/>
    <mergeCell ref="O43:P43"/>
    <mergeCell ref="I44:J44"/>
    <mergeCell ref="K44:L44"/>
    <mergeCell ref="M44:N44"/>
    <mergeCell ref="O44:P44"/>
    <mergeCell ref="Q44:R44"/>
    <mergeCell ref="C17:C18"/>
    <mergeCell ref="D17:D18"/>
    <mergeCell ref="Q43:R43"/>
    <mergeCell ref="S43:T43"/>
    <mergeCell ref="U43:V43"/>
    <mergeCell ref="W43:X43"/>
    <mergeCell ref="Y43:Z43"/>
    <mergeCell ref="AA43:AB43"/>
    <mergeCell ref="A37:B37"/>
    <mergeCell ref="A38:B38"/>
    <mergeCell ref="A40:AB40"/>
    <mergeCell ref="B41:AB41"/>
    <mergeCell ref="E42:AB42"/>
    <mergeCell ref="I43:J43"/>
    <mergeCell ref="K43:L43"/>
    <mergeCell ref="I17:J17"/>
    <mergeCell ref="K17:L17"/>
    <mergeCell ref="M17:N17"/>
    <mergeCell ref="O17:P17"/>
    <mergeCell ref="Q17:R17"/>
    <mergeCell ref="S17:T17"/>
    <mergeCell ref="U17:V17"/>
    <mergeCell ref="W17:X17"/>
    <mergeCell ref="Y17:Z17"/>
    <mergeCell ref="AA17:AB17"/>
    <mergeCell ref="W123:X123"/>
    <mergeCell ref="Y123:Z123"/>
    <mergeCell ref="AA123:AB123"/>
    <mergeCell ref="I123:J123"/>
    <mergeCell ref="K123:L123"/>
    <mergeCell ref="M123:N123"/>
    <mergeCell ref="O123:P123"/>
    <mergeCell ref="Q123:R123"/>
    <mergeCell ref="S123:T123"/>
    <mergeCell ref="U123:V123"/>
    <mergeCell ref="E16:F16"/>
    <mergeCell ref="G16:H16"/>
    <mergeCell ref="I16:J16"/>
    <mergeCell ref="K16:L16"/>
    <mergeCell ref="M16:N16"/>
    <mergeCell ref="O16:P16"/>
    <mergeCell ref="Q16:R16"/>
    <mergeCell ref="S16:T16"/>
    <mergeCell ref="U16:V16"/>
    <mergeCell ref="W16:X16"/>
    <mergeCell ref="Y16:Z16"/>
    <mergeCell ref="AA16:AB16"/>
    <mergeCell ref="W45:X45"/>
    <mergeCell ref="Y45:Z45"/>
    <mergeCell ref="AA45:AB45"/>
    <mergeCell ref="I45:J45"/>
    <mergeCell ref="K45:L45"/>
    <mergeCell ref="M45:N45"/>
    <mergeCell ref="O45:P45"/>
    <mergeCell ref="Q45:R45"/>
    <mergeCell ref="S45:T45"/>
    <mergeCell ref="U45:V45"/>
    <mergeCell ref="W121:X121"/>
    <mergeCell ref="Y121:Z121"/>
    <mergeCell ref="AA121:AB121"/>
    <mergeCell ref="I121:J121"/>
    <mergeCell ref="K121:L121"/>
    <mergeCell ref="M121:N121"/>
    <mergeCell ref="O121:P121"/>
    <mergeCell ref="Q121:R121"/>
    <mergeCell ref="S121:T121"/>
    <mergeCell ref="U121:V121"/>
    <mergeCell ref="W122:X122"/>
    <mergeCell ref="Y122:Z122"/>
    <mergeCell ref="AA122:AB122"/>
    <mergeCell ref="I122:J122"/>
    <mergeCell ref="K122:L122"/>
    <mergeCell ref="M122:N122"/>
    <mergeCell ref="O122:P122"/>
    <mergeCell ref="Q122:R122"/>
    <mergeCell ref="S122:T122"/>
    <mergeCell ref="U122:V122"/>
    <mergeCell ref="K118:L118"/>
    <mergeCell ref="M118:N118"/>
    <mergeCell ref="O118:P118"/>
    <mergeCell ref="Q118:R118"/>
    <mergeCell ref="S118:T118"/>
    <mergeCell ref="U118:V118"/>
    <mergeCell ref="W119:X119"/>
    <mergeCell ref="Y119:Z119"/>
    <mergeCell ref="AA119:AB119"/>
    <mergeCell ref="I119:J119"/>
    <mergeCell ref="K119:L119"/>
    <mergeCell ref="M119:N119"/>
    <mergeCell ref="O119:P119"/>
    <mergeCell ref="Q119:R119"/>
    <mergeCell ref="S119:T119"/>
    <mergeCell ref="U119:V119"/>
    <mergeCell ref="W120:X120"/>
    <mergeCell ref="Y120:Z120"/>
    <mergeCell ref="AA120:AB120"/>
    <mergeCell ref="I120:J120"/>
    <mergeCell ref="K120:L120"/>
    <mergeCell ref="M120:N120"/>
    <mergeCell ref="O120:P120"/>
    <mergeCell ref="Q120:R120"/>
    <mergeCell ref="S120:T120"/>
    <mergeCell ref="U120:V120"/>
    <mergeCell ref="AA112:AB112"/>
    <mergeCell ref="I112:J112"/>
    <mergeCell ref="K112:L112"/>
    <mergeCell ref="M112:N112"/>
    <mergeCell ref="O112:P112"/>
    <mergeCell ref="Q112:R112"/>
    <mergeCell ref="S112:T112"/>
    <mergeCell ref="U112:V112"/>
    <mergeCell ref="W125:X125"/>
    <mergeCell ref="Y125:Z125"/>
    <mergeCell ref="AA125:AB125"/>
    <mergeCell ref="I125:J125"/>
    <mergeCell ref="K125:L125"/>
    <mergeCell ref="M125:N125"/>
    <mergeCell ref="O125:P125"/>
    <mergeCell ref="Q125:R125"/>
    <mergeCell ref="S125:T125"/>
    <mergeCell ref="U125:V125"/>
    <mergeCell ref="W117:X117"/>
    <mergeCell ref="Y117:Z117"/>
    <mergeCell ref="AA117:AB117"/>
    <mergeCell ref="I117:J117"/>
    <mergeCell ref="K117:L117"/>
    <mergeCell ref="M117:N117"/>
    <mergeCell ref="O117:P117"/>
    <mergeCell ref="Q117:R117"/>
    <mergeCell ref="S117:T117"/>
    <mergeCell ref="U117:V117"/>
    <mergeCell ref="W118:X118"/>
    <mergeCell ref="Y118:Z118"/>
    <mergeCell ref="AA118:AB118"/>
    <mergeCell ref="I118:J118"/>
    <mergeCell ref="W124:X124"/>
    <mergeCell ref="Y124:Z124"/>
    <mergeCell ref="AA124:AB124"/>
    <mergeCell ref="I124:J124"/>
    <mergeCell ref="K124:L124"/>
    <mergeCell ref="M124:N124"/>
    <mergeCell ref="O124:P124"/>
    <mergeCell ref="Q124:R124"/>
    <mergeCell ref="S124:T124"/>
    <mergeCell ref="U124:V124"/>
    <mergeCell ref="W110:X110"/>
    <mergeCell ref="Y110:Z110"/>
    <mergeCell ref="AA110:AB110"/>
    <mergeCell ref="I110:J110"/>
    <mergeCell ref="K110:L110"/>
    <mergeCell ref="M110:N110"/>
    <mergeCell ref="O110:P110"/>
    <mergeCell ref="Q110:R110"/>
    <mergeCell ref="S110:T110"/>
    <mergeCell ref="U110:V110"/>
    <mergeCell ref="W111:X111"/>
    <mergeCell ref="Y111:Z111"/>
    <mergeCell ref="AA111:AB111"/>
    <mergeCell ref="I111:J111"/>
    <mergeCell ref="K111:L111"/>
    <mergeCell ref="M111:N111"/>
    <mergeCell ref="O111:P111"/>
    <mergeCell ref="Q111:R111"/>
    <mergeCell ref="S111:T111"/>
    <mergeCell ref="U111:V111"/>
    <mergeCell ref="W112:X112"/>
    <mergeCell ref="Y112:Z112"/>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10"/>
  <sheetViews>
    <sheetView topLeftCell="S1" workbookViewId="0">
      <pane ySplit="1" topLeftCell="A44" activePane="bottomLeft" state="frozen"/>
      <selection pane="bottomLeft" activeCell="AB51" sqref="AB51"/>
    </sheetView>
  </sheetViews>
  <sheetFormatPr baseColWidth="10" defaultColWidth="12.59765625" defaultRowHeight="15" customHeight="1"/>
  <cols>
    <col min="1" max="1" width="24.69921875" customWidth="1"/>
    <col min="2" max="2" width="31.59765625" customWidth="1"/>
    <col min="3" max="3" width="22" customWidth="1"/>
    <col min="4" max="4" width="41.3984375" customWidth="1"/>
    <col min="5" max="5" width="29.19921875" customWidth="1"/>
    <col min="6" max="6" width="13.69921875" customWidth="1"/>
    <col min="7" max="7" width="12.69921875" customWidth="1"/>
    <col min="8" max="8" width="13.8984375" customWidth="1"/>
    <col min="9" max="9" width="22.3984375" customWidth="1"/>
    <col min="10" max="10" width="14.5" customWidth="1"/>
    <col min="11" max="11" width="15.69921875" customWidth="1"/>
    <col min="12" max="12" width="13.59765625" customWidth="1"/>
    <col min="13" max="13" width="14.69921875" customWidth="1"/>
    <col min="14" max="14" width="13.5" customWidth="1"/>
    <col min="15" max="15" width="19.09765625" customWidth="1"/>
    <col min="16" max="16" width="11.69921875" customWidth="1"/>
    <col min="17" max="17" width="14.09765625" customWidth="1"/>
    <col min="18" max="18" width="12.19921875" customWidth="1"/>
    <col min="19" max="19" width="14" customWidth="1"/>
    <col min="20" max="20" width="15" customWidth="1"/>
    <col min="21" max="21" width="13.19921875" customWidth="1"/>
    <col min="22" max="22" width="12.3984375" customWidth="1"/>
    <col min="23" max="23" width="12.5" customWidth="1"/>
    <col min="24" max="25" width="12.8984375" customWidth="1"/>
    <col min="26" max="29" width="12.5" customWidth="1"/>
  </cols>
  <sheetData>
    <row r="1" spans="1:29" ht="15" customHeight="1">
      <c r="A1" s="10"/>
      <c r="B1" s="217"/>
      <c r="C1" s="218" t="s">
        <v>160</v>
      </c>
      <c r="D1" s="10"/>
      <c r="E1" s="218"/>
      <c r="F1" s="10"/>
      <c r="G1" s="10"/>
      <c r="H1" s="10"/>
      <c r="I1" s="10"/>
      <c r="J1" s="10"/>
      <c r="K1" s="10"/>
      <c r="L1" s="10"/>
      <c r="M1" s="10"/>
      <c r="N1" s="10"/>
      <c r="O1" s="10"/>
      <c r="P1" s="1"/>
      <c r="Q1" s="1"/>
      <c r="R1" s="1"/>
      <c r="S1" s="1"/>
      <c r="T1" s="1"/>
      <c r="U1" s="1"/>
      <c r="V1" s="1"/>
      <c r="W1" s="1"/>
      <c r="X1" s="1"/>
      <c r="Y1" s="1"/>
      <c r="Z1" s="1"/>
      <c r="AA1" s="219"/>
      <c r="AB1" s="219"/>
      <c r="AC1" s="219"/>
    </row>
    <row r="2" spans="1:29" ht="15" customHeight="1">
      <c r="A2" s="1"/>
      <c r="B2" s="220"/>
      <c r="C2" s="1"/>
      <c r="D2" s="1"/>
      <c r="E2" s="1"/>
      <c r="F2" s="1"/>
      <c r="G2" s="1"/>
      <c r="H2" s="1"/>
      <c r="I2" s="1"/>
      <c r="J2" s="1"/>
      <c r="K2" s="1"/>
      <c r="L2" s="1"/>
      <c r="M2" s="1"/>
      <c r="N2" s="1"/>
      <c r="O2" s="1"/>
      <c r="P2" s="1"/>
      <c r="Q2" s="1"/>
      <c r="R2" s="1"/>
      <c r="S2" s="1"/>
      <c r="T2" s="1"/>
      <c r="U2" s="1"/>
      <c r="V2" s="1"/>
      <c r="W2" s="1"/>
      <c r="X2" s="1"/>
      <c r="Y2" s="1"/>
      <c r="Z2" s="1"/>
      <c r="AA2" s="219"/>
      <c r="AB2" s="219"/>
      <c r="AC2" s="219"/>
    </row>
    <row r="3" spans="1:29" ht="15" customHeight="1">
      <c r="A3" s="921" t="s">
        <v>161</v>
      </c>
      <c r="B3" s="799"/>
      <c r="C3" s="799"/>
      <c r="D3" s="799"/>
      <c r="E3" s="800"/>
      <c r="F3" s="1"/>
      <c r="G3" s="1"/>
      <c r="H3" s="922" t="s">
        <v>600</v>
      </c>
      <c r="I3" s="799"/>
      <c r="J3" s="799"/>
      <c r="K3" s="799"/>
      <c r="L3" s="800"/>
      <c r="M3" s="1"/>
      <c r="N3" s="1"/>
      <c r="O3" s="4" t="s">
        <v>162</v>
      </c>
      <c r="P3" s="221">
        <v>12500</v>
      </c>
      <c r="Q3" s="1"/>
      <c r="R3" s="1"/>
      <c r="S3" s="923" t="s">
        <v>602</v>
      </c>
      <c r="T3" s="799"/>
      <c r="U3" s="799"/>
      <c r="V3" s="799"/>
      <c r="W3" s="800"/>
      <c r="X3" s="1"/>
      <c r="Y3" s="923" t="s">
        <v>603</v>
      </c>
      <c r="Z3" s="799"/>
      <c r="AA3" s="799"/>
      <c r="AB3" s="799"/>
      <c r="AC3" s="800"/>
    </row>
    <row r="4" spans="1:29" ht="15" customHeight="1">
      <c r="A4" s="924"/>
      <c r="B4" s="799"/>
      <c r="C4" s="799"/>
      <c r="D4" s="799"/>
      <c r="E4" s="800"/>
      <c r="F4" s="1"/>
      <c r="G4" s="1"/>
      <c r="H4" s="924"/>
      <c r="I4" s="799"/>
      <c r="J4" s="799"/>
      <c r="K4" s="799"/>
      <c r="L4" s="800"/>
      <c r="M4" s="1"/>
      <c r="N4" s="1"/>
      <c r="O4" s="1"/>
      <c r="P4" s="1"/>
      <c r="Q4" s="1"/>
      <c r="R4" s="1"/>
      <c r="S4" s="924"/>
      <c r="T4" s="799"/>
      <c r="U4" s="799"/>
      <c r="V4" s="799"/>
      <c r="W4" s="800"/>
      <c r="X4" s="1"/>
      <c r="Y4" s="924"/>
      <c r="Z4" s="799"/>
      <c r="AA4" s="799"/>
      <c r="AB4" s="799"/>
      <c r="AC4" s="800"/>
    </row>
    <row r="5" spans="1:29" ht="15" customHeight="1">
      <c r="A5" s="1"/>
      <c r="B5" s="220"/>
      <c r="C5" s="1"/>
      <c r="D5" s="1"/>
      <c r="E5" s="1"/>
      <c r="F5" s="1"/>
      <c r="G5" s="1"/>
      <c r="H5" s="1"/>
      <c r="I5" s="1"/>
      <c r="J5" s="1"/>
      <c r="K5" s="1"/>
      <c r="L5" s="1"/>
      <c r="M5" s="1"/>
      <c r="N5" s="1"/>
      <c r="O5" s="1"/>
      <c r="P5" s="1"/>
      <c r="Q5" s="1"/>
      <c r="R5" s="1"/>
      <c r="S5" s="1"/>
      <c r="T5" s="1"/>
      <c r="U5" s="1"/>
      <c r="V5" s="1"/>
      <c r="W5" s="1"/>
      <c r="X5" s="1"/>
      <c r="Y5" s="1"/>
      <c r="Z5" s="1"/>
      <c r="AA5" s="219"/>
      <c r="AB5" s="219"/>
      <c r="AC5" s="219"/>
    </row>
    <row r="6" spans="1:29" ht="15" customHeight="1">
      <c r="A6" s="921" t="s">
        <v>163</v>
      </c>
      <c r="B6" s="799"/>
      <c r="C6" s="800"/>
      <c r="D6" s="222"/>
      <c r="E6" s="222"/>
      <c r="F6" s="1"/>
      <c r="G6" s="1"/>
      <c r="H6" s="1"/>
      <c r="I6" s="1"/>
      <c r="J6" s="1"/>
      <c r="K6" s="1"/>
      <c r="L6" s="1"/>
      <c r="M6" s="1"/>
      <c r="N6" s="1"/>
      <c r="O6" s="1"/>
      <c r="P6" s="1"/>
      <c r="Q6" s="1"/>
      <c r="R6" s="1"/>
      <c r="S6" s="1"/>
      <c r="T6" s="1"/>
      <c r="U6" s="1"/>
      <c r="V6" s="1"/>
      <c r="W6" s="1"/>
      <c r="X6" s="1"/>
      <c r="Y6" s="1"/>
      <c r="Z6" s="1"/>
      <c r="AA6" s="219"/>
      <c r="AB6" s="219"/>
      <c r="AC6" s="219"/>
    </row>
    <row r="7" spans="1:29" ht="15" customHeight="1">
      <c r="A7" s="223" t="s">
        <v>164</v>
      </c>
      <c r="B7" s="224">
        <v>52</v>
      </c>
      <c r="C7" s="225" t="s">
        <v>165</v>
      </c>
      <c r="D7" s="1"/>
      <c r="E7" s="1"/>
      <c r="F7" s="1"/>
      <c r="G7" s="1"/>
      <c r="H7" s="1"/>
      <c r="I7" s="1"/>
      <c r="J7" s="1"/>
      <c r="K7" s="1"/>
      <c r="L7" s="1"/>
      <c r="M7" s="1"/>
      <c r="N7" s="1"/>
      <c r="O7" s="1"/>
      <c r="P7" s="1"/>
      <c r="Q7" s="1"/>
      <c r="R7" s="1"/>
      <c r="S7" s="1"/>
      <c r="T7" s="1"/>
      <c r="U7" s="1"/>
      <c r="V7" s="1"/>
      <c r="W7" s="1"/>
      <c r="X7" s="1"/>
      <c r="Y7" s="1"/>
      <c r="Z7" s="1"/>
      <c r="AA7" s="219"/>
      <c r="AB7" s="219"/>
      <c r="AC7" s="219"/>
    </row>
    <row r="8" spans="1:29" ht="15" customHeight="1">
      <c r="A8" s="223" t="s">
        <v>166</v>
      </c>
      <c r="B8" s="224">
        <v>2</v>
      </c>
      <c r="C8" s="225" t="s">
        <v>165</v>
      </c>
      <c r="D8" s="1"/>
      <c r="E8" s="1"/>
      <c r="F8" s="1"/>
      <c r="G8" s="1"/>
      <c r="H8" s="1"/>
      <c r="I8" s="1"/>
      <c r="J8" s="1"/>
      <c r="K8" s="1"/>
      <c r="L8" s="1"/>
      <c r="M8" s="1"/>
      <c r="N8" s="1"/>
      <c r="O8" s="1"/>
      <c r="P8" s="1"/>
      <c r="Q8" s="1"/>
      <c r="R8" s="1"/>
      <c r="S8" s="1"/>
      <c r="T8" s="1"/>
      <c r="U8" s="1"/>
      <c r="V8" s="1"/>
      <c r="W8" s="1"/>
      <c r="X8" s="1"/>
      <c r="Y8" s="1"/>
      <c r="Z8" s="1"/>
      <c r="AA8" s="219"/>
      <c r="AB8" s="219"/>
      <c r="AC8" s="219"/>
    </row>
    <row r="9" spans="1:29" ht="15" customHeight="1">
      <c r="A9" s="223" t="s">
        <v>167</v>
      </c>
      <c r="B9" s="224">
        <v>14</v>
      </c>
      <c r="C9" s="225" t="s">
        <v>168</v>
      </c>
      <c r="D9" s="1"/>
      <c r="E9" s="1"/>
      <c r="F9" s="1"/>
      <c r="G9" s="1"/>
      <c r="H9" s="1"/>
      <c r="I9" s="1"/>
      <c r="J9" s="1"/>
      <c r="K9" s="1"/>
      <c r="L9" s="1"/>
      <c r="M9" s="1"/>
      <c r="N9" s="1"/>
      <c r="O9" s="1"/>
      <c r="P9" s="1"/>
      <c r="Q9" s="1"/>
      <c r="R9" s="1"/>
      <c r="S9" s="1"/>
      <c r="T9" s="1"/>
      <c r="U9" s="1"/>
      <c r="V9" s="1"/>
      <c r="W9" s="1"/>
      <c r="X9" s="1"/>
      <c r="Y9" s="1"/>
      <c r="Z9" s="1"/>
      <c r="AA9" s="219"/>
      <c r="AB9" s="219"/>
      <c r="AC9" s="219"/>
    </row>
    <row r="10" spans="1:29" ht="15" customHeight="1">
      <c r="A10" s="223" t="s">
        <v>169</v>
      </c>
      <c r="B10" s="224">
        <f>(B7-B8)*5 -B9</f>
        <v>236</v>
      </c>
      <c r="C10" s="225" t="s">
        <v>168</v>
      </c>
      <c r="D10" s="1"/>
      <c r="E10" s="1"/>
      <c r="F10" s="1"/>
      <c r="G10" s="1"/>
      <c r="H10" s="1"/>
      <c r="I10" s="1"/>
      <c r="J10" s="1"/>
      <c r="K10" s="1"/>
      <c r="L10" s="1"/>
      <c r="M10" s="1"/>
      <c r="N10" s="1"/>
      <c r="O10" s="1"/>
      <c r="P10" s="1"/>
      <c r="Q10" s="1"/>
      <c r="R10" s="1"/>
      <c r="S10" s="1"/>
      <c r="T10" s="1"/>
      <c r="U10" s="1"/>
      <c r="V10" s="1"/>
      <c r="W10" s="1"/>
      <c r="X10" s="1"/>
      <c r="Y10" s="1"/>
      <c r="Z10" s="1"/>
      <c r="AA10" s="219"/>
      <c r="AB10" s="219"/>
      <c r="AC10" s="219"/>
    </row>
    <row r="11" spans="1:29" ht="15" customHeight="1">
      <c r="A11" s="223" t="s">
        <v>170</v>
      </c>
      <c r="B11" s="224">
        <v>8</v>
      </c>
      <c r="C11" s="225" t="s">
        <v>171</v>
      </c>
      <c r="D11" s="1"/>
      <c r="E11" s="1"/>
      <c r="F11" s="1"/>
      <c r="G11" s="1"/>
      <c r="H11" s="1"/>
      <c r="I11" s="1"/>
      <c r="J11" s="1"/>
      <c r="K11" s="1"/>
      <c r="L11" s="1"/>
      <c r="M11" s="1"/>
      <c r="N11" s="1"/>
      <c r="O11" s="1"/>
      <c r="P11" s="1"/>
      <c r="Q11" s="1"/>
      <c r="R11" s="1"/>
      <c r="S11" s="1"/>
      <c r="T11" s="37" t="s">
        <v>44</v>
      </c>
      <c r="U11" s="1"/>
      <c r="V11" s="1"/>
      <c r="W11" s="1"/>
      <c r="X11" s="1"/>
      <c r="Y11" s="1"/>
      <c r="Z11" s="1"/>
      <c r="AA11" s="219"/>
      <c r="AB11" s="219"/>
      <c r="AC11" s="219"/>
    </row>
    <row r="12" spans="1:29" ht="15" customHeight="1">
      <c r="A12" s="226" t="s">
        <v>172</v>
      </c>
      <c r="B12" s="227">
        <f>B10*B11</f>
        <v>1888</v>
      </c>
      <c r="C12" s="228" t="s">
        <v>171</v>
      </c>
      <c r="D12" s="1"/>
      <c r="E12" s="1"/>
      <c r="F12" s="1"/>
      <c r="G12" s="1"/>
      <c r="H12" s="1"/>
      <c r="I12" s="1"/>
      <c r="J12" s="1"/>
      <c r="K12" s="1"/>
      <c r="L12" s="1"/>
      <c r="M12" s="1"/>
      <c r="N12" s="1"/>
      <c r="O12" s="1"/>
      <c r="P12" s="1"/>
      <c r="Q12" s="1"/>
      <c r="R12" s="1"/>
      <c r="S12" s="1"/>
      <c r="T12" s="40" t="s">
        <v>45</v>
      </c>
      <c r="U12" s="1"/>
      <c r="V12" s="1"/>
      <c r="W12" s="1"/>
      <c r="X12" s="1"/>
      <c r="Y12" s="1"/>
      <c r="Z12" s="1"/>
      <c r="AA12" s="219"/>
      <c r="AB12" s="219"/>
      <c r="AC12" s="219"/>
    </row>
    <row r="13" spans="1:29" ht="15" customHeight="1">
      <c r="A13" s="925" t="s">
        <v>173</v>
      </c>
      <c r="B13" s="229">
        <v>1800</v>
      </c>
      <c r="C13" s="230" t="s">
        <v>174</v>
      </c>
      <c r="D13" s="1"/>
      <c r="E13" s="1"/>
      <c r="F13" s="1"/>
      <c r="G13" s="1"/>
      <c r="H13" s="1"/>
      <c r="I13" s="1"/>
      <c r="J13" s="1"/>
      <c r="K13" s="1"/>
      <c r="L13" s="1"/>
      <c r="M13" s="1"/>
      <c r="N13" s="1"/>
      <c r="O13" s="1"/>
      <c r="P13" s="1"/>
      <c r="Q13" s="1"/>
      <c r="R13" s="1"/>
      <c r="S13" s="1"/>
      <c r="T13" s="43" t="s">
        <v>175</v>
      </c>
      <c r="U13" s="1"/>
      <c r="V13" s="1"/>
      <c r="W13" s="1"/>
      <c r="X13" s="1"/>
      <c r="Y13" s="1"/>
      <c r="Z13" s="1"/>
      <c r="AA13" s="219"/>
      <c r="AB13" s="219"/>
      <c r="AC13" s="219"/>
    </row>
    <row r="14" spans="1:29" ht="15" customHeight="1">
      <c r="A14" s="812"/>
      <c r="B14" s="231">
        <v>150</v>
      </c>
      <c r="C14" s="232" t="s">
        <v>176</v>
      </c>
      <c r="D14" s="1"/>
      <c r="E14" s="1"/>
      <c r="F14" s="1"/>
      <c r="G14" s="1"/>
      <c r="H14" s="1"/>
      <c r="I14" s="1"/>
      <c r="J14" s="1"/>
      <c r="K14" s="1"/>
      <c r="L14" s="1"/>
      <c r="M14" s="1"/>
      <c r="N14" s="1"/>
      <c r="O14" s="1"/>
      <c r="P14" s="1"/>
      <c r="Q14" s="1"/>
      <c r="R14" s="1"/>
      <c r="S14" s="1"/>
      <c r="T14" s="1"/>
      <c r="U14" s="1"/>
      <c r="V14" s="1"/>
      <c r="W14" s="1"/>
      <c r="X14" s="1"/>
      <c r="Y14" s="1"/>
      <c r="Z14" s="1"/>
      <c r="AA14" s="219"/>
      <c r="AB14" s="219"/>
      <c r="AC14" s="219"/>
    </row>
    <row r="15" spans="1:29" ht="15" customHeight="1">
      <c r="A15" s="233"/>
      <c r="B15" s="234"/>
      <c r="C15" s="235"/>
      <c r="D15" s="1"/>
      <c r="E15" s="1"/>
      <c r="F15" s="1"/>
      <c r="G15" s="1"/>
      <c r="H15" s="1"/>
      <c r="I15" s="1"/>
      <c r="J15" s="1"/>
      <c r="K15" s="1"/>
      <c r="L15" s="1"/>
      <c r="M15" s="1"/>
      <c r="N15" s="1"/>
      <c r="O15" s="1"/>
      <c r="P15" s="1"/>
      <c r="Q15" s="1"/>
      <c r="R15" s="1"/>
      <c r="S15" s="1"/>
      <c r="T15" s="1"/>
      <c r="U15" s="1"/>
      <c r="V15" s="1"/>
      <c r="W15" s="1"/>
      <c r="X15" s="1"/>
      <c r="Y15" s="1"/>
      <c r="Z15" s="1"/>
      <c r="AA15" s="219"/>
      <c r="AB15" s="219"/>
      <c r="AC15" s="219"/>
    </row>
    <row r="16" spans="1:29" ht="15" customHeight="1">
      <c r="A16" s="236"/>
      <c r="B16" s="237"/>
      <c r="C16" s="238"/>
      <c r="D16" s="180"/>
      <c r="E16" s="180"/>
      <c r="F16" s="180"/>
      <c r="G16" s="180"/>
      <c r="H16" s="180"/>
      <c r="I16" s="180"/>
      <c r="J16" s="180"/>
      <c r="K16" s="180"/>
      <c r="L16" s="180"/>
      <c r="M16" s="180"/>
      <c r="N16" s="180"/>
      <c r="O16" s="1"/>
      <c r="P16" s="1"/>
      <c r="Q16" s="1"/>
      <c r="R16" s="1"/>
      <c r="S16" s="1"/>
      <c r="T16" s="1"/>
      <c r="U16" s="1"/>
      <c r="V16" s="1"/>
      <c r="W16" s="1"/>
      <c r="X16" s="1"/>
      <c r="Y16" s="1"/>
      <c r="Z16" s="1"/>
      <c r="AA16" s="219"/>
      <c r="AB16" s="219"/>
      <c r="AC16" s="219"/>
    </row>
    <row r="17" spans="1:29" ht="15" customHeight="1">
      <c r="A17" s="1"/>
      <c r="B17" s="220"/>
      <c r="C17" s="68"/>
      <c r="D17" s="68"/>
      <c r="E17" s="68"/>
      <c r="F17" s="68"/>
      <c r="G17" s="1"/>
      <c r="H17" s="1"/>
      <c r="I17" s="1"/>
      <c r="J17" s="1"/>
      <c r="K17" s="1"/>
      <c r="L17" s="1"/>
      <c r="M17" s="1"/>
      <c r="N17" s="1"/>
      <c r="O17" s="1"/>
      <c r="P17" s="1"/>
      <c r="Q17" s="1"/>
      <c r="R17" s="1"/>
      <c r="S17" s="239"/>
      <c r="T17" s="239"/>
      <c r="U17" s="239"/>
      <c r="V17" s="239"/>
      <c r="W17" s="239"/>
      <c r="X17" s="1"/>
      <c r="Y17" s="1"/>
      <c r="Z17" s="1"/>
      <c r="AA17" s="219"/>
      <c r="AB17" s="219"/>
      <c r="AC17" s="219"/>
    </row>
    <row r="18" spans="1:29" ht="23.4" customHeight="1">
      <c r="A18" s="921" t="s">
        <v>594</v>
      </c>
      <c r="B18" s="799"/>
      <c r="C18" s="799"/>
      <c r="D18" s="799"/>
      <c r="E18" s="800"/>
      <c r="F18" s="233"/>
      <c r="G18" s="1"/>
      <c r="H18" s="922" t="s">
        <v>597</v>
      </c>
      <c r="I18" s="799"/>
      <c r="J18" s="799"/>
      <c r="K18" s="799"/>
      <c r="L18" s="800"/>
      <c r="M18" s="1"/>
      <c r="N18" s="1"/>
      <c r="O18" s="1"/>
      <c r="P18" s="1"/>
      <c r="Q18" s="1"/>
      <c r="R18" s="13"/>
      <c r="S18" s="926" t="s">
        <v>597</v>
      </c>
      <c r="T18" s="927"/>
      <c r="U18" s="927"/>
      <c r="V18" s="927"/>
      <c r="W18" s="928"/>
      <c r="X18" s="175"/>
      <c r="Y18" s="926" t="s">
        <v>601</v>
      </c>
      <c r="Z18" s="927"/>
      <c r="AA18" s="927"/>
      <c r="AB18" s="927"/>
      <c r="AC18" s="928"/>
    </row>
    <row r="19" spans="1:29" ht="15" customHeight="1">
      <c r="A19" s="240" t="s">
        <v>177</v>
      </c>
      <c r="B19" s="241" t="s">
        <v>178</v>
      </c>
      <c r="C19" s="241" t="s">
        <v>179</v>
      </c>
      <c r="D19" s="241" t="s">
        <v>180</v>
      </c>
      <c r="E19" s="242" t="s">
        <v>181</v>
      </c>
      <c r="F19" s="233"/>
      <c r="G19" s="1"/>
      <c r="H19" s="243" t="s">
        <v>177</v>
      </c>
      <c r="I19" s="244" t="s">
        <v>178</v>
      </c>
      <c r="J19" s="244" t="s">
        <v>179</v>
      </c>
      <c r="K19" s="244" t="s">
        <v>180</v>
      </c>
      <c r="L19" s="245" t="s">
        <v>182</v>
      </c>
      <c r="M19" s="1"/>
      <c r="N19" s="1"/>
      <c r="O19" s="1"/>
      <c r="P19" s="1"/>
      <c r="Q19" s="1"/>
      <c r="R19" s="13"/>
      <c r="S19" s="917" t="s">
        <v>183</v>
      </c>
      <c r="T19" s="918"/>
      <c r="U19" s="246" t="s">
        <v>26</v>
      </c>
      <c r="V19" s="246" t="s">
        <v>184</v>
      </c>
      <c r="W19" s="247" t="s">
        <v>185</v>
      </c>
      <c r="X19" s="175"/>
      <c r="Y19" s="917" t="s">
        <v>183</v>
      </c>
      <c r="Z19" s="918"/>
      <c r="AA19" s="246" t="s">
        <v>26</v>
      </c>
      <c r="AB19" s="246" t="s">
        <v>184</v>
      </c>
      <c r="AC19" s="247" t="s">
        <v>185</v>
      </c>
    </row>
    <row r="20" spans="1:29" ht="15" customHeight="1">
      <c r="A20" s="248">
        <v>1</v>
      </c>
      <c r="B20" s="249" t="s">
        <v>186</v>
      </c>
      <c r="C20" s="250">
        <v>0.17</v>
      </c>
      <c r="D20" s="251">
        <v>1</v>
      </c>
      <c r="E20" s="252">
        <f t="shared" ref="E20:E31" si="0">D20*C20</f>
        <v>0.17</v>
      </c>
      <c r="F20" s="1"/>
      <c r="G20" s="1"/>
      <c r="H20" s="248">
        <v>1</v>
      </c>
      <c r="I20" s="249" t="s">
        <v>187</v>
      </c>
      <c r="J20" s="250">
        <v>0.1</v>
      </c>
      <c r="K20" s="250">
        <v>1</v>
      </c>
      <c r="L20" s="252">
        <f t="shared" ref="L20:L24" si="1">K20*J20</f>
        <v>0.1</v>
      </c>
      <c r="M20" s="1"/>
      <c r="N20" s="1"/>
      <c r="O20" s="1"/>
      <c r="P20" s="1"/>
      <c r="Q20" s="1"/>
      <c r="R20" s="13"/>
      <c r="S20" s="929" t="s">
        <v>122</v>
      </c>
      <c r="T20" s="893"/>
      <c r="U20" s="253">
        <v>1</v>
      </c>
      <c r="V20" s="254">
        <v>30000</v>
      </c>
      <c r="W20" s="255">
        <f t="shared" ref="W20:W22" si="2">V20*U20</f>
        <v>30000</v>
      </c>
      <c r="X20" s="175"/>
      <c r="Y20" s="919" t="s">
        <v>188</v>
      </c>
      <c r="Z20" s="893"/>
      <c r="AA20" s="256">
        <f>L32</f>
        <v>0.3</v>
      </c>
      <c r="AB20" s="257">
        <f>P3</f>
        <v>12500</v>
      </c>
      <c r="AC20" s="258">
        <f>AB20*AA20</f>
        <v>3750</v>
      </c>
    </row>
    <row r="21" spans="1:29" ht="15" customHeight="1">
      <c r="A21" s="259">
        <v>2</v>
      </c>
      <c r="B21" s="260" t="s">
        <v>189</v>
      </c>
      <c r="C21" s="261">
        <v>0.42</v>
      </c>
      <c r="D21" s="262">
        <v>1</v>
      </c>
      <c r="E21" s="252">
        <f t="shared" si="0"/>
        <v>0.42</v>
      </c>
      <c r="F21" s="1"/>
      <c r="G21" s="1"/>
      <c r="H21" s="259">
        <v>2</v>
      </c>
      <c r="I21" s="260" t="s">
        <v>190</v>
      </c>
      <c r="J21" s="261">
        <v>0.05</v>
      </c>
      <c r="K21" s="262">
        <v>1</v>
      </c>
      <c r="L21" s="252">
        <f t="shared" si="1"/>
        <v>0.05</v>
      </c>
      <c r="M21" s="1"/>
      <c r="N21" s="1"/>
      <c r="O21" s="1"/>
      <c r="P21" s="1"/>
      <c r="Q21" s="1"/>
      <c r="R21" s="13"/>
      <c r="S21" s="263" t="s">
        <v>191</v>
      </c>
      <c r="T21" s="225"/>
      <c r="U21" s="264">
        <v>4</v>
      </c>
      <c r="V21" s="265">
        <v>12500</v>
      </c>
      <c r="W21" s="266">
        <f t="shared" si="2"/>
        <v>50000</v>
      </c>
      <c r="X21" s="175"/>
      <c r="Y21" s="913"/>
      <c r="Z21" s="809"/>
      <c r="AA21" s="264"/>
      <c r="AB21" s="264"/>
      <c r="AC21" s="267"/>
    </row>
    <row r="22" spans="1:29" ht="15" customHeight="1">
      <c r="A22" s="259">
        <v>3</v>
      </c>
      <c r="B22" s="260" t="s">
        <v>192</v>
      </c>
      <c r="C22" s="261">
        <v>0.25</v>
      </c>
      <c r="D22" s="262">
        <v>1</v>
      </c>
      <c r="E22" s="252">
        <f t="shared" si="0"/>
        <v>0.25</v>
      </c>
      <c r="F22" s="1"/>
      <c r="G22" s="1"/>
      <c r="H22" s="259">
        <v>3</v>
      </c>
      <c r="I22" s="260" t="s">
        <v>193</v>
      </c>
      <c r="J22" s="261">
        <v>0.1</v>
      </c>
      <c r="K22" s="262">
        <v>1</v>
      </c>
      <c r="L22" s="252">
        <f t="shared" si="1"/>
        <v>0.1</v>
      </c>
      <c r="M22" s="1"/>
      <c r="N22" s="1"/>
      <c r="O22" s="1"/>
      <c r="P22" s="1"/>
      <c r="Q22" s="1"/>
      <c r="R22" s="13"/>
      <c r="S22" s="920" t="s">
        <v>194</v>
      </c>
      <c r="T22" s="809"/>
      <c r="U22" s="268">
        <f>E32</f>
        <v>1.01</v>
      </c>
      <c r="V22" s="265">
        <f>P3</f>
        <v>12500</v>
      </c>
      <c r="W22" s="266">
        <f t="shared" si="2"/>
        <v>12625</v>
      </c>
      <c r="X22" s="175"/>
      <c r="Y22" s="920"/>
      <c r="Z22" s="809"/>
      <c r="AA22" s="264"/>
      <c r="AB22" s="264">
        <f>V3</f>
        <v>0</v>
      </c>
      <c r="AC22" s="267"/>
    </row>
    <row r="23" spans="1:29" ht="15" customHeight="1">
      <c r="A23" s="259">
        <v>4</v>
      </c>
      <c r="B23" s="260" t="s">
        <v>195</v>
      </c>
      <c r="C23" s="261">
        <v>0.17</v>
      </c>
      <c r="D23" s="262">
        <v>1</v>
      </c>
      <c r="E23" s="252">
        <f t="shared" si="0"/>
        <v>0.17</v>
      </c>
      <c r="F23" s="1"/>
      <c r="G23" s="1"/>
      <c r="H23" s="259">
        <v>4</v>
      </c>
      <c r="I23" s="260" t="s">
        <v>196</v>
      </c>
      <c r="J23" s="261">
        <v>0.05</v>
      </c>
      <c r="K23" s="262">
        <v>1</v>
      </c>
      <c r="L23" s="252">
        <f t="shared" si="1"/>
        <v>0.05</v>
      </c>
      <c r="M23" s="1"/>
      <c r="N23" s="1"/>
      <c r="O23" s="1"/>
      <c r="P23" s="1"/>
      <c r="Q23" s="1"/>
      <c r="R23" s="13"/>
      <c r="S23" s="913"/>
      <c r="T23" s="809"/>
      <c r="U23" s="264"/>
      <c r="V23" s="264"/>
      <c r="W23" s="267"/>
      <c r="X23" s="175"/>
      <c r="Y23" s="913"/>
      <c r="Z23" s="809"/>
      <c r="AA23" s="264"/>
      <c r="AB23" s="264"/>
      <c r="AC23" s="267"/>
    </row>
    <row r="24" spans="1:29" ht="15" customHeight="1">
      <c r="A24" s="269">
        <v>5</v>
      </c>
      <c r="B24" s="260"/>
      <c r="C24" s="261"/>
      <c r="D24" s="261"/>
      <c r="E24" s="252">
        <f t="shared" si="0"/>
        <v>0</v>
      </c>
      <c r="F24" s="1"/>
      <c r="G24" s="1"/>
      <c r="H24" s="269">
        <v>5</v>
      </c>
      <c r="I24" s="260"/>
      <c r="J24" s="261"/>
      <c r="K24" s="261"/>
      <c r="L24" s="252">
        <f t="shared" si="1"/>
        <v>0</v>
      </c>
      <c r="M24" s="1"/>
      <c r="N24" s="1"/>
      <c r="O24" s="1"/>
      <c r="P24" s="1"/>
      <c r="Q24" s="1"/>
      <c r="R24" s="13"/>
      <c r="S24" s="913"/>
      <c r="T24" s="809"/>
      <c r="U24" s="264"/>
      <c r="V24" s="264"/>
      <c r="W24" s="267"/>
      <c r="X24" s="175"/>
      <c r="Y24" s="913"/>
      <c r="Z24" s="809"/>
      <c r="AA24" s="264"/>
      <c r="AB24" s="264"/>
      <c r="AC24" s="267"/>
    </row>
    <row r="25" spans="1:29" ht="15" customHeight="1">
      <c r="A25" s="269">
        <v>6</v>
      </c>
      <c r="B25" s="270"/>
      <c r="C25" s="262"/>
      <c r="D25" s="262"/>
      <c r="E25" s="252">
        <f t="shared" si="0"/>
        <v>0</v>
      </c>
      <c r="F25" s="1"/>
      <c r="G25" s="1"/>
      <c r="H25" s="269">
        <v>6</v>
      </c>
      <c r="I25" s="270"/>
      <c r="J25" s="262"/>
      <c r="K25" s="262"/>
      <c r="L25" s="252"/>
      <c r="M25" s="1"/>
      <c r="N25" s="1"/>
      <c r="O25" s="1"/>
      <c r="P25" s="1"/>
      <c r="Q25" s="1"/>
      <c r="R25" s="13"/>
      <c r="S25" s="913"/>
      <c r="T25" s="809"/>
      <c r="U25" s="264"/>
      <c r="V25" s="264"/>
      <c r="W25" s="267"/>
      <c r="X25" s="175"/>
      <c r="Y25" s="913"/>
      <c r="Z25" s="809"/>
      <c r="AA25" s="264"/>
      <c r="AB25" s="264"/>
      <c r="AC25" s="267"/>
    </row>
    <row r="26" spans="1:29" ht="15" customHeight="1">
      <c r="A26" s="271">
        <v>7</v>
      </c>
      <c r="B26" s="272"/>
      <c r="C26" s="273"/>
      <c r="D26" s="273"/>
      <c r="E26" s="252">
        <f t="shared" si="0"/>
        <v>0</v>
      </c>
      <c r="F26" s="1"/>
      <c r="G26" s="1"/>
      <c r="H26" s="269">
        <v>7</v>
      </c>
      <c r="I26" s="270"/>
      <c r="J26" s="262"/>
      <c r="K26" s="262"/>
      <c r="L26" s="252"/>
      <c r="M26" s="1"/>
      <c r="N26" s="1"/>
      <c r="O26" s="1"/>
      <c r="P26" s="1"/>
      <c r="Q26" s="1"/>
      <c r="R26" s="13"/>
      <c r="S26" s="913"/>
      <c r="T26" s="809"/>
      <c r="U26" s="225"/>
      <c r="V26" s="225"/>
      <c r="W26" s="267"/>
      <c r="X26" s="175"/>
      <c r="Y26" s="913"/>
      <c r="Z26" s="809"/>
      <c r="AA26" s="225"/>
      <c r="AB26" s="225"/>
      <c r="AC26" s="267"/>
    </row>
    <row r="27" spans="1:29" ht="15" customHeight="1">
      <c r="A27" s="271">
        <v>8</v>
      </c>
      <c r="B27" s="272"/>
      <c r="C27" s="273"/>
      <c r="D27" s="273"/>
      <c r="E27" s="252">
        <f t="shared" si="0"/>
        <v>0</v>
      </c>
      <c r="F27" s="1"/>
      <c r="G27" s="1"/>
      <c r="H27" s="269">
        <v>8</v>
      </c>
      <c r="I27" s="270"/>
      <c r="J27" s="262"/>
      <c r="K27" s="262"/>
      <c r="L27" s="252"/>
      <c r="M27" s="1"/>
      <c r="N27" s="1"/>
      <c r="O27" s="1"/>
      <c r="P27" s="1"/>
      <c r="Q27" s="1"/>
      <c r="R27" s="13"/>
      <c r="S27" s="914"/>
      <c r="T27" s="894"/>
      <c r="U27" s="274"/>
      <c r="V27" s="274"/>
      <c r="W27" s="275"/>
      <c r="X27" s="175"/>
      <c r="Y27" s="914"/>
      <c r="Z27" s="894"/>
      <c r="AA27" s="274"/>
      <c r="AB27" s="274"/>
      <c r="AC27" s="275"/>
    </row>
    <row r="28" spans="1:29" ht="15" customHeight="1">
      <c r="A28" s="271">
        <v>9</v>
      </c>
      <c r="B28" s="272"/>
      <c r="C28" s="273"/>
      <c r="D28" s="273"/>
      <c r="E28" s="252">
        <f t="shared" si="0"/>
        <v>0</v>
      </c>
      <c r="F28" s="1"/>
      <c r="G28" s="1"/>
      <c r="H28" s="269">
        <v>9</v>
      </c>
      <c r="I28" s="270"/>
      <c r="J28" s="262"/>
      <c r="K28" s="262"/>
      <c r="L28" s="252"/>
      <c r="M28" s="1"/>
      <c r="N28" s="1"/>
      <c r="O28" s="1"/>
      <c r="P28" s="1"/>
      <c r="Q28" s="1"/>
      <c r="R28" s="13"/>
      <c r="S28" s="915" t="s">
        <v>28</v>
      </c>
      <c r="T28" s="916"/>
      <c r="U28" s="276"/>
      <c r="V28" s="276"/>
      <c r="W28" s="277">
        <f>SUM(W20:W25)</f>
        <v>92625</v>
      </c>
      <c r="X28" s="175"/>
      <c r="Y28" s="915" t="s">
        <v>28</v>
      </c>
      <c r="Z28" s="916"/>
      <c r="AA28" s="276"/>
      <c r="AB28" s="276"/>
      <c r="AC28" s="278">
        <f>SUM(AC20:AC25)</f>
        <v>3750</v>
      </c>
    </row>
    <row r="29" spans="1:29" ht="14.4">
      <c r="A29" s="279">
        <v>10</v>
      </c>
      <c r="B29" s="280"/>
      <c r="C29" s="281"/>
      <c r="D29" s="281"/>
      <c r="E29" s="252">
        <f t="shared" si="0"/>
        <v>0</v>
      </c>
      <c r="F29" s="1"/>
      <c r="G29" s="1"/>
      <c r="H29" s="269">
        <v>10</v>
      </c>
      <c r="I29" s="270"/>
      <c r="J29" s="262"/>
      <c r="K29" s="262"/>
      <c r="L29" s="252"/>
      <c r="M29" s="1"/>
      <c r="N29" s="1"/>
      <c r="O29" s="1"/>
      <c r="P29" s="1"/>
      <c r="Q29" s="1"/>
      <c r="R29" s="1"/>
      <c r="S29" s="15"/>
      <c r="T29" s="15"/>
      <c r="U29" s="15"/>
      <c r="V29" s="15"/>
      <c r="W29" s="15"/>
      <c r="X29" s="1"/>
      <c r="Y29" s="1"/>
      <c r="Z29" s="1"/>
      <c r="AA29" s="219"/>
      <c r="AB29" s="219"/>
      <c r="AC29" s="219"/>
    </row>
    <row r="30" spans="1:29" ht="14.4">
      <c r="A30" s="279">
        <v>11</v>
      </c>
      <c r="B30" s="280"/>
      <c r="C30" s="281"/>
      <c r="D30" s="281"/>
      <c r="E30" s="252">
        <f t="shared" si="0"/>
        <v>0</v>
      </c>
      <c r="F30" s="1"/>
      <c r="G30" s="1"/>
      <c r="H30" s="269">
        <v>11</v>
      </c>
      <c r="I30" s="270"/>
      <c r="J30" s="262"/>
      <c r="K30" s="262"/>
      <c r="L30" s="252"/>
      <c r="M30" s="1"/>
      <c r="N30" s="1"/>
      <c r="O30" s="1"/>
      <c r="P30" s="1"/>
      <c r="Q30" s="1"/>
      <c r="R30" s="1"/>
      <c r="S30" s="1"/>
      <c r="T30" s="1"/>
      <c r="U30" s="1"/>
      <c r="V30" s="1"/>
      <c r="W30" s="1"/>
      <c r="X30" s="1"/>
      <c r="Y30" s="1"/>
      <c r="Z30" s="1"/>
      <c r="AA30" s="219"/>
      <c r="AB30" s="219"/>
      <c r="AC30" s="219"/>
    </row>
    <row r="31" spans="1:29" ht="14.4">
      <c r="A31" s="282">
        <v>12</v>
      </c>
      <c r="B31" s="283"/>
      <c r="C31" s="284"/>
      <c r="D31" s="284"/>
      <c r="E31" s="252">
        <f t="shared" si="0"/>
        <v>0</v>
      </c>
      <c r="F31" s="1"/>
      <c r="G31" s="1"/>
      <c r="H31" s="269">
        <v>12</v>
      </c>
      <c r="I31" s="270"/>
      <c r="J31" s="262"/>
      <c r="K31" s="262"/>
      <c r="L31" s="252"/>
      <c r="M31" s="1"/>
      <c r="N31" s="1"/>
      <c r="O31" s="1"/>
      <c r="P31" s="1"/>
      <c r="Q31" s="1"/>
      <c r="R31" s="1"/>
      <c r="S31" s="1"/>
      <c r="T31" s="1"/>
      <c r="U31" s="1"/>
      <c r="V31" s="1"/>
      <c r="W31" s="1"/>
      <c r="X31" s="1"/>
      <c r="Y31" s="1"/>
      <c r="Z31" s="1"/>
      <c r="AA31" s="219"/>
      <c r="AB31" s="219"/>
      <c r="AC31" s="219"/>
    </row>
    <row r="32" spans="1:29" ht="57.6">
      <c r="A32" s="930" t="s">
        <v>197</v>
      </c>
      <c r="B32" s="817"/>
      <c r="C32" s="818"/>
      <c r="D32" s="240" t="s">
        <v>198</v>
      </c>
      <c r="E32" s="285">
        <f>SUM(E20:E31)</f>
        <v>1.01</v>
      </c>
      <c r="F32" s="4" t="s">
        <v>199</v>
      </c>
      <c r="G32" s="1"/>
      <c r="H32" s="930" t="s">
        <v>197</v>
      </c>
      <c r="I32" s="817"/>
      <c r="J32" s="818"/>
      <c r="K32" s="240" t="s">
        <v>200</v>
      </c>
      <c r="L32" s="285">
        <f>SUM(L20:L31)</f>
        <v>0.3</v>
      </c>
      <c r="M32" s="1"/>
      <c r="N32" s="1"/>
      <c r="O32" s="1"/>
      <c r="P32" s="1"/>
      <c r="Q32" s="1"/>
      <c r="R32" s="1"/>
      <c r="S32" s="1"/>
      <c r="T32" s="1"/>
      <c r="U32" s="1"/>
      <c r="V32" s="1"/>
      <c r="W32" s="1"/>
      <c r="X32" s="1"/>
      <c r="Y32" s="1"/>
      <c r="Z32" s="1"/>
      <c r="AA32" s="219"/>
      <c r="AB32" s="219"/>
      <c r="AC32" s="219"/>
    </row>
    <row r="33" spans="1:29" ht="57.6">
      <c r="A33" s="822"/>
      <c r="B33" s="823"/>
      <c r="C33" s="824"/>
      <c r="D33" s="286" t="s">
        <v>201</v>
      </c>
      <c r="E33" s="287">
        <f>E32/$B$14</f>
        <v>6.7333333333333334E-3</v>
      </c>
      <c r="F33" s="288">
        <f>$P$3*E32</f>
        <v>12625</v>
      </c>
      <c r="G33" s="1"/>
      <c r="H33" s="822"/>
      <c r="I33" s="823"/>
      <c r="J33" s="824"/>
      <c r="K33" s="286" t="s">
        <v>202</v>
      </c>
      <c r="L33" s="287">
        <f>L32/$B$14</f>
        <v>2E-3</v>
      </c>
      <c r="M33" s="289"/>
      <c r="N33" s="1"/>
      <c r="O33" s="1"/>
      <c r="P33" s="1"/>
      <c r="Q33" s="1"/>
      <c r="R33" s="1"/>
      <c r="S33" s="1"/>
      <c r="T33" s="1"/>
      <c r="U33" s="1"/>
      <c r="V33" s="1"/>
      <c r="W33" s="1"/>
      <c r="X33" s="1"/>
      <c r="Y33" s="1"/>
      <c r="Z33" s="1"/>
      <c r="AA33" s="219"/>
      <c r="AB33" s="219"/>
      <c r="AC33" s="219"/>
    </row>
    <row r="34" spans="1:29" ht="14.4">
      <c r="A34" s="1"/>
      <c r="B34" s="220"/>
      <c r="C34" s="290"/>
      <c r="D34" s="290"/>
      <c r="E34" s="291"/>
      <c r="F34" s="1"/>
      <c r="G34" s="1"/>
      <c r="H34" s="1"/>
      <c r="I34" s="1"/>
      <c r="J34" s="1"/>
      <c r="K34" s="1"/>
      <c r="L34" s="1"/>
      <c r="M34" s="1"/>
      <c r="N34" s="1"/>
      <c r="O34" s="1"/>
      <c r="P34" s="1"/>
      <c r="Q34" s="1"/>
      <c r="R34" s="1"/>
      <c r="S34" s="1"/>
      <c r="T34" s="1"/>
      <c r="U34" s="1"/>
      <c r="V34" s="1"/>
      <c r="W34" s="1"/>
      <c r="X34" s="1"/>
      <c r="Y34" s="1"/>
      <c r="Z34" s="1"/>
      <c r="AA34" s="219"/>
      <c r="AB34" s="219"/>
      <c r="AC34" s="219"/>
    </row>
    <row r="35" spans="1:29" ht="14.4">
      <c r="A35" s="180"/>
      <c r="B35" s="292"/>
      <c r="C35" s="293"/>
      <c r="D35" s="293"/>
      <c r="E35" s="294"/>
      <c r="F35" s="180"/>
      <c r="G35" s="180"/>
      <c r="H35" s="180"/>
      <c r="I35" s="180"/>
      <c r="J35" s="180"/>
      <c r="K35" s="180"/>
      <c r="L35" s="180"/>
      <c r="M35" s="180"/>
      <c r="N35" s="180"/>
      <c r="O35" s="1"/>
      <c r="P35" s="1"/>
      <c r="Q35" s="1"/>
      <c r="R35" s="1"/>
      <c r="S35" s="1"/>
      <c r="T35" s="1"/>
      <c r="U35" s="1"/>
      <c r="V35" s="1"/>
      <c r="W35" s="1"/>
      <c r="X35" s="1"/>
      <c r="Y35" s="1"/>
      <c r="Z35" s="1"/>
      <c r="AA35" s="219"/>
      <c r="AB35" s="219"/>
      <c r="AC35" s="219"/>
    </row>
    <row r="36" spans="1:29" ht="14.4">
      <c r="A36" s="1"/>
      <c r="B36" s="220"/>
      <c r="C36" s="1"/>
      <c r="D36" s="1"/>
      <c r="E36" s="1"/>
      <c r="F36" s="1"/>
      <c r="G36" s="1"/>
      <c r="H36" s="1"/>
      <c r="I36" s="1"/>
      <c r="J36" s="1"/>
      <c r="K36" s="1"/>
      <c r="L36" s="1"/>
      <c r="M36" s="1"/>
      <c r="N36" s="1"/>
      <c r="O36" s="1"/>
      <c r="P36" s="1"/>
      <c r="Q36" s="1"/>
      <c r="R36" s="1"/>
      <c r="S36" s="239"/>
      <c r="T36" s="239"/>
      <c r="U36" s="239"/>
      <c r="V36" s="239"/>
      <c r="W36" s="239"/>
      <c r="X36" s="1"/>
      <c r="Y36" s="1"/>
      <c r="Z36" s="1"/>
      <c r="AA36" s="219"/>
      <c r="AB36" s="219"/>
      <c r="AC36" s="219"/>
    </row>
    <row r="37" spans="1:29" ht="25.8">
      <c r="A37" s="921" t="s">
        <v>595</v>
      </c>
      <c r="B37" s="799"/>
      <c r="C37" s="799"/>
      <c r="D37" s="799"/>
      <c r="E37" s="800"/>
      <c r="F37" s="1"/>
      <c r="G37" s="1"/>
      <c r="H37" s="922" t="s">
        <v>39</v>
      </c>
      <c r="I37" s="799"/>
      <c r="J37" s="799"/>
      <c r="K37" s="799"/>
      <c r="L37" s="800"/>
      <c r="N37" s="1"/>
      <c r="O37" s="1"/>
      <c r="P37" s="1"/>
      <c r="Q37" s="1"/>
      <c r="R37" s="13"/>
      <c r="S37" s="926" t="s">
        <v>598</v>
      </c>
      <c r="T37" s="927"/>
      <c r="U37" s="927"/>
      <c r="V37" s="927"/>
      <c r="W37" s="928"/>
      <c r="X37" s="175"/>
      <c r="Y37" s="926" t="s">
        <v>604</v>
      </c>
      <c r="Z37" s="927"/>
      <c r="AA37" s="927"/>
      <c r="AB37" s="927"/>
      <c r="AC37" s="928"/>
    </row>
    <row r="38" spans="1:29" ht="43.2">
      <c r="A38" s="240" t="s">
        <v>177</v>
      </c>
      <c r="B38" s="241" t="s">
        <v>178</v>
      </c>
      <c r="C38" s="241" t="s">
        <v>179</v>
      </c>
      <c r="D38" s="241" t="s">
        <v>180</v>
      </c>
      <c r="E38" s="242" t="s">
        <v>203</v>
      </c>
      <c r="F38" s="1"/>
      <c r="G38" s="1"/>
      <c r="H38" s="243" t="s">
        <v>177</v>
      </c>
      <c r="I38" s="244" t="s">
        <v>178</v>
      </c>
      <c r="J38" s="244" t="s">
        <v>179</v>
      </c>
      <c r="K38" s="244" t="s">
        <v>180</v>
      </c>
      <c r="L38" s="245" t="s">
        <v>204</v>
      </c>
      <c r="N38" s="1"/>
      <c r="O38" s="1"/>
      <c r="P38" s="1"/>
      <c r="Q38" s="1"/>
      <c r="R38" s="13"/>
      <c r="S38" s="917" t="s">
        <v>183</v>
      </c>
      <c r="T38" s="918"/>
      <c r="U38" s="246" t="s">
        <v>26</v>
      </c>
      <c r="V38" s="246" t="s">
        <v>184</v>
      </c>
      <c r="W38" s="247" t="s">
        <v>185</v>
      </c>
      <c r="X38" s="175"/>
      <c r="Y38" s="917" t="s">
        <v>183</v>
      </c>
      <c r="Z38" s="918"/>
      <c r="AA38" s="246" t="s">
        <v>26</v>
      </c>
      <c r="AB38" s="246" t="s">
        <v>184</v>
      </c>
      <c r="AC38" s="247" t="s">
        <v>185</v>
      </c>
    </row>
    <row r="39" spans="1:29" ht="14.4">
      <c r="A39" s="248">
        <v>1</v>
      </c>
      <c r="B39" s="249" t="s">
        <v>186</v>
      </c>
      <c r="C39" s="250">
        <v>0.25</v>
      </c>
      <c r="D39" s="251">
        <v>1</v>
      </c>
      <c r="E39" s="252">
        <f t="shared" ref="E39:E50" si="3">D39*C39</f>
        <v>0.25</v>
      </c>
      <c r="F39" s="1"/>
      <c r="G39" s="1"/>
      <c r="H39" s="248">
        <v>1</v>
      </c>
      <c r="I39" s="249" t="s">
        <v>205</v>
      </c>
      <c r="J39" s="250">
        <v>0.1</v>
      </c>
      <c r="K39" s="250">
        <v>1</v>
      </c>
      <c r="L39" s="252">
        <f t="shared" ref="L39:L44" si="4">K39*J39</f>
        <v>0.1</v>
      </c>
      <c r="N39" s="1"/>
      <c r="O39" s="1"/>
      <c r="P39" s="1"/>
      <c r="Q39" s="1"/>
      <c r="R39" s="13"/>
      <c r="S39" s="929" t="s">
        <v>122</v>
      </c>
      <c r="T39" s="893"/>
      <c r="U39" s="253">
        <v>1</v>
      </c>
      <c r="V39" s="254">
        <v>30000</v>
      </c>
      <c r="W39" s="255">
        <f t="shared" ref="W39:W42" si="5">V39*U39</f>
        <v>30000</v>
      </c>
      <c r="X39" s="175"/>
      <c r="Y39" s="919" t="s">
        <v>188</v>
      </c>
      <c r="Z39" s="893"/>
      <c r="AA39" s="256">
        <f>L51</f>
        <v>0.6</v>
      </c>
      <c r="AB39" s="257">
        <f>P3</f>
        <v>12500</v>
      </c>
      <c r="AC39" s="258">
        <f>AB39*AA39</f>
        <v>7500</v>
      </c>
    </row>
    <row r="40" spans="1:29" ht="14.4">
      <c r="A40" s="259">
        <v>2</v>
      </c>
      <c r="B40" s="260" t="s">
        <v>189</v>
      </c>
      <c r="C40" s="261">
        <v>0.42</v>
      </c>
      <c r="D40" s="262">
        <v>1</v>
      </c>
      <c r="E40" s="252">
        <f t="shared" si="3"/>
        <v>0.42</v>
      </c>
      <c r="F40" s="1"/>
      <c r="G40" s="1"/>
      <c r="H40" s="259">
        <v>2</v>
      </c>
      <c r="I40" s="260" t="s">
        <v>206</v>
      </c>
      <c r="J40" s="261">
        <v>0.2</v>
      </c>
      <c r="K40" s="261">
        <v>1</v>
      </c>
      <c r="L40" s="252">
        <f t="shared" si="4"/>
        <v>0.2</v>
      </c>
      <c r="N40" s="1"/>
      <c r="O40" s="1"/>
      <c r="P40" s="1"/>
      <c r="Q40" s="1"/>
      <c r="R40" s="13"/>
      <c r="S40" s="263" t="s">
        <v>191</v>
      </c>
      <c r="T40" s="225"/>
      <c r="U40" s="264">
        <v>4</v>
      </c>
      <c r="V40" s="265">
        <v>12500</v>
      </c>
      <c r="W40" s="266">
        <f t="shared" si="5"/>
        <v>50000</v>
      </c>
      <c r="X40" s="175"/>
      <c r="Y40" s="913"/>
      <c r="Z40" s="809"/>
      <c r="AA40" s="264"/>
      <c r="AB40" s="264"/>
      <c r="AC40" s="267"/>
    </row>
    <row r="41" spans="1:29" ht="14.4">
      <c r="A41" s="259">
        <v>3</v>
      </c>
      <c r="B41" s="295" t="s">
        <v>207</v>
      </c>
      <c r="C41" s="261">
        <v>0.75</v>
      </c>
      <c r="D41" s="262">
        <v>1</v>
      </c>
      <c r="E41" s="252">
        <f t="shared" si="3"/>
        <v>0.75</v>
      </c>
      <c r="F41" s="1"/>
      <c r="G41" s="1"/>
      <c r="H41" s="259">
        <v>3</v>
      </c>
      <c r="I41" s="260" t="s">
        <v>190</v>
      </c>
      <c r="J41" s="261">
        <v>0.1</v>
      </c>
      <c r="K41" s="261">
        <v>1</v>
      </c>
      <c r="L41" s="252">
        <f t="shared" si="4"/>
        <v>0.1</v>
      </c>
      <c r="N41" s="1"/>
      <c r="O41" s="1"/>
      <c r="P41" s="1"/>
      <c r="Q41" s="1"/>
      <c r="R41" s="13"/>
      <c r="S41" s="263" t="s">
        <v>208</v>
      </c>
      <c r="T41" s="225"/>
      <c r="U41" s="264">
        <v>1</v>
      </c>
      <c r="V41" s="265">
        <v>10000</v>
      </c>
      <c r="W41" s="266">
        <f t="shared" si="5"/>
        <v>10000</v>
      </c>
      <c r="X41" s="175"/>
      <c r="Y41" s="913"/>
      <c r="Z41" s="809"/>
      <c r="AA41" s="264"/>
      <c r="AB41" s="264"/>
      <c r="AC41" s="267"/>
    </row>
    <row r="42" spans="1:29" ht="14.4">
      <c r="A42" s="259">
        <v>4</v>
      </c>
      <c r="B42" s="296" t="s">
        <v>192</v>
      </c>
      <c r="C42" s="261">
        <v>0.33</v>
      </c>
      <c r="D42" s="262">
        <v>1</v>
      </c>
      <c r="E42" s="252">
        <f t="shared" si="3"/>
        <v>0.33</v>
      </c>
      <c r="F42" s="1"/>
      <c r="G42" s="1"/>
      <c r="H42" s="259">
        <v>4</v>
      </c>
      <c r="I42" s="260" t="s">
        <v>193</v>
      </c>
      <c r="J42" s="261">
        <v>0.1</v>
      </c>
      <c r="K42" s="262">
        <v>1</v>
      </c>
      <c r="L42" s="252">
        <f t="shared" si="4"/>
        <v>0.1</v>
      </c>
      <c r="N42" s="1"/>
      <c r="O42" s="1"/>
      <c r="P42" s="1"/>
      <c r="Q42" s="1"/>
      <c r="R42" s="13"/>
      <c r="S42" s="920" t="s">
        <v>194</v>
      </c>
      <c r="T42" s="809"/>
      <c r="U42" s="268">
        <f>E51</f>
        <v>2</v>
      </c>
      <c r="V42" s="265">
        <f>P3</f>
        <v>12500</v>
      </c>
      <c r="W42" s="266">
        <f t="shared" si="5"/>
        <v>25000</v>
      </c>
      <c r="X42" s="175"/>
      <c r="Y42" s="920"/>
      <c r="Z42" s="809"/>
      <c r="AA42" s="264"/>
      <c r="AB42" s="264"/>
      <c r="AC42" s="267"/>
    </row>
    <row r="43" spans="1:29" ht="14.4">
      <c r="A43" s="259">
        <v>5</v>
      </c>
      <c r="B43" s="260" t="s">
        <v>195</v>
      </c>
      <c r="C43" s="261">
        <v>0.25</v>
      </c>
      <c r="D43" s="261">
        <v>1</v>
      </c>
      <c r="E43" s="252">
        <f t="shared" si="3"/>
        <v>0.25</v>
      </c>
      <c r="F43" s="1"/>
      <c r="G43" s="1"/>
      <c r="H43" s="259">
        <v>5</v>
      </c>
      <c r="I43" s="260" t="s">
        <v>196</v>
      </c>
      <c r="J43" s="261">
        <v>0.1</v>
      </c>
      <c r="K43" s="261">
        <v>1</v>
      </c>
      <c r="L43" s="252">
        <f t="shared" si="4"/>
        <v>0.1</v>
      </c>
      <c r="M43" s="1"/>
      <c r="N43" s="1"/>
      <c r="O43" s="1"/>
      <c r="P43" s="1"/>
      <c r="Q43" s="1"/>
      <c r="R43" s="13"/>
      <c r="S43" s="913"/>
      <c r="T43" s="809"/>
      <c r="U43" s="264"/>
      <c r="V43" s="264"/>
      <c r="W43" s="267"/>
      <c r="X43" s="175"/>
      <c r="Y43" s="913"/>
      <c r="Z43" s="809"/>
      <c r="AA43" s="264"/>
      <c r="AB43" s="264"/>
      <c r="AC43" s="267"/>
    </row>
    <row r="44" spans="1:29" ht="14.4">
      <c r="A44" s="259">
        <v>6</v>
      </c>
      <c r="B44" s="260"/>
      <c r="C44" s="261"/>
      <c r="D44" s="261"/>
      <c r="E44" s="252">
        <f t="shared" si="3"/>
        <v>0</v>
      </c>
      <c r="F44" s="1"/>
      <c r="G44" s="1"/>
      <c r="H44" s="269">
        <v>6</v>
      </c>
      <c r="I44" s="260"/>
      <c r="J44" s="261"/>
      <c r="K44" s="261"/>
      <c r="L44" s="252">
        <f t="shared" si="4"/>
        <v>0</v>
      </c>
      <c r="M44" s="1"/>
      <c r="N44" s="1"/>
      <c r="O44" s="1"/>
      <c r="P44" s="1"/>
      <c r="Q44" s="1"/>
      <c r="R44" s="13"/>
      <c r="S44" s="913"/>
      <c r="T44" s="809"/>
      <c r="U44" s="264"/>
      <c r="V44" s="264"/>
      <c r="W44" s="267"/>
      <c r="X44" s="175"/>
      <c r="Y44" s="913"/>
      <c r="Z44" s="809"/>
      <c r="AA44" s="264"/>
      <c r="AB44" s="264"/>
      <c r="AC44" s="267"/>
    </row>
    <row r="45" spans="1:29" ht="14.4">
      <c r="A45" s="297">
        <v>7</v>
      </c>
      <c r="B45" s="272"/>
      <c r="C45" s="273"/>
      <c r="D45" s="273"/>
      <c r="E45" s="252">
        <f t="shared" si="3"/>
        <v>0</v>
      </c>
      <c r="F45" s="1"/>
      <c r="G45" s="1"/>
      <c r="H45" s="269">
        <v>7</v>
      </c>
      <c r="I45" s="270"/>
      <c r="J45" s="262"/>
      <c r="K45" s="262"/>
      <c r="L45" s="298">
        <v>0</v>
      </c>
      <c r="M45" s="1"/>
      <c r="N45" s="1"/>
      <c r="O45" s="1"/>
      <c r="P45" s="1"/>
      <c r="Q45" s="1"/>
      <c r="R45" s="13"/>
      <c r="S45" s="913"/>
      <c r="T45" s="809"/>
      <c r="U45" s="225"/>
      <c r="V45" s="225"/>
      <c r="W45" s="267"/>
      <c r="X45" s="175"/>
      <c r="Y45" s="913"/>
      <c r="Z45" s="809"/>
      <c r="AA45" s="225"/>
      <c r="AB45" s="225"/>
      <c r="AC45" s="267"/>
    </row>
    <row r="46" spans="1:29" ht="14.4">
      <c r="A46" s="297">
        <v>8</v>
      </c>
      <c r="B46" s="272"/>
      <c r="C46" s="273"/>
      <c r="D46" s="273"/>
      <c r="E46" s="252">
        <f t="shared" si="3"/>
        <v>0</v>
      </c>
      <c r="F46" s="1"/>
      <c r="G46" s="1"/>
      <c r="H46" s="269">
        <v>8</v>
      </c>
      <c r="I46" s="270"/>
      <c r="J46" s="262"/>
      <c r="K46" s="262"/>
      <c r="L46" s="298">
        <v>0</v>
      </c>
      <c r="M46" s="1"/>
      <c r="N46" s="1"/>
      <c r="O46" s="1"/>
      <c r="P46" s="1"/>
      <c r="Q46" s="1"/>
      <c r="R46" s="13"/>
      <c r="S46" s="914"/>
      <c r="T46" s="894"/>
      <c r="U46" s="274"/>
      <c r="V46" s="274"/>
      <c r="W46" s="275"/>
      <c r="X46" s="175"/>
      <c r="Y46" s="914"/>
      <c r="Z46" s="894"/>
      <c r="AA46" s="274"/>
      <c r="AB46" s="274"/>
      <c r="AC46" s="275"/>
    </row>
    <row r="47" spans="1:29" ht="14.4">
      <c r="A47" s="297">
        <v>9</v>
      </c>
      <c r="B47" s="272"/>
      <c r="C47" s="273"/>
      <c r="D47" s="273"/>
      <c r="E47" s="252">
        <f t="shared" si="3"/>
        <v>0</v>
      </c>
      <c r="F47" s="1"/>
      <c r="G47" s="1"/>
      <c r="H47" s="269">
        <v>9</v>
      </c>
      <c r="I47" s="270"/>
      <c r="J47" s="262"/>
      <c r="K47" s="262"/>
      <c r="L47" s="298">
        <v>0</v>
      </c>
      <c r="M47" s="1"/>
      <c r="N47" s="1"/>
      <c r="O47" s="1"/>
      <c r="P47" s="1"/>
      <c r="Q47" s="1"/>
      <c r="R47" s="13"/>
      <c r="S47" s="915" t="s">
        <v>28</v>
      </c>
      <c r="T47" s="916"/>
      <c r="U47" s="276"/>
      <c r="V47" s="276"/>
      <c r="W47" s="277">
        <f>SUM(W39:W44)</f>
        <v>115000</v>
      </c>
      <c r="X47" s="175"/>
      <c r="Y47" s="915" t="s">
        <v>28</v>
      </c>
      <c r="Z47" s="916"/>
      <c r="AA47" s="276"/>
      <c r="AB47" s="276"/>
      <c r="AC47" s="278">
        <f>SUM(AC39:AC44)</f>
        <v>7500</v>
      </c>
    </row>
    <row r="48" spans="1:29" ht="14.4">
      <c r="A48" s="299">
        <v>10</v>
      </c>
      <c r="B48" s="280"/>
      <c r="C48" s="281"/>
      <c r="D48" s="281"/>
      <c r="E48" s="252">
        <f t="shared" si="3"/>
        <v>0</v>
      </c>
      <c r="F48" s="1"/>
      <c r="G48" s="1"/>
      <c r="H48" s="269">
        <v>10</v>
      </c>
      <c r="I48" s="270"/>
      <c r="J48" s="262"/>
      <c r="K48" s="262"/>
      <c r="L48" s="298">
        <v>0</v>
      </c>
      <c r="M48" s="1"/>
      <c r="N48" s="1"/>
      <c r="O48" s="1"/>
      <c r="P48" s="1"/>
      <c r="Q48" s="1"/>
      <c r="R48" s="1"/>
      <c r="S48" s="15"/>
      <c r="T48" s="15"/>
      <c r="U48" s="15"/>
      <c r="V48" s="15"/>
      <c r="W48" s="15"/>
      <c r="X48" s="1"/>
      <c r="Y48" s="1"/>
      <c r="Z48" s="1"/>
      <c r="AA48" s="219"/>
      <c r="AB48" s="219"/>
      <c r="AC48" s="219"/>
    </row>
    <row r="49" spans="1:29" ht="14.4">
      <c r="A49" s="299">
        <v>11</v>
      </c>
      <c r="B49" s="280"/>
      <c r="C49" s="281"/>
      <c r="D49" s="281"/>
      <c r="E49" s="252">
        <f t="shared" si="3"/>
        <v>0</v>
      </c>
      <c r="F49" s="1"/>
      <c r="G49" s="1"/>
      <c r="H49" s="269">
        <v>11</v>
      </c>
      <c r="I49" s="270"/>
      <c r="J49" s="262"/>
      <c r="K49" s="262"/>
      <c r="L49" s="298">
        <v>0</v>
      </c>
      <c r="M49" s="1"/>
      <c r="N49" s="1"/>
      <c r="O49" s="1"/>
      <c r="P49" s="1"/>
      <c r="Q49" s="1"/>
      <c r="R49" s="1"/>
      <c r="S49" s="1"/>
      <c r="T49" s="1"/>
      <c r="U49" s="1"/>
      <c r="V49" s="1"/>
      <c r="W49" s="1"/>
      <c r="X49" s="1"/>
      <c r="Y49" s="1"/>
      <c r="Z49" s="1"/>
      <c r="AA49" s="219"/>
      <c r="AB49" s="219"/>
      <c r="AC49" s="219"/>
    </row>
    <row r="50" spans="1:29" ht="14.4">
      <c r="A50" s="300">
        <v>12</v>
      </c>
      <c r="B50" s="283"/>
      <c r="C50" s="284"/>
      <c r="D50" s="284"/>
      <c r="E50" s="252">
        <f t="shared" si="3"/>
        <v>0</v>
      </c>
      <c r="F50" s="1"/>
      <c r="G50" s="1"/>
      <c r="H50" s="269">
        <v>12</v>
      </c>
      <c r="I50" s="270"/>
      <c r="J50" s="262"/>
      <c r="K50" s="262"/>
      <c r="L50" s="298">
        <v>0</v>
      </c>
      <c r="M50" s="1"/>
      <c r="N50" s="1"/>
      <c r="O50" s="1"/>
      <c r="P50" s="1"/>
      <c r="Q50" s="1"/>
      <c r="R50" s="1"/>
      <c r="S50" s="1"/>
      <c r="T50" s="1"/>
      <c r="U50" s="1"/>
      <c r="V50" s="1"/>
      <c r="W50" s="1"/>
      <c r="X50" s="1"/>
      <c r="Y50" s="1"/>
      <c r="Z50" s="1"/>
      <c r="AA50" s="219"/>
      <c r="AB50" s="219"/>
      <c r="AC50" s="219"/>
    </row>
    <row r="51" spans="1:29" ht="57.6">
      <c r="A51" s="931"/>
      <c r="B51" s="932"/>
      <c r="C51" s="933"/>
      <c r="D51" s="240" t="s">
        <v>209</v>
      </c>
      <c r="E51" s="301">
        <f>SUM(E39:E50)</f>
        <v>2</v>
      </c>
      <c r="F51" s="4" t="s">
        <v>199</v>
      </c>
      <c r="G51" s="1"/>
      <c r="H51" s="930" t="s">
        <v>197</v>
      </c>
      <c r="I51" s="817"/>
      <c r="J51" s="818"/>
      <c r="K51" s="240" t="s">
        <v>200</v>
      </c>
      <c r="L51" s="285">
        <f>SUM(L39:L50)</f>
        <v>0.6</v>
      </c>
      <c r="M51" s="1"/>
      <c r="N51" s="1"/>
      <c r="O51" s="1"/>
      <c r="P51" s="1"/>
      <c r="Q51" s="1"/>
      <c r="R51" s="1"/>
      <c r="S51" s="1"/>
      <c r="T51" s="1"/>
      <c r="U51" s="1"/>
      <c r="V51" s="1"/>
      <c r="W51" s="1"/>
      <c r="X51" s="1"/>
      <c r="Y51" s="1"/>
      <c r="Z51" s="1"/>
      <c r="AA51" s="219"/>
      <c r="AB51" s="219"/>
      <c r="AC51" s="219"/>
    </row>
    <row r="52" spans="1:29" ht="57.6">
      <c r="A52" s="822"/>
      <c r="B52" s="823"/>
      <c r="C52" s="824"/>
      <c r="D52" s="286" t="s">
        <v>210</v>
      </c>
      <c r="E52" s="287">
        <f>E51/$B$14</f>
        <v>1.3333333333333334E-2</v>
      </c>
      <c r="F52" s="288">
        <f>$P$3*E51</f>
        <v>25000</v>
      </c>
      <c r="G52" s="1"/>
      <c r="H52" s="822"/>
      <c r="I52" s="823"/>
      <c r="J52" s="824"/>
      <c r="K52" s="286" t="s">
        <v>202</v>
      </c>
      <c r="L52" s="302">
        <f>L51/$B$14</f>
        <v>4.0000000000000001E-3</v>
      </c>
      <c r="M52" s="289"/>
      <c r="N52" s="1"/>
      <c r="O52" s="1"/>
      <c r="P52" s="1"/>
      <c r="Q52" s="1"/>
      <c r="R52" s="1"/>
      <c r="S52" s="1"/>
      <c r="T52" s="1"/>
      <c r="U52" s="1"/>
      <c r="V52" s="1"/>
      <c r="W52" s="1"/>
      <c r="X52" s="1"/>
      <c r="Y52" s="1"/>
      <c r="Z52" s="1"/>
      <c r="AA52" s="219"/>
      <c r="AB52" s="219"/>
      <c r="AC52" s="219"/>
    </row>
    <row r="53" spans="1:29" ht="14.4">
      <c r="A53" s="1"/>
      <c r="B53" s="220"/>
      <c r="C53" s="1"/>
      <c r="D53" s="1"/>
      <c r="E53" s="1"/>
      <c r="F53" s="1"/>
      <c r="G53" s="1"/>
      <c r="H53" s="1"/>
      <c r="I53" s="1"/>
      <c r="J53" s="1"/>
      <c r="K53" s="1"/>
      <c r="L53" s="1"/>
      <c r="M53" s="1"/>
      <c r="N53" s="1"/>
      <c r="O53" s="1"/>
      <c r="P53" s="1"/>
      <c r="Q53" s="1"/>
      <c r="R53" s="1"/>
      <c r="S53" s="1"/>
      <c r="T53" s="1"/>
      <c r="U53" s="1"/>
      <c r="V53" s="1"/>
      <c r="W53" s="1"/>
      <c r="X53" s="1"/>
      <c r="Y53" s="1"/>
      <c r="Z53" s="1"/>
      <c r="AA53" s="219"/>
      <c r="AB53" s="219"/>
      <c r="AC53" s="219"/>
    </row>
    <row r="54" spans="1:29" ht="14.4">
      <c r="A54" s="180"/>
      <c r="B54" s="292"/>
      <c r="C54" s="180"/>
      <c r="D54" s="180"/>
      <c r="E54" s="180"/>
      <c r="F54" s="180"/>
      <c r="G54" s="180"/>
      <c r="H54" s="180"/>
      <c r="I54" s="180"/>
      <c r="J54" s="180"/>
      <c r="K54" s="180"/>
      <c r="L54" s="180"/>
      <c r="M54" s="180"/>
      <c r="N54" s="180"/>
      <c r="O54" s="1"/>
      <c r="P54" s="1"/>
      <c r="Q54" s="1"/>
      <c r="R54" s="1"/>
      <c r="S54" s="1"/>
      <c r="T54" s="1"/>
      <c r="U54" s="1"/>
      <c r="V54" s="1"/>
      <c r="W54" s="1"/>
      <c r="X54" s="1"/>
      <c r="Y54" s="1"/>
      <c r="Z54" s="1"/>
      <c r="AA54" s="219"/>
      <c r="AB54" s="219"/>
      <c r="AC54" s="219"/>
    </row>
    <row r="55" spans="1:29" ht="14.4">
      <c r="A55" s="1"/>
      <c r="B55" s="220"/>
      <c r="C55" s="1"/>
      <c r="D55" s="1"/>
      <c r="E55" s="1"/>
      <c r="F55" s="1"/>
      <c r="G55" s="1"/>
      <c r="H55" s="1"/>
      <c r="I55" s="1"/>
      <c r="J55" s="1"/>
      <c r="K55" s="1"/>
      <c r="L55" s="1"/>
      <c r="M55" s="1"/>
      <c r="N55" s="1"/>
      <c r="O55" s="1"/>
      <c r="P55" s="1"/>
      <c r="Q55" s="1"/>
      <c r="R55" s="1"/>
      <c r="S55" s="239"/>
      <c r="T55" s="239"/>
      <c r="U55" s="239"/>
      <c r="V55" s="239"/>
      <c r="W55" s="239"/>
      <c r="X55" s="1"/>
      <c r="Y55" s="1"/>
      <c r="Z55" s="1"/>
      <c r="AA55" s="219"/>
      <c r="AB55" s="219"/>
      <c r="AC55" s="219"/>
    </row>
    <row r="56" spans="1:29" ht="25.8">
      <c r="A56" s="921" t="s">
        <v>596</v>
      </c>
      <c r="B56" s="799"/>
      <c r="C56" s="799"/>
      <c r="D56" s="799"/>
      <c r="E56" s="800"/>
      <c r="F56" s="1"/>
      <c r="G56" s="1"/>
      <c r="H56" s="922" t="s">
        <v>599</v>
      </c>
      <c r="I56" s="799"/>
      <c r="J56" s="799"/>
      <c r="K56" s="799"/>
      <c r="L56" s="800"/>
      <c r="M56" s="1"/>
      <c r="N56" s="1"/>
      <c r="O56" s="1"/>
      <c r="P56" s="1"/>
      <c r="Q56" s="1"/>
      <c r="R56" s="13"/>
      <c r="S56" s="926" t="s">
        <v>599</v>
      </c>
      <c r="T56" s="927"/>
      <c r="U56" s="927"/>
      <c r="V56" s="927"/>
      <c r="W56" s="928"/>
      <c r="X56" s="175"/>
      <c r="Y56" s="926" t="s">
        <v>605</v>
      </c>
      <c r="Z56" s="927"/>
      <c r="AA56" s="927"/>
      <c r="AB56" s="927"/>
      <c r="AC56" s="928"/>
    </row>
    <row r="57" spans="1:29" ht="43.2">
      <c r="A57" s="240" t="s">
        <v>177</v>
      </c>
      <c r="B57" s="241" t="s">
        <v>178</v>
      </c>
      <c r="C57" s="241" t="s">
        <v>179</v>
      </c>
      <c r="D57" s="241" t="s">
        <v>180</v>
      </c>
      <c r="E57" s="242" t="s">
        <v>211</v>
      </c>
      <c r="F57" s="1"/>
      <c r="G57" s="1"/>
      <c r="H57" s="243" t="s">
        <v>177</v>
      </c>
      <c r="I57" s="244" t="s">
        <v>178</v>
      </c>
      <c r="J57" s="244" t="s">
        <v>179</v>
      </c>
      <c r="K57" s="244" t="s">
        <v>180</v>
      </c>
      <c r="L57" s="245" t="s">
        <v>212</v>
      </c>
      <c r="M57" s="1"/>
      <c r="N57" s="1"/>
      <c r="O57" s="1"/>
      <c r="P57" s="1"/>
      <c r="Q57" s="1"/>
      <c r="R57" s="13"/>
      <c r="S57" s="917" t="s">
        <v>183</v>
      </c>
      <c r="T57" s="918"/>
      <c r="U57" s="246" t="s">
        <v>26</v>
      </c>
      <c r="V57" s="246" t="s">
        <v>184</v>
      </c>
      <c r="W57" s="247" t="s">
        <v>185</v>
      </c>
      <c r="X57" s="175"/>
      <c r="Y57" s="917" t="s">
        <v>183</v>
      </c>
      <c r="Z57" s="918"/>
      <c r="AA57" s="246" t="s">
        <v>26</v>
      </c>
      <c r="AB57" s="246" t="s">
        <v>184</v>
      </c>
      <c r="AC57" s="247" t="s">
        <v>185</v>
      </c>
    </row>
    <row r="58" spans="1:29" ht="14.4">
      <c r="A58" s="248">
        <v>1</v>
      </c>
      <c r="B58" s="249" t="s">
        <v>213</v>
      </c>
      <c r="C58" s="250">
        <v>0.33</v>
      </c>
      <c r="D58" s="251">
        <v>1</v>
      </c>
      <c r="E58" s="252">
        <f t="shared" ref="E58:E69" si="6">D58*C58</f>
        <v>0.33</v>
      </c>
      <c r="F58" s="1"/>
      <c r="G58" s="1"/>
      <c r="H58" s="248">
        <v>1</v>
      </c>
      <c r="I58" s="249" t="s">
        <v>214</v>
      </c>
      <c r="J58" s="250">
        <v>0.1</v>
      </c>
      <c r="K58" s="250">
        <v>1</v>
      </c>
      <c r="L58" s="252">
        <f t="shared" ref="L58:L65" si="7">K58*J58</f>
        <v>0.1</v>
      </c>
      <c r="M58" s="1"/>
      <c r="N58" s="1"/>
      <c r="O58" s="1"/>
      <c r="P58" s="1"/>
      <c r="Q58" s="1"/>
      <c r="R58" s="13"/>
      <c r="S58" s="929" t="s">
        <v>122</v>
      </c>
      <c r="T58" s="893"/>
      <c r="U58" s="253">
        <v>1</v>
      </c>
      <c r="V58" s="254">
        <v>30000</v>
      </c>
      <c r="W58" s="255">
        <f t="shared" ref="W58:W64" si="8">V58*U58</f>
        <v>30000</v>
      </c>
      <c r="X58" s="303"/>
      <c r="Y58" s="919" t="s">
        <v>188</v>
      </c>
      <c r="Z58" s="893"/>
      <c r="AA58" s="253">
        <v>1</v>
      </c>
      <c r="AB58" s="257">
        <f>P3</f>
        <v>12500</v>
      </c>
      <c r="AC58" s="258">
        <f>AB58*AA58</f>
        <v>12500</v>
      </c>
    </row>
    <row r="59" spans="1:29" ht="14.4">
      <c r="A59" s="259">
        <v>2</v>
      </c>
      <c r="B59" s="260" t="s">
        <v>215</v>
      </c>
      <c r="C59" s="261">
        <v>0.42</v>
      </c>
      <c r="D59" s="262">
        <v>1</v>
      </c>
      <c r="E59" s="252">
        <f t="shared" si="6"/>
        <v>0.42</v>
      </c>
      <c r="F59" s="1"/>
      <c r="G59" s="1"/>
      <c r="H59" s="259">
        <v>2</v>
      </c>
      <c r="I59" s="260" t="s">
        <v>206</v>
      </c>
      <c r="J59" s="261">
        <v>0.2</v>
      </c>
      <c r="K59" s="261">
        <v>1</v>
      </c>
      <c r="L59" s="252">
        <f t="shared" si="7"/>
        <v>0.2</v>
      </c>
      <c r="M59" s="1"/>
      <c r="N59" s="1"/>
      <c r="O59" s="1"/>
      <c r="P59" s="1"/>
      <c r="Q59" s="1"/>
      <c r="R59" s="13"/>
      <c r="S59" s="263" t="s">
        <v>191</v>
      </c>
      <c r="T59" s="225"/>
      <c r="U59" s="264">
        <v>4</v>
      </c>
      <c r="V59" s="265">
        <v>12500</v>
      </c>
      <c r="W59" s="266">
        <f t="shared" si="8"/>
        <v>50000</v>
      </c>
      <c r="X59" s="175"/>
      <c r="Y59" s="913"/>
      <c r="Z59" s="809"/>
      <c r="AA59" s="264"/>
      <c r="AB59" s="264"/>
      <c r="AC59" s="267"/>
    </row>
    <row r="60" spans="1:29" ht="14.4">
      <c r="A60" s="259">
        <v>3</v>
      </c>
      <c r="B60" s="304" t="s">
        <v>216</v>
      </c>
      <c r="C60" s="261">
        <v>0.67</v>
      </c>
      <c r="D60" s="262">
        <v>1</v>
      </c>
      <c r="E60" s="252">
        <f t="shared" si="6"/>
        <v>0.67</v>
      </c>
      <c r="F60" s="1"/>
      <c r="G60" s="1"/>
      <c r="H60" s="259">
        <v>3</v>
      </c>
      <c r="I60" s="260" t="s">
        <v>217</v>
      </c>
      <c r="J60" s="261">
        <v>0.2</v>
      </c>
      <c r="K60" s="261">
        <v>1</v>
      </c>
      <c r="L60" s="252">
        <f t="shared" si="7"/>
        <v>0.2</v>
      </c>
      <c r="M60" s="1"/>
      <c r="N60" s="1"/>
      <c r="O60" s="1"/>
      <c r="P60" s="1"/>
      <c r="Q60" s="1"/>
      <c r="R60" s="13"/>
      <c r="S60" s="263" t="s">
        <v>208</v>
      </c>
      <c r="T60" s="225"/>
      <c r="U60" s="264">
        <v>1</v>
      </c>
      <c r="V60" s="265">
        <v>10000</v>
      </c>
      <c r="W60" s="266">
        <f t="shared" si="8"/>
        <v>10000</v>
      </c>
      <c r="X60" s="175"/>
      <c r="Y60" s="913"/>
      <c r="Z60" s="809"/>
      <c r="AA60" s="264"/>
      <c r="AB60" s="264"/>
      <c r="AC60" s="267"/>
    </row>
    <row r="61" spans="1:29" ht="14.4">
      <c r="A61" s="259">
        <v>4</v>
      </c>
      <c r="B61" s="260" t="s">
        <v>218</v>
      </c>
      <c r="C61" s="261">
        <v>0.57999999999999996</v>
      </c>
      <c r="D61" s="262">
        <v>1</v>
      </c>
      <c r="E61" s="252">
        <f t="shared" si="6"/>
        <v>0.57999999999999996</v>
      </c>
      <c r="F61" s="1"/>
      <c r="G61" s="1"/>
      <c r="H61" s="259">
        <v>4</v>
      </c>
      <c r="I61" s="260" t="s">
        <v>219</v>
      </c>
      <c r="J61" s="261">
        <v>0.1</v>
      </c>
      <c r="K61" s="262">
        <v>1</v>
      </c>
      <c r="L61" s="252">
        <f t="shared" si="7"/>
        <v>0.1</v>
      </c>
      <c r="M61" s="1"/>
      <c r="N61" s="1"/>
      <c r="O61" s="1"/>
      <c r="P61" s="1"/>
      <c r="Q61" s="1"/>
      <c r="R61" s="13"/>
      <c r="S61" s="913" t="s">
        <v>220</v>
      </c>
      <c r="T61" s="809"/>
      <c r="U61" s="264">
        <v>1</v>
      </c>
      <c r="V61" s="265">
        <v>10000</v>
      </c>
      <c r="W61" s="266">
        <f t="shared" si="8"/>
        <v>10000</v>
      </c>
      <c r="X61" s="175"/>
      <c r="Y61" s="913"/>
      <c r="Z61" s="809"/>
      <c r="AA61" s="264"/>
      <c r="AB61" s="264"/>
      <c r="AC61" s="267"/>
    </row>
    <row r="62" spans="1:29" ht="14.4">
      <c r="A62" s="259">
        <v>5</v>
      </c>
      <c r="B62" s="260" t="s">
        <v>221</v>
      </c>
      <c r="C62" s="261">
        <v>0.42</v>
      </c>
      <c r="D62" s="261">
        <v>1</v>
      </c>
      <c r="E62" s="252">
        <f t="shared" si="6"/>
        <v>0.42</v>
      </c>
      <c r="F62" s="1"/>
      <c r="G62" s="1"/>
      <c r="H62" s="259">
        <v>5</v>
      </c>
      <c r="I62" s="260" t="s">
        <v>222</v>
      </c>
      <c r="J62" s="261">
        <v>0.2</v>
      </c>
      <c r="K62" s="261">
        <v>1</v>
      </c>
      <c r="L62" s="252">
        <f t="shared" si="7"/>
        <v>0.2</v>
      </c>
      <c r="M62" s="1"/>
      <c r="N62" s="1"/>
      <c r="O62" s="1"/>
      <c r="P62" s="1"/>
      <c r="Q62" s="1"/>
      <c r="R62" s="13"/>
      <c r="S62" s="913" t="s">
        <v>223</v>
      </c>
      <c r="T62" s="809"/>
      <c r="U62" s="264">
        <v>2</v>
      </c>
      <c r="V62" s="265">
        <v>15000</v>
      </c>
      <c r="W62" s="266">
        <f t="shared" si="8"/>
        <v>30000</v>
      </c>
      <c r="X62" s="175"/>
      <c r="Y62" s="913"/>
      <c r="Z62" s="809"/>
      <c r="AA62" s="264"/>
      <c r="AB62" s="264"/>
      <c r="AC62" s="267"/>
    </row>
    <row r="63" spans="1:29" ht="14.4">
      <c r="A63" s="259">
        <v>6</v>
      </c>
      <c r="B63" s="260" t="s">
        <v>224</v>
      </c>
      <c r="C63" s="261">
        <v>0.92</v>
      </c>
      <c r="D63" s="262">
        <v>1</v>
      </c>
      <c r="E63" s="252">
        <f t="shared" si="6"/>
        <v>0.92</v>
      </c>
      <c r="F63" s="1"/>
      <c r="G63" s="1"/>
      <c r="H63" s="259">
        <v>6</v>
      </c>
      <c r="I63" s="260" t="s">
        <v>193</v>
      </c>
      <c r="J63" s="261">
        <v>0.2</v>
      </c>
      <c r="K63" s="261">
        <v>1</v>
      </c>
      <c r="L63" s="252">
        <f t="shared" si="7"/>
        <v>0.2</v>
      </c>
      <c r="M63" s="1"/>
      <c r="N63" s="1"/>
      <c r="O63" s="1"/>
      <c r="P63" s="1"/>
      <c r="Q63" s="1"/>
      <c r="R63" s="13"/>
      <c r="S63" s="913" t="s">
        <v>225</v>
      </c>
      <c r="T63" s="809"/>
      <c r="U63" s="264">
        <v>2</v>
      </c>
      <c r="V63" s="265">
        <v>14000</v>
      </c>
      <c r="W63" s="266">
        <f t="shared" si="8"/>
        <v>28000</v>
      </c>
      <c r="X63" s="175"/>
      <c r="Y63" s="913"/>
      <c r="Z63" s="809"/>
      <c r="AA63" s="264"/>
      <c r="AB63" s="264"/>
      <c r="AC63" s="267"/>
    </row>
    <row r="64" spans="1:29" ht="14.4">
      <c r="A64" s="297">
        <v>7</v>
      </c>
      <c r="B64" s="305" t="s">
        <v>226</v>
      </c>
      <c r="C64" s="306">
        <v>0.33</v>
      </c>
      <c r="D64" s="273">
        <v>1</v>
      </c>
      <c r="E64" s="252">
        <f t="shared" si="6"/>
        <v>0.33</v>
      </c>
      <c r="F64" s="1"/>
      <c r="G64" s="1"/>
      <c r="H64" s="259">
        <v>7</v>
      </c>
      <c r="I64" s="260" t="s">
        <v>196</v>
      </c>
      <c r="J64" s="261">
        <v>0.1</v>
      </c>
      <c r="K64" s="261">
        <v>1</v>
      </c>
      <c r="L64" s="252">
        <f t="shared" si="7"/>
        <v>0.1</v>
      </c>
      <c r="M64" s="1"/>
      <c r="N64" s="1"/>
      <c r="O64" s="1"/>
      <c r="P64" s="1"/>
      <c r="Q64" s="1"/>
      <c r="R64" s="13"/>
      <c r="S64" s="937" t="s">
        <v>194</v>
      </c>
      <c r="T64" s="894"/>
      <c r="U64" s="307">
        <f>E70</f>
        <v>4</v>
      </c>
      <c r="V64" s="308">
        <f>P3</f>
        <v>12500</v>
      </c>
      <c r="W64" s="309">
        <f t="shared" si="8"/>
        <v>50000</v>
      </c>
      <c r="X64" s="175"/>
      <c r="Y64" s="937"/>
      <c r="Z64" s="894"/>
      <c r="AA64" s="274"/>
      <c r="AB64" s="274"/>
      <c r="AC64" s="275"/>
    </row>
    <row r="65" spans="1:29" ht="14.4">
      <c r="A65" s="297">
        <v>8</v>
      </c>
      <c r="B65" s="305" t="s">
        <v>227</v>
      </c>
      <c r="C65" s="306">
        <v>0.33</v>
      </c>
      <c r="D65" s="273">
        <v>1</v>
      </c>
      <c r="E65" s="252">
        <f t="shared" si="6"/>
        <v>0.33</v>
      </c>
      <c r="F65" s="1"/>
      <c r="G65" s="1"/>
      <c r="H65" s="269">
        <v>8</v>
      </c>
      <c r="I65" s="260"/>
      <c r="J65" s="261"/>
      <c r="K65" s="261"/>
      <c r="L65" s="252">
        <f t="shared" si="7"/>
        <v>0</v>
      </c>
      <c r="M65" s="1"/>
      <c r="N65" s="1"/>
      <c r="O65" s="1"/>
      <c r="P65" s="1"/>
      <c r="Q65" s="1"/>
      <c r="R65" s="13"/>
      <c r="S65" s="938" t="s">
        <v>28</v>
      </c>
      <c r="T65" s="939"/>
      <c r="U65" s="310"/>
      <c r="V65" s="310"/>
      <c r="W65" s="311">
        <f>SUM(W58:W64)</f>
        <v>208000</v>
      </c>
      <c r="X65" s="175"/>
      <c r="Y65" s="938" t="s">
        <v>28</v>
      </c>
      <c r="Z65" s="939"/>
      <c r="AA65" s="310"/>
      <c r="AB65" s="310"/>
      <c r="AC65" s="312">
        <f>SUM(AC58:AC64)</f>
        <v>12500</v>
      </c>
    </row>
    <row r="66" spans="1:29" ht="14.4">
      <c r="A66" s="297">
        <v>9</v>
      </c>
      <c r="B66" s="305"/>
      <c r="C66" s="306"/>
      <c r="D66" s="306"/>
      <c r="E66" s="252">
        <f t="shared" si="6"/>
        <v>0</v>
      </c>
      <c r="F66" s="1"/>
      <c r="G66" s="1"/>
      <c r="H66" s="269">
        <v>9</v>
      </c>
      <c r="I66" s="270"/>
      <c r="J66" s="262"/>
      <c r="K66" s="262"/>
      <c r="L66" s="298">
        <v>0</v>
      </c>
      <c r="M66" s="1"/>
      <c r="N66" s="1"/>
      <c r="O66" s="1"/>
      <c r="P66" s="1"/>
      <c r="Q66" s="1"/>
      <c r="R66" s="13"/>
      <c r="S66" s="1"/>
      <c r="T66" s="1"/>
      <c r="U66" s="1"/>
      <c r="V66" s="1"/>
      <c r="W66" s="1"/>
      <c r="X66" s="1"/>
      <c r="Y66" s="1"/>
      <c r="Z66" s="1"/>
      <c r="AA66" s="219"/>
      <c r="AB66" s="219"/>
      <c r="AC66" s="219"/>
    </row>
    <row r="67" spans="1:29" ht="14.4">
      <c r="A67" s="299">
        <v>10</v>
      </c>
      <c r="B67" s="280"/>
      <c r="C67" s="281"/>
      <c r="D67" s="281"/>
      <c r="E67" s="252">
        <f t="shared" si="6"/>
        <v>0</v>
      </c>
      <c r="F67" s="1"/>
      <c r="G67" s="1"/>
      <c r="H67" s="269">
        <v>10</v>
      </c>
      <c r="I67" s="270"/>
      <c r="J67" s="262"/>
      <c r="K67" s="262"/>
      <c r="L67" s="298">
        <v>0</v>
      </c>
      <c r="M67" s="1"/>
      <c r="N67" s="1"/>
      <c r="O67" s="1"/>
      <c r="P67" s="1"/>
      <c r="Q67" s="1"/>
      <c r="R67" s="1"/>
      <c r="S67" s="15"/>
      <c r="T67" s="15"/>
      <c r="U67" s="15"/>
      <c r="V67" s="15"/>
      <c r="W67" s="15"/>
      <c r="X67" s="1"/>
      <c r="Y67" s="1"/>
      <c r="Z67" s="1"/>
      <c r="AA67" s="219"/>
      <c r="AB67" s="219"/>
      <c r="AC67" s="219"/>
    </row>
    <row r="68" spans="1:29" ht="14.4">
      <c r="A68" s="299">
        <v>11</v>
      </c>
      <c r="B68" s="280"/>
      <c r="C68" s="281"/>
      <c r="D68" s="281"/>
      <c r="E68" s="252">
        <f t="shared" si="6"/>
        <v>0</v>
      </c>
      <c r="F68" s="1"/>
      <c r="G68" s="1"/>
      <c r="H68" s="269">
        <v>11</v>
      </c>
      <c r="I68" s="270"/>
      <c r="J68" s="262"/>
      <c r="K68" s="262"/>
      <c r="L68" s="298">
        <v>0</v>
      </c>
      <c r="M68" s="1"/>
      <c r="N68" s="1"/>
      <c r="O68" s="1"/>
      <c r="P68" s="1"/>
      <c r="Q68" s="1"/>
      <c r="R68" s="1"/>
      <c r="S68" s="1"/>
      <c r="T68" s="1"/>
      <c r="U68" s="1"/>
      <c r="V68" s="1"/>
      <c r="W68" s="1"/>
      <c r="X68" s="1"/>
      <c r="Y68" s="1"/>
      <c r="Z68" s="1"/>
      <c r="AA68" s="219"/>
      <c r="AB68" s="219"/>
      <c r="AC68" s="219"/>
    </row>
    <row r="69" spans="1:29" ht="14.4">
      <c r="A69" s="300">
        <v>12</v>
      </c>
      <c r="B69" s="283"/>
      <c r="C69" s="284"/>
      <c r="D69" s="284"/>
      <c r="E69" s="252">
        <f t="shared" si="6"/>
        <v>0</v>
      </c>
      <c r="F69" s="1"/>
      <c r="G69" s="1"/>
      <c r="H69" s="269">
        <v>12</v>
      </c>
      <c r="I69" s="270"/>
      <c r="J69" s="262"/>
      <c r="K69" s="262"/>
      <c r="L69" s="298">
        <v>0</v>
      </c>
      <c r="M69" s="1"/>
      <c r="N69" s="1"/>
      <c r="O69" s="1"/>
      <c r="P69" s="1"/>
      <c r="Q69" s="1"/>
      <c r="R69" s="1"/>
      <c r="S69" s="1"/>
      <c r="T69" s="1"/>
      <c r="U69" s="1"/>
      <c r="V69" s="1"/>
      <c r="W69" s="1"/>
      <c r="X69" s="1"/>
      <c r="Y69" s="1"/>
      <c r="Z69" s="1"/>
      <c r="AA69" s="219"/>
      <c r="AB69" s="219"/>
      <c r="AC69" s="219"/>
    </row>
    <row r="70" spans="1:29" ht="57.6">
      <c r="A70" s="931"/>
      <c r="B70" s="932"/>
      <c r="C70" s="933"/>
      <c r="D70" s="240" t="s">
        <v>228</v>
      </c>
      <c r="E70" s="301">
        <f>SUM(E58:E69)</f>
        <v>4</v>
      </c>
      <c r="F70" s="4" t="s">
        <v>199</v>
      </c>
      <c r="G70" s="1"/>
      <c r="H70" s="930" t="s">
        <v>197</v>
      </c>
      <c r="I70" s="817"/>
      <c r="J70" s="818"/>
      <c r="K70" s="240" t="s">
        <v>200</v>
      </c>
      <c r="L70" s="285">
        <f>SUM(L58:L69)</f>
        <v>1.1000000000000001</v>
      </c>
      <c r="M70" s="1"/>
      <c r="N70" s="1"/>
      <c r="O70" s="1"/>
      <c r="P70" s="1"/>
      <c r="Q70" s="1"/>
      <c r="R70" s="1"/>
      <c r="S70" s="1"/>
      <c r="T70" s="1"/>
      <c r="U70" s="1"/>
      <c r="V70" s="1"/>
      <c r="W70" s="1"/>
      <c r="X70" s="1"/>
      <c r="Y70" s="1"/>
      <c r="Z70" s="1"/>
      <c r="AA70" s="219"/>
      <c r="AB70" s="219"/>
      <c r="AC70" s="219"/>
    </row>
    <row r="71" spans="1:29" ht="57.6">
      <c r="A71" s="822"/>
      <c r="B71" s="823"/>
      <c r="C71" s="824"/>
      <c r="D71" s="286" t="s">
        <v>229</v>
      </c>
      <c r="E71" s="287">
        <f>E70/$B$14</f>
        <v>2.6666666666666668E-2</v>
      </c>
      <c r="F71" s="288">
        <f>$P$3*E70</f>
        <v>50000</v>
      </c>
      <c r="G71" s="1"/>
      <c r="H71" s="822"/>
      <c r="I71" s="823"/>
      <c r="J71" s="824"/>
      <c r="K71" s="286" t="s">
        <v>202</v>
      </c>
      <c r="L71" s="302">
        <f>L70/$B$14</f>
        <v>7.3333333333333341E-3</v>
      </c>
      <c r="M71" s="289"/>
      <c r="N71" s="1"/>
      <c r="O71" s="1"/>
      <c r="P71" s="1"/>
      <c r="Q71" s="1"/>
      <c r="R71" s="1"/>
      <c r="S71" s="1"/>
      <c r="T71" s="1"/>
      <c r="U71" s="1"/>
      <c r="V71" s="1"/>
      <c r="W71" s="1"/>
      <c r="X71" s="1"/>
      <c r="Y71" s="1"/>
      <c r="Z71" s="1"/>
      <c r="AA71" s="219"/>
      <c r="AB71" s="219"/>
      <c r="AC71" s="219"/>
    </row>
    <row r="72" spans="1:29" ht="14.4">
      <c r="F72" s="289"/>
      <c r="G72" s="1"/>
      <c r="H72" s="1"/>
      <c r="I72" s="1"/>
      <c r="J72" s="1"/>
      <c r="K72" s="1"/>
      <c r="L72" s="1"/>
      <c r="M72" s="1"/>
      <c r="N72" s="1"/>
      <c r="O72" s="1"/>
      <c r="P72" s="1"/>
      <c r="Q72" s="1"/>
      <c r="R72" s="1"/>
      <c r="S72" s="1"/>
      <c r="T72" s="1"/>
      <c r="U72" s="1"/>
      <c r="V72" s="1"/>
      <c r="W72" s="1"/>
      <c r="X72" s="1"/>
      <c r="Y72" s="1"/>
      <c r="Z72" s="1"/>
      <c r="AA72" s="219"/>
      <c r="AB72" s="219"/>
      <c r="AC72" s="219"/>
    </row>
    <row r="73" spans="1:29" ht="14.4">
      <c r="A73" s="313"/>
      <c r="B73" s="313"/>
      <c r="C73" s="313"/>
      <c r="D73" s="234"/>
      <c r="E73" s="314"/>
      <c r="F73" s="1"/>
      <c r="G73" s="1"/>
      <c r="H73" s="1"/>
      <c r="I73" s="1"/>
      <c r="J73" s="1"/>
      <c r="K73" s="1"/>
      <c r="L73" s="1"/>
      <c r="M73" s="1"/>
      <c r="N73" s="1"/>
      <c r="O73" s="1"/>
      <c r="P73" s="1"/>
      <c r="Q73" s="1"/>
      <c r="R73" s="1"/>
      <c r="S73" s="1"/>
      <c r="T73" s="1"/>
      <c r="U73" s="1"/>
      <c r="V73" s="1"/>
      <c r="W73" s="1"/>
      <c r="X73" s="1"/>
      <c r="Y73" s="1"/>
      <c r="Z73" s="1"/>
      <c r="AA73" s="219"/>
      <c r="AB73" s="219"/>
      <c r="AC73" s="219"/>
    </row>
    <row r="74" spans="1:29" ht="14.4">
      <c r="A74" s="180"/>
      <c r="B74" s="292"/>
      <c r="C74" s="180"/>
      <c r="D74" s="180"/>
      <c r="E74" s="180"/>
      <c r="F74" s="180"/>
      <c r="G74" s="180"/>
      <c r="H74" s="180"/>
      <c r="I74" s="180"/>
      <c r="J74" s="180"/>
      <c r="K74" s="180"/>
      <c r="L74" s="180"/>
      <c r="M74" s="180"/>
      <c r="N74" s="180"/>
      <c r="O74" s="1"/>
      <c r="P74" s="1"/>
      <c r="Q74" s="1"/>
      <c r="R74" s="1"/>
      <c r="S74" s="1"/>
      <c r="T74" s="1"/>
      <c r="U74" s="1"/>
      <c r="V74" s="1"/>
      <c r="W74" s="1"/>
      <c r="X74" s="1"/>
      <c r="Y74" s="1"/>
      <c r="Z74" s="1"/>
      <c r="AA74" s="219"/>
      <c r="AB74" s="219"/>
      <c r="AC74" s="219"/>
    </row>
    <row r="75" spans="1:29" ht="14.4">
      <c r="A75" s="1"/>
      <c r="B75" s="220"/>
      <c r="C75" s="1"/>
      <c r="D75" s="1"/>
      <c r="E75" s="1"/>
      <c r="F75" s="1"/>
      <c r="G75" s="1"/>
      <c r="H75" s="1"/>
      <c r="I75" s="1"/>
      <c r="J75" s="1"/>
      <c r="K75" s="1"/>
      <c r="L75" s="1"/>
      <c r="M75" s="1"/>
      <c r="N75" s="1"/>
      <c r="O75" s="1"/>
      <c r="P75" s="1"/>
      <c r="Q75" s="1"/>
      <c r="R75" s="1"/>
      <c r="S75" s="1"/>
      <c r="T75" s="1"/>
      <c r="U75" s="1"/>
      <c r="V75" s="1"/>
      <c r="W75" s="1"/>
      <c r="X75" s="1"/>
      <c r="Y75" s="1"/>
      <c r="Z75" s="1"/>
      <c r="AA75" s="219"/>
      <c r="AB75" s="219"/>
      <c r="AC75" s="219"/>
    </row>
    <row r="76" spans="1:29" ht="14.4">
      <c r="A76" s="4" t="s">
        <v>230</v>
      </c>
      <c r="B76" s="220"/>
      <c r="C76" s="1"/>
      <c r="D76" s="1"/>
      <c r="E76" s="1"/>
      <c r="F76" s="1"/>
      <c r="G76" s="1"/>
      <c r="H76" s="1"/>
      <c r="I76" s="1"/>
      <c r="J76" s="1"/>
      <c r="K76" s="1"/>
      <c r="L76" s="1"/>
      <c r="M76" s="1"/>
      <c r="N76" s="1"/>
      <c r="O76" s="1"/>
      <c r="P76" s="1"/>
      <c r="Q76" s="1"/>
      <c r="R76" s="1"/>
      <c r="S76" s="1"/>
      <c r="T76" s="1"/>
      <c r="U76" s="1"/>
      <c r="V76" s="1"/>
      <c r="W76" s="1"/>
      <c r="X76" s="1"/>
      <c r="Y76" s="1"/>
      <c r="Z76" s="1"/>
      <c r="AA76" s="219"/>
      <c r="AB76" s="219"/>
      <c r="AC76" s="219"/>
    </row>
    <row r="77" spans="1:29" ht="25.8">
      <c r="A77" s="921" t="s">
        <v>231</v>
      </c>
      <c r="B77" s="799"/>
      <c r="C77" s="799"/>
      <c r="D77" s="799"/>
      <c r="E77" s="800"/>
      <c r="F77" s="1"/>
      <c r="G77" s="1"/>
      <c r="H77" s="1"/>
      <c r="I77" s="1"/>
      <c r="J77" s="1"/>
      <c r="K77" s="1"/>
      <c r="L77" s="1"/>
      <c r="M77" s="1"/>
      <c r="N77" s="1"/>
      <c r="O77" s="1"/>
      <c r="P77" s="1"/>
      <c r="Q77" s="1"/>
      <c r="R77" s="1"/>
      <c r="S77" s="1"/>
      <c r="T77" s="1"/>
      <c r="U77" s="1"/>
      <c r="V77" s="1"/>
      <c r="W77" s="1"/>
      <c r="X77" s="1"/>
      <c r="Y77" s="1"/>
      <c r="Z77" s="1"/>
      <c r="AA77" s="219"/>
      <c r="AB77" s="219"/>
      <c r="AC77" s="219"/>
    </row>
    <row r="78" spans="1:29" ht="14.4">
      <c r="A78" s="935" t="s">
        <v>232</v>
      </c>
      <c r="B78" s="892"/>
      <c r="C78" s="934" t="s">
        <v>58</v>
      </c>
      <c r="D78" s="809"/>
      <c r="E78" s="934" t="s">
        <v>59</v>
      </c>
      <c r="F78" s="809"/>
      <c r="G78" s="934" t="s">
        <v>60</v>
      </c>
      <c r="H78" s="809"/>
      <c r="I78" s="934" t="s">
        <v>61</v>
      </c>
      <c r="J78" s="809"/>
      <c r="K78" s="934" t="s">
        <v>62</v>
      </c>
      <c r="L78" s="809"/>
      <c r="M78" s="934" t="s">
        <v>63</v>
      </c>
      <c r="N78" s="809"/>
      <c r="O78" s="934" t="s">
        <v>64</v>
      </c>
      <c r="P78" s="809"/>
      <c r="Q78" s="934" t="s">
        <v>65</v>
      </c>
      <c r="R78" s="809"/>
      <c r="S78" s="934" t="s">
        <v>66</v>
      </c>
      <c r="T78" s="809"/>
      <c r="U78" s="934" t="s">
        <v>67</v>
      </c>
      <c r="V78" s="809"/>
      <c r="W78" s="934" t="s">
        <v>68</v>
      </c>
      <c r="X78" s="809"/>
      <c r="Y78" s="934" t="s">
        <v>69</v>
      </c>
      <c r="Z78" s="809"/>
      <c r="AA78" s="315"/>
      <c r="AB78" s="315"/>
      <c r="AC78" s="315"/>
    </row>
    <row r="79" spans="1:29" ht="28.8">
      <c r="A79" s="936"/>
      <c r="B79" s="803"/>
      <c r="C79" s="316" t="s">
        <v>233</v>
      </c>
      <c r="D79" s="316" t="s">
        <v>234</v>
      </c>
      <c r="E79" s="316" t="s">
        <v>233</v>
      </c>
      <c r="F79" s="316" t="s">
        <v>235</v>
      </c>
      <c r="G79" s="316" t="s">
        <v>233</v>
      </c>
      <c r="H79" s="316" t="s">
        <v>234</v>
      </c>
      <c r="I79" s="316" t="s">
        <v>233</v>
      </c>
      <c r="J79" s="316" t="s">
        <v>235</v>
      </c>
      <c r="K79" s="316" t="s">
        <v>233</v>
      </c>
      <c r="L79" s="316" t="s">
        <v>234</v>
      </c>
      <c r="M79" s="316" t="s">
        <v>233</v>
      </c>
      <c r="N79" s="316" t="s">
        <v>234</v>
      </c>
      <c r="O79" s="316" t="s">
        <v>233</v>
      </c>
      <c r="P79" s="316" t="s">
        <v>234</v>
      </c>
      <c r="Q79" s="316" t="s">
        <v>233</v>
      </c>
      <c r="R79" s="316" t="s">
        <v>234</v>
      </c>
      <c r="S79" s="316" t="s">
        <v>233</v>
      </c>
      <c r="T79" s="316" t="s">
        <v>234</v>
      </c>
      <c r="U79" s="316" t="s">
        <v>233</v>
      </c>
      <c r="V79" s="316" t="s">
        <v>234</v>
      </c>
      <c r="W79" s="316" t="s">
        <v>233</v>
      </c>
      <c r="X79" s="316" t="s">
        <v>234</v>
      </c>
      <c r="Y79" s="316" t="s">
        <v>233</v>
      </c>
      <c r="Z79" s="316" t="s">
        <v>234</v>
      </c>
      <c r="AA79" s="317"/>
      <c r="AB79" s="317"/>
      <c r="AC79" s="317"/>
    </row>
    <row r="80" spans="1:29" ht="15.6">
      <c r="A80" s="318" t="str">
        <f>Hipótesis!B$58</f>
        <v>Instalación A</v>
      </c>
      <c r="B80" s="319">
        <f t="shared" ref="B80:B86" si="9">D80+F80+H80+J80+L80+N80+P80+R80+T80+V80+X80+Z80</f>
        <v>15.15</v>
      </c>
      <c r="C80" s="320">
        <f>'Proy. ventas'!E19</f>
        <v>0</v>
      </c>
      <c r="D80" s="225">
        <f>C80*$E$32</f>
        <v>0</v>
      </c>
      <c r="E80" s="321">
        <f>'Proy. ventas'!G33</f>
        <v>15</v>
      </c>
      <c r="F80" s="225">
        <f>E80*$E$32</f>
        <v>15.15</v>
      </c>
      <c r="G80" s="321">
        <f>'Proy. ventas'!I33</f>
        <v>0</v>
      </c>
      <c r="H80" s="225">
        <f>G80*$E$32</f>
        <v>0</v>
      </c>
      <c r="I80" s="321">
        <f>'Proy. ventas'!K33</f>
        <v>0</v>
      </c>
      <c r="J80" s="225">
        <f>I80*$E$32</f>
        <v>0</v>
      </c>
      <c r="K80" s="321">
        <f>'Proy. ventas'!M33</f>
        <v>0</v>
      </c>
      <c r="L80" s="225">
        <f>K80*$E$32</f>
        <v>0</v>
      </c>
      <c r="M80" s="321">
        <f>'Proy. ventas'!O33</f>
        <v>0</v>
      </c>
      <c r="N80" s="225">
        <f>M80*$E$32</f>
        <v>0</v>
      </c>
      <c r="O80" s="321">
        <f>'Proy. ventas'!Q33</f>
        <v>0</v>
      </c>
      <c r="P80" s="225">
        <f>O80*$E$32</f>
        <v>0</v>
      </c>
      <c r="Q80" s="321">
        <f>'Proy. ventas'!S33</f>
        <v>0</v>
      </c>
      <c r="R80" s="225">
        <f>Q80*$E$32</f>
        <v>0</v>
      </c>
      <c r="S80" s="321">
        <f>'Proy. ventas'!U33</f>
        <v>0</v>
      </c>
      <c r="T80" s="225">
        <f>S80*$E$32</f>
        <v>0</v>
      </c>
      <c r="U80" s="321">
        <f>'Proy. ventas'!W33</f>
        <v>0</v>
      </c>
      <c r="V80" s="225">
        <f>U80*$E$32</f>
        <v>0</v>
      </c>
      <c r="W80" s="321">
        <f>'Proy. ventas'!Y33</f>
        <v>0</v>
      </c>
      <c r="X80" s="225">
        <f>W80*$E$32</f>
        <v>0</v>
      </c>
      <c r="Y80" s="321">
        <f>'Proy. ventas'!AA33</f>
        <v>0</v>
      </c>
      <c r="Z80" s="225">
        <f>Y80*$E$32</f>
        <v>0</v>
      </c>
      <c r="AA80" s="219"/>
      <c r="AB80" s="219"/>
      <c r="AC80" s="219"/>
    </row>
    <row r="81" spans="1:29" ht="15.6">
      <c r="A81" s="322" t="str">
        <f>Hipótesis!B$59</f>
        <v>Instalación B</v>
      </c>
      <c r="B81" s="319">
        <f t="shared" si="9"/>
        <v>60</v>
      </c>
      <c r="C81" s="320">
        <f>'Proy. ventas'!E20</f>
        <v>0</v>
      </c>
      <c r="D81" s="225">
        <f>C81*$E$51</f>
        <v>0</v>
      </c>
      <c r="E81" s="321">
        <f>'Proy. ventas'!G34</f>
        <v>0</v>
      </c>
      <c r="F81" s="225">
        <f>E81*$E$51</f>
        <v>0</v>
      </c>
      <c r="G81" s="321">
        <f>'Proy. ventas'!I34</f>
        <v>0</v>
      </c>
      <c r="H81" s="225">
        <f>G81*$E$51</f>
        <v>0</v>
      </c>
      <c r="I81" s="321">
        <f>'Proy. ventas'!K34</f>
        <v>15</v>
      </c>
      <c r="J81" s="225">
        <f>I81*$E$51</f>
        <v>30</v>
      </c>
      <c r="K81" s="321">
        <f>'Proy. ventas'!M34</f>
        <v>0</v>
      </c>
      <c r="L81" s="225">
        <f>K81*$E$51</f>
        <v>0</v>
      </c>
      <c r="M81" s="321">
        <f>'Proy. ventas'!O34</f>
        <v>0</v>
      </c>
      <c r="N81" s="225">
        <f>M81*$E$51</f>
        <v>0</v>
      </c>
      <c r="O81" s="321">
        <f>'Proy. ventas'!Q34</f>
        <v>15</v>
      </c>
      <c r="P81" s="225">
        <f>O81*$E$51</f>
        <v>30</v>
      </c>
      <c r="Q81" s="321">
        <f>'Proy. ventas'!S34</f>
        <v>0</v>
      </c>
      <c r="R81" s="225">
        <f>Q81*$E$51</f>
        <v>0</v>
      </c>
      <c r="S81" s="321">
        <f>'Proy. ventas'!U34</f>
        <v>0</v>
      </c>
      <c r="T81" s="225">
        <f>S81*$E$51</f>
        <v>0</v>
      </c>
      <c r="U81" s="321">
        <f>'Proy. ventas'!W34</f>
        <v>0</v>
      </c>
      <c r="V81" s="225">
        <f>U81*$E$51</f>
        <v>0</v>
      </c>
      <c r="W81" s="321">
        <f>'Proy. ventas'!Y34</f>
        <v>0</v>
      </c>
      <c r="X81" s="225">
        <f>W81*$E$51</f>
        <v>0</v>
      </c>
      <c r="Y81" s="321">
        <f>'Proy. ventas'!AA34</f>
        <v>0</v>
      </c>
      <c r="Z81" s="225">
        <f>Y81*$E$51</f>
        <v>0</v>
      </c>
      <c r="AA81" s="219"/>
      <c r="AB81" s="219"/>
      <c r="AC81" s="219"/>
    </row>
    <row r="82" spans="1:29" ht="15.6">
      <c r="A82" s="323" t="str">
        <f>Hipótesis!B$60</f>
        <v>Instalación C</v>
      </c>
      <c r="B82" s="319">
        <f t="shared" si="9"/>
        <v>240</v>
      </c>
      <c r="C82" s="320">
        <f>'Proy. ventas'!E21</f>
        <v>15</v>
      </c>
      <c r="D82" s="225">
        <f>C82*$E$70</f>
        <v>60</v>
      </c>
      <c r="E82" s="321">
        <f>'Proy. ventas'!G35</f>
        <v>0</v>
      </c>
      <c r="F82" s="225">
        <f>E82*$E$70</f>
        <v>0</v>
      </c>
      <c r="G82" s="321">
        <f>'Proy. ventas'!I35</f>
        <v>0</v>
      </c>
      <c r="H82" s="225">
        <f>G82*$E$70</f>
        <v>0</v>
      </c>
      <c r="I82" s="321">
        <f>'Proy. ventas'!K35</f>
        <v>0</v>
      </c>
      <c r="J82" s="225">
        <f>I82*$E$70</f>
        <v>0</v>
      </c>
      <c r="K82" s="321">
        <f>'Proy. ventas'!M35</f>
        <v>0</v>
      </c>
      <c r="L82" s="225">
        <f>K82*$E$70</f>
        <v>0</v>
      </c>
      <c r="M82" s="321">
        <f>'Proy. ventas'!O35</f>
        <v>0</v>
      </c>
      <c r="N82" s="225">
        <f>M82*$E$70</f>
        <v>0</v>
      </c>
      <c r="O82" s="321">
        <f>'Proy. ventas'!Q35</f>
        <v>0</v>
      </c>
      <c r="P82" s="225">
        <f>O82*$E$70</f>
        <v>0</v>
      </c>
      <c r="Q82" s="321">
        <f>'Proy. ventas'!S35</f>
        <v>0</v>
      </c>
      <c r="R82" s="225">
        <f>Q82*$E$70</f>
        <v>0</v>
      </c>
      <c r="S82" s="321">
        <f>'Proy. ventas'!U35</f>
        <v>15</v>
      </c>
      <c r="T82" s="225">
        <f>S82*$E$70</f>
        <v>60</v>
      </c>
      <c r="U82" s="321">
        <f>'Proy. ventas'!W35</f>
        <v>15</v>
      </c>
      <c r="V82" s="225">
        <f>U82*$E$70</f>
        <v>60</v>
      </c>
      <c r="W82" s="321">
        <f>'Proy. ventas'!Y35</f>
        <v>15</v>
      </c>
      <c r="X82" s="225">
        <f>W82*$E$70</f>
        <v>60</v>
      </c>
      <c r="Y82" s="321">
        <f>'Proy. ventas'!AA35</f>
        <v>0</v>
      </c>
      <c r="Z82" s="225">
        <f>Y82*$E$70</f>
        <v>0</v>
      </c>
      <c r="AA82" s="219"/>
      <c r="AB82" s="219"/>
      <c r="AC82" s="219"/>
    </row>
    <row r="83" spans="1:29" ht="15.6">
      <c r="A83" s="324" t="str">
        <f>Hipótesis!B$61</f>
        <v>Plan A</v>
      </c>
      <c r="B83" s="319">
        <f t="shared" si="9"/>
        <v>0</v>
      </c>
      <c r="C83" s="320">
        <f>'Proy. ventas'!E22</f>
        <v>0</v>
      </c>
      <c r="D83" s="225">
        <f>C83*$L$32</f>
        <v>0</v>
      </c>
      <c r="E83" s="325">
        <v>0</v>
      </c>
      <c r="F83" s="225">
        <f>E83*$L$32</f>
        <v>0</v>
      </c>
      <c r="G83" s="325">
        <v>0</v>
      </c>
      <c r="H83" s="225">
        <f>G83*$L$32</f>
        <v>0</v>
      </c>
      <c r="I83" s="325">
        <v>0</v>
      </c>
      <c r="J83" s="225">
        <f>I83*$L$32</f>
        <v>0</v>
      </c>
      <c r="K83" s="325">
        <v>0</v>
      </c>
      <c r="L83" s="225">
        <f>K83*$L$32</f>
        <v>0</v>
      </c>
      <c r="M83" s="325">
        <v>0</v>
      </c>
      <c r="N83" s="225">
        <f>M83*$L$32</f>
        <v>0</v>
      </c>
      <c r="O83" s="325">
        <v>0</v>
      </c>
      <c r="P83" s="225">
        <f>O83*$L$32</f>
        <v>0</v>
      </c>
      <c r="Q83" s="325">
        <v>0</v>
      </c>
      <c r="R83" s="225">
        <f>Q83*$L$32</f>
        <v>0</v>
      </c>
      <c r="S83" s="325">
        <v>0</v>
      </c>
      <c r="T83" s="225">
        <f>S83*$L$32</f>
        <v>0</v>
      </c>
      <c r="U83" s="325">
        <v>0</v>
      </c>
      <c r="V83" s="225">
        <f>U83*$L$32</f>
        <v>0</v>
      </c>
      <c r="W83" s="325">
        <v>0</v>
      </c>
      <c r="X83" s="225">
        <f>W83*$L$32</f>
        <v>0</v>
      </c>
      <c r="Y83" s="325">
        <v>0</v>
      </c>
      <c r="Z83" s="225">
        <f>Y83*$L$32</f>
        <v>0</v>
      </c>
      <c r="AA83" s="219"/>
      <c r="AB83" s="219"/>
      <c r="AC83" s="219"/>
    </row>
    <row r="84" spans="1:29" ht="15.6">
      <c r="A84" s="326" t="str">
        <f>Hipótesis!B$62</f>
        <v>Plan B</v>
      </c>
      <c r="B84" s="319">
        <f t="shared" si="9"/>
        <v>0</v>
      </c>
      <c r="C84" s="320">
        <f>'Proy. ventas'!E23</f>
        <v>0</v>
      </c>
      <c r="D84" s="225">
        <f>C84*$L$51</f>
        <v>0</v>
      </c>
      <c r="E84" s="325">
        <v>0</v>
      </c>
      <c r="F84" s="225">
        <f>E84*$L$51</f>
        <v>0</v>
      </c>
      <c r="G84" s="325">
        <v>0</v>
      </c>
      <c r="H84" s="225">
        <f>G84*$L$51</f>
        <v>0</v>
      </c>
      <c r="I84" s="325">
        <v>0</v>
      </c>
      <c r="J84" s="225">
        <f>I84*$L$51</f>
        <v>0</v>
      </c>
      <c r="K84" s="325">
        <v>0</v>
      </c>
      <c r="L84" s="225">
        <f>K84*$L$51</f>
        <v>0</v>
      </c>
      <c r="M84" s="325">
        <v>0</v>
      </c>
      <c r="N84" s="225">
        <f>M84*$L$51</f>
        <v>0</v>
      </c>
      <c r="O84" s="325">
        <v>0</v>
      </c>
      <c r="P84" s="225">
        <f>O84*$L$51</f>
        <v>0</v>
      </c>
      <c r="Q84" s="325">
        <v>0</v>
      </c>
      <c r="R84" s="225">
        <f>Q84*$L$51</f>
        <v>0</v>
      </c>
      <c r="S84" s="325">
        <v>0</v>
      </c>
      <c r="T84" s="225">
        <f>S84*$L$51</f>
        <v>0</v>
      </c>
      <c r="U84" s="325">
        <v>0</v>
      </c>
      <c r="V84" s="225">
        <f>U84*$L$51</f>
        <v>0</v>
      </c>
      <c r="W84" s="325">
        <v>0</v>
      </c>
      <c r="X84" s="225">
        <f>W84*$L$51</f>
        <v>0</v>
      </c>
      <c r="Y84" s="325">
        <v>0</v>
      </c>
      <c r="Z84" s="225">
        <f>Y84*$L$51</f>
        <v>0</v>
      </c>
      <c r="AA84" s="219"/>
      <c r="AB84" s="219"/>
      <c r="AC84" s="219"/>
    </row>
    <row r="85" spans="1:29" ht="15.6">
      <c r="A85" s="327" t="str">
        <f>Hipótesis!B$63</f>
        <v>Plan C</v>
      </c>
      <c r="B85" s="319">
        <f t="shared" si="9"/>
        <v>0</v>
      </c>
      <c r="C85" s="325">
        <v>0</v>
      </c>
      <c r="D85" s="225">
        <f>C85*$L$70</f>
        <v>0</v>
      </c>
      <c r="E85" s="325">
        <v>0</v>
      </c>
      <c r="F85" s="225">
        <f>E85*$L$70</f>
        <v>0</v>
      </c>
      <c r="G85" s="325">
        <v>0</v>
      </c>
      <c r="H85" s="225">
        <f>G85*$L$70</f>
        <v>0</v>
      </c>
      <c r="I85" s="325">
        <v>0</v>
      </c>
      <c r="J85" s="225">
        <f>I85*$L$70</f>
        <v>0</v>
      </c>
      <c r="K85" s="325">
        <v>0</v>
      </c>
      <c r="L85" s="225">
        <f>K85*$L$70</f>
        <v>0</v>
      </c>
      <c r="M85" s="325">
        <v>0</v>
      </c>
      <c r="N85" s="225">
        <f>M85*$L$70</f>
        <v>0</v>
      </c>
      <c r="O85" s="325">
        <v>0</v>
      </c>
      <c r="P85" s="225">
        <f>O85*$L$70</f>
        <v>0</v>
      </c>
      <c r="Q85" s="325">
        <v>0</v>
      </c>
      <c r="R85" s="225">
        <f>Q85*$L$70</f>
        <v>0</v>
      </c>
      <c r="S85" s="325">
        <v>0</v>
      </c>
      <c r="T85" s="225">
        <f>S85*$L$70</f>
        <v>0</v>
      </c>
      <c r="U85" s="325">
        <v>0</v>
      </c>
      <c r="V85" s="225">
        <f>U85*$L$70</f>
        <v>0</v>
      </c>
      <c r="W85" s="325">
        <v>0</v>
      </c>
      <c r="X85" s="225">
        <f>W85*$L$70</f>
        <v>0</v>
      </c>
      <c r="Y85" s="325">
        <v>0</v>
      </c>
      <c r="Z85" s="225">
        <f>Y85*$L$70</f>
        <v>0</v>
      </c>
      <c r="AA85" s="219"/>
      <c r="AB85" s="219"/>
      <c r="AC85" s="219"/>
    </row>
    <row r="86" spans="1:29" ht="14.4">
      <c r="A86" s="328" t="s">
        <v>236</v>
      </c>
      <c r="B86" s="329">
        <f t="shared" si="9"/>
        <v>315.14999999999998</v>
      </c>
      <c r="C86" s="321">
        <f t="shared" ref="C86:Z86" si="10">SUM(C80:C85)</f>
        <v>15</v>
      </c>
      <c r="D86" s="330">
        <f t="shared" si="10"/>
        <v>60</v>
      </c>
      <c r="E86" s="321">
        <f t="shared" si="10"/>
        <v>15</v>
      </c>
      <c r="F86" s="330">
        <f t="shared" si="10"/>
        <v>15.15</v>
      </c>
      <c r="G86" s="321">
        <f t="shared" si="10"/>
        <v>0</v>
      </c>
      <c r="H86" s="330">
        <f t="shared" si="10"/>
        <v>0</v>
      </c>
      <c r="I86" s="321">
        <f t="shared" si="10"/>
        <v>15</v>
      </c>
      <c r="J86" s="330">
        <f t="shared" si="10"/>
        <v>30</v>
      </c>
      <c r="K86" s="321">
        <f t="shared" si="10"/>
        <v>0</v>
      </c>
      <c r="L86" s="330">
        <f t="shared" si="10"/>
        <v>0</v>
      </c>
      <c r="M86" s="321">
        <f t="shared" si="10"/>
        <v>0</v>
      </c>
      <c r="N86" s="330">
        <f t="shared" si="10"/>
        <v>0</v>
      </c>
      <c r="O86" s="321">
        <f t="shared" si="10"/>
        <v>15</v>
      </c>
      <c r="P86" s="330">
        <f t="shared" si="10"/>
        <v>30</v>
      </c>
      <c r="Q86" s="321">
        <f t="shared" si="10"/>
        <v>0</v>
      </c>
      <c r="R86" s="330">
        <f t="shared" si="10"/>
        <v>0</v>
      </c>
      <c r="S86" s="321">
        <f t="shared" si="10"/>
        <v>15</v>
      </c>
      <c r="T86" s="330">
        <f t="shared" si="10"/>
        <v>60</v>
      </c>
      <c r="U86" s="321">
        <f t="shared" si="10"/>
        <v>15</v>
      </c>
      <c r="V86" s="330">
        <f t="shared" si="10"/>
        <v>60</v>
      </c>
      <c r="W86" s="321">
        <f t="shared" si="10"/>
        <v>15</v>
      </c>
      <c r="X86" s="330">
        <f t="shared" si="10"/>
        <v>60</v>
      </c>
      <c r="Y86" s="321">
        <f t="shared" si="10"/>
        <v>0</v>
      </c>
      <c r="Z86" s="330">
        <f t="shared" si="10"/>
        <v>0</v>
      </c>
      <c r="AA86" s="331"/>
      <c r="AB86" s="331"/>
      <c r="AC86" s="331"/>
    </row>
    <row r="87" spans="1:29" ht="14.4">
      <c r="A87" s="15"/>
      <c r="B87" s="332"/>
      <c r="C87" s="1"/>
      <c r="D87" s="1"/>
      <c r="E87" s="1"/>
      <c r="F87" s="1"/>
      <c r="G87" s="1"/>
      <c r="H87" s="1"/>
      <c r="I87" s="1"/>
      <c r="J87" s="1"/>
      <c r="K87" s="1"/>
      <c r="L87" s="1"/>
      <c r="M87" s="1"/>
      <c r="N87" s="1"/>
      <c r="O87" s="1"/>
      <c r="P87" s="1"/>
      <c r="Q87" s="1"/>
      <c r="R87" s="1"/>
      <c r="S87" s="1"/>
      <c r="T87" s="1"/>
      <c r="U87" s="1"/>
      <c r="V87" s="1"/>
      <c r="W87" s="1"/>
      <c r="X87" s="1"/>
      <c r="Y87" s="1"/>
      <c r="Z87" s="1"/>
      <c r="AA87" s="219"/>
      <c r="AB87" s="219"/>
      <c r="AC87" s="219"/>
    </row>
    <row r="88" spans="1:29" ht="14.4">
      <c r="A88" s="1"/>
      <c r="B88" s="220"/>
      <c r="C88" s="1"/>
      <c r="D88" s="1"/>
      <c r="E88" s="1"/>
      <c r="F88" s="1"/>
      <c r="G88" s="1"/>
      <c r="H88" s="1"/>
      <c r="I88" s="1"/>
      <c r="J88" s="1"/>
      <c r="K88" s="1"/>
      <c r="L88" s="1"/>
      <c r="M88" s="1"/>
      <c r="N88" s="1"/>
      <c r="O88" s="1"/>
      <c r="P88" s="1"/>
      <c r="Q88" s="1"/>
      <c r="R88" s="1"/>
      <c r="S88" s="1"/>
      <c r="T88" s="1"/>
      <c r="U88" s="1"/>
      <c r="V88" s="1"/>
      <c r="W88" s="1"/>
      <c r="X88" s="1"/>
      <c r="Y88" s="1"/>
      <c r="Z88" s="1"/>
      <c r="AA88" s="219"/>
      <c r="AB88" s="219"/>
      <c r="AC88" s="219"/>
    </row>
    <row r="89" spans="1:29" ht="14.4">
      <c r="A89" s="935" t="s">
        <v>237</v>
      </c>
      <c r="B89" s="892"/>
      <c r="C89" s="934" t="s">
        <v>58</v>
      </c>
      <c r="D89" s="809"/>
      <c r="E89" s="934" t="s">
        <v>59</v>
      </c>
      <c r="F89" s="809"/>
      <c r="G89" s="934" t="s">
        <v>60</v>
      </c>
      <c r="H89" s="809"/>
      <c r="I89" s="934" t="s">
        <v>61</v>
      </c>
      <c r="J89" s="809"/>
      <c r="K89" s="934" t="s">
        <v>62</v>
      </c>
      <c r="L89" s="809"/>
      <c r="M89" s="934" t="s">
        <v>63</v>
      </c>
      <c r="N89" s="809"/>
      <c r="O89" s="934" t="s">
        <v>64</v>
      </c>
      <c r="P89" s="809"/>
      <c r="Q89" s="934" t="s">
        <v>65</v>
      </c>
      <c r="R89" s="809"/>
      <c r="S89" s="934" t="s">
        <v>66</v>
      </c>
      <c r="T89" s="809"/>
      <c r="U89" s="934" t="s">
        <v>67</v>
      </c>
      <c r="V89" s="809"/>
      <c r="W89" s="934" t="s">
        <v>68</v>
      </c>
      <c r="X89" s="809"/>
      <c r="Y89" s="934" t="s">
        <v>69</v>
      </c>
      <c r="Z89" s="809"/>
      <c r="AA89" s="315"/>
      <c r="AB89" s="315"/>
      <c r="AC89" s="315"/>
    </row>
    <row r="90" spans="1:29" ht="28.8">
      <c r="A90" s="936"/>
      <c r="B90" s="803"/>
      <c r="C90" s="316" t="s">
        <v>233</v>
      </c>
      <c r="D90" s="316" t="s">
        <v>234</v>
      </c>
      <c r="E90" s="316" t="s">
        <v>233</v>
      </c>
      <c r="F90" s="316" t="s">
        <v>235</v>
      </c>
      <c r="G90" s="316" t="s">
        <v>233</v>
      </c>
      <c r="H90" s="316" t="s">
        <v>234</v>
      </c>
      <c r="I90" s="316" t="s">
        <v>233</v>
      </c>
      <c r="J90" s="316" t="s">
        <v>235</v>
      </c>
      <c r="K90" s="316" t="s">
        <v>233</v>
      </c>
      <c r="L90" s="316" t="s">
        <v>234</v>
      </c>
      <c r="M90" s="316" t="s">
        <v>233</v>
      </c>
      <c r="N90" s="316" t="s">
        <v>234</v>
      </c>
      <c r="O90" s="316" t="s">
        <v>233</v>
      </c>
      <c r="P90" s="316" t="s">
        <v>234</v>
      </c>
      <c r="Q90" s="316" t="s">
        <v>233</v>
      </c>
      <c r="R90" s="316" t="s">
        <v>234</v>
      </c>
      <c r="S90" s="316" t="s">
        <v>233</v>
      </c>
      <c r="T90" s="316" t="s">
        <v>234</v>
      </c>
      <c r="U90" s="316" t="s">
        <v>233</v>
      </c>
      <c r="V90" s="316" t="s">
        <v>234</v>
      </c>
      <c r="W90" s="316" t="s">
        <v>233</v>
      </c>
      <c r="X90" s="316" t="s">
        <v>234</v>
      </c>
      <c r="Y90" s="316" t="s">
        <v>233</v>
      </c>
      <c r="Z90" s="316" t="s">
        <v>234</v>
      </c>
      <c r="AA90" s="317"/>
      <c r="AB90" s="317"/>
      <c r="AC90" s="317"/>
    </row>
    <row r="91" spans="1:29" ht="15.6">
      <c r="A91" s="318" t="str">
        <f>Hipótesis!B$58</f>
        <v>Instalación A</v>
      </c>
      <c r="B91" s="319">
        <f t="shared" ref="B91:B97" si="11">D91+F91+H91+J91+L91+N91+P91+R91+T91+V91+X91+Z91</f>
        <v>30.3</v>
      </c>
      <c r="C91" s="321">
        <f>'Proy. ventas'!E82</f>
        <v>0</v>
      </c>
      <c r="D91" s="225">
        <f>C91*$E$32</f>
        <v>0</v>
      </c>
      <c r="E91" s="321">
        <f>'Proy. ventas'!G82</f>
        <v>0</v>
      </c>
      <c r="F91" s="225">
        <f>E91*$E$32</f>
        <v>0</v>
      </c>
      <c r="G91" s="321">
        <f>'Proy. ventas'!I82</f>
        <v>0</v>
      </c>
      <c r="H91" s="225">
        <f>G91*$E$32</f>
        <v>0</v>
      </c>
      <c r="I91" s="321">
        <f>'Proy. ventas'!K82</f>
        <v>15</v>
      </c>
      <c r="J91" s="225">
        <f>I91*$E$32</f>
        <v>15.15</v>
      </c>
      <c r="K91" s="321">
        <f>'Proy. ventas'!M82</f>
        <v>0</v>
      </c>
      <c r="L91" s="225">
        <f>K91*$E$32</f>
        <v>0</v>
      </c>
      <c r="M91" s="321">
        <f>'Proy. ventas'!O82</f>
        <v>0</v>
      </c>
      <c r="N91" s="225">
        <f>M91*$E$32</f>
        <v>0</v>
      </c>
      <c r="O91" s="321">
        <f>'Proy. ventas'!Q82</f>
        <v>0</v>
      </c>
      <c r="P91" s="225">
        <f>O91*$E$32</f>
        <v>0</v>
      </c>
      <c r="Q91" s="321">
        <f>'Proy. ventas'!S82</f>
        <v>0</v>
      </c>
      <c r="R91" s="225">
        <f>Q91*$E$32</f>
        <v>0</v>
      </c>
      <c r="S91" s="321">
        <f>'Proy. ventas'!U82</f>
        <v>15</v>
      </c>
      <c r="T91" s="225">
        <f>S91*$E$32</f>
        <v>15.15</v>
      </c>
      <c r="U91" s="321">
        <f>'Proy. ventas'!W82</f>
        <v>0</v>
      </c>
      <c r="V91" s="225">
        <f>U91*$E$32</f>
        <v>0</v>
      </c>
      <c r="W91" s="321">
        <f>'Proy. ventas'!Y82</f>
        <v>0</v>
      </c>
      <c r="X91" s="225">
        <f>W91*$E$32</f>
        <v>0</v>
      </c>
      <c r="Y91" s="321">
        <f>'Proy. ventas'!AA82</f>
        <v>0</v>
      </c>
      <c r="Z91" s="225">
        <f>Y91*$E$32</f>
        <v>0</v>
      </c>
      <c r="AA91" s="219"/>
      <c r="AB91" s="219"/>
      <c r="AC91" s="219"/>
    </row>
    <row r="92" spans="1:29" ht="15.6">
      <c r="A92" s="322" t="str">
        <f>Hipótesis!B$59</f>
        <v>Instalación B</v>
      </c>
      <c r="B92" s="319">
        <f t="shared" si="11"/>
        <v>30</v>
      </c>
      <c r="C92" s="321">
        <f>'Proy. ventas'!E83</f>
        <v>0</v>
      </c>
      <c r="D92" s="225">
        <f>C92*$E$51</f>
        <v>0</v>
      </c>
      <c r="E92" s="321">
        <f>'Proy. ventas'!G83</f>
        <v>0</v>
      </c>
      <c r="F92" s="225">
        <f>E92*$E$51</f>
        <v>0</v>
      </c>
      <c r="G92" s="321">
        <f>'Proy. ventas'!I83</f>
        <v>15</v>
      </c>
      <c r="H92" s="225">
        <f>G92*$E$51</f>
        <v>30</v>
      </c>
      <c r="I92" s="321">
        <f>'Proy. ventas'!K83</f>
        <v>0</v>
      </c>
      <c r="J92" s="225">
        <f>I92*$E$51</f>
        <v>0</v>
      </c>
      <c r="K92" s="321">
        <f>'Proy. ventas'!M83</f>
        <v>0</v>
      </c>
      <c r="L92" s="225">
        <f>K92*$E$51</f>
        <v>0</v>
      </c>
      <c r="M92" s="321">
        <f>'Proy. ventas'!O83</f>
        <v>0</v>
      </c>
      <c r="N92" s="225">
        <f>M92*$E$51</f>
        <v>0</v>
      </c>
      <c r="O92" s="321">
        <f>'Proy. ventas'!Q83</f>
        <v>0</v>
      </c>
      <c r="P92" s="225">
        <f>O92*$E$51</f>
        <v>0</v>
      </c>
      <c r="Q92" s="321">
        <f>'Proy. ventas'!S83</f>
        <v>0</v>
      </c>
      <c r="R92" s="225">
        <f>Q92*$E$51</f>
        <v>0</v>
      </c>
      <c r="S92" s="321">
        <f>'Proy. ventas'!U83</f>
        <v>0</v>
      </c>
      <c r="T92" s="225">
        <f>S92*$E$51</f>
        <v>0</v>
      </c>
      <c r="U92" s="321">
        <f>'Proy. ventas'!W83</f>
        <v>0</v>
      </c>
      <c r="V92" s="225">
        <f>U92*$E$51</f>
        <v>0</v>
      </c>
      <c r="W92" s="321">
        <f>'Proy. ventas'!Y83</f>
        <v>0</v>
      </c>
      <c r="X92" s="225">
        <f>W92*$E$51</f>
        <v>0</v>
      </c>
      <c r="Y92" s="321">
        <f>'Proy. ventas'!AA83</f>
        <v>0</v>
      </c>
      <c r="Z92" s="225">
        <f>Y92*$E$51</f>
        <v>0</v>
      </c>
      <c r="AA92" s="219"/>
      <c r="AB92" s="219"/>
      <c r="AC92" s="219"/>
    </row>
    <row r="93" spans="1:29" ht="15.6">
      <c r="A93" s="323" t="str">
        <f>Hipótesis!B$60</f>
        <v>Instalación C</v>
      </c>
      <c r="B93" s="319">
        <f t="shared" si="11"/>
        <v>360</v>
      </c>
      <c r="C93" s="321">
        <f>'Proy. ventas'!E84</f>
        <v>15</v>
      </c>
      <c r="D93" s="225">
        <f>C93*$E$70</f>
        <v>60</v>
      </c>
      <c r="E93" s="321">
        <f>'Proy. ventas'!G84</f>
        <v>0</v>
      </c>
      <c r="F93" s="225">
        <f>E93*$E$70</f>
        <v>0</v>
      </c>
      <c r="G93" s="321">
        <f>'Proy. ventas'!I84</f>
        <v>0</v>
      </c>
      <c r="H93" s="225">
        <f>G93*$E$70</f>
        <v>0</v>
      </c>
      <c r="I93" s="321">
        <f>'Proy. ventas'!K84</f>
        <v>15</v>
      </c>
      <c r="J93" s="225">
        <f>I93*$E$70</f>
        <v>60</v>
      </c>
      <c r="K93" s="321">
        <f>'Proy. ventas'!M84</f>
        <v>0</v>
      </c>
      <c r="L93" s="225">
        <f>K93*$E$70</f>
        <v>0</v>
      </c>
      <c r="M93" s="321">
        <f>'Proy. ventas'!O84</f>
        <v>0</v>
      </c>
      <c r="N93" s="225">
        <f>M93*$E$70</f>
        <v>0</v>
      </c>
      <c r="O93" s="321">
        <f>'Proy. ventas'!Q84</f>
        <v>0</v>
      </c>
      <c r="P93" s="225">
        <f>O93*$E$70</f>
        <v>0</v>
      </c>
      <c r="Q93" s="321">
        <f>'Proy. ventas'!S84</f>
        <v>0</v>
      </c>
      <c r="R93" s="225">
        <f>Q93*$E$70</f>
        <v>0</v>
      </c>
      <c r="S93" s="321">
        <f>'Proy. ventas'!U84</f>
        <v>0</v>
      </c>
      <c r="T93" s="225">
        <f>S93*$E$70</f>
        <v>0</v>
      </c>
      <c r="U93" s="321">
        <f>'Proy. ventas'!W84</f>
        <v>30</v>
      </c>
      <c r="V93" s="225">
        <f>U93*$E$70</f>
        <v>120</v>
      </c>
      <c r="W93" s="321">
        <f>'Proy. ventas'!Y84</f>
        <v>30</v>
      </c>
      <c r="X93" s="225">
        <f>W93*$E$70</f>
        <v>120</v>
      </c>
      <c r="Y93" s="321">
        <f>'Proy. ventas'!AA84</f>
        <v>0</v>
      </c>
      <c r="Z93" s="225">
        <f>Y93*$E$70</f>
        <v>0</v>
      </c>
      <c r="AA93" s="219"/>
      <c r="AB93" s="219"/>
      <c r="AC93" s="219"/>
    </row>
    <row r="94" spans="1:29" ht="15.6">
      <c r="A94" s="324" t="str">
        <f>Hipótesis!B$61</f>
        <v>Plan A</v>
      </c>
      <c r="B94" s="319">
        <f t="shared" si="11"/>
        <v>4.5</v>
      </c>
      <c r="C94" s="333">
        <f t="shared" ref="C94:C96" si="12">C80</f>
        <v>0</v>
      </c>
      <c r="D94" s="225">
        <f>C94*$L$32</f>
        <v>0</v>
      </c>
      <c r="E94" s="333">
        <f t="shared" ref="E94:E96" si="13">E80</f>
        <v>15</v>
      </c>
      <c r="F94" s="225">
        <f>E94*$L$32</f>
        <v>4.5</v>
      </c>
      <c r="G94" s="333">
        <f t="shared" ref="G94:G96" si="14">G80</f>
        <v>0</v>
      </c>
      <c r="H94" s="225">
        <f>G94*$L$32</f>
        <v>0</v>
      </c>
      <c r="I94" s="333">
        <f t="shared" ref="I94:I96" si="15">I80</f>
        <v>0</v>
      </c>
      <c r="J94" s="225">
        <f>I94*$L$32</f>
        <v>0</v>
      </c>
      <c r="K94" s="333">
        <f t="shared" ref="K94:K96" si="16">K80</f>
        <v>0</v>
      </c>
      <c r="L94" s="225">
        <f>K94*$L$32</f>
        <v>0</v>
      </c>
      <c r="M94" s="333">
        <f t="shared" ref="M94:M96" si="17">M80</f>
        <v>0</v>
      </c>
      <c r="N94" s="225">
        <f>M94*$L$32</f>
        <v>0</v>
      </c>
      <c r="O94" s="333">
        <f t="shared" ref="O94:O96" si="18">O80</f>
        <v>0</v>
      </c>
      <c r="P94" s="225">
        <f>O94*$L$32</f>
        <v>0</v>
      </c>
      <c r="Q94" s="333">
        <f t="shared" ref="Q94:Q96" si="19">Q80</f>
        <v>0</v>
      </c>
      <c r="R94" s="225">
        <f>Q94*$L$32</f>
        <v>0</v>
      </c>
      <c r="S94" s="333">
        <f t="shared" ref="S94:S96" si="20">S80</f>
        <v>0</v>
      </c>
      <c r="T94" s="225">
        <f>S94*$L$32</f>
        <v>0</v>
      </c>
      <c r="U94" s="333">
        <f t="shared" ref="U94:U96" si="21">U80</f>
        <v>0</v>
      </c>
      <c r="V94" s="225">
        <f>U94*$L$32</f>
        <v>0</v>
      </c>
      <c r="W94" s="333">
        <f t="shared" ref="W94:W96" si="22">W80</f>
        <v>0</v>
      </c>
      <c r="X94" s="225">
        <f>W94*$L$32</f>
        <v>0</v>
      </c>
      <c r="Y94" s="333">
        <f t="shared" ref="Y94:Y96" si="23">Y80</f>
        <v>0</v>
      </c>
      <c r="Z94" s="225">
        <f>Y94*$L$32</f>
        <v>0</v>
      </c>
      <c r="AA94" s="219"/>
      <c r="AB94" s="219"/>
      <c r="AC94" s="219"/>
    </row>
    <row r="95" spans="1:29" ht="15.6">
      <c r="A95" s="326" t="str">
        <f>Hipótesis!B$62</f>
        <v>Plan B</v>
      </c>
      <c r="B95" s="319">
        <f t="shared" si="11"/>
        <v>18</v>
      </c>
      <c r="C95" s="333">
        <f t="shared" si="12"/>
        <v>0</v>
      </c>
      <c r="D95" s="225">
        <f>C95*$L$51</f>
        <v>0</v>
      </c>
      <c r="E95" s="333">
        <f t="shared" si="13"/>
        <v>0</v>
      </c>
      <c r="F95" s="225">
        <f>E95*$L$51</f>
        <v>0</v>
      </c>
      <c r="G95" s="333">
        <f t="shared" si="14"/>
        <v>0</v>
      </c>
      <c r="H95" s="225">
        <f>G95*$L$51</f>
        <v>0</v>
      </c>
      <c r="I95" s="333">
        <f t="shared" si="15"/>
        <v>15</v>
      </c>
      <c r="J95" s="225">
        <f>I95*$L$51</f>
        <v>9</v>
      </c>
      <c r="K95" s="333">
        <f t="shared" si="16"/>
        <v>0</v>
      </c>
      <c r="L95" s="225">
        <f>K95*$L$51</f>
        <v>0</v>
      </c>
      <c r="M95" s="333">
        <f t="shared" si="17"/>
        <v>0</v>
      </c>
      <c r="N95" s="225">
        <f>M95*$L$51</f>
        <v>0</v>
      </c>
      <c r="O95" s="333">
        <f t="shared" si="18"/>
        <v>15</v>
      </c>
      <c r="P95" s="225">
        <f>O95*$L$51</f>
        <v>9</v>
      </c>
      <c r="Q95" s="333">
        <f t="shared" si="19"/>
        <v>0</v>
      </c>
      <c r="R95" s="225">
        <f>Q95*$L$51</f>
        <v>0</v>
      </c>
      <c r="S95" s="333">
        <f t="shared" si="20"/>
        <v>0</v>
      </c>
      <c r="T95" s="225">
        <f>S95*$L$51</f>
        <v>0</v>
      </c>
      <c r="U95" s="333">
        <f t="shared" si="21"/>
        <v>0</v>
      </c>
      <c r="V95" s="225">
        <f>U95*$L$51</f>
        <v>0</v>
      </c>
      <c r="W95" s="333">
        <f t="shared" si="22"/>
        <v>0</v>
      </c>
      <c r="X95" s="225">
        <f>W95*$L$51</f>
        <v>0</v>
      </c>
      <c r="Y95" s="333">
        <f t="shared" si="23"/>
        <v>0</v>
      </c>
      <c r="Z95" s="225">
        <f>Y95*$L$51</f>
        <v>0</v>
      </c>
      <c r="AA95" s="219"/>
      <c r="AB95" s="219"/>
      <c r="AC95" s="219"/>
    </row>
    <row r="96" spans="1:29" ht="15.6">
      <c r="A96" s="334" t="str">
        <f>Hipótesis!B$63</f>
        <v>Plan C</v>
      </c>
      <c r="B96" s="319">
        <f t="shared" si="11"/>
        <v>66</v>
      </c>
      <c r="C96" s="333">
        <f t="shared" si="12"/>
        <v>15</v>
      </c>
      <c r="D96" s="225">
        <f>C96*$L$70</f>
        <v>16.5</v>
      </c>
      <c r="E96" s="333">
        <f t="shared" si="13"/>
        <v>0</v>
      </c>
      <c r="F96" s="225">
        <f>E96*$L$70</f>
        <v>0</v>
      </c>
      <c r="G96" s="333">
        <f t="shared" si="14"/>
        <v>0</v>
      </c>
      <c r="H96" s="225">
        <f>G96*$L$70</f>
        <v>0</v>
      </c>
      <c r="I96" s="333">
        <f t="shared" si="15"/>
        <v>0</v>
      </c>
      <c r="J96" s="225">
        <f>I96*$L$70</f>
        <v>0</v>
      </c>
      <c r="K96" s="333">
        <f t="shared" si="16"/>
        <v>0</v>
      </c>
      <c r="L96" s="225">
        <f>K96*$L$70</f>
        <v>0</v>
      </c>
      <c r="M96" s="333">
        <f t="shared" si="17"/>
        <v>0</v>
      </c>
      <c r="N96" s="225">
        <f>M96*$L$70</f>
        <v>0</v>
      </c>
      <c r="O96" s="333">
        <f t="shared" si="18"/>
        <v>0</v>
      </c>
      <c r="P96" s="225">
        <f>O96*$L$70</f>
        <v>0</v>
      </c>
      <c r="Q96" s="333">
        <f t="shared" si="19"/>
        <v>0</v>
      </c>
      <c r="R96" s="225">
        <f>Q96*$L$70</f>
        <v>0</v>
      </c>
      <c r="S96" s="333">
        <f t="shared" si="20"/>
        <v>15</v>
      </c>
      <c r="T96" s="225">
        <f>S96*$L$70</f>
        <v>16.5</v>
      </c>
      <c r="U96" s="333">
        <f t="shared" si="21"/>
        <v>15</v>
      </c>
      <c r="V96" s="225">
        <f>U96*$L$70</f>
        <v>16.5</v>
      </c>
      <c r="W96" s="333">
        <f t="shared" si="22"/>
        <v>15</v>
      </c>
      <c r="X96" s="225">
        <f>W96*$L$70</f>
        <v>16.5</v>
      </c>
      <c r="Y96" s="333">
        <f t="shared" si="23"/>
        <v>0</v>
      </c>
      <c r="Z96" s="225">
        <f>Y96*$L$70</f>
        <v>0</v>
      </c>
      <c r="AA96" s="219"/>
      <c r="AB96" s="219"/>
      <c r="AC96" s="219"/>
    </row>
    <row r="97" spans="1:29" ht="14.4">
      <c r="A97" s="335" t="s">
        <v>236</v>
      </c>
      <c r="B97" s="329">
        <f t="shared" si="11"/>
        <v>508.8</v>
      </c>
      <c r="C97" s="321">
        <f t="shared" ref="C97:Z97" si="24">SUM(C91:C96)</f>
        <v>30</v>
      </c>
      <c r="D97" s="330">
        <f t="shared" si="24"/>
        <v>76.5</v>
      </c>
      <c r="E97" s="321">
        <f t="shared" si="24"/>
        <v>15</v>
      </c>
      <c r="F97" s="330">
        <f t="shared" si="24"/>
        <v>4.5</v>
      </c>
      <c r="G97" s="321">
        <f t="shared" si="24"/>
        <v>15</v>
      </c>
      <c r="H97" s="330">
        <f t="shared" si="24"/>
        <v>30</v>
      </c>
      <c r="I97" s="321">
        <f t="shared" si="24"/>
        <v>45</v>
      </c>
      <c r="J97" s="330">
        <f t="shared" si="24"/>
        <v>84.15</v>
      </c>
      <c r="K97" s="321">
        <f t="shared" si="24"/>
        <v>0</v>
      </c>
      <c r="L97" s="330">
        <f t="shared" si="24"/>
        <v>0</v>
      </c>
      <c r="M97" s="321">
        <f t="shared" si="24"/>
        <v>0</v>
      </c>
      <c r="N97" s="330">
        <f t="shared" si="24"/>
        <v>0</v>
      </c>
      <c r="O97" s="321">
        <f t="shared" si="24"/>
        <v>15</v>
      </c>
      <c r="P97" s="330">
        <f t="shared" si="24"/>
        <v>9</v>
      </c>
      <c r="Q97" s="321">
        <f t="shared" si="24"/>
        <v>0</v>
      </c>
      <c r="R97" s="330">
        <f t="shared" si="24"/>
        <v>0</v>
      </c>
      <c r="S97" s="321">
        <f t="shared" si="24"/>
        <v>30</v>
      </c>
      <c r="T97" s="330">
        <f t="shared" si="24"/>
        <v>31.65</v>
      </c>
      <c r="U97" s="321">
        <f t="shared" si="24"/>
        <v>45</v>
      </c>
      <c r="V97" s="330">
        <f t="shared" si="24"/>
        <v>136.5</v>
      </c>
      <c r="W97" s="321">
        <f t="shared" si="24"/>
        <v>45</v>
      </c>
      <c r="X97" s="330">
        <f t="shared" si="24"/>
        <v>136.5</v>
      </c>
      <c r="Y97" s="321">
        <f t="shared" si="24"/>
        <v>0</v>
      </c>
      <c r="Z97" s="330">
        <f t="shared" si="24"/>
        <v>0</v>
      </c>
      <c r="AA97" s="331"/>
      <c r="AB97" s="331"/>
      <c r="AC97" s="331"/>
    </row>
    <row r="98" spans="1:29" ht="14.4">
      <c r="A98" s="15"/>
      <c r="B98" s="332"/>
      <c r="C98" s="1"/>
      <c r="D98" s="1"/>
      <c r="E98" s="1"/>
      <c r="F98" s="1"/>
      <c r="G98" s="1"/>
      <c r="H98" s="1"/>
      <c r="I98" s="1"/>
      <c r="J98" s="1"/>
      <c r="K98" s="1"/>
      <c r="L98" s="1"/>
      <c r="M98" s="1"/>
      <c r="N98" s="1"/>
      <c r="O98" s="1"/>
      <c r="P98" s="1"/>
      <c r="Q98" s="1"/>
      <c r="R98" s="1"/>
      <c r="S98" s="1"/>
      <c r="T98" s="1"/>
      <c r="U98" s="1"/>
      <c r="V98" s="1"/>
      <c r="W98" s="1"/>
      <c r="X98" s="1"/>
      <c r="Y98" s="1"/>
      <c r="Z98" s="1"/>
      <c r="AA98" s="219"/>
      <c r="AB98" s="219"/>
      <c r="AC98" s="219"/>
    </row>
    <row r="99" spans="1:29" ht="14.4">
      <c r="A99" s="1"/>
      <c r="B99" s="220"/>
      <c r="C99" s="1"/>
      <c r="D99" s="1"/>
      <c r="E99" s="1"/>
      <c r="F99" s="1"/>
      <c r="G99" s="1"/>
      <c r="H99" s="1"/>
      <c r="I99" s="1"/>
      <c r="J99" s="1"/>
      <c r="K99" s="1"/>
      <c r="L99" s="1"/>
      <c r="M99" s="1"/>
      <c r="N99" s="1"/>
      <c r="O99" s="1"/>
      <c r="P99" s="1"/>
      <c r="Q99" s="1"/>
      <c r="R99" s="1"/>
      <c r="S99" s="1"/>
      <c r="T99" s="1"/>
      <c r="U99" s="1"/>
      <c r="V99" s="1"/>
      <c r="W99" s="1"/>
      <c r="X99" s="1"/>
      <c r="Y99" s="1"/>
      <c r="Z99" s="1"/>
      <c r="AA99" s="219"/>
      <c r="AB99" s="219"/>
      <c r="AC99" s="219"/>
    </row>
    <row r="100" spans="1:29" ht="14.4">
      <c r="A100" s="935" t="s">
        <v>238</v>
      </c>
      <c r="B100" s="892"/>
      <c r="C100" s="934" t="s">
        <v>58</v>
      </c>
      <c r="D100" s="809"/>
      <c r="E100" s="934" t="s">
        <v>59</v>
      </c>
      <c r="F100" s="809"/>
      <c r="G100" s="934" t="s">
        <v>60</v>
      </c>
      <c r="H100" s="809"/>
      <c r="I100" s="934" t="s">
        <v>61</v>
      </c>
      <c r="J100" s="809"/>
      <c r="K100" s="934" t="s">
        <v>62</v>
      </c>
      <c r="L100" s="809"/>
      <c r="M100" s="934" t="s">
        <v>63</v>
      </c>
      <c r="N100" s="809"/>
      <c r="O100" s="934" t="s">
        <v>64</v>
      </c>
      <c r="P100" s="809"/>
      <c r="Q100" s="934" t="s">
        <v>65</v>
      </c>
      <c r="R100" s="809"/>
      <c r="S100" s="934" t="s">
        <v>66</v>
      </c>
      <c r="T100" s="809"/>
      <c r="U100" s="934" t="s">
        <v>67</v>
      </c>
      <c r="V100" s="809"/>
      <c r="W100" s="934" t="s">
        <v>68</v>
      </c>
      <c r="X100" s="809"/>
      <c r="Y100" s="934" t="s">
        <v>69</v>
      </c>
      <c r="Z100" s="809"/>
      <c r="AA100" s="315"/>
      <c r="AB100" s="315"/>
      <c r="AC100" s="315"/>
    </row>
    <row r="101" spans="1:29" ht="28.8">
      <c r="A101" s="936"/>
      <c r="B101" s="803"/>
      <c r="C101" s="316" t="s">
        <v>233</v>
      </c>
      <c r="D101" s="316" t="s">
        <v>234</v>
      </c>
      <c r="E101" s="316" t="s">
        <v>233</v>
      </c>
      <c r="F101" s="316" t="s">
        <v>235</v>
      </c>
      <c r="G101" s="316" t="s">
        <v>233</v>
      </c>
      <c r="H101" s="316" t="s">
        <v>234</v>
      </c>
      <c r="I101" s="316" t="s">
        <v>233</v>
      </c>
      <c r="J101" s="316" t="s">
        <v>235</v>
      </c>
      <c r="K101" s="316" t="s">
        <v>233</v>
      </c>
      <c r="L101" s="316" t="s">
        <v>234</v>
      </c>
      <c r="M101" s="316" t="s">
        <v>233</v>
      </c>
      <c r="N101" s="316" t="s">
        <v>234</v>
      </c>
      <c r="O101" s="316" t="s">
        <v>233</v>
      </c>
      <c r="P101" s="316" t="s">
        <v>234</v>
      </c>
      <c r="Q101" s="316" t="s">
        <v>233</v>
      </c>
      <c r="R101" s="316" t="s">
        <v>234</v>
      </c>
      <c r="S101" s="316" t="s">
        <v>233</v>
      </c>
      <c r="T101" s="316" t="s">
        <v>234</v>
      </c>
      <c r="U101" s="316" t="s">
        <v>233</v>
      </c>
      <c r="V101" s="316" t="s">
        <v>234</v>
      </c>
      <c r="W101" s="316" t="s">
        <v>233</v>
      </c>
      <c r="X101" s="316" t="s">
        <v>234</v>
      </c>
      <c r="Y101" s="316" t="s">
        <v>233</v>
      </c>
      <c r="Z101" s="316" t="s">
        <v>234</v>
      </c>
      <c r="AA101" s="317"/>
      <c r="AB101" s="317"/>
      <c r="AC101" s="317"/>
    </row>
    <row r="102" spans="1:29" ht="15.6">
      <c r="A102" s="318" t="str">
        <f>Hipótesis!B$58</f>
        <v>Instalación A</v>
      </c>
      <c r="B102" s="319">
        <f t="shared" ref="B102:B108" si="25">D102+F102+H102+J102+L102+N102+P102+R102+T102+V102+X102+Z102</f>
        <v>75.75</v>
      </c>
      <c r="C102" s="321">
        <f>'Proy. ventas'!E144</f>
        <v>0</v>
      </c>
      <c r="D102" s="225">
        <f>C102*$E$32</f>
        <v>0</v>
      </c>
      <c r="E102" s="321">
        <f>'Proy. ventas'!G144</f>
        <v>15</v>
      </c>
      <c r="F102" s="225">
        <f>E102*$E$32</f>
        <v>15.15</v>
      </c>
      <c r="G102" s="321">
        <f>'Proy. ventas'!I144</f>
        <v>15</v>
      </c>
      <c r="H102" s="225">
        <f>G102*$E$32</f>
        <v>15.15</v>
      </c>
      <c r="I102" s="321">
        <f>'Proy. ventas'!K144</f>
        <v>15</v>
      </c>
      <c r="J102" s="225">
        <f>I102*$E$32</f>
        <v>15.15</v>
      </c>
      <c r="K102" s="321">
        <f>'Proy. ventas'!M144</f>
        <v>15</v>
      </c>
      <c r="L102" s="225">
        <f>K102*$E$32</f>
        <v>15.15</v>
      </c>
      <c r="M102" s="321">
        <f>'Proy. ventas'!O144</f>
        <v>0</v>
      </c>
      <c r="N102" s="225">
        <f>M102*$E$32</f>
        <v>0</v>
      </c>
      <c r="O102" s="321">
        <f>'Proy. ventas'!Q144</f>
        <v>0</v>
      </c>
      <c r="P102" s="225">
        <f>O102*$E$32</f>
        <v>0</v>
      </c>
      <c r="Q102" s="321">
        <f>'Proy. ventas'!S144</f>
        <v>15</v>
      </c>
      <c r="R102" s="225">
        <f>Q102*$E$32</f>
        <v>15.15</v>
      </c>
      <c r="S102" s="321">
        <f>'Proy. ventas'!U144</f>
        <v>0</v>
      </c>
      <c r="T102" s="225">
        <f>S102*$E$32</f>
        <v>0</v>
      </c>
      <c r="U102" s="321">
        <f>'Proy. ventas'!W144</f>
        <v>0</v>
      </c>
      <c r="V102" s="225">
        <f>U102*$E$32</f>
        <v>0</v>
      </c>
      <c r="W102" s="321">
        <f>'Proy. ventas'!Y144</f>
        <v>0</v>
      </c>
      <c r="X102" s="225">
        <f>W102*$E$32</f>
        <v>0</v>
      </c>
      <c r="Y102" s="321">
        <f>'Proy. ventas'!AA144</f>
        <v>0</v>
      </c>
      <c r="Z102" s="225">
        <f>Y102*$E$32</f>
        <v>0</v>
      </c>
      <c r="AA102" s="219"/>
      <c r="AB102" s="219"/>
      <c r="AC102" s="219"/>
    </row>
    <row r="103" spans="1:29" ht="15.6">
      <c r="A103" s="322" t="str">
        <f>Hipótesis!B$59</f>
        <v>Instalación B</v>
      </c>
      <c r="B103" s="319">
        <f t="shared" si="25"/>
        <v>120</v>
      </c>
      <c r="C103" s="321">
        <f>'Proy. ventas'!E145</f>
        <v>0</v>
      </c>
      <c r="D103" s="225">
        <f>C103*$E$51</f>
        <v>0</v>
      </c>
      <c r="E103" s="321">
        <f>'Proy. ventas'!G145</f>
        <v>0</v>
      </c>
      <c r="F103" s="225">
        <f>E103*$E$51</f>
        <v>0</v>
      </c>
      <c r="G103" s="321">
        <f>'Proy. ventas'!I145</f>
        <v>0</v>
      </c>
      <c r="H103" s="225">
        <f>G103*$E$51</f>
        <v>0</v>
      </c>
      <c r="I103" s="321">
        <f>'Proy. ventas'!K145</f>
        <v>15</v>
      </c>
      <c r="J103" s="225">
        <f>I103*$E$51</f>
        <v>30</v>
      </c>
      <c r="K103" s="321">
        <f>'Proy. ventas'!M145</f>
        <v>0</v>
      </c>
      <c r="L103" s="225">
        <f>K103*$E$51</f>
        <v>0</v>
      </c>
      <c r="M103" s="321">
        <f>'Proy. ventas'!O145</f>
        <v>15</v>
      </c>
      <c r="N103" s="225">
        <f>M103*$E$51</f>
        <v>30</v>
      </c>
      <c r="O103" s="321">
        <f>'Proy. ventas'!Q145</f>
        <v>0</v>
      </c>
      <c r="P103" s="225">
        <f>O103*$E$51</f>
        <v>0</v>
      </c>
      <c r="Q103" s="321">
        <f>'Proy. ventas'!S145</f>
        <v>0</v>
      </c>
      <c r="R103" s="225">
        <f>Q103*$E$51</f>
        <v>0</v>
      </c>
      <c r="S103" s="321">
        <f>'Proy. ventas'!U145</f>
        <v>15</v>
      </c>
      <c r="T103" s="225">
        <f>S103*$E$51</f>
        <v>30</v>
      </c>
      <c r="U103" s="321">
        <f>'Proy. ventas'!W145</f>
        <v>15</v>
      </c>
      <c r="V103" s="225">
        <f>U103*$E$51</f>
        <v>30</v>
      </c>
      <c r="W103" s="321">
        <f>'Proy. ventas'!Y145</f>
        <v>0</v>
      </c>
      <c r="X103" s="225">
        <f>W103*$E$51</f>
        <v>0</v>
      </c>
      <c r="Y103" s="321">
        <f>'Proy. ventas'!AA145</f>
        <v>0</v>
      </c>
      <c r="Z103" s="225">
        <f>Y103*$E$51</f>
        <v>0</v>
      </c>
      <c r="AA103" s="219"/>
      <c r="AB103" s="219"/>
      <c r="AC103" s="219"/>
    </row>
    <row r="104" spans="1:29" ht="15.6">
      <c r="A104" s="323" t="str">
        <f>Hipótesis!B$60</f>
        <v>Instalación C</v>
      </c>
      <c r="B104" s="319">
        <f t="shared" si="25"/>
        <v>300</v>
      </c>
      <c r="C104" s="321">
        <f>'Proy. ventas'!E146</f>
        <v>0</v>
      </c>
      <c r="D104" s="225">
        <f>C104*$E$70</f>
        <v>0</v>
      </c>
      <c r="E104" s="321">
        <f>'Proy. ventas'!G146</f>
        <v>15</v>
      </c>
      <c r="F104" s="225">
        <f>E104*$E$70</f>
        <v>60</v>
      </c>
      <c r="G104" s="321">
        <f>'Proy. ventas'!I146</f>
        <v>0</v>
      </c>
      <c r="H104" s="225">
        <f>G104*$E$70</f>
        <v>0</v>
      </c>
      <c r="I104" s="321">
        <f>'Proy. ventas'!K146</f>
        <v>0</v>
      </c>
      <c r="J104" s="225">
        <f>I104*$E$70</f>
        <v>0</v>
      </c>
      <c r="K104" s="321">
        <f>'Proy. ventas'!M146</f>
        <v>0</v>
      </c>
      <c r="L104" s="225">
        <f>K104*$E$70</f>
        <v>0</v>
      </c>
      <c r="M104" s="321">
        <f>'Proy. ventas'!O146</f>
        <v>0</v>
      </c>
      <c r="N104" s="225">
        <f>M104*$E$70</f>
        <v>0</v>
      </c>
      <c r="O104" s="321">
        <f>'Proy. ventas'!Q146</f>
        <v>0</v>
      </c>
      <c r="P104" s="225">
        <f>O104*$E$70</f>
        <v>0</v>
      </c>
      <c r="Q104" s="321">
        <f>'Proy. ventas'!S146</f>
        <v>0</v>
      </c>
      <c r="R104" s="225">
        <f>Q104*$E$70</f>
        <v>0</v>
      </c>
      <c r="S104" s="321">
        <f>'Proy. ventas'!U146</f>
        <v>30</v>
      </c>
      <c r="T104" s="225">
        <f>S104*$E$70</f>
        <v>120</v>
      </c>
      <c r="U104" s="321">
        <f>'Proy. ventas'!W146</f>
        <v>15</v>
      </c>
      <c r="V104" s="225">
        <f>U104*$E$70</f>
        <v>60</v>
      </c>
      <c r="W104" s="321">
        <f>'Proy. ventas'!Y146</f>
        <v>15</v>
      </c>
      <c r="X104" s="225">
        <f>W104*$E$70</f>
        <v>60</v>
      </c>
      <c r="Y104" s="321">
        <f>'Proy. ventas'!AA146</f>
        <v>0</v>
      </c>
      <c r="Z104" s="225">
        <f>Y104*$E$70</f>
        <v>0</v>
      </c>
      <c r="AA104" s="219"/>
      <c r="AB104" s="219"/>
      <c r="AC104" s="219"/>
    </row>
    <row r="105" spans="1:29" ht="15.6">
      <c r="A105" s="324" t="str">
        <f>Hipótesis!B$61</f>
        <v>Plan A</v>
      </c>
      <c r="B105" s="319">
        <f t="shared" si="25"/>
        <v>13.5</v>
      </c>
      <c r="C105" s="333">
        <f t="shared" ref="C105:C107" si="26">C91+C80</f>
        <v>0</v>
      </c>
      <c r="D105" s="225">
        <f>C105*$L$32</f>
        <v>0</v>
      </c>
      <c r="E105" s="333">
        <f t="shared" ref="E105:E107" si="27">E91+E80</f>
        <v>15</v>
      </c>
      <c r="F105" s="225">
        <f>E105*$L$32</f>
        <v>4.5</v>
      </c>
      <c r="G105" s="333">
        <f t="shared" ref="G105:G107" si="28">G91+G80</f>
        <v>0</v>
      </c>
      <c r="H105" s="225">
        <f>G105*$L$32</f>
        <v>0</v>
      </c>
      <c r="I105" s="333">
        <f t="shared" ref="I105:I107" si="29">I91+I80</f>
        <v>15</v>
      </c>
      <c r="J105" s="225">
        <f>I105*$L$32</f>
        <v>4.5</v>
      </c>
      <c r="K105" s="333">
        <f t="shared" ref="K105:K107" si="30">K91+K80</f>
        <v>0</v>
      </c>
      <c r="L105" s="225">
        <f>K105*$L$32</f>
        <v>0</v>
      </c>
      <c r="M105" s="333">
        <f t="shared" ref="M105:M107" si="31">M91+M80</f>
        <v>0</v>
      </c>
      <c r="N105" s="225">
        <f>M105*$L$32</f>
        <v>0</v>
      </c>
      <c r="O105" s="333">
        <f t="shared" ref="O105:O107" si="32">O91+O80</f>
        <v>0</v>
      </c>
      <c r="P105" s="225">
        <f>O105*$L$32</f>
        <v>0</v>
      </c>
      <c r="Q105" s="333">
        <f t="shared" ref="Q105:Q107" si="33">Q91+Q80</f>
        <v>0</v>
      </c>
      <c r="R105" s="225">
        <f>Q105*$L$32</f>
        <v>0</v>
      </c>
      <c r="S105" s="333">
        <f t="shared" ref="S105:S107" si="34">S91+S80</f>
        <v>15</v>
      </c>
      <c r="T105" s="225">
        <f>S105*$L$32</f>
        <v>4.5</v>
      </c>
      <c r="U105" s="333">
        <f t="shared" ref="U105:U107" si="35">U91+U80</f>
        <v>0</v>
      </c>
      <c r="V105" s="225">
        <f>U105*$L$32</f>
        <v>0</v>
      </c>
      <c r="W105" s="333">
        <f t="shared" ref="W105:W107" si="36">W91+W80</f>
        <v>0</v>
      </c>
      <c r="X105" s="225">
        <f>W105*$L$32</f>
        <v>0</v>
      </c>
      <c r="Y105" s="333">
        <f t="shared" ref="Y105:Y107" si="37">Y91+Y80</f>
        <v>0</v>
      </c>
      <c r="Z105" s="225">
        <f>Y105*$L$32</f>
        <v>0</v>
      </c>
      <c r="AA105" s="219"/>
      <c r="AB105" s="219"/>
      <c r="AC105" s="219"/>
    </row>
    <row r="106" spans="1:29" ht="15.6">
      <c r="A106" s="326" t="str">
        <f>Hipótesis!B$62</f>
        <v>Plan B</v>
      </c>
      <c r="B106" s="319">
        <f t="shared" si="25"/>
        <v>27</v>
      </c>
      <c r="C106" s="333">
        <f t="shared" si="26"/>
        <v>0</v>
      </c>
      <c r="D106" s="225">
        <f>C106*$L$51</f>
        <v>0</v>
      </c>
      <c r="E106" s="333">
        <f t="shared" si="27"/>
        <v>0</v>
      </c>
      <c r="F106" s="225">
        <f>E106*$L$51</f>
        <v>0</v>
      </c>
      <c r="G106" s="333">
        <f t="shared" si="28"/>
        <v>15</v>
      </c>
      <c r="H106" s="225">
        <f>G106*$L$51</f>
        <v>9</v>
      </c>
      <c r="I106" s="333">
        <f t="shared" si="29"/>
        <v>15</v>
      </c>
      <c r="J106" s="225">
        <f>I106*$L$51</f>
        <v>9</v>
      </c>
      <c r="K106" s="333">
        <f t="shared" si="30"/>
        <v>0</v>
      </c>
      <c r="L106" s="225">
        <f>K106*$L$51</f>
        <v>0</v>
      </c>
      <c r="M106" s="333">
        <f t="shared" si="31"/>
        <v>0</v>
      </c>
      <c r="N106" s="225">
        <f>M106*$L$51</f>
        <v>0</v>
      </c>
      <c r="O106" s="333">
        <f t="shared" si="32"/>
        <v>15</v>
      </c>
      <c r="P106" s="225">
        <f>O106*$L$51</f>
        <v>9</v>
      </c>
      <c r="Q106" s="333">
        <f t="shared" si="33"/>
        <v>0</v>
      </c>
      <c r="R106" s="225">
        <f>Q106*$L$51</f>
        <v>0</v>
      </c>
      <c r="S106" s="333">
        <f t="shared" si="34"/>
        <v>0</v>
      </c>
      <c r="T106" s="225">
        <f>S106*$L$51</f>
        <v>0</v>
      </c>
      <c r="U106" s="333">
        <f t="shared" si="35"/>
        <v>0</v>
      </c>
      <c r="V106" s="225">
        <f>U106*$L$51</f>
        <v>0</v>
      </c>
      <c r="W106" s="333">
        <f t="shared" si="36"/>
        <v>0</v>
      </c>
      <c r="X106" s="225">
        <f>W106*$L$51</f>
        <v>0</v>
      </c>
      <c r="Y106" s="333">
        <f t="shared" si="37"/>
        <v>0</v>
      </c>
      <c r="Z106" s="225">
        <f>Y106*$L$51</f>
        <v>0</v>
      </c>
      <c r="AA106" s="219"/>
      <c r="AB106" s="219"/>
      <c r="AC106" s="219"/>
    </row>
    <row r="107" spans="1:29" ht="15.6">
      <c r="A107" s="334" t="str">
        <f>Hipótesis!B$63</f>
        <v>Plan C</v>
      </c>
      <c r="B107" s="319">
        <f t="shared" si="25"/>
        <v>165</v>
      </c>
      <c r="C107" s="333">
        <f t="shared" si="26"/>
        <v>30</v>
      </c>
      <c r="D107" s="225">
        <f>C107*$L$70</f>
        <v>33</v>
      </c>
      <c r="E107" s="333">
        <f t="shared" si="27"/>
        <v>0</v>
      </c>
      <c r="F107" s="225">
        <f>E107*$L$70</f>
        <v>0</v>
      </c>
      <c r="G107" s="333">
        <f t="shared" si="28"/>
        <v>0</v>
      </c>
      <c r="H107" s="225">
        <f>G107*$L$70</f>
        <v>0</v>
      </c>
      <c r="I107" s="333">
        <f t="shared" si="29"/>
        <v>15</v>
      </c>
      <c r="J107" s="225">
        <f>I107*$L$70</f>
        <v>16.5</v>
      </c>
      <c r="K107" s="333">
        <f t="shared" si="30"/>
        <v>0</v>
      </c>
      <c r="L107" s="225">
        <f>K107*$L$70</f>
        <v>0</v>
      </c>
      <c r="M107" s="333">
        <f t="shared" si="31"/>
        <v>0</v>
      </c>
      <c r="N107" s="225">
        <f>M107*$L$70</f>
        <v>0</v>
      </c>
      <c r="O107" s="333">
        <f t="shared" si="32"/>
        <v>0</v>
      </c>
      <c r="P107" s="225">
        <f>O107*$L$70</f>
        <v>0</v>
      </c>
      <c r="Q107" s="333">
        <f t="shared" si="33"/>
        <v>0</v>
      </c>
      <c r="R107" s="225">
        <f>Q107*$L$70</f>
        <v>0</v>
      </c>
      <c r="S107" s="333">
        <f t="shared" si="34"/>
        <v>15</v>
      </c>
      <c r="T107" s="225">
        <f>S107*$L$70</f>
        <v>16.5</v>
      </c>
      <c r="U107" s="333">
        <f t="shared" si="35"/>
        <v>45</v>
      </c>
      <c r="V107" s="225">
        <f>U107*$L$70</f>
        <v>49.500000000000007</v>
      </c>
      <c r="W107" s="333">
        <f t="shared" si="36"/>
        <v>45</v>
      </c>
      <c r="X107" s="225">
        <f>W107*$L$70</f>
        <v>49.500000000000007</v>
      </c>
      <c r="Y107" s="333">
        <f t="shared" si="37"/>
        <v>0</v>
      </c>
      <c r="Z107" s="225">
        <f>Y107*$L$70</f>
        <v>0</v>
      </c>
      <c r="AA107" s="219"/>
      <c r="AB107" s="219"/>
      <c r="AC107" s="219"/>
    </row>
    <row r="108" spans="1:29" ht="14.4">
      <c r="A108" s="335" t="s">
        <v>236</v>
      </c>
      <c r="B108" s="329">
        <f t="shared" si="25"/>
        <v>701.25</v>
      </c>
      <c r="C108" s="321">
        <f t="shared" ref="C108:Z108" si="38">SUM(C102:C107)</f>
        <v>30</v>
      </c>
      <c r="D108" s="330">
        <f t="shared" si="38"/>
        <v>33</v>
      </c>
      <c r="E108" s="321">
        <f t="shared" si="38"/>
        <v>45</v>
      </c>
      <c r="F108" s="330">
        <f t="shared" si="38"/>
        <v>79.650000000000006</v>
      </c>
      <c r="G108" s="321">
        <f t="shared" si="38"/>
        <v>30</v>
      </c>
      <c r="H108" s="330">
        <f t="shared" si="38"/>
        <v>24.15</v>
      </c>
      <c r="I108" s="321">
        <f t="shared" si="38"/>
        <v>75</v>
      </c>
      <c r="J108" s="330">
        <f t="shared" si="38"/>
        <v>75.150000000000006</v>
      </c>
      <c r="K108" s="321">
        <f t="shared" si="38"/>
        <v>15</v>
      </c>
      <c r="L108" s="330">
        <f t="shared" si="38"/>
        <v>15.15</v>
      </c>
      <c r="M108" s="321">
        <f t="shared" si="38"/>
        <v>15</v>
      </c>
      <c r="N108" s="330">
        <f t="shared" si="38"/>
        <v>30</v>
      </c>
      <c r="O108" s="321">
        <f t="shared" si="38"/>
        <v>15</v>
      </c>
      <c r="P108" s="330">
        <f t="shared" si="38"/>
        <v>9</v>
      </c>
      <c r="Q108" s="321">
        <f t="shared" si="38"/>
        <v>15</v>
      </c>
      <c r="R108" s="330">
        <f t="shared" si="38"/>
        <v>15.15</v>
      </c>
      <c r="S108" s="321">
        <f t="shared" si="38"/>
        <v>75</v>
      </c>
      <c r="T108" s="330">
        <f t="shared" si="38"/>
        <v>171</v>
      </c>
      <c r="U108" s="321">
        <f t="shared" si="38"/>
        <v>75</v>
      </c>
      <c r="V108" s="330">
        <f t="shared" si="38"/>
        <v>139.5</v>
      </c>
      <c r="W108" s="321">
        <f t="shared" si="38"/>
        <v>60</v>
      </c>
      <c r="X108" s="330">
        <f t="shared" si="38"/>
        <v>109.5</v>
      </c>
      <c r="Y108" s="321">
        <f t="shared" si="38"/>
        <v>0</v>
      </c>
      <c r="Z108" s="330">
        <f t="shared" si="38"/>
        <v>0</v>
      </c>
      <c r="AA108" s="331"/>
      <c r="AB108" s="331"/>
      <c r="AC108" s="331"/>
    </row>
    <row r="109" spans="1:29" ht="14.4">
      <c r="A109" s="15"/>
      <c r="B109" s="332"/>
      <c r="C109" s="1"/>
      <c r="D109" s="1"/>
      <c r="E109" s="1"/>
      <c r="F109" s="1"/>
      <c r="G109" s="1"/>
      <c r="H109" s="1"/>
      <c r="I109" s="1"/>
      <c r="J109" s="1"/>
      <c r="K109" s="1"/>
      <c r="L109" s="1"/>
      <c r="M109" s="1"/>
      <c r="N109" s="1"/>
      <c r="O109" s="1"/>
      <c r="P109" s="1"/>
      <c r="Q109" s="1"/>
      <c r="R109" s="1"/>
      <c r="S109" s="1"/>
      <c r="T109" s="1"/>
      <c r="U109" s="1"/>
      <c r="V109" s="1"/>
      <c r="W109" s="1"/>
      <c r="X109" s="1"/>
      <c r="Y109" s="1"/>
      <c r="Z109" s="1"/>
      <c r="AA109" s="219"/>
      <c r="AB109" s="219"/>
      <c r="AC109" s="219"/>
    </row>
    <row r="110" spans="1:29" ht="25.8">
      <c r="A110" s="940" t="s">
        <v>239</v>
      </c>
      <c r="B110" s="941"/>
      <c r="C110" s="941"/>
      <c r="D110" s="941"/>
      <c r="E110" s="941"/>
      <c r="F110" s="941"/>
      <c r="G110" s="941"/>
      <c r="H110" s="942"/>
      <c r="I110" s="1"/>
      <c r="J110" s="1"/>
      <c r="K110" s="1"/>
      <c r="L110" s="1"/>
      <c r="M110" s="1"/>
      <c r="N110" s="1"/>
      <c r="O110" s="1"/>
      <c r="P110" s="1"/>
      <c r="Q110" s="1"/>
      <c r="R110" s="1"/>
      <c r="S110" s="1"/>
      <c r="T110" s="1"/>
      <c r="U110" s="1"/>
      <c r="V110" s="1"/>
      <c r="W110" s="1"/>
      <c r="X110" s="1"/>
      <c r="Y110" s="1"/>
      <c r="Z110" s="1"/>
      <c r="AA110" s="219"/>
      <c r="AB110" s="219"/>
      <c r="AC110" s="219"/>
    </row>
    <row r="111" spans="1:29" ht="14.4">
      <c r="A111" s="943" t="s">
        <v>240</v>
      </c>
      <c r="B111" s="932"/>
      <c r="C111" s="932"/>
      <c r="D111" s="932"/>
      <c r="E111" s="932"/>
      <c r="F111" s="932"/>
      <c r="G111" s="932"/>
      <c r="H111" s="944"/>
      <c r="I111" s="1"/>
      <c r="J111" s="1"/>
      <c r="K111" s="1"/>
      <c r="L111" s="1"/>
      <c r="M111" s="1"/>
      <c r="N111" s="1"/>
      <c r="O111" s="1"/>
      <c r="P111" s="1"/>
      <c r="Q111" s="1"/>
      <c r="R111" s="1"/>
      <c r="S111" s="1"/>
      <c r="T111" s="1"/>
      <c r="U111" s="1"/>
      <c r="V111" s="1"/>
      <c r="W111" s="1"/>
      <c r="X111" s="1"/>
      <c r="Y111" s="1"/>
      <c r="Z111" s="1"/>
      <c r="AA111" s="219"/>
      <c r="AB111" s="219"/>
      <c r="AC111" s="219"/>
    </row>
    <row r="112" spans="1:29" ht="14.4">
      <c r="A112" s="945"/>
      <c r="B112" s="820"/>
      <c r="C112" s="820"/>
      <c r="D112" s="820"/>
      <c r="E112" s="820"/>
      <c r="F112" s="820"/>
      <c r="G112" s="820"/>
      <c r="H112" s="946"/>
      <c r="I112" s="1"/>
      <c r="J112" s="1"/>
      <c r="K112" s="1"/>
      <c r="L112" s="1"/>
      <c r="M112" s="1"/>
      <c r="N112" s="1"/>
      <c r="O112" s="1"/>
      <c r="P112" s="1"/>
      <c r="Q112" s="1"/>
      <c r="R112" s="1"/>
      <c r="S112" s="1"/>
      <c r="T112" s="1"/>
      <c r="U112" s="1"/>
      <c r="V112" s="1"/>
      <c r="W112" s="1"/>
      <c r="X112" s="1"/>
      <c r="Y112" s="1"/>
      <c r="Z112" s="1"/>
      <c r="AA112" s="219"/>
      <c r="AB112" s="219"/>
      <c r="AC112" s="219"/>
    </row>
    <row r="113" spans="1:29" ht="14.4">
      <c r="A113" s="945"/>
      <c r="B113" s="820"/>
      <c r="C113" s="820"/>
      <c r="D113" s="820"/>
      <c r="E113" s="820"/>
      <c r="F113" s="820"/>
      <c r="G113" s="820"/>
      <c r="H113" s="946"/>
      <c r="I113" s="1"/>
      <c r="J113" s="1"/>
      <c r="K113" s="1"/>
      <c r="L113" s="1"/>
      <c r="M113" s="1"/>
      <c r="N113" s="1"/>
      <c r="O113" s="1"/>
      <c r="P113" s="1"/>
      <c r="Q113" s="1"/>
      <c r="R113" s="1"/>
      <c r="S113" s="1"/>
      <c r="T113" s="1"/>
      <c r="U113" s="1"/>
      <c r="V113" s="1"/>
      <c r="W113" s="1"/>
      <c r="X113" s="1"/>
      <c r="Y113" s="1"/>
      <c r="Z113" s="1"/>
      <c r="AA113" s="219"/>
      <c r="AB113" s="219"/>
      <c r="AC113" s="219"/>
    </row>
    <row r="114" spans="1:29" ht="14.4">
      <c r="A114" s="945"/>
      <c r="B114" s="820"/>
      <c r="C114" s="820"/>
      <c r="D114" s="820"/>
      <c r="E114" s="820"/>
      <c r="F114" s="820"/>
      <c r="G114" s="820"/>
      <c r="H114" s="946"/>
      <c r="I114" s="1"/>
      <c r="J114" s="1"/>
      <c r="K114" s="1"/>
      <c r="L114" s="1"/>
      <c r="M114" s="1"/>
      <c r="N114" s="1"/>
      <c r="O114" s="1"/>
      <c r="P114" s="1"/>
      <c r="Q114" s="1"/>
      <c r="R114" s="1"/>
      <c r="S114" s="1"/>
      <c r="T114" s="1"/>
      <c r="U114" s="1"/>
      <c r="V114" s="1"/>
      <c r="W114" s="1"/>
      <c r="X114" s="1"/>
      <c r="Y114" s="1"/>
      <c r="Z114" s="1"/>
      <c r="AA114" s="219"/>
      <c r="AB114" s="219"/>
      <c r="AC114" s="219"/>
    </row>
    <row r="115" spans="1:29" ht="14.4">
      <c r="A115" s="945"/>
      <c r="B115" s="820"/>
      <c r="C115" s="820"/>
      <c r="D115" s="820"/>
      <c r="E115" s="820"/>
      <c r="F115" s="820"/>
      <c r="G115" s="820"/>
      <c r="H115" s="946"/>
      <c r="I115" s="1"/>
      <c r="J115" s="1"/>
      <c r="K115" s="1"/>
      <c r="L115" s="1"/>
      <c r="M115" s="1"/>
      <c r="N115" s="1"/>
      <c r="O115" s="1"/>
      <c r="P115" s="1"/>
      <c r="Q115" s="1"/>
      <c r="R115" s="1"/>
      <c r="S115" s="1"/>
      <c r="T115" s="1"/>
      <c r="U115" s="1"/>
      <c r="V115" s="1"/>
      <c r="W115" s="1"/>
      <c r="X115" s="1"/>
      <c r="Y115" s="1"/>
      <c r="Z115" s="1"/>
      <c r="AA115" s="219"/>
      <c r="AB115" s="219"/>
      <c r="AC115" s="219"/>
    </row>
    <row r="116" spans="1:29" ht="14.4">
      <c r="A116" s="947"/>
      <c r="B116" s="948"/>
      <c r="C116" s="948"/>
      <c r="D116" s="948"/>
      <c r="E116" s="948"/>
      <c r="F116" s="948"/>
      <c r="G116" s="948"/>
      <c r="H116" s="949"/>
      <c r="I116" s="1"/>
      <c r="J116" s="1"/>
      <c r="K116" s="1"/>
      <c r="L116" s="1"/>
      <c r="M116" s="1"/>
      <c r="N116" s="1"/>
      <c r="O116" s="1"/>
      <c r="P116" s="1"/>
      <c r="Q116" s="1"/>
      <c r="R116" s="1"/>
      <c r="S116" s="1"/>
      <c r="T116" s="1"/>
      <c r="U116" s="1"/>
      <c r="V116" s="1"/>
      <c r="W116" s="1"/>
      <c r="X116" s="1"/>
      <c r="Y116" s="1"/>
      <c r="Z116" s="1"/>
      <c r="AA116" s="219"/>
      <c r="AB116" s="219"/>
      <c r="AC116" s="219"/>
    </row>
    <row r="117" spans="1:29" ht="14.4">
      <c r="A117" s="1"/>
      <c r="B117" s="220"/>
      <c r="C117" s="1"/>
      <c r="D117" s="1"/>
      <c r="E117" s="1"/>
      <c r="F117" s="1"/>
      <c r="G117" s="1"/>
      <c r="H117" s="1"/>
      <c r="I117" s="1"/>
      <c r="J117" s="1"/>
      <c r="K117" s="1"/>
      <c r="L117" s="1"/>
      <c r="M117" s="1"/>
      <c r="N117" s="1"/>
      <c r="O117" s="1"/>
      <c r="P117" s="1"/>
      <c r="Q117" s="1"/>
      <c r="R117" s="1"/>
      <c r="S117" s="1"/>
      <c r="T117" s="1"/>
      <c r="U117" s="1"/>
      <c r="V117" s="1"/>
      <c r="W117" s="1"/>
      <c r="X117" s="1"/>
      <c r="Y117" s="1"/>
      <c r="Z117" s="1"/>
      <c r="AA117" s="219"/>
      <c r="AB117" s="219"/>
      <c r="AC117" s="219"/>
    </row>
    <row r="118" spans="1:29" ht="14.4">
      <c r="A118" s="1"/>
      <c r="B118" s="220"/>
      <c r="C118" s="1"/>
      <c r="D118" s="1"/>
      <c r="E118" s="1"/>
      <c r="F118" s="1"/>
      <c r="G118" s="1"/>
      <c r="H118" s="1"/>
      <c r="I118" s="1"/>
      <c r="J118" s="1"/>
      <c r="K118" s="1"/>
      <c r="L118" s="1"/>
      <c r="M118" s="1"/>
      <c r="N118" s="1"/>
      <c r="O118" s="1"/>
      <c r="P118" s="1"/>
      <c r="Q118" s="1"/>
      <c r="R118" s="1"/>
      <c r="S118" s="1"/>
      <c r="T118" s="1"/>
      <c r="U118" s="1"/>
      <c r="V118" s="1"/>
      <c r="W118" s="1"/>
      <c r="X118" s="1"/>
      <c r="Y118" s="1"/>
      <c r="Z118" s="1"/>
      <c r="AA118" s="219"/>
      <c r="AB118" s="219"/>
      <c r="AC118" s="219"/>
    </row>
    <row r="119" spans="1:29" ht="14.4">
      <c r="A119" s="1"/>
      <c r="B119" s="220"/>
      <c r="C119" s="1"/>
      <c r="D119" s="1"/>
      <c r="E119" s="1"/>
      <c r="F119" s="1"/>
      <c r="G119" s="1"/>
      <c r="H119" s="1"/>
      <c r="I119" s="1"/>
      <c r="J119" s="1"/>
      <c r="K119" s="1"/>
      <c r="L119" s="1"/>
      <c r="M119" s="1"/>
      <c r="N119" s="1"/>
      <c r="O119" s="1"/>
      <c r="P119" s="1"/>
      <c r="Q119" s="1"/>
      <c r="R119" s="1"/>
      <c r="S119" s="1"/>
      <c r="T119" s="1"/>
      <c r="U119" s="1"/>
      <c r="V119" s="1"/>
      <c r="W119" s="1"/>
      <c r="X119" s="1"/>
      <c r="Y119" s="1"/>
      <c r="Z119" s="1"/>
      <c r="AA119" s="219"/>
      <c r="AB119" s="219"/>
      <c r="AC119" s="219"/>
    </row>
    <row r="120" spans="1:29" ht="14.4">
      <c r="A120" s="1"/>
      <c r="B120" s="220"/>
      <c r="C120" s="1"/>
      <c r="D120" s="1"/>
      <c r="E120" s="1"/>
      <c r="F120" s="1"/>
      <c r="G120" s="1"/>
      <c r="H120" s="1"/>
      <c r="I120" s="1"/>
      <c r="J120" s="1"/>
      <c r="K120" s="1"/>
      <c r="L120" s="1"/>
      <c r="M120" s="1"/>
      <c r="N120" s="1"/>
      <c r="O120" s="1"/>
      <c r="P120" s="1"/>
      <c r="Q120" s="1"/>
      <c r="R120" s="1"/>
      <c r="S120" s="1"/>
      <c r="T120" s="1"/>
      <c r="U120" s="1"/>
      <c r="V120" s="1"/>
      <c r="W120" s="1"/>
      <c r="X120" s="1"/>
      <c r="Y120" s="1"/>
      <c r="Z120" s="1"/>
      <c r="AA120" s="219"/>
      <c r="AB120" s="219"/>
      <c r="AC120" s="219"/>
    </row>
    <row r="121" spans="1:29" ht="14.4">
      <c r="A121" s="1"/>
      <c r="B121" s="220"/>
      <c r="C121" s="1"/>
      <c r="D121" s="1"/>
      <c r="E121" s="1"/>
      <c r="F121" s="1"/>
      <c r="G121" s="1"/>
      <c r="H121" s="1"/>
      <c r="I121" s="1"/>
      <c r="J121" s="1"/>
      <c r="K121" s="1"/>
      <c r="L121" s="1"/>
      <c r="M121" s="1"/>
      <c r="N121" s="1"/>
      <c r="O121" s="1"/>
      <c r="P121" s="1"/>
      <c r="Q121" s="1"/>
      <c r="R121" s="1"/>
      <c r="S121" s="1"/>
      <c r="T121" s="1"/>
      <c r="U121" s="1"/>
      <c r="V121" s="1"/>
      <c r="W121" s="1"/>
      <c r="X121" s="1"/>
      <c r="Y121" s="1"/>
      <c r="Z121" s="1"/>
      <c r="AA121" s="219"/>
      <c r="AB121" s="219"/>
      <c r="AC121" s="219"/>
    </row>
    <row r="122" spans="1:29" ht="14.4">
      <c r="A122" s="1"/>
      <c r="B122" s="220"/>
      <c r="C122" s="1"/>
      <c r="D122" s="1"/>
      <c r="E122" s="1"/>
      <c r="F122" s="1"/>
      <c r="G122" s="1"/>
      <c r="H122" s="1"/>
      <c r="I122" s="1"/>
      <c r="J122" s="1"/>
      <c r="K122" s="1"/>
      <c r="L122" s="1"/>
      <c r="M122" s="1"/>
      <c r="N122" s="1"/>
      <c r="O122" s="1"/>
      <c r="P122" s="1"/>
      <c r="Q122" s="1"/>
      <c r="R122" s="1"/>
      <c r="S122" s="1"/>
      <c r="T122" s="1"/>
      <c r="U122" s="1"/>
      <c r="V122" s="1"/>
      <c r="W122" s="1"/>
      <c r="X122" s="1"/>
      <c r="Y122" s="1"/>
      <c r="Z122" s="1"/>
      <c r="AA122" s="219"/>
      <c r="AB122" s="219"/>
      <c r="AC122" s="219"/>
    </row>
    <row r="123" spans="1:29" ht="14.4">
      <c r="A123" s="1"/>
      <c r="B123" s="220"/>
      <c r="C123" s="1"/>
      <c r="D123" s="1"/>
      <c r="E123" s="1"/>
      <c r="F123" s="1"/>
      <c r="G123" s="1"/>
      <c r="H123" s="1"/>
      <c r="I123" s="1"/>
      <c r="J123" s="1"/>
      <c r="K123" s="1"/>
      <c r="L123" s="1"/>
      <c r="M123" s="1"/>
      <c r="N123" s="1"/>
      <c r="O123" s="1"/>
      <c r="P123" s="1"/>
      <c r="Q123" s="1"/>
      <c r="R123" s="1"/>
      <c r="S123" s="1"/>
      <c r="T123" s="1"/>
      <c r="U123" s="1"/>
      <c r="V123" s="1"/>
      <c r="W123" s="1"/>
      <c r="X123" s="1"/>
      <c r="Y123" s="1"/>
      <c r="Z123" s="1"/>
      <c r="AA123" s="219"/>
      <c r="AB123" s="219"/>
      <c r="AC123" s="219"/>
    </row>
    <row r="124" spans="1:29" ht="14.4">
      <c r="A124" s="1"/>
      <c r="B124" s="220"/>
      <c r="C124" s="1"/>
      <c r="D124" s="1"/>
      <c r="E124" s="1"/>
      <c r="F124" s="1"/>
      <c r="G124" s="1"/>
      <c r="H124" s="1"/>
      <c r="I124" s="1"/>
      <c r="J124" s="1"/>
      <c r="K124" s="1"/>
      <c r="L124" s="1"/>
      <c r="M124" s="1"/>
      <c r="N124" s="1"/>
      <c r="O124" s="1"/>
      <c r="P124" s="1"/>
      <c r="Q124" s="1"/>
      <c r="R124" s="1"/>
      <c r="S124" s="1"/>
      <c r="T124" s="1"/>
      <c r="U124" s="1"/>
      <c r="V124" s="1"/>
      <c r="W124" s="1"/>
      <c r="X124" s="1"/>
      <c r="Y124" s="1"/>
      <c r="Z124" s="1"/>
      <c r="AA124" s="219"/>
      <c r="AB124" s="219"/>
      <c r="AC124" s="219"/>
    </row>
    <row r="125" spans="1:29" ht="14.4">
      <c r="A125" s="1"/>
      <c r="B125" s="220"/>
      <c r="C125" s="1"/>
      <c r="D125" s="1"/>
      <c r="E125" s="1"/>
      <c r="F125" s="1"/>
      <c r="G125" s="1"/>
      <c r="H125" s="1"/>
      <c r="I125" s="1"/>
      <c r="J125" s="1"/>
      <c r="K125" s="1"/>
      <c r="L125" s="1"/>
      <c r="M125" s="1"/>
      <c r="N125" s="1"/>
      <c r="O125" s="1"/>
      <c r="P125" s="1"/>
      <c r="Q125" s="1"/>
      <c r="R125" s="1"/>
      <c r="S125" s="1"/>
      <c r="T125" s="1"/>
      <c r="U125" s="1"/>
      <c r="V125" s="1"/>
      <c r="W125" s="1"/>
      <c r="X125" s="1"/>
      <c r="Y125" s="1"/>
      <c r="Z125" s="1"/>
      <c r="AA125" s="219"/>
      <c r="AB125" s="219"/>
      <c r="AC125" s="219"/>
    </row>
    <row r="126" spans="1:29" ht="14.4">
      <c r="A126" s="1"/>
      <c r="B126" s="220"/>
      <c r="C126" s="1"/>
      <c r="D126" s="1"/>
      <c r="E126" s="1"/>
      <c r="F126" s="1"/>
      <c r="G126" s="1"/>
      <c r="H126" s="1"/>
      <c r="I126" s="1"/>
      <c r="J126" s="1"/>
      <c r="K126" s="1"/>
      <c r="L126" s="1"/>
      <c r="M126" s="1"/>
      <c r="N126" s="1"/>
      <c r="O126" s="1"/>
      <c r="P126" s="1"/>
      <c r="Q126" s="1"/>
      <c r="R126" s="1"/>
      <c r="S126" s="1"/>
      <c r="T126" s="1"/>
      <c r="U126" s="1"/>
      <c r="V126" s="1"/>
      <c r="W126" s="1"/>
      <c r="X126" s="1"/>
      <c r="Y126" s="1"/>
      <c r="Z126" s="1"/>
      <c r="AA126" s="219"/>
      <c r="AB126" s="219"/>
      <c r="AC126" s="219"/>
    </row>
    <row r="127" spans="1:29" ht="14.4">
      <c r="A127" s="1"/>
      <c r="B127" s="220"/>
      <c r="C127" s="1"/>
      <c r="D127" s="1"/>
      <c r="E127" s="1"/>
      <c r="F127" s="1"/>
      <c r="G127" s="1"/>
      <c r="H127" s="1"/>
      <c r="I127" s="1"/>
      <c r="J127" s="1"/>
      <c r="K127" s="1"/>
      <c r="L127" s="1"/>
      <c r="M127" s="1"/>
      <c r="N127" s="1"/>
      <c r="O127" s="1"/>
      <c r="P127" s="1"/>
      <c r="Q127" s="1"/>
      <c r="R127" s="1"/>
      <c r="S127" s="1"/>
      <c r="T127" s="1"/>
      <c r="U127" s="1"/>
      <c r="V127" s="1"/>
      <c r="W127" s="1"/>
      <c r="X127" s="1"/>
      <c r="Y127" s="1"/>
      <c r="Z127" s="1"/>
      <c r="AA127" s="219"/>
      <c r="AB127" s="219"/>
      <c r="AC127" s="219"/>
    </row>
    <row r="128" spans="1:29" ht="14.4">
      <c r="B128" s="1"/>
      <c r="C128" s="220"/>
      <c r="D128" s="1"/>
      <c r="E128" s="1"/>
      <c r="F128" s="1"/>
      <c r="G128" s="1"/>
      <c r="H128" s="1"/>
      <c r="I128" s="1"/>
      <c r="J128" s="1"/>
      <c r="K128" s="1"/>
      <c r="L128" s="1"/>
      <c r="M128" s="1"/>
      <c r="N128" s="1"/>
      <c r="O128" s="1"/>
      <c r="P128" s="1"/>
      <c r="Q128" s="1"/>
      <c r="R128" s="1"/>
      <c r="S128" s="1"/>
      <c r="T128" s="1"/>
      <c r="U128" s="1"/>
      <c r="V128" s="1"/>
      <c r="W128" s="1"/>
      <c r="X128" s="1"/>
      <c r="Y128" s="1"/>
      <c r="Z128" s="1"/>
      <c r="AA128" s="219"/>
      <c r="AB128" s="219"/>
      <c r="AC128" s="219"/>
    </row>
    <row r="129" spans="1:29" ht="14.4">
      <c r="A129" s="1"/>
      <c r="B129" s="1"/>
      <c r="C129" s="220"/>
      <c r="D129" s="68"/>
      <c r="E129" s="68"/>
      <c r="F129" s="68"/>
      <c r="G129" s="68"/>
      <c r="H129" s="68"/>
      <c r="I129" s="68"/>
      <c r="J129" s="68"/>
      <c r="K129" s="1"/>
      <c r="L129" s="1"/>
      <c r="M129" s="1"/>
      <c r="N129" s="1"/>
      <c r="O129" s="1"/>
      <c r="P129" s="1"/>
      <c r="Q129" s="1"/>
      <c r="R129" s="1"/>
      <c r="S129" s="1"/>
      <c r="T129" s="1"/>
      <c r="U129" s="1"/>
      <c r="V129" s="1"/>
      <c r="W129" s="1"/>
      <c r="X129" s="1"/>
      <c r="Y129" s="1"/>
      <c r="Z129" s="1"/>
      <c r="AA129" s="219"/>
      <c r="AB129" s="219"/>
      <c r="AC129" s="219"/>
    </row>
    <row r="130" spans="1:29" ht="14.4">
      <c r="A130" s="1"/>
      <c r="B130" s="220"/>
      <c r="C130" s="1"/>
      <c r="D130" s="1"/>
      <c r="E130" s="1"/>
      <c r="F130" s="1"/>
      <c r="G130" s="1"/>
      <c r="H130" s="1"/>
      <c r="I130" s="1"/>
      <c r="J130" s="1"/>
      <c r="K130" s="1"/>
      <c r="L130" s="1"/>
      <c r="M130" s="1"/>
      <c r="N130" s="1"/>
      <c r="O130" s="1"/>
      <c r="P130" s="1"/>
      <c r="Q130" s="1"/>
      <c r="R130" s="1"/>
      <c r="S130" s="1"/>
      <c r="T130" s="1"/>
      <c r="U130" s="1"/>
      <c r="V130" s="1"/>
      <c r="W130" s="1"/>
      <c r="X130" s="1"/>
      <c r="Y130" s="1"/>
      <c r="Z130" s="1"/>
      <c r="AA130" s="219"/>
      <c r="AB130" s="219"/>
      <c r="AC130" s="219"/>
    </row>
    <row r="131" spans="1:29" ht="14.4">
      <c r="A131" s="1"/>
      <c r="B131" s="220"/>
      <c r="C131" s="1"/>
      <c r="D131" s="1"/>
      <c r="E131" s="1"/>
      <c r="F131" s="1"/>
      <c r="G131" s="1"/>
      <c r="H131" s="1"/>
      <c r="I131" s="1"/>
      <c r="J131" s="1"/>
      <c r="K131" s="1"/>
      <c r="L131" s="1"/>
      <c r="M131" s="1"/>
      <c r="N131" s="1"/>
      <c r="O131" s="1"/>
      <c r="P131" s="1"/>
      <c r="Q131" s="1"/>
      <c r="R131" s="1"/>
      <c r="S131" s="1"/>
      <c r="T131" s="1"/>
      <c r="U131" s="1"/>
      <c r="V131" s="1"/>
      <c r="W131" s="1"/>
      <c r="X131" s="1"/>
      <c r="Y131" s="1"/>
      <c r="Z131" s="1"/>
      <c r="AA131" s="219"/>
      <c r="AB131" s="219"/>
      <c r="AC131" s="219"/>
    </row>
    <row r="132" spans="1:29" ht="14.4">
      <c r="A132" s="1"/>
      <c r="B132" s="220"/>
      <c r="C132" s="1"/>
      <c r="D132" s="1"/>
      <c r="E132" s="1"/>
      <c r="F132" s="1"/>
      <c r="G132" s="1"/>
      <c r="H132" s="1"/>
      <c r="I132" s="1"/>
      <c r="J132" s="1"/>
      <c r="K132" s="1"/>
      <c r="L132" s="1"/>
      <c r="M132" s="1"/>
      <c r="N132" s="1"/>
      <c r="O132" s="1"/>
      <c r="P132" s="1"/>
      <c r="Q132" s="1"/>
      <c r="R132" s="1"/>
      <c r="S132" s="1"/>
      <c r="T132" s="1"/>
      <c r="U132" s="1"/>
      <c r="V132" s="1"/>
      <c r="W132" s="1"/>
      <c r="X132" s="1"/>
      <c r="Y132" s="1"/>
      <c r="Z132" s="1"/>
      <c r="AA132" s="219"/>
      <c r="AB132" s="219"/>
      <c r="AC132" s="219"/>
    </row>
    <row r="133" spans="1:29" ht="14.4">
      <c r="A133" s="1"/>
      <c r="B133" s="220"/>
      <c r="C133" s="1"/>
      <c r="D133" s="1"/>
      <c r="E133" s="1"/>
      <c r="F133" s="1"/>
      <c r="G133" s="1"/>
      <c r="H133" s="1"/>
      <c r="I133" s="1"/>
      <c r="J133" s="1"/>
      <c r="K133" s="1"/>
      <c r="L133" s="1"/>
      <c r="M133" s="1"/>
      <c r="N133" s="1"/>
      <c r="O133" s="1"/>
      <c r="P133" s="1"/>
      <c r="Q133" s="1"/>
      <c r="R133" s="1"/>
      <c r="S133" s="1"/>
      <c r="T133" s="1"/>
      <c r="U133" s="1"/>
      <c r="V133" s="1"/>
      <c r="W133" s="1"/>
      <c r="X133" s="1"/>
      <c r="Y133" s="1"/>
      <c r="Z133" s="1"/>
      <c r="AA133" s="219"/>
      <c r="AB133" s="219"/>
      <c r="AC133" s="219"/>
    </row>
    <row r="134" spans="1:29" ht="14.4">
      <c r="A134" s="1"/>
      <c r="B134" s="220"/>
      <c r="C134" s="1"/>
      <c r="D134" s="1"/>
      <c r="E134" s="1"/>
      <c r="F134" s="1"/>
      <c r="G134" s="1"/>
      <c r="H134" s="1"/>
      <c r="I134" s="1"/>
      <c r="J134" s="1"/>
      <c r="K134" s="1"/>
      <c r="L134" s="1"/>
      <c r="M134" s="1"/>
      <c r="N134" s="1"/>
      <c r="O134" s="1"/>
      <c r="P134" s="1"/>
      <c r="Q134" s="1"/>
      <c r="R134" s="1"/>
      <c r="S134" s="1"/>
      <c r="T134" s="1"/>
      <c r="U134" s="1"/>
      <c r="V134" s="1"/>
      <c r="W134" s="1"/>
      <c r="X134" s="1"/>
      <c r="Y134" s="1"/>
      <c r="Z134" s="1"/>
      <c r="AA134" s="219"/>
      <c r="AB134" s="219"/>
      <c r="AC134" s="219"/>
    </row>
    <row r="135" spans="1:29" ht="14.4">
      <c r="A135" s="1"/>
      <c r="B135" s="220"/>
      <c r="C135" s="1"/>
      <c r="D135" s="1"/>
      <c r="E135" s="1"/>
      <c r="F135" s="1"/>
      <c r="G135" s="1"/>
      <c r="H135" s="1"/>
      <c r="I135" s="1"/>
      <c r="J135" s="1"/>
      <c r="K135" s="1"/>
      <c r="L135" s="1"/>
      <c r="M135" s="1"/>
      <c r="N135" s="1"/>
      <c r="O135" s="1"/>
      <c r="P135" s="1"/>
      <c r="Q135" s="1"/>
      <c r="R135" s="1"/>
      <c r="S135" s="1"/>
      <c r="T135" s="1"/>
      <c r="U135" s="1"/>
      <c r="V135" s="1"/>
      <c r="W135" s="1"/>
      <c r="X135" s="1"/>
      <c r="Y135" s="1"/>
      <c r="Z135" s="1"/>
      <c r="AA135" s="219"/>
      <c r="AB135" s="219"/>
      <c r="AC135" s="219"/>
    </row>
    <row r="136" spans="1:29" ht="14.4">
      <c r="A136" s="1"/>
      <c r="B136" s="220"/>
      <c r="C136" s="1"/>
      <c r="D136" s="1"/>
      <c r="E136" s="1"/>
      <c r="F136" s="1"/>
      <c r="G136" s="1"/>
      <c r="H136" s="1"/>
      <c r="I136" s="1"/>
      <c r="J136" s="1"/>
      <c r="K136" s="1"/>
      <c r="L136" s="1"/>
      <c r="M136" s="1"/>
      <c r="N136" s="1"/>
      <c r="O136" s="1"/>
      <c r="P136" s="1"/>
      <c r="Q136" s="1"/>
      <c r="R136" s="1"/>
      <c r="S136" s="1"/>
      <c r="T136" s="1"/>
      <c r="U136" s="1"/>
      <c r="V136" s="1"/>
      <c r="W136" s="1"/>
      <c r="X136" s="1"/>
      <c r="Y136" s="1"/>
      <c r="Z136" s="1"/>
      <c r="AA136" s="219"/>
      <c r="AB136" s="219"/>
      <c r="AC136" s="219"/>
    </row>
    <row r="137" spans="1:29" ht="14.4">
      <c r="A137" s="1"/>
      <c r="B137" s="220"/>
      <c r="C137" s="1"/>
      <c r="D137" s="1"/>
      <c r="E137" s="1"/>
      <c r="F137" s="1"/>
      <c r="G137" s="1"/>
      <c r="H137" s="1"/>
      <c r="I137" s="1"/>
      <c r="J137" s="1"/>
      <c r="K137" s="1"/>
      <c r="L137" s="1"/>
      <c r="M137" s="1"/>
      <c r="N137" s="1"/>
      <c r="O137" s="1"/>
      <c r="P137" s="1"/>
      <c r="Q137" s="1"/>
      <c r="R137" s="1"/>
      <c r="S137" s="1"/>
      <c r="T137" s="1"/>
      <c r="U137" s="1"/>
      <c r="V137" s="1"/>
      <c r="W137" s="1"/>
      <c r="X137" s="1"/>
      <c r="Y137" s="1"/>
      <c r="Z137" s="1"/>
      <c r="AA137" s="219"/>
      <c r="AB137" s="219"/>
      <c r="AC137" s="219"/>
    </row>
    <row r="138" spans="1:29" ht="14.4">
      <c r="A138" s="1"/>
      <c r="B138" s="220"/>
      <c r="C138" s="1"/>
      <c r="D138" s="1"/>
      <c r="E138" s="1"/>
      <c r="F138" s="1"/>
      <c r="G138" s="1"/>
      <c r="H138" s="1"/>
      <c r="I138" s="1"/>
      <c r="J138" s="1"/>
      <c r="K138" s="1"/>
      <c r="L138" s="1"/>
      <c r="M138" s="1"/>
      <c r="N138" s="1"/>
      <c r="O138" s="1"/>
      <c r="P138" s="1"/>
      <c r="Q138" s="1"/>
      <c r="R138" s="1"/>
      <c r="S138" s="1"/>
      <c r="T138" s="1"/>
      <c r="U138" s="1"/>
      <c r="V138" s="1"/>
      <c r="W138" s="1"/>
      <c r="X138" s="1"/>
      <c r="Y138" s="1"/>
      <c r="Z138" s="1"/>
      <c r="AA138" s="219"/>
      <c r="AB138" s="219"/>
      <c r="AC138" s="219"/>
    </row>
    <row r="139" spans="1:29" ht="14.4">
      <c r="A139" s="1"/>
      <c r="B139" s="220"/>
      <c r="C139" s="1"/>
      <c r="D139" s="1"/>
      <c r="E139" s="1"/>
      <c r="F139" s="1"/>
      <c r="G139" s="1"/>
      <c r="H139" s="1"/>
      <c r="I139" s="1"/>
      <c r="J139" s="1"/>
      <c r="K139" s="1"/>
      <c r="L139" s="1"/>
      <c r="M139" s="1"/>
      <c r="N139" s="1"/>
      <c r="O139" s="1"/>
      <c r="P139" s="1"/>
      <c r="Q139" s="1"/>
      <c r="R139" s="1"/>
      <c r="S139" s="1"/>
      <c r="T139" s="1"/>
      <c r="U139" s="1"/>
      <c r="V139" s="1"/>
      <c r="W139" s="1"/>
      <c r="X139" s="1"/>
      <c r="Y139" s="1"/>
      <c r="Z139" s="1"/>
      <c r="AA139" s="219"/>
      <c r="AB139" s="219"/>
      <c r="AC139" s="219"/>
    </row>
    <row r="140" spans="1:29" ht="14.4">
      <c r="A140" s="1"/>
      <c r="B140" s="220"/>
      <c r="C140" s="1"/>
      <c r="D140" s="1"/>
      <c r="E140" s="1"/>
      <c r="F140" s="1"/>
      <c r="G140" s="1"/>
      <c r="H140" s="1"/>
      <c r="I140" s="1"/>
      <c r="J140" s="1"/>
      <c r="K140" s="1"/>
      <c r="L140" s="1"/>
      <c r="M140" s="1"/>
      <c r="N140" s="1"/>
      <c r="O140" s="1"/>
      <c r="P140" s="1"/>
      <c r="Q140" s="1"/>
      <c r="R140" s="1"/>
      <c r="S140" s="1"/>
      <c r="T140" s="1"/>
      <c r="U140" s="1"/>
      <c r="V140" s="1"/>
      <c r="W140" s="1"/>
      <c r="X140" s="1"/>
      <c r="Y140" s="1"/>
      <c r="Z140" s="1"/>
      <c r="AA140" s="219"/>
      <c r="AB140" s="219"/>
      <c r="AC140" s="219"/>
    </row>
    <row r="141" spans="1:29" ht="14.4">
      <c r="A141" s="1"/>
      <c r="B141" s="220"/>
      <c r="C141" s="1"/>
      <c r="D141" s="1"/>
      <c r="E141" s="1"/>
      <c r="F141" s="1"/>
      <c r="G141" s="1"/>
      <c r="H141" s="1"/>
      <c r="I141" s="1"/>
      <c r="J141" s="1"/>
      <c r="K141" s="1"/>
      <c r="L141" s="1"/>
      <c r="M141" s="1"/>
      <c r="N141" s="1"/>
      <c r="O141" s="1"/>
      <c r="P141" s="1"/>
      <c r="Q141" s="1"/>
      <c r="R141" s="1"/>
      <c r="S141" s="1"/>
      <c r="T141" s="1"/>
      <c r="U141" s="1"/>
      <c r="V141" s="1"/>
      <c r="W141" s="1"/>
      <c r="X141" s="1"/>
      <c r="Y141" s="1"/>
      <c r="Z141" s="1"/>
      <c r="AA141" s="219"/>
      <c r="AB141" s="219"/>
      <c r="AC141" s="219"/>
    </row>
    <row r="142" spans="1:29" ht="14.4">
      <c r="A142" s="1"/>
      <c r="B142" s="220"/>
      <c r="C142" s="1"/>
      <c r="D142" s="1"/>
      <c r="E142" s="1"/>
      <c r="F142" s="1"/>
      <c r="G142" s="1"/>
      <c r="H142" s="1"/>
      <c r="I142" s="1"/>
      <c r="J142" s="1"/>
      <c r="K142" s="1"/>
      <c r="L142" s="1"/>
      <c r="M142" s="1"/>
      <c r="N142" s="1"/>
      <c r="O142" s="1"/>
      <c r="P142" s="1"/>
      <c r="Q142" s="1"/>
      <c r="R142" s="1"/>
      <c r="S142" s="1"/>
      <c r="T142" s="1"/>
      <c r="U142" s="1"/>
      <c r="V142" s="1"/>
      <c r="W142" s="1"/>
      <c r="X142" s="1"/>
      <c r="Y142" s="1"/>
      <c r="Z142" s="1"/>
      <c r="AA142" s="219"/>
      <c r="AB142" s="219"/>
      <c r="AC142" s="219"/>
    </row>
    <row r="143" spans="1:29" ht="14.4">
      <c r="A143" s="1"/>
      <c r="B143" s="220"/>
      <c r="C143" s="1"/>
      <c r="D143" s="1"/>
      <c r="E143" s="1"/>
      <c r="F143" s="1"/>
      <c r="G143" s="1"/>
      <c r="H143" s="1"/>
      <c r="I143" s="1"/>
      <c r="J143" s="1"/>
      <c r="K143" s="1"/>
      <c r="L143" s="1"/>
      <c r="M143" s="1"/>
      <c r="N143" s="1"/>
      <c r="O143" s="1"/>
      <c r="P143" s="1"/>
      <c r="Q143" s="1"/>
      <c r="R143" s="1"/>
      <c r="S143" s="1"/>
      <c r="T143" s="1"/>
      <c r="U143" s="1"/>
      <c r="V143" s="1"/>
      <c r="W143" s="1"/>
      <c r="X143" s="1"/>
      <c r="Y143" s="1"/>
      <c r="Z143" s="1"/>
      <c r="AA143" s="219"/>
      <c r="AB143" s="219"/>
      <c r="AC143" s="219"/>
    </row>
    <row r="144" spans="1:29" ht="14.4">
      <c r="A144" s="1"/>
      <c r="B144" s="220"/>
      <c r="C144" s="1"/>
      <c r="D144" s="1"/>
      <c r="E144" s="1"/>
      <c r="F144" s="1"/>
      <c r="G144" s="1"/>
      <c r="H144" s="1"/>
      <c r="I144" s="1"/>
      <c r="J144" s="1"/>
      <c r="K144" s="1"/>
      <c r="L144" s="1"/>
      <c r="M144" s="1"/>
      <c r="N144" s="1"/>
      <c r="O144" s="1"/>
      <c r="P144" s="1"/>
      <c r="Q144" s="1"/>
      <c r="R144" s="1"/>
      <c r="S144" s="1"/>
      <c r="T144" s="1"/>
      <c r="U144" s="1"/>
      <c r="V144" s="1"/>
      <c r="W144" s="1"/>
      <c r="X144" s="1"/>
      <c r="Y144" s="1"/>
      <c r="Z144" s="1"/>
      <c r="AA144" s="219"/>
      <c r="AB144" s="219"/>
      <c r="AC144" s="219"/>
    </row>
    <row r="145" spans="1:29" ht="14.4">
      <c r="A145" s="1"/>
      <c r="B145" s="220"/>
      <c r="C145" s="1"/>
      <c r="D145" s="1"/>
      <c r="E145" s="1"/>
      <c r="F145" s="1"/>
      <c r="G145" s="1"/>
      <c r="H145" s="1"/>
      <c r="I145" s="1"/>
      <c r="J145" s="1"/>
      <c r="K145" s="1"/>
      <c r="L145" s="1"/>
      <c r="M145" s="1"/>
      <c r="N145" s="1"/>
      <c r="O145" s="1"/>
      <c r="P145" s="1"/>
      <c r="Q145" s="1"/>
      <c r="R145" s="1"/>
      <c r="S145" s="1"/>
      <c r="T145" s="1"/>
      <c r="U145" s="1"/>
      <c r="V145" s="1"/>
      <c r="W145" s="1"/>
      <c r="X145" s="1"/>
      <c r="Y145" s="1"/>
      <c r="Z145" s="1"/>
      <c r="AA145" s="219"/>
      <c r="AB145" s="219"/>
      <c r="AC145" s="219"/>
    </row>
    <row r="146" spans="1:29" ht="14.4">
      <c r="A146" s="1"/>
      <c r="B146" s="220"/>
      <c r="C146" s="1"/>
      <c r="D146" s="1"/>
      <c r="E146" s="1"/>
      <c r="F146" s="1"/>
      <c r="G146" s="1"/>
      <c r="H146" s="1"/>
      <c r="I146" s="1"/>
      <c r="J146" s="1"/>
      <c r="K146" s="1"/>
      <c r="L146" s="1"/>
      <c r="M146" s="1"/>
      <c r="N146" s="1"/>
      <c r="O146" s="1"/>
      <c r="P146" s="1"/>
      <c r="Q146" s="1"/>
      <c r="R146" s="1"/>
      <c r="S146" s="1"/>
      <c r="T146" s="1"/>
      <c r="U146" s="1"/>
      <c r="V146" s="1"/>
      <c r="W146" s="1"/>
      <c r="X146" s="1"/>
      <c r="Y146" s="1"/>
      <c r="Z146" s="1"/>
      <c r="AA146" s="219"/>
      <c r="AB146" s="219"/>
      <c r="AC146" s="219"/>
    </row>
    <row r="147" spans="1:29" ht="14.4">
      <c r="A147" s="1"/>
      <c r="B147" s="220"/>
      <c r="C147" s="1"/>
      <c r="D147" s="1"/>
      <c r="E147" s="1"/>
      <c r="F147" s="1"/>
      <c r="G147" s="1"/>
      <c r="H147" s="1"/>
      <c r="I147" s="1"/>
      <c r="J147" s="1"/>
      <c r="K147" s="1"/>
      <c r="L147" s="1"/>
      <c r="M147" s="1"/>
      <c r="N147" s="1"/>
      <c r="O147" s="1"/>
      <c r="P147" s="1"/>
      <c r="Q147" s="1"/>
      <c r="R147" s="1"/>
      <c r="S147" s="1"/>
      <c r="T147" s="1"/>
      <c r="U147" s="1"/>
      <c r="V147" s="1"/>
      <c r="W147" s="1"/>
      <c r="X147" s="1"/>
      <c r="Y147" s="1"/>
      <c r="Z147" s="1"/>
      <c r="AA147" s="219"/>
      <c r="AB147" s="219"/>
      <c r="AC147" s="219"/>
    </row>
    <row r="148" spans="1:29" ht="14.4">
      <c r="A148" s="1"/>
      <c r="B148" s="220"/>
      <c r="C148" s="1"/>
      <c r="D148" s="1"/>
      <c r="E148" s="1"/>
      <c r="F148" s="1"/>
      <c r="G148" s="1"/>
      <c r="H148" s="1"/>
      <c r="I148" s="1"/>
      <c r="J148" s="1"/>
      <c r="K148" s="1"/>
      <c r="L148" s="1"/>
      <c r="M148" s="1"/>
      <c r="N148" s="1"/>
      <c r="O148" s="1"/>
      <c r="P148" s="1"/>
      <c r="Q148" s="1"/>
      <c r="R148" s="1"/>
      <c r="S148" s="1"/>
      <c r="T148" s="1"/>
      <c r="U148" s="1"/>
      <c r="V148" s="1"/>
      <c r="W148" s="1"/>
      <c r="X148" s="1"/>
      <c r="Y148" s="1"/>
      <c r="Z148" s="1"/>
      <c r="AA148" s="219"/>
      <c r="AB148" s="219"/>
      <c r="AC148" s="219"/>
    </row>
    <row r="149" spans="1:29" ht="14.4">
      <c r="A149" s="1"/>
      <c r="B149" s="220"/>
      <c r="C149" s="1"/>
      <c r="D149" s="1"/>
      <c r="E149" s="1"/>
      <c r="F149" s="1"/>
      <c r="G149" s="1"/>
      <c r="H149" s="1"/>
      <c r="I149" s="1"/>
      <c r="J149" s="1"/>
      <c r="K149" s="1"/>
      <c r="L149" s="1"/>
      <c r="M149" s="1"/>
      <c r="N149" s="1"/>
      <c r="O149" s="1"/>
      <c r="P149" s="1"/>
      <c r="Q149" s="1"/>
      <c r="R149" s="1"/>
      <c r="S149" s="1"/>
      <c r="T149" s="1"/>
      <c r="U149" s="1"/>
      <c r="V149" s="1"/>
      <c r="W149" s="1"/>
      <c r="X149" s="1"/>
      <c r="Y149" s="1"/>
      <c r="Z149" s="1"/>
      <c r="AA149" s="219"/>
      <c r="AB149" s="219"/>
      <c r="AC149" s="219"/>
    </row>
    <row r="150" spans="1:29" ht="14.4">
      <c r="A150" s="1"/>
      <c r="B150" s="220"/>
      <c r="C150" s="1"/>
      <c r="D150" s="1"/>
      <c r="E150" s="1"/>
      <c r="F150" s="1"/>
      <c r="G150" s="1"/>
      <c r="H150" s="1"/>
      <c r="I150" s="1"/>
      <c r="J150" s="1"/>
      <c r="K150" s="1"/>
      <c r="L150" s="1"/>
      <c r="M150" s="1"/>
      <c r="N150" s="1"/>
      <c r="O150" s="1"/>
      <c r="P150" s="1"/>
      <c r="Q150" s="1"/>
      <c r="R150" s="1"/>
      <c r="S150" s="1"/>
      <c r="T150" s="1"/>
      <c r="U150" s="1"/>
      <c r="V150" s="1"/>
      <c r="W150" s="1"/>
      <c r="X150" s="1"/>
      <c r="Y150" s="1"/>
      <c r="Z150" s="1"/>
      <c r="AA150" s="219"/>
      <c r="AB150" s="219"/>
      <c r="AC150" s="219"/>
    </row>
    <row r="151" spans="1:29" ht="14.4">
      <c r="A151" s="1"/>
      <c r="B151" s="220"/>
      <c r="C151" s="1"/>
      <c r="D151" s="1"/>
      <c r="E151" s="1"/>
      <c r="F151" s="1"/>
      <c r="G151" s="1"/>
      <c r="H151" s="1"/>
      <c r="I151" s="1"/>
      <c r="J151" s="1"/>
      <c r="K151" s="1"/>
      <c r="L151" s="1"/>
      <c r="M151" s="1"/>
      <c r="N151" s="1"/>
      <c r="O151" s="1"/>
      <c r="P151" s="1"/>
      <c r="Q151" s="1"/>
      <c r="R151" s="1"/>
      <c r="S151" s="1"/>
      <c r="T151" s="1"/>
      <c r="U151" s="1"/>
      <c r="V151" s="1"/>
      <c r="W151" s="1"/>
      <c r="X151" s="1"/>
      <c r="Y151" s="1"/>
      <c r="Z151" s="1"/>
      <c r="AA151" s="219"/>
      <c r="AB151" s="219"/>
      <c r="AC151" s="219"/>
    </row>
    <row r="152" spans="1:29" ht="14.4">
      <c r="A152" s="1"/>
      <c r="B152" s="220"/>
      <c r="C152" s="1"/>
      <c r="D152" s="1"/>
      <c r="E152" s="1"/>
      <c r="F152" s="1"/>
      <c r="G152" s="1"/>
      <c r="H152" s="1"/>
      <c r="I152" s="1"/>
      <c r="J152" s="1"/>
      <c r="K152" s="1"/>
      <c r="L152" s="1"/>
      <c r="M152" s="1"/>
      <c r="N152" s="1"/>
      <c r="O152" s="1"/>
      <c r="P152" s="1"/>
      <c r="Q152" s="1"/>
      <c r="R152" s="1"/>
      <c r="S152" s="1"/>
      <c r="T152" s="1"/>
      <c r="U152" s="1"/>
      <c r="V152" s="1"/>
      <c r="W152" s="1"/>
      <c r="X152" s="1"/>
      <c r="Y152" s="1"/>
      <c r="Z152" s="1"/>
      <c r="AA152" s="219"/>
      <c r="AB152" s="219"/>
      <c r="AC152" s="219"/>
    </row>
    <row r="153" spans="1:29" ht="14.4">
      <c r="A153" s="1"/>
      <c r="B153" s="220"/>
      <c r="C153" s="1"/>
      <c r="D153" s="1"/>
      <c r="E153" s="1"/>
      <c r="F153" s="1"/>
      <c r="G153" s="1"/>
      <c r="H153" s="1"/>
      <c r="I153" s="1"/>
      <c r="J153" s="1"/>
      <c r="K153" s="1"/>
      <c r="L153" s="1"/>
      <c r="M153" s="1"/>
      <c r="N153" s="1"/>
      <c r="O153" s="1"/>
      <c r="P153" s="1"/>
      <c r="Q153" s="1"/>
      <c r="R153" s="1"/>
      <c r="S153" s="1"/>
      <c r="T153" s="1"/>
      <c r="U153" s="1"/>
      <c r="V153" s="1"/>
      <c r="W153" s="1"/>
      <c r="X153" s="1"/>
      <c r="Y153" s="1"/>
      <c r="Z153" s="1"/>
      <c r="AA153" s="219"/>
      <c r="AB153" s="219"/>
      <c r="AC153" s="219"/>
    </row>
    <row r="154" spans="1:29" ht="14.4">
      <c r="A154" s="1"/>
      <c r="B154" s="220"/>
      <c r="C154" s="1"/>
      <c r="D154" s="1"/>
      <c r="E154" s="1"/>
      <c r="F154" s="1"/>
      <c r="G154" s="1"/>
      <c r="H154" s="1"/>
      <c r="I154" s="1"/>
      <c r="J154" s="1"/>
      <c r="K154" s="1"/>
      <c r="L154" s="1"/>
      <c r="M154" s="1"/>
      <c r="N154" s="1"/>
      <c r="O154" s="1"/>
      <c r="P154" s="1"/>
      <c r="Q154" s="1"/>
      <c r="R154" s="1"/>
      <c r="S154" s="1"/>
      <c r="T154" s="1"/>
      <c r="U154" s="1"/>
      <c r="V154" s="1"/>
      <c r="W154" s="1"/>
      <c r="X154" s="1"/>
      <c r="Y154" s="1"/>
      <c r="Z154" s="1"/>
      <c r="AA154" s="219"/>
      <c r="AB154" s="219"/>
      <c r="AC154" s="219"/>
    </row>
    <row r="155" spans="1:29" ht="14.4">
      <c r="A155" s="1"/>
      <c r="B155" s="220"/>
      <c r="C155" s="1"/>
      <c r="D155" s="1"/>
      <c r="E155" s="1"/>
      <c r="F155" s="1"/>
      <c r="G155" s="1"/>
      <c r="H155" s="1"/>
      <c r="I155" s="1"/>
      <c r="J155" s="1"/>
      <c r="K155" s="1"/>
      <c r="L155" s="1"/>
      <c r="M155" s="1"/>
      <c r="N155" s="1"/>
      <c r="O155" s="1"/>
      <c r="P155" s="1"/>
      <c r="Q155" s="1"/>
      <c r="R155" s="1"/>
      <c r="S155" s="1"/>
      <c r="T155" s="1"/>
      <c r="U155" s="1"/>
      <c r="V155" s="1"/>
      <c r="W155" s="1"/>
      <c r="X155" s="1"/>
      <c r="Y155" s="1"/>
      <c r="Z155" s="1"/>
      <c r="AA155" s="219"/>
      <c r="AB155" s="219"/>
      <c r="AC155" s="219"/>
    </row>
    <row r="156" spans="1:29" ht="14.4">
      <c r="A156" s="1"/>
      <c r="B156" s="220"/>
      <c r="C156" s="1"/>
      <c r="D156" s="1"/>
      <c r="E156" s="1"/>
      <c r="F156" s="1"/>
      <c r="G156" s="1"/>
      <c r="H156" s="1"/>
      <c r="I156" s="1"/>
      <c r="J156" s="1"/>
      <c r="K156" s="1"/>
      <c r="L156" s="1"/>
      <c r="M156" s="1"/>
      <c r="N156" s="1"/>
      <c r="O156" s="1"/>
      <c r="P156" s="1"/>
      <c r="Q156" s="1"/>
      <c r="R156" s="1"/>
      <c r="S156" s="1"/>
      <c r="T156" s="1"/>
      <c r="U156" s="1"/>
      <c r="V156" s="1"/>
      <c r="W156" s="1"/>
      <c r="X156" s="1"/>
      <c r="Y156" s="1"/>
      <c r="Z156" s="1"/>
      <c r="AA156" s="219"/>
      <c r="AB156" s="219"/>
      <c r="AC156" s="219"/>
    </row>
    <row r="157" spans="1:29" ht="14.4">
      <c r="A157" s="1"/>
      <c r="B157" s="220"/>
      <c r="C157" s="1"/>
      <c r="D157" s="1"/>
      <c r="E157" s="1"/>
      <c r="F157" s="1"/>
      <c r="G157" s="1"/>
      <c r="H157" s="1"/>
      <c r="I157" s="1"/>
      <c r="J157" s="1"/>
      <c r="K157" s="1"/>
      <c r="L157" s="1"/>
      <c r="M157" s="1"/>
      <c r="N157" s="1"/>
      <c r="O157" s="1"/>
      <c r="P157" s="1"/>
      <c r="Q157" s="1"/>
      <c r="R157" s="1"/>
      <c r="S157" s="1"/>
      <c r="T157" s="1"/>
      <c r="U157" s="1"/>
      <c r="V157" s="1"/>
      <c r="W157" s="1"/>
      <c r="X157" s="1"/>
      <c r="Y157" s="1"/>
      <c r="Z157" s="1"/>
      <c r="AA157" s="219"/>
      <c r="AB157" s="219"/>
      <c r="AC157" s="219"/>
    </row>
    <row r="158" spans="1:29" ht="14.4">
      <c r="A158" s="1"/>
      <c r="B158" s="220"/>
      <c r="C158" s="1"/>
      <c r="D158" s="1"/>
      <c r="E158" s="1"/>
      <c r="F158" s="1"/>
      <c r="G158" s="1"/>
      <c r="H158" s="1"/>
      <c r="I158" s="1"/>
      <c r="J158" s="1"/>
      <c r="K158" s="1"/>
      <c r="L158" s="1"/>
      <c r="M158" s="1"/>
      <c r="N158" s="1"/>
      <c r="O158" s="1"/>
      <c r="P158" s="1"/>
      <c r="Q158" s="1"/>
      <c r="R158" s="1"/>
      <c r="S158" s="1"/>
      <c r="T158" s="1"/>
      <c r="U158" s="1"/>
      <c r="V158" s="1"/>
      <c r="W158" s="1"/>
      <c r="X158" s="1"/>
      <c r="Y158" s="1"/>
      <c r="Z158" s="1"/>
      <c r="AA158" s="219"/>
      <c r="AB158" s="219"/>
      <c r="AC158" s="219"/>
    </row>
    <row r="159" spans="1:29" ht="14.4">
      <c r="A159" s="1"/>
      <c r="B159" s="220"/>
      <c r="C159" s="1"/>
      <c r="D159" s="1"/>
      <c r="E159" s="1"/>
      <c r="F159" s="1"/>
      <c r="G159" s="1"/>
      <c r="H159" s="1"/>
      <c r="I159" s="1"/>
      <c r="J159" s="1"/>
      <c r="K159" s="1"/>
      <c r="L159" s="1"/>
      <c r="M159" s="1"/>
      <c r="N159" s="1"/>
      <c r="O159" s="1"/>
      <c r="P159" s="1"/>
      <c r="Q159" s="1"/>
      <c r="R159" s="1"/>
      <c r="S159" s="1"/>
      <c r="T159" s="1"/>
      <c r="U159" s="1"/>
      <c r="V159" s="1"/>
      <c r="W159" s="1"/>
      <c r="X159" s="1"/>
      <c r="Y159" s="1"/>
      <c r="Z159" s="1"/>
      <c r="AA159" s="219"/>
      <c r="AB159" s="219"/>
      <c r="AC159" s="219"/>
    </row>
    <row r="160" spans="1:29" ht="14.4">
      <c r="A160" s="1"/>
      <c r="B160" s="220"/>
      <c r="C160" s="1"/>
      <c r="D160" s="1"/>
      <c r="E160" s="1"/>
      <c r="F160" s="1"/>
      <c r="G160" s="1"/>
      <c r="H160" s="1"/>
      <c r="I160" s="1"/>
      <c r="J160" s="1"/>
      <c r="K160" s="1"/>
      <c r="L160" s="1"/>
      <c r="M160" s="1"/>
      <c r="N160" s="1"/>
      <c r="O160" s="1"/>
      <c r="P160" s="1"/>
      <c r="Q160" s="1"/>
      <c r="R160" s="1"/>
      <c r="S160" s="1"/>
      <c r="T160" s="1"/>
      <c r="U160" s="1"/>
      <c r="V160" s="1"/>
      <c r="W160" s="1"/>
      <c r="X160" s="1"/>
      <c r="Y160" s="1"/>
      <c r="Z160" s="1"/>
      <c r="AA160" s="219"/>
      <c r="AB160" s="219"/>
      <c r="AC160" s="219"/>
    </row>
    <row r="161" spans="1:29" ht="14.4">
      <c r="A161" s="1"/>
      <c r="B161" s="220"/>
      <c r="C161" s="1"/>
      <c r="D161" s="1"/>
      <c r="E161" s="1"/>
      <c r="F161" s="1"/>
      <c r="G161" s="1"/>
      <c r="H161" s="1"/>
      <c r="I161" s="1"/>
      <c r="J161" s="1"/>
      <c r="K161" s="1"/>
      <c r="L161" s="1"/>
      <c r="M161" s="1"/>
      <c r="N161" s="1"/>
      <c r="O161" s="1"/>
      <c r="P161" s="1"/>
      <c r="Q161" s="1"/>
      <c r="R161" s="1"/>
      <c r="S161" s="1"/>
      <c r="T161" s="1"/>
      <c r="U161" s="1"/>
      <c r="V161" s="1"/>
      <c r="W161" s="1"/>
      <c r="X161" s="1"/>
      <c r="Y161" s="1"/>
      <c r="Z161" s="1"/>
      <c r="AA161" s="219"/>
      <c r="AB161" s="219"/>
      <c r="AC161" s="219"/>
    </row>
    <row r="162" spans="1:29" ht="14.4">
      <c r="A162" s="1"/>
      <c r="B162" s="220"/>
      <c r="C162" s="1"/>
      <c r="D162" s="1"/>
      <c r="E162" s="1"/>
      <c r="F162" s="1"/>
      <c r="G162" s="1"/>
      <c r="H162" s="1"/>
      <c r="I162" s="1"/>
      <c r="J162" s="1"/>
      <c r="K162" s="1"/>
      <c r="L162" s="1"/>
      <c r="M162" s="1"/>
      <c r="N162" s="1"/>
      <c r="O162" s="1"/>
      <c r="P162" s="1"/>
      <c r="Q162" s="1"/>
      <c r="R162" s="1"/>
      <c r="S162" s="1"/>
      <c r="T162" s="1"/>
      <c r="U162" s="1"/>
      <c r="V162" s="1"/>
      <c r="W162" s="1"/>
      <c r="X162" s="1"/>
      <c r="Y162" s="1"/>
      <c r="Z162" s="1"/>
      <c r="AA162" s="219"/>
      <c r="AB162" s="219"/>
      <c r="AC162" s="219"/>
    </row>
    <row r="163" spans="1:29" ht="14.4">
      <c r="A163" s="1"/>
      <c r="B163" s="220"/>
      <c r="C163" s="1"/>
      <c r="D163" s="1"/>
      <c r="E163" s="1"/>
      <c r="F163" s="1"/>
      <c r="G163" s="1"/>
      <c r="H163" s="1"/>
      <c r="I163" s="1"/>
      <c r="J163" s="1"/>
      <c r="K163" s="1"/>
      <c r="L163" s="1"/>
      <c r="M163" s="1"/>
      <c r="N163" s="1"/>
      <c r="O163" s="1"/>
      <c r="P163" s="1"/>
      <c r="Q163" s="1"/>
      <c r="R163" s="1"/>
      <c r="S163" s="1"/>
      <c r="T163" s="1"/>
      <c r="U163" s="1"/>
      <c r="V163" s="1"/>
      <c r="W163" s="1"/>
      <c r="X163" s="1"/>
      <c r="Y163" s="1"/>
      <c r="Z163" s="1"/>
      <c r="AA163" s="219"/>
      <c r="AB163" s="219"/>
      <c r="AC163" s="219"/>
    </row>
    <row r="164" spans="1:29" ht="14.4">
      <c r="A164" s="1"/>
      <c r="B164" s="220"/>
      <c r="C164" s="1"/>
      <c r="D164" s="1"/>
      <c r="E164" s="1"/>
      <c r="F164" s="1"/>
      <c r="G164" s="1"/>
      <c r="H164" s="1"/>
      <c r="I164" s="1"/>
      <c r="J164" s="1"/>
      <c r="K164" s="1"/>
      <c r="L164" s="1"/>
      <c r="M164" s="1"/>
      <c r="N164" s="1"/>
      <c r="O164" s="1"/>
      <c r="P164" s="1"/>
      <c r="Q164" s="1"/>
      <c r="R164" s="1"/>
      <c r="S164" s="1"/>
      <c r="T164" s="1"/>
      <c r="U164" s="1"/>
      <c r="V164" s="1"/>
      <c r="W164" s="1"/>
      <c r="X164" s="1"/>
      <c r="Y164" s="1"/>
      <c r="Z164" s="1"/>
      <c r="AA164" s="219"/>
      <c r="AB164" s="219"/>
      <c r="AC164" s="219"/>
    </row>
    <row r="165" spans="1:29" ht="14.4">
      <c r="A165" s="1"/>
      <c r="B165" s="220"/>
      <c r="C165" s="1"/>
      <c r="D165" s="1"/>
      <c r="E165" s="1"/>
      <c r="F165" s="1"/>
      <c r="G165" s="1"/>
      <c r="H165" s="1"/>
      <c r="I165" s="1"/>
      <c r="J165" s="1"/>
      <c r="K165" s="1"/>
      <c r="L165" s="1"/>
      <c r="M165" s="1"/>
      <c r="N165" s="1"/>
      <c r="O165" s="1"/>
      <c r="P165" s="1"/>
      <c r="Q165" s="1"/>
      <c r="R165" s="1"/>
      <c r="S165" s="1"/>
      <c r="T165" s="1"/>
      <c r="U165" s="1"/>
      <c r="V165" s="1"/>
      <c r="W165" s="1"/>
      <c r="X165" s="1"/>
      <c r="Y165" s="1"/>
      <c r="Z165" s="1"/>
      <c r="AA165" s="219"/>
      <c r="AB165" s="219"/>
      <c r="AC165" s="219"/>
    </row>
    <row r="166" spans="1:29" ht="14.4">
      <c r="A166" s="1"/>
      <c r="B166" s="220"/>
      <c r="C166" s="1"/>
      <c r="D166" s="1"/>
      <c r="E166" s="1"/>
      <c r="F166" s="1"/>
      <c r="G166" s="1"/>
      <c r="H166" s="1"/>
      <c r="I166" s="1"/>
      <c r="J166" s="1"/>
      <c r="K166" s="1"/>
      <c r="L166" s="1"/>
      <c r="M166" s="1"/>
      <c r="N166" s="1"/>
      <c r="O166" s="1"/>
      <c r="P166" s="1"/>
      <c r="Q166" s="1"/>
      <c r="R166" s="1"/>
      <c r="S166" s="1"/>
      <c r="T166" s="1"/>
      <c r="U166" s="1"/>
      <c r="V166" s="1"/>
      <c r="W166" s="1"/>
      <c r="X166" s="1"/>
      <c r="Y166" s="1"/>
      <c r="Z166" s="1"/>
      <c r="AA166" s="219"/>
      <c r="AB166" s="219"/>
      <c r="AC166" s="219"/>
    </row>
    <row r="167" spans="1:29" ht="14.4">
      <c r="A167" s="1"/>
      <c r="B167" s="220"/>
      <c r="C167" s="1"/>
      <c r="D167" s="1"/>
      <c r="E167" s="1"/>
      <c r="F167" s="1"/>
      <c r="G167" s="1"/>
      <c r="H167" s="1"/>
      <c r="I167" s="1"/>
      <c r="J167" s="1"/>
      <c r="K167" s="1"/>
      <c r="L167" s="1"/>
      <c r="M167" s="1"/>
      <c r="N167" s="1"/>
      <c r="O167" s="1"/>
      <c r="P167" s="1"/>
      <c r="Q167" s="1"/>
      <c r="R167" s="1"/>
      <c r="S167" s="1"/>
      <c r="T167" s="1"/>
      <c r="U167" s="1"/>
      <c r="V167" s="1"/>
      <c r="W167" s="1"/>
      <c r="X167" s="1"/>
      <c r="Y167" s="1"/>
      <c r="Z167" s="1"/>
      <c r="AA167" s="219"/>
      <c r="AB167" s="219"/>
      <c r="AC167" s="219"/>
    </row>
    <row r="168" spans="1:29" ht="14.4">
      <c r="A168" s="1"/>
      <c r="B168" s="220"/>
      <c r="C168" s="1"/>
      <c r="D168" s="1"/>
      <c r="E168" s="1"/>
      <c r="F168" s="1"/>
      <c r="G168" s="1"/>
      <c r="H168" s="1"/>
      <c r="I168" s="1"/>
      <c r="J168" s="1"/>
      <c r="K168" s="1"/>
      <c r="L168" s="1"/>
      <c r="M168" s="1"/>
      <c r="N168" s="1"/>
      <c r="O168" s="1"/>
      <c r="P168" s="1"/>
      <c r="Q168" s="1"/>
      <c r="R168" s="1"/>
      <c r="S168" s="1"/>
      <c r="T168" s="1"/>
      <c r="U168" s="1"/>
      <c r="V168" s="1"/>
      <c r="W168" s="1"/>
      <c r="X168" s="1"/>
      <c r="Y168" s="1"/>
      <c r="Z168" s="1"/>
      <c r="AA168" s="219"/>
      <c r="AB168" s="219"/>
      <c r="AC168" s="219"/>
    </row>
    <row r="169" spans="1:29" ht="14.4">
      <c r="A169" s="1"/>
      <c r="B169" s="220"/>
      <c r="C169" s="1"/>
      <c r="D169" s="1"/>
      <c r="E169" s="1"/>
      <c r="F169" s="1"/>
      <c r="G169" s="1"/>
      <c r="H169" s="1"/>
      <c r="I169" s="1"/>
      <c r="J169" s="1"/>
      <c r="K169" s="1"/>
      <c r="L169" s="1"/>
      <c r="M169" s="1"/>
      <c r="N169" s="1"/>
      <c r="O169" s="1"/>
      <c r="P169" s="1"/>
      <c r="Q169" s="1"/>
      <c r="R169" s="1"/>
      <c r="S169" s="1"/>
      <c r="T169" s="1"/>
      <c r="U169" s="1"/>
      <c r="V169" s="1"/>
      <c r="W169" s="1"/>
      <c r="X169" s="1"/>
      <c r="Y169" s="1"/>
      <c r="Z169" s="1"/>
      <c r="AA169" s="219"/>
      <c r="AB169" s="219"/>
      <c r="AC169" s="219"/>
    </row>
    <row r="170" spans="1:29" ht="14.4">
      <c r="A170" s="1"/>
      <c r="B170" s="220"/>
      <c r="C170" s="1"/>
      <c r="D170" s="1"/>
      <c r="E170" s="1"/>
      <c r="F170" s="1"/>
      <c r="G170" s="1"/>
      <c r="H170" s="1"/>
      <c r="I170" s="1"/>
      <c r="J170" s="1"/>
      <c r="K170" s="1"/>
      <c r="L170" s="1"/>
      <c r="M170" s="1"/>
      <c r="N170" s="1"/>
      <c r="O170" s="1"/>
      <c r="P170" s="1"/>
      <c r="Q170" s="1"/>
      <c r="R170" s="1"/>
      <c r="S170" s="1"/>
      <c r="T170" s="1"/>
      <c r="U170" s="1"/>
      <c r="V170" s="1"/>
      <c r="W170" s="1"/>
      <c r="X170" s="1"/>
      <c r="Y170" s="1"/>
      <c r="Z170" s="1"/>
      <c r="AA170" s="219"/>
      <c r="AB170" s="219"/>
      <c r="AC170" s="219"/>
    </row>
    <row r="171" spans="1:29" ht="14.4">
      <c r="A171" s="1"/>
      <c r="B171" s="220"/>
      <c r="C171" s="1"/>
      <c r="D171" s="1"/>
      <c r="E171" s="1"/>
      <c r="F171" s="1"/>
      <c r="G171" s="1"/>
      <c r="H171" s="1"/>
      <c r="I171" s="1"/>
      <c r="J171" s="1"/>
      <c r="K171" s="1"/>
      <c r="L171" s="1"/>
      <c r="M171" s="1"/>
      <c r="N171" s="1"/>
      <c r="O171" s="1"/>
      <c r="P171" s="1"/>
      <c r="Q171" s="1"/>
      <c r="R171" s="1"/>
      <c r="S171" s="1"/>
      <c r="T171" s="1"/>
      <c r="U171" s="1"/>
      <c r="V171" s="1"/>
      <c r="W171" s="1"/>
      <c r="X171" s="1"/>
      <c r="Y171" s="1"/>
      <c r="Z171" s="1"/>
      <c r="AA171" s="219"/>
      <c r="AB171" s="219"/>
      <c r="AC171" s="219"/>
    </row>
    <row r="172" spans="1:29" ht="14.4">
      <c r="A172" s="1"/>
      <c r="B172" s="220"/>
      <c r="C172" s="1"/>
      <c r="D172" s="1"/>
      <c r="E172" s="1"/>
      <c r="F172" s="1"/>
      <c r="G172" s="1"/>
      <c r="H172" s="1"/>
      <c r="I172" s="1"/>
      <c r="J172" s="1"/>
      <c r="K172" s="1"/>
      <c r="L172" s="1"/>
      <c r="M172" s="1"/>
      <c r="N172" s="1"/>
      <c r="O172" s="1"/>
      <c r="P172" s="1"/>
      <c r="Q172" s="1"/>
      <c r="R172" s="1"/>
      <c r="S172" s="1"/>
      <c r="T172" s="1"/>
      <c r="U172" s="1"/>
      <c r="V172" s="1"/>
      <c r="W172" s="1"/>
      <c r="X172" s="1"/>
      <c r="Y172" s="1"/>
      <c r="Z172" s="1"/>
      <c r="AA172" s="219"/>
      <c r="AB172" s="219"/>
      <c r="AC172" s="219"/>
    </row>
    <row r="173" spans="1:29" ht="14.4">
      <c r="A173" s="1"/>
      <c r="B173" s="220"/>
      <c r="C173" s="1"/>
      <c r="D173" s="1"/>
      <c r="E173" s="1"/>
      <c r="F173" s="1"/>
      <c r="G173" s="1"/>
      <c r="H173" s="1"/>
      <c r="I173" s="1"/>
      <c r="J173" s="1"/>
      <c r="K173" s="1"/>
      <c r="L173" s="1"/>
      <c r="M173" s="1"/>
      <c r="N173" s="1"/>
      <c r="O173" s="1"/>
      <c r="P173" s="1"/>
      <c r="Q173" s="1"/>
      <c r="R173" s="1"/>
      <c r="S173" s="1"/>
      <c r="T173" s="1"/>
      <c r="U173" s="1"/>
      <c r="V173" s="1"/>
      <c r="W173" s="1"/>
      <c r="X173" s="1"/>
      <c r="Y173" s="1"/>
      <c r="Z173" s="1"/>
      <c r="AA173" s="219"/>
      <c r="AB173" s="219"/>
      <c r="AC173" s="219"/>
    </row>
    <row r="174" spans="1:29" ht="14.4">
      <c r="A174" s="1"/>
      <c r="B174" s="220"/>
      <c r="C174" s="1"/>
      <c r="D174" s="1"/>
      <c r="E174" s="1"/>
      <c r="F174" s="1"/>
      <c r="G174" s="1"/>
      <c r="H174" s="1"/>
      <c r="I174" s="1"/>
      <c r="J174" s="1"/>
      <c r="K174" s="1"/>
      <c r="L174" s="1"/>
      <c r="M174" s="1"/>
      <c r="N174" s="1"/>
      <c r="O174" s="1"/>
      <c r="P174" s="1"/>
      <c r="Q174" s="1"/>
      <c r="R174" s="1"/>
      <c r="S174" s="1"/>
      <c r="T174" s="1"/>
      <c r="U174" s="1"/>
      <c r="V174" s="1"/>
      <c r="W174" s="1"/>
      <c r="X174" s="1"/>
      <c r="Y174" s="1"/>
      <c r="Z174" s="1"/>
      <c r="AA174" s="219"/>
      <c r="AB174" s="219"/>
      <c r="AC174" s="219"/>
    </row>
    <row r="175" spans="1:29" ht="14.4">
      <c r="A175" s="1"/>
      <c r="B175" s="220"/>
      <c r="C175" s="1"/>
      <c r="D175" s="1"/>
      <c r="E175" s="1"/>
      <c r="F175" s="1"/>
      <c r="G175" s="1"/>
      <c r="H175" s="1"/>
      <c r="I175" s="1"/>
      <c r="J175" s="1"/>
      <c r="K175" s="1"/>
      <c r="L175" s="1"/>
      <c r="M175" s="1"/>
      <c r="N175" s="1"/>
      <c r="O175" s="1"/>
      <c r="P175" s="1"/>
      <c r="Q175" s="1"/>
      <c r="R175" s="1"/>
      <c r="S175" s="1"/>
      <c r="T175" s="1"/>
      <c r="U175" s="1"/>
      <c r="V175" s="1"/>
      <c r="W175" s="1"/>
      <c r="X175" s="1"/>
      <c r="Y175" s="1"/>
      <c r="Z175" s="1"/>
      <c r="AA175" s="219"/>
      <c r="AB175" s="219"/>
      <c r="AC175" s="219"/>
    </row>
    <row r="176" spans="1:29" ht="14.4">
      <c r="A176" s="1"/>
      <c r="B176" s="220"/>
      <c r="C176" s="1"/>
      <c r="D176" s="1"/>
      <c r="E176" s="1"/>
      <c r="F176" s="1"/>
      <c r="G176" s="1"/>
      <c r="H176" s="1"/>
      <c r="I176" s="1"/>
      <c r="J176" s="1"/>
      <c r="K176" s="1"/>
      <c r="L176" s="1"/>
      <c r="M176" s="1"/>
      <c r="N176" s="1"/>
      <c r="O176" s="1"/>
      <c r="P176" s="1"/>
      <c r="Q176" s="1"/>
      <c r="R176" s="1"/>
      <c r="S176" s="1"/>
      <c r="T176" s="1"/>
      <c r="U176" s="1"/>
      <c r="V176" s="1"/>
      <c r="W176" s="1"/>
      <c r="X176" s="1"/>
      <c r="Y176" s="1"/>
      <c r="Z176" s="1"/>
      <c r="AA176" s="219"/>
      <c r="AB176" s="219"/>
      <c r="AC176" s="219"/>
    </row>
    <row r="177" spans="1:29" ht="14.4">
      <c r="A177" s="1"/>
      <c r="B177" s="220"/>
      <c r="C177" s="1"/>
      <c r="D177" s="1"/>
      <c r="E177" s="1"/>
      <c r="F177" s="1"/>
      <c r="G177" s="1"/>
      <c r="H177" s="1"/>
      <c r="I177" s="1"/>
      <c r="J177" s="1"/>
      <c r="K177" s="1"/>
      <c r="L177" s="1"/>
      <c r="M177" s="1"/>
      <c r="N177" s="1"/>
      <c r="O177" s="1"/>
      <c r="P177" s="1"/>
      <c r="Q177" s="1"/>
      <c r="R177" s="1"/>
      <c r="S177" s="1"/>
      <c r="T177" s="1"/>
      <c r="U177" s="1"/>
      <c r="V177" s="1"/>
      <c r="W177" s="1"/>
      <c r="X177" s="1"/>
      <c r="Y177" s="1"/>
      <c r="Z177" s="1"/>
      <c r="AA177" s="219"/>
      <c r="AB177" s="219"/>
      <c r="AC177" s="219"/>
    </row>
    <row r="178" spans="1:29" ht="14.4">
      <c r="A178" s="1"/>
      <c r="B178" s="220"/>
      <c r="C178" s="1"/>
      <c r="D178" s="1"/>
      <c r="E178" s="1"/>
      <c r="F178" s="1"/>
      <c r="G178" s="1"/>
      <c r="H178" s="1"/>
      <c r="I178" s="1"/>
      <c r="J178" s="1"/>
      <c r="K178" s="1"/>
      <c r="L178" s="1"/>
      <c r="M178" s="1"/>
      <c r="N178" s="1"/>
      <c r="O178" s="1"/>
      <c r="P178" s="1"/>
      <c r="Q178" s="1"/>
      <c r="R178" s="1"/>
      <c r="S178" s="1"/>
      <c r="T178" s="1"/>
      <c r="U178" s="1"/>
      <c r="V178" s="1"/>
      <c r="W178" s="1"/>
      <c r="X178" s="1"/>
      <c r="Y178" s="1"/>
      <c r="Z178" s="1"/>
      <c r="AA178" s="219"/>
      <c r="AB178" s="219"/>
      <c r="AC178" s="219"/>
    </row>
    <row r="179" spans="1:29" ht="14.4">
      <c r="A179" s="1"/>
      <c r="B179" s="220"/>
      <c r="C179" s="1"/>
      <c r="D179" s="1"/>
      <c r="E179" s="1"/>
      <c r="F179" s="1"/>
      <c r="G179" s="1"/>
      <c r="H179" s="1"/>
      <c r="I179" s="1"/>
      <c r="J179" s="1"/>
      <c r="K179" s="1"/>
      <c r="L179" s="1"/>
      <c r="M179" s="1"/>
      <c r="N179" s="1"/>
      <c r="O179" s="1"/>
      <c r="P179" s="1"/>
      <c r="Q179" s="1"/>
      <c r="R179" s="1"/>
      <c r="S179" s="1"/>
      <c r="T179" s="1"/>
      <c r="U179" s="1"/>
      <c r="V179" s="1"/>
      <c r="W179" s="1"/>
      <c r="X179" s="1"/>
      <c r="Y179" s="1"/>
      <c r="Z179" s="1"/>
      <c r="AA179" s="219"/>
      <c r="AB179" s="219"/>
      <c r="AC179" s="219"/>
    </row>
    <row r="180" spans="1:29" ht="14.4">
      <c r="A180" s="1"/>
      <c r="B180" s="220"/>
      <c r="C180" s="1"/>
      <c r="D180" s="1"/>
      <c r="E180" s="1"/>
      <c r="F180" s="1"/>
      <c r="G180" s="1"/>
      <c r="H180" s="1"/>
      <c r="I180" s="1"/>
      <c r="J180" s="1"/>
      <c r="K180" s="1"/>
      <c r="L180" s="1"/>
      <c r="M180" s="1"/>
      <c r="N180" s="1"/>
      <c r="O180" s="1"/>
      <c r="P180" s="1"/>
      <c r="Q180" s="1"/>
      <c r="R180" s="1"/>
      <c r="S180" s="1"/>
      <c r="T180" s="1"/>
      <c r="U180" s="1"/>
      <c r="V180" s="1"/>
      <c r="W180" s="1"/>
      <c r="X180" s="1"/>
      <c r="Y180" s="1"/>
      <c r="Z180" s="1"/>
      <c r="AA180" s="219"/>
      <c r="AB180" s="219"/>
      <c r="AC180" s="219"/>
    </row>
    <row r="181" spans="1:29" ht="14.4">
      <c r="A181" s="1"/>
      <c r="B181" s="220"/>
      <c r="C181" s="1"/>
      <c r="D181" s="1"/>
      <c r="E181" s="1"/>
      <c r="F181" s="1"/>
      <c r="G181" s="1"/>
      <c r="H181" s="1"/>
      <c r="I181" s="1"/>
      <c r="J181" s="1"/>
      <c r="K181" s="1"/>
      <c r="L181" s="1"/>
      <c r="M181" s="1"/>
      <c r="N181" s="1"/>
      <c r="O181" s="1"/>
      <c r="P181" s="1"/>
      <c r="Q181" s="1"/>
      <c r="R181" s="1"/>
      <c r="S181" s="1"/>
      <c r="T181" s="1"/>
      <c r="U181" s="1"/>
      <c r="V181" s="1"/>
      <c r="W181" s="1"/>
      <c r="X181" s="1"/>
      <c r="Y181" s="1"/>
      <c r="Z181" s="1"/>
      <c r="AA181" s="219"/>
      <c r="AB181" s="219"/>
      <c r="AC181" s="219"/>
    </row>
    <row r="182" spans="1:29" ht="14.4">
      <c r="A182" s="1"/>
      <c r="B182" s="220"/>
      <c r="C182" s="1"/>
      <c r="D182" s="1"/>
      <c r="E182" s="1"/>
      <c r="F182" s="1"/>
      <c r="G182" s="1"/>
      <c r="H182" s="1"/>
      <c r="I182" s="1"/>
      <c r="J182" s="1"/>
      <c r="K182" s="1"/>
      <c r="L182" s="1"/>
      <c r="M182" s="1"/>
      <c r="N182" s="1"/>
      <c r="O182" s="1"/>
      <c r="P182" s="1"/>
      <c r="Q182" s="1"/>
      <c r="R182" s="1"/>
      <c r="S182" s="1"/>
      <c r="T182" s="1"/>
      <c r="U182" s="1"/>
      <c r="V182" s="1"/>
      <c r="W182" s="1"/>
      <c r="X182" s="1"/>
      <c r="Y182" s="1"/>
      <c r="Z182" s="1"/>
      <c r="AA182" s="219"/>
      <c r="AB182" s="219"/>
      <c r="AC182" s="219"/>
    </row>
    <row r="183" spans="1:29" ht="14.4">
      <c r="A183" s="1"/>
      <c r="B183" s="220"/>
      <c r="C183" s="1"/>
      <c r="D183" s="1"/>
      <c r="E183" s="1"/>
      <c r="F183" s="1"/>
      <c r="G183" s="1"/>
      <c r="H183" s="1"/>
      <c r="I183" s="1"/>
      <c r="J183" s="1"/>
      <c r="K183" s="1"/>
      <c r="L183" s="1"/>
      <c r="M183" s="1"/>
      <c r="N183" s="1"/>
      <c r="O183" s="1"/>
      <c r="P183" s="1"/>
      <c r="Q183" s="1"/>
      <c r="R183" s="1"/>
      <c r="S183" s="1"/>
      <c r="T183" s="1"/>
      <c r="U183" s="1"/>
      <c r="V183" s="1"/>
      <c r="W183" s="1"/>
      <c r="X183" s="1"/>
      <c r="Y183" s="1"/>
      <c r="Z183" s="1"/>
      <c r="AA183" s="219"/>
      <c r="AB183" s="219"/>
      <c r="AC183" s="219"/>
    </row>
    <row r="184" spans="1:29" ht="14.4">
      <c r="A184" s="1"/>
      <c r="B184" s="220"/>
      <c r="C184" s="1"/>
      <c r="D184" s="1"/>
      <c r="E184" s="1"/>
      <c r="F184" s="1"/>
      <c r="G184" s="1"/>
      <c r="H184" s="1"/>
      <c r="I184" s="1"/>
      <c r="J184" s="1"/>
      <c r="K184" s="1"/>
      <c r="L184" s="1"/>
      <c r="M184" s="1"/>
      <c r="N184" s="1"/>
      <c r="O184" s="1"/>
      <c r="P184" s="1"/>
      <c r="Q184" s="1"/>
      <c r="R184" s="1"/>
      <c r="S184" s="1"/>
      <c r="T184" s="1"/>
      <c r="U184" s="1"/>
      <c r="V184" s="1"/>
      <c r="W184" s="1"/>
      <c r="X184" s="1"/>
      <c r="Y184" s="1"/>
      <c r="Z184" s="1"/>
      <c r="AA184" s="219"/>
      <c r="AB184" s="219"/>
      <c r="AC184" s="219"/>
    </row>
    <row r="185" spans="1:29" ht="14.4">
      <c r="A185" s="1"/>
      <c r="B185" s="220"/>
      <c r="C185" s="1"/>
      <c r="D185" s="1"/>
      <c r="E185" s="1"/>
      <c r="F185" s="1"/>
      <c r="G185" s="1"/>
      <c r="H185" s="1"/>
      <c r="I185" s="1"/>
      <c r="J185" s="1"/>
      <c r="K185" s="1"/>
      <c r="L185" s="1"/>
      <c r="M185" s="1"/>
      <c r="N185" s="1"/>
      <c r="O185" s="1"/>
      <c r="P185" s="1"/>
      <c r="Q185" s="1"/>
      <c r="R185" s="1"/>
      <c r="S185" s="1"/>
      <c r="T185" s="1"/>
      <c r="U185" s="1"/>
      <c r="V185" s="1"/>
      <c r="W185" s="1"/>
      <c r="X185" s="1"/>
      <c r="Y185" s="1"/>
      <c r="Z185" s="1"/>
      <c r="AA185" s="219"/>
      <c r="AB185" s="219"/>
      <c r="AC185" s="219"/>
    </row>
    <row r="186" spans="1:29" ht="14.4">
      <c r="A186" s="1"/>
      <c r="B186" s="220"/>
      <c r="C186" s="1"/>
      <c r="D186" s="1"/>
      <c r="E186" s="1"/>
      <c r="F186" s="1"/>
      <c r="G186" s="1"/>
      <c r="H186" s="1"/>
      <c r="I186" s="1"/>
      <c r="J186" s="1"/>
      <c r="K186" s="1"/>
      <c r="L186" s="1"/>
      <c r="M186" s="1"/>
      <c r="N186" s="1"/>
      <c r="O186" s="1"/>
      <c r="P186" s="1"/>
      <c r="Q186" s="1"/>
      <c r="R186" s="1"/>
      <c r="S186" s="1"/>
      <c r="T186" s="1"/>
      <c r="U186" s="1"/>
      <c r="V186" s="1"/>
      <c r="W186" s="1"/>
      <c r="X186" s="1"/>
      <c r="Y186" s="1"/>
      <c r="Z186" s="1"/>
      <c r="AA186" s="219"/>
      <c r="AB186" s="219"/>
      <c r="AC186" s="219"/>
    </row>
    <row r="187" spans="1:29" ht="14.4">
      <c r="A187" s="1"/>
      <c r="B187" s="220"/>
      <c r="C187" s="1"/>
      <c r="D187" s="1"/>
      <c r="E187" s="1"/>
      <c r="F187" s="1"/>
      <c r="G187" s="1"/>
      <c r="H187" s="1"/>
      <c r="I187" s="1"/>
      <c r="J187" s="1"/>
      <c r="K187" s="1"/>
      <c r="L187" s="1"/>
      <c r="M187" s="1"/>
      <c r="N187" s="1"/>
      <c r="O187" s="1"/>
      <c r="P187" s="1"/>
      <c r="Q187" s="1"/>
      <c r="R187" s="1"/>
      <c r="S187" s="1"/>
      <c r="T187" s="1"/>
      <c r="U187" s="1"/>
      <c r="V187" s="1"/>
      <c r="W187" s="1"/>
      <c r="X187" s="1"/>
      <c r="Y187" s="1"/>
      <c r="Z187" s="1"/>
      <c r="AA187" s="219"/>
      <c r="AB187" s="219"/>
      <c r="AC187" s="219"/>
    </row>
    <row r="188" spans="1:29" ht="14.4">
      <c r="A188" s="1"/>
      <c r="B188" s="220"/>
      <c r="C188" s="1"/>
      <c r="D188" s="1"/>
      <c r="E188" s="1"/>
      <c r="F188" s="1"/>
      <c r="G188" s="1"/>
      <c r="H188" s="1"/>
      <c r="I188" s="1"/>
      <c r="J188" s="1"/>
      <c r="K188" s="1"/>
      <c r="L188" s="1"/>
      <c r="M188" s="1"/>
      <c r="N188" s="1"/>
      <c r="O188" s="1"/>
      <c r="P188" s="1"/>
      <c r="Q188" s="1"/>
      <c r="R188" s="1"/>
      <c r="S188" s="1"/>
      <c r="T188" s="1"/>
      <c r="U188" s="1"/>
      <c r="V188" s="1"/>
      <c r="W188" s="1"/>
      <c r="X188" s="1"/>
      <c r="Y188" s="1"/>
      <c r="Z188" s="1"/>
      <c r="AA188" s="219"/>
      <c r="AB188" s="219"/>
      <c r="AC188" s="219"/>
    </row>
    <row r="189" spans="1:29" ht="14.4">
      <c r="A189" s="1"/>
      <c r="B189" s="220"/>
      <c r="C189" s="1"/>
      <c r="D189" s="1"/>
      <c r="E189" s="1"/>
      <c r="F189" s="1"/>
      <c r="G189" s="1"/>
      <c r="H189" s="1"/>
      <c r="I189" s="1"/>
      <c r="J189" s="1"/>
      <c r="K189" s="1"/>
      <c r="L189" s="1"/>
      <c r="M189" s="1"/>
      <c r="N189" s="1"/>
      <c r="O189" s="1"/>
      <c r="P189" s="1"/>
      <c r="Q189" s="1"/>
      <c r="R189" s="1"/>
      <c r="S189" s="1"/>
      <c r="T189" s="1"/>
      <c r="U189" s="1"/>
      <c r="V189" s="1"/>
      <c r="W189" s="1"/>
      <c r="X189" s="1"/>
      <c r="Y189" s="1"/>
      <c r="Z189" s="1"/>
      <c r="AA189" s="219"/>
      <c r="AB189" s="219"/>
      <c r="AC189" s="219"/>
    </row>
    <row r="190" spans="1:29" ht="14.4">
      <c r="A190" s="1"/>
      <c r="B190" s="220"/>
      <c r="C190" s="1"/>
      <c r="D190" s="1"/>
      <c r="E190" s="1"/>
      <c r="F190" s="1"/>
      <c r="G190" s="1"/>
      <c r="H190" s="1"/>
      <c r="I190" s="1"/>
      <c r="J190" s="1"/>
      <c r="K190" s="1"/>
      <c r="L190" s="1"/>
      <c r="M190" s="1"/>
      <c r="N190" s="1"/>
      <c r="O190" s="1"/>
      <c r="P190" s="1"/>
      <c r="Q190" s="1"/>
      <c r="R190" s="1"/>
      <c r="S190" s="1"/>
      <c r="T190" s="1"/>
      <c r="U190" s="1"/>
      <c r="V190" s="1"/>
      <c r="W190" s="1"/>
      <c r="X190" s="1"/>
      <c r="Y190" s="1"/>
      <c r="Z190" s="1"/>
      <c r="AA190" s="219"/>
      <c r="AB190" s="219"/>
      <c r="AC190" s="219"/>
    </row>
    <row r="191" spans="1:29" ht="14.4">
      <c r="A191" s="1"/>
      <c r="B191" s="220"/>
      <c r="C191" s="1"/>
      <c r="D191" s="1"/>
      <c r="E191" s="1"/>
      <c r="F191" s="1"/>
      <c r="G191" s="1"/>
      <c r="H191" s="1"/>
      <c r="I191" s="1"/>
      <c r="J191" s="1"/>
      <c r="K191" s="1"/>
      <c r="L191" s="1"/>
      <c r="M191" s="1"/>
      <c r="N191" s="1"/>
      <c r="O191" s="1"/>
      <c r="P191" s="1"/>
      <c r="Q191" s="1"/>
      <c r="R191" s="1"/>
      <c r="S191" s="1"/>
      <c r="T191" s="1"/>
      <c r="U191" s="1"/>
      <c r="V191" s="1"/>
      <c r="W191" s="1"/>
      <c r="X191" s="1"/>
      <c r="Y191" s="1"/>
      <c r="Z191" s="1"/>
      <c r="AA191" s="219"/>
      <c r="AB191" s="219"/>
      <c r="AC191" s="219"/>
    </row>
    <row r="192" spans="1:29" ht="14.4">
      <c r="A192" s="1"/>
      <c r="B192" s="220"/>
      <c r="C192" s="1"/>
      <c r="D192" s="1"/>
      <c r="E192" s="1"/>
      <c r="F192" s="1"/>
      <c r="G192" s="1"/>
      <c r="H192" s="1"/>
      <c r="I192" s="1"/>
      <c r="J192" s="1"/>
      <c r="K192" s="1"/>
      <c r="L192" s="1"/>
      <c r="M192" s="1"/>
      <c r="N192" s="1"/>
      <c r="O192" s="1"/>
      <c r="P192" s="1"/>
      <c r="Q192" s="1"/>
      <c r="R192" s="1"/>
      <c r="S192" s="1"/>
      <c r="T192" s="1"/>
      <c r="U192" s="1"/>
      <c r="V192" s="1"/>
      <c r="W192" s="1"/>
      <c r="X192" s="1"/>
      <c r="Y192" s="1"/>
      <c r="Z192" s="1"/>
      <c r="AA192" s="219"/>
      <c r="AB192" s="219"/>
      <c r="AC192" s="219"/>
    </row>
    <row r="193" spans="1:29" ht="14.4">
      <c r="A193" s="1"/>
      <c r="B193" s="220"/>
      <c r="C193" s="1"/>
      <c r="D193" s="1"/>
      <c r="E193" s="1"/>
      <c r="F193" s="1"/>
      <c r="G193" s="1"/>
      <c r="H193" s="1"/>
      <c r="I193" s="1"/>
      <c r="J193" s="1"/>
      <c r="K193" s="1"/>
      <c r="L193" s="1"/>
      <c r="M193" s="1"/>
      <c r="N193" s="1"/>
      <c r="O193" s="1"/>
      <c r="P193" s="1"/>
      <c r="Q193" s="1"/>
      <c r="R193" s="1"/>
      <c r="S193" s="1"/>
      <c r="T193" s="1"/>
      <c r="U193" s="1"/>
      <c r="V193" s="1"/>
      <c r="W193" s="1"/>
      <c r="X193" s="1"/>
      <c r="Y193" s="1"/>
      <c r="Z193" s="1"/>
      <c r="AA193" s="219"/>
      <c r="AB193" s="219"/>
      <c r="AC193" s="219"/>
    </row>
    <row r="194" spans="1:29" ht="14.4">
      <c r="A194" s="1"/>
      <c r="B194" s="220"/>
      <c r="C194" s="1"/>
      <c r="D194" s="1"/>
      <c r="E194" s="1"/>
      <c r="F194" s="1"/>
      <c r="G194" s="1"/>
      <c r="H194" s="1"/>
      <c r="I194" s="1"/>
      <c r="J194" s="1"/>
      <c r="K194" s="1"/>
      <c r="L194" s="1"/>
      <c r="M194" s="1"/>
      <c r="N194" s="1"/>
      <c r="O194" s="1"/>
      <c r="P194" s="1"/>
      <c r="Q194" s="1"/>
      <c r="R194" s="1"/>
      <c r="S194" s="1"/>
      <c r="T194" s="1"/>
      <c r="U194" s="1"/>
      <c r="V194" s="1"/>
      <c r="W194" s="1"/>
      <c r="X194" s="1"/>
      <c r="Y194" s="1"/>
      <c r="Z194" s="1"/>
      <c r="AA194" s="219"/>
      <c r="AB194" s="219"/>
      <c r="AC194" s="219"/>
    </row>
    <row r="195" spans="1:29" ht="14.4">
      <c r="A195" s="1"/>
      <c r="B195" s="220"/>
      <c r="C195" s="1"/>
      <c r="D195" s="1"/>
      <c r="E195" s="1"/>
      <c r="F195" s="1"/>
      <c r="G195" s="1"/>
      <c r="H195" s="1"/>
      <c r="I195" s="1"/>
      <c r="J195" s="1"/>
      <c r="K195" s="1"/>
      <c r="L195" s="1"/>
      <c r="M195" s="1"/>
      <c r="N195" s="1"/>
      <c r="O195" s="1"/>
      <c r="P195" s="1"/>
      <c r="Q195" s="1"/>
      <c r="R195" s="1"/>
      <c r="S195" s="1"/>
      <c r="T195" s="1"/>
      <c r="U195" s="1"/>
      <c r="V195" s="1"/>
      <c r="W195" s="1"/>
      <c r="X195" s="1"/>
      <c r="Y195" s="1"/>
      <c r="Z195" s="1"/>
      <c r="AA195" s="219"/>
      <c r="AB195" s="219"/>
      <c r="AC195" s="219"/>
    </row>
    <row r="196" spans="1:29" ht="14.4">
      <c r="A196" s="1"/>
      <c r="B196" s="220"/>
      <c r="C196" s="1"/>
      <c r="D196" s="1"/>
      <c r="E196" s="1"/>
      <c r="F196" s="1"/>
      <c r="G196" s="1"/>
      <c r="H196" s="1"/>
      <c r="I196" s="1"/>
      <c r="J196" s="1"/>
      <c r="K196" s="1"/>
      <c r="L196" s="1"/>
      <c r="M196" s="1"/>
      <c r="N196" s="1"/>
      <c r="O196" s="1"/>
      <c r="P196" s="1"/>
      <c r="Q196" s="1"/>
      <c r="R196" s="1"/>
      <c r="S196" s="1"/>
      <c r="T196" s="1"/>
      <c r="U196" s="1"/>
      <c r="V196" s="1"/>
      <c r="W196" s="1"/>
      <c r="X196" s="1"/>
      <c r="Y196" s="1"/>
      <c r="Z196" s="1"/>
      <c r="AA196" s="219"/>
      <c r="AB196" s="219"/>
      <c r="AC196" s="219"/>
    </row>
    <row r="197" spans="1:29" ht="14.4">
      <c r="A197" s="1"/>
      <c r="B197" s="220"/>
      <c r="C197" s="1"/>
      <c r="D197" s="1"/>
      <c r="E197" s="1"/>
      <c r="F197" s="1"/>
      <c r="G197" s="1"/>
      <c r="H197" s="1"/>
      <c r="I197" s="1"/>
      <c r="J197" s="1"/>
      <c r="K197" s="1"/>
      <c r="L197" s="1"/>
      <c r="M197" s="1"/>
      <c r="N197" s="1"/>
      <c r="O197" s="1"/>
      <c r="P197" s="1"/>
      <c r="Q197" s="1"/>
      <c r="R197" s="1"/>
      <c r="S197" s="1"/>
      <c r="T197" s="1"/>
      <c r="U197" s="1"/>
      <c r="V197" s="1"/>
      <c r="W197" s="1"/>
      <c r="X197" s="1"/>
      <c r="Y197" s="1"/>
      <c r="Z197" s="1"/>
      <c r="AA197" s="219"/>
      <c r="AB197" s="219"/>
      <c r="AC197" s="219"/>
    </row>
    <row r="198" spans="1:29" ht="14.4">
      <c r="A198" s="1"/>
      <c r="B198" s="220"/>
      <c r="C198" s="1"/>
      <c r="D198" s="1"/>
      <c r="E198" s="1"/>
      <c r="F198" s="1"/>
      <c r="G198" s="1"/>
      <c r="H198" s="1"/>
      <c r="I198" s="1"/>
      <c r="J198" s="1"/>
      <c r="K198" s="1"/>
      <c r="L198" s="1"/>
      <c r="M198" s="1"/>
      <c r="N198" s="1"/>
      <c r="O198" s="1"/>
      <c r="P198" s="1"/>
      <c r="Q198" s="1"/>
      <c r="R198" s="1"/>
      <c r="S198" s="1"/>
      <c r="T198" s="1"/>
      <c r="U198" s="1"/>
      <c r="V198" s="1"/>
      <c r="W198" s="1"/>
      <c r="X198" s="1"/>
      <c r="Y198" s="1"/>
      <c r="Z198" s="1"/>
      <c r="AA198" s="219"/>
      <c r="AB198" s="219"/>
      <c r="AC198" s="219"/>
    </row>
    <row r="199" spans="1:29" ht="14.4">
      <c r="A199" s="1"/>
      <c r="B199" s="220"/>
      <c r="C199" s="1"/>
      <c r="D199" s="1"/>
      <c r="E199" s="1"/>
      <c r="F199" s="1"/>
      <c r="G199" s="1"/>
      <c r="H199" s="1"/>
      <c r="I199" s="1"/>
      <c r="J199" s="1"/>
      <c r="K199" s="1"/>
      <c r="L199" s="1"/>
      <c r="M199" s="1"/>
      <c r="N199" s="1"/>
      <c r="O199" s="1"/>
      <c r="P199" s="1"/>
      <c r="Q199" s="1"/>
      <c r="R199" s="1"/>
      <c r="S199" s="1"/>
      <c r="T199" s="1"/>
      <c r="U199" s="1"/>
      <c r="V199" s="1"/>
      <c r="W199" s="1"/>
      <c r="X199" s="1"/>
      <c r="Y199" s="1"/>
      <c r="Z199" s="1"/>
      <c r="AA199" s="219"/>
      <c r="AB199" s="219"/>
      <c r="AC199" s="219"/>
    </row>
    <row r="200" spans="1:29" ht="14.4">
      <c r="A200" s="1"/>
      <c r="B200" s="220"/>
      <c r="C200" s="1"/>
      <c r="D200" s="1"/>
      <c r="E200" s="1"/>
      <c r="F200" s="1"/>
      <c r="G200" s="1"/>
      <c r="H200" s="1"/>
      <c r="I200" s="1"/>
      <c r="J200" s="1"/>
      <c r="K200" s="1"/>
      <c r="L200" s="1"/>
      <c r="M200" s="1"/>
      <c r="N200" s="1"/>
      <c r="O200" s="1"/>
      <c r="P200" s="1"/>
      <c r="Q200" s="1"/>
      <c r="R200" s="1"/>
      <c r="S200" s="1"/>
      <c r="T200" s="1"/>
      <c r="U200" s="1"/>
      <c r="V200" s="1"/>
      <c r="W200" s="1"/>
      <c r="X200" s="1"/>
      <c r="Y200" s="1"/>
      <c r="Z200" s="1"/>
      <c r="AA200" s="219"/>
      <c r="AB200" s="219"/>
      <c r="AC200" s="219"/>
    </row>
    <row r="201" spans="1:29" ht="14.4">
      <c r="A201" s="1"/>
      <c r="B201" s="220"/>
      <c r="C201" s="1"/>
      <c r="D201" s="1"/>
      <c r="E201" s="1"/>
      <c r="F201" s="1"/>
      <c r="G201" s="1"/>
      <c r="H201" s="1"/>
      <c r="I201" s="1"/>
      <c r="J201" s="1"/>
      <c r="K201" s="1"/>
      <c r="L201" s="1"/>
      <c r="M201" s="1"/>
      <c r="N201" s="1"/>
      <c r="O201" s="1"/>
      <c r="P201" s="1"/>
      <c r="Q201" s="1"/>
      <c r="R201" s="1"/>
      <c r="S201" s="1"/>
      <c r="T201" s="1"/>
      <c r="U201" s="1"/>
      <c r="V201" s="1"/>
      <c r="W201" s="1"/>
      <c r="X201" s="1"/>
      <c r="Y201" s="1"/>
      <c r="Z201" s="1"/>
      <c r="AA201" s="219"/>
      <c r="AB201" s="219"/>
      <c r="AC201" s="219"/>
    </row>
    <row r="202" spans="1:29" ht="14.4">
      <c r="A202" s="1"/>
      <c r="B202" s="220"/>
      <c r="C202" s="1"/>
      <c r="D202" s="1"/>
      <c r="E202" s="1"/>
      <c r="F202" s="1"/>
      <c r="G202" s="1"/>
      <c r="H202" s="1"/>
      <c r="I202" s="1"/>
      <c r="J202" s="1"/>
      <c r="K202" s="1"/>
      <c r="L202" s="1"/>
      <c r="M202" s="1"/>
      <c r="N202" s="1"/>
      <c r="O202" s="1"/>
      <c r="P202" s="1"/>
      <c r="Q202" s="1"/>
      <c r="R202" s="1"/>
      <c r="S202" s="1"/>
      <c r="T202" s="1"/>
      <c r="U202" s="1"/>
      <c r="V202" s="1"/>
      <c r="W202" s="1"/>
      <c r="X202" s="1"/>
      <c r="Y202" s="1"/>
      <c r="Z202" s="1"/>
      <c r="AA202" s="219"/>
      <c r="AB202" s="219"/>
      <c r="AC202" s="219"/>
    </row>
    <row r="203" spans="1:29" ht="14.4">
      <c r="A203" s="1"/>
      <c r="B203" s="220"/>
      <c r="C203" s="1"/>
      <c r="D203" s="1"/>
      <c r="E203" s="1"/>
      <c r="F203" s="1"/>
      <c r="G203" s="1"/>
      <c r="H203" s="1"/>
      <c r="I203" s="1"/>
      <c r="J203" s="1"/>
      <c r="K203" s="1"/>
      <c r="L203" s="1"/>
      <c r="M203" s="1"/>
      <c r="N203" s="1"/>
      <c r="O203" s="1"/>
      <c r="P203" s="1"/>
      <c r="Q203" s="1"/>
      <c r="R203" s="1"/>
      <c r="S203" s="1"/>
      <c r="T203" s="1"/>
      <c r="U203" s="1"/>
      <c r="V203" s="1"/>
      <c r="W203" s="1"/>
      <c r="X203" s="1"/>
      <c r="Y203" s="1"/>
      <c r="Z203" s="1"/>
      <c r="AA203" s="219"/>
      <c r="AB203" s="219"/>
      <c r="AC203" s="219"/>
    </row>
    <row r="204" spans="1:29" ht="14.4">
      <c r="A204" s="1"/>
      <c r="B204" s="220"/>
      <c r="C204" s="1"/>
      <c r="D204" s="1"/>
      <c r="E204" s="1"/>
      <c r="F204" s="1"/>
      <c r="G204" s="1"/>
      <c r="H204" s="1"/>
      <c r="I204" s="1"/>
      <c r="J204" s="1"/>
      <c r="K204" s="1"/>
      <c r="L204" s="1"/>
      <c r="M204" s="1"/>
      <c r="N204" s="1"/>
      <c r="O204" s="1"/>
      <c r="P204" s="1"/>
      <c r="Q204" s="1"/>
      <c r="R204" s="1"/>
      <c r="S204" s="1"/>
      <c r="T204" s="1"/>
      <c r="U204" s="1"/>
      <c r="V204" s="1"/>
      <c r="W204" s="1"/>
      <c r="X204" s="1"/>
      <c r="Y204" s="1"/>
      <c r="Z204" s="1"/>
      <c r="AA204" s="219"/>
      <c r="AB204" s="219"/>
      <c r="AC204" s="219"/>
    </row>
    <row r="205" spans="1:29" ht="14.4">
      <c r="A205" s="1"/>
      <c r="B205" s="220"/>
      <c r="C205" s="1"/>
      <c r="D205" s="1"/>
      <c r="E205" s="1"/>
      <c r="F205" s="1"/>
      <c r="G205" s="1"/>
      <c r="H205" s="1"/>
      <c r="I205" s="1"/>
      <c r="J205" s="1"/>
      <c r="K205" s="1"/>
      <c r="L205" s="1"/>
      <c r="M205" s="1"/>
      <c r="N205" s="1"/>
      <c r="O205" s="1"/>
      <c r="P205" s="1"/>
      <c r="Q205" s="1"/>
      <c r="R205" s="1"/>
      <c r="S205" s="1"/>
      <c r="T205" s="1"/>
      <c r="U205" s="1"/>
      <c r="V205" s="1"/>
      <c r="W205" s="1"/>
      <c r="X205" s="1"/>
      <c r="Y205" s="1"/>
      <c r="Z205" s="1"/>
      <c r="AA205" s="219"/>
      <c r="AB205" s="219"/>
      <c r="AC205" s="219"/>
    </row>
    <row r="206" spans="1:29" ht="14.4">
      <c r="A206" s="1"/>
      <c r="B206" s="220"/>
      <c r="C206" s="1"/>
      <c r="D206" s="1"/>
      <c r="E206" s="1"/>
      <c r="F206" s="1"/>
      <c r="G206" s="1"/>
      <c r="H206" s="1"/>
      <c r="I206" s="1"/>
      <c r="J206" s="1"/>
      <c r="K206" s="1"/>
      <c r="L206" s="1"/>
      <c r="M206" s="1"/>
      <c r="N206" s="1"/>
      <c r="O206" s="1"/>
      <c r="P206" s="1"/>
      <c r="Q206" s="1"/>
      <c r="R206" s="1"/>
      <c r="S206" s="1"/>
      <c r="T206" s="1"/>
      <c r="U206" s="1"/>
      <c r="V206" s="1"/>
      <c r="W206" s="1"/>
      <c r="X206" s="1"/>
      <c r="Y206" s="1"/>
      <c r="Z206" s="1"/>
      <c r="AA206" s="219"/>
      <c r="AB206" s="219"/>
      <c r="AC206" s="219"/>
    </row>
    <row r="207" spans="1:29" ht="14.4">
      <c r="A207" s="1"/>
      <c r="B207" s="220"/>
      <c r="C207" s="1"/>
      <c r="D207" s="1"/>
      <c r="E207" s="1"/>
      <c r="F207" s="1"/>
      <c r="G207" s="1"/>
      <c r="H207" s="1"/>
      <c r="I207" s="1"/>
      <c r="J207" s="1"/>
      <c r="K207" s="1"/>
      <c r="L207" s="1"/>
      <c r="M207" s="1"/>
      <c r="N207" s="1"/>
      <c r="O207" s="1"/>
      <c r="P207" s="1"/>
      <c r="Q207" s="1"/>
      <c r="R207" s="1"/>
      <c r="S207" s="1"/>
      <c r="T207" s="1"/>
      <c r="U207" s="1"/>
      <c r="V207" s="1"/>
      <c r="W207" s="1"/>
      <c r="X207" s="1"/>
      <c r="Y207" s="1"/>
      <c r="Z207" s="1"/>
      <c r="AA207" s="219"/>
      <c r="AB207" s="219"/>
      <c r="AC207" s="219"/>
    </row>
    <row r="208" spans="1:29" ht="14.4">
      <c r="A208" s="1"/>
      <c r="B208" s="220"/>
      <c r="C208" s="1"/>
      <c r="D208" s="1"/>
      <c r="E208" s="1"/>
      <c r="F208" s="1"/>
      <c r="G208" s="1"/>
      <c r="H208" s="1"/>
      <c r="I208" s="1"/>
      <c r="J208" s="1"/>
      <c r="K208" s="1"/>
      <c r="L208" s="1"/>
      <c r="M208" s="1"/>
      <c r="N208" s="1"/>
      <c r="O208" s="1"/>
      <c r="P208" s="1"/>
      <c r="Q208" s="1"/>
      <c r="R208" s="1"/>
      <c r="S208" s="1"/>
      <c r="T208" s="1"/>
      <c r="U208" s="1"/>
      <c r="V208" s="1"/>
      <c r="W208" s="1"/>
      <c r="X208" s="1"/>
      <c r="Y208" s="1"/>
      <c r="Z208" s="1"/>
      <c r="AA208" s="219"/>
      <c r="AB208" s="219"/>
      <c r="AC208" s="219"/>
    </row>
    <row r="209" spans="1:29" ht="14.4">
      <c r="A209" s="1"/>
      <c r="B209" s="220"/>
      <c r="C209" s="1"/>
      <c r="D209" s="1"/>
      <c r="E209" s="1"/>
      <c r="F209" s="1"/>
      <c r="G209" s="1"/>
      <c r="H209" s="1"/>
      <c r="I209" s="1"/>
      <c r="J209" s="1"/>
      <c r="K209" s="1"/>
      <c r="L209" s="1"/>
      <c r="M209" s="1"/>
      <c r="N209" s="1"/>
      <c r="O209" s="1"/>
      <c r="P209" s="1"/>
      <c r="Q209" s="1"/>
      <c r="R209" s="1"/>
      <c r="S209" s="1"/>
      <c r="T209" s="1"/>
      <c r="U209" s="1"/>
      <c r="V209" s="1"/>
      <c r="W209" s="1"/>
      <c r="X209" s="1"/>
      <c r="Y209" s="1"/>
      <c r="Z209" s="1"/>
      <c r="AA209" s="219"/>
      <c r="AB209" s="219"/>
      <c r="AC209" s="219"/>
    </row>
    <row r="210" spans="1:29" ht="14.4">
      <c r="A210" s="1"/>
      <c r="B210" s="220"/>
      <c r="C210" s="1"/>
      <c r="D210" s="1"/>
      <c r="E210" s="1"/>
      <c r="F210" s="1"/>
      <c r="G210" s="1"/>
      <c r="H210" s="1"/>
      <c r="I210" s="1"/>
      <c r="J210" s="1"/>
      <c r="K210" s="1"/>
      <c r="L210" s="1"/>
      <c r="M210" s="1"/>
      <c r="N210" s="1"/>
      <c r="O210" s="1"/>
      <c r="P210" s="1"/>
      <c r="Q210" s="1"/>
      <c r="R210" s="1"/>
      <c r="S210" s="1"/>
      <c r="T210" s="1"/>
      <c r="U210" s="1"/>
      <c r="V210" s="1"/>
      <c r="W210" s="1"/>
      <c r="X210" s="1"/>
      <c r="Y210" s="1"/>
      <c r="Z210" s="1"/>
      <c r="AA210" s="219"/>
      <c r="AB210" s="219"/>
      <c r="AC210" s="219"/>
    </row>
    <row r="211" spans="1:29" ht="14.4">
      <c r="A211" s="1"/>
      <c r="B211" s="220"/>
      <c r="C211" s="1"/>
      <c r="D211" s="1"/>
      <c r="E211" s="1"/>
      <c r="F211" s="1"/>
      <c r="G211" s="1"/>
      <c r="H211" s="1"/>
      <c r="I211" s="1"/>
      <c r="J211" s="1"/>
      <c r="K211" s="1"/>
      <c r="L211" s="1"/>
      <c r="M211" s="1"/>
      <c r="N211" s="1"/>
      <c r="O211" s="1"/>
      <c r="P211" s="1"/>
      <c r="Q211" s="1"/>
      <c r="R211" s="1"/>
      <c r="S211" s="1"/>
      <c r="T211" s="1"/>
      <c r="U211" s="1"/>
      <c r="V211" s="1"/>
      <c r="W211" s="1"/>
      <c r="X211" s="1"/>
      <c r="Y211" s="1"/>
      <c r="Z211" s="1"/>
      <c r="AA211" s="219"/>
      <c r="AB211" s="219"/>
      <c r="AC211" s="219"/>
    </row>
    <row r="212" spans="1:29" ht="14.4">
      <c r="A212" s="1"/>
      <c r="B212" s="220"/>
      <c r="C212" s="1"/>
      <c r="D212" s="1"/>
      <c r="E212" s="1"/>
      <c r="F212" s="1"/>
      <c r="G212" s="1"/>
      <c r="H212" s="1"/>
      <c r="I212" s="1"/>
      <c r="J212" s="1"/>
      <c r="K212" s="1"/>
      <c r="L212" s="1"/>
      <c r="M212" s="1"/>
      <c r="N212" s="1"/>
      <c r="O212" s="1"/>
      <c r="P212" s="1"/>
      <c r="Q212" s="1"/>
      <c r="R212" s="1"/>
      <c r="S212" s="1"/>
      <c r="T212" s="1"/>
      <c r="U212" s="1"/>
      <c r="V212" s="1"/>
      <c r="W212" s="1"/>
      <c r="X212" s="1"/>
      <c r="Y212" s="1"/>
      <c r="Z212" s="1"/>
      <c r="AA212" s="219"/>
      <c r="AB212" s="219"/>
      <c r="AC212" s="219"/>
    </row>
    <row r="213" spans="1:29" ht="14.4">
      <c r="A213" s="1"/>
      <c r="B213" s="220"/>
      <c r="C213" s="1"/>
      <c r="D213" s="1"/>
      <c r="E213" s="1"/>
      <c r="F213" s="1"/>
      <c r="G213" s="1"/>
      <c r="H213" s="1"/>
      <c r="I213" s="1"/>
      <c r="J213" s="1"/>
      <c r="K213" s="1"/>
      <c r="L213" s="1"/>
      <c r="M213" s="1"/>
      <c r="N213" s="1"/>
      <c r="O213" s="1"/>
      <c r="P213" s="1"/>
      <c r="Q213" s="1"/>
      <c r="R213" s="1"/>
      <c r="S213" s="1"/>
      <c r="T213" s="1"/>
      <c r="U213" s="1"/>
      <c r="V213" s="1"/>
      <c r="W213" s="1"/>
      <c r="X213" s="1"/>
      <c r="Y213" s="1"/>
      <c r="Z213" s="1"/>
      <c r="AA213" s="219"/>
      <c r="AB213" s="219"/>
      <c r="AC213" s="219"/>
    </row>
    <row r="214" spans="1:29" ht="14.4">
      <c r="A214" s="1"/>
      <c r="B214" s="220"/>
      <c r="C214" s="1"/>
      <c r="D214" s="1"/>
      <c r="E214" s="1"/>
      <c r="F214" s="1"/>
      <c r="G214" s="1"/>
      <c r="H214" s="1"/>
      <c r="I214" s="1"/>
      <c r="J214" s="1"/>
      <c r="K214" s="1"/>
      <c r="L214" s="1"/>
      <c r="M214" s="1"/>
      <c r="N214" s="1"/>
      <c r="O214" s="1"/>
      <c r="P214" s="1"/>
      <c r="Q214" s="1"/>
      <c r="R214" s="1"/>
      <c r="S214" s="1"/>
      <c r="T214" s="1"/>
      <c r="U214" s="1"/>
      <c r="V214" s="1"/>
      <c r="W214" s="1"/>
      <c r="X214" s="1"/>
      <c r="Y214" s="1"/>
      <c r="Z214" s="1"/>
      <c r="AA214" s="219"/>
      <c r="AB214" s="219"/>
      <c r="AC214" s="219"/>
    </row>
    <row r="215" spans="1:29" ht="14.4">
      <c r="A215" s="1"/>
      <c r="B215" s="220"/>
      <c r="C215" s="1"/>
      <c r="D215" s="1"/>
      <c r="E215" s="1"/>
      <c r="F215" s="1"/>
      <c r="G215" s="1"/>
      <c r="H215" s="1"/>
      <c r="I215" s="1"/>
      <c r="J215" s="1"/>
      <c r="K215" s="1"/>
      <c r="L215" s="1"/>
      <c r="M215" s="1"/>
      <c r="N215" s="1"/>
      <c r="O215" s="1"/>
      <c r="P215" s="1"/>
      <c r="Q215" s="1"/>
      <c r="R215" s="1"/>
      <c r="S215" s="1"/>
      <c r="T215" s="1"/>
      <c r="U215" s="1"/>
      <c r="V215" s="1"/>
      <c r="W215" s="1"/>
      <c r="X215" s="1"/>
      <c r="Y215" s="1"/>
      <c r="Z215" s="1"/>
      <c r="AA215" s="219"/>
      <c r="AB215" s="219"/>
      <c r="AC215" s="219"/>
    </row>
    <row r="216" spans="1:29" ht="14.4">
      <c r="A216" s="1"/>
      <c r="B216" s="220"/>
      <c r="C216" s="1"/>
      <c r="D216" s="1"/>
      <c r="E216" s="1"/>
      <c r="F216" s="1"/>
      <c r="G216" s="1"/>
      <c r="H216" s="1"/>
      <c r="I216" s="1"/>
      <c r="J216" s="1"/>
      <c r="K216" s="1"/>
      <c r="L216" s="1"/>
      <c r="M216" s="1"/>
      <c r="N216" s="1"/>
      <c r="O216" s="1"/>
      <c r="P216" s="1"/>
      <c r="Q216" s="1"/>
      <c r="R216" s="1"/>
      <c r="S216" s="1"/>
      <c r="T216" s="1"/>
      <c r="U216" s="1"/>
      <c r="V216" s="1"/>
      <c r="W216" s="1"/>
      <c r="X216" s="1"/>
      <c r="Y216" s="1"/>
      <c r="Z216" s="1"/>
      <c r="AA216" s="219"/>
      <c r="AB216" s="219"/>
      <c r="AC216" s="219"/>
    </row>
    <row r="217" spans="1:29" ht="14.4">
      <c r="A217" s="1"/>
      <c r="B217" s="220"/>
      <c r="C217" s="1"/>
      <c r="D217" s="1"/>
      <c r="E217" s="1"/>
      <c r="F217" s="1"/>
      <c r="G217" s="1"/>
      <c r="H217" s="1"/>
      <c r="I217" s="1"/>
      <c r="J217" s="1"/>
      <c r="K217" s="1"/>
      <c r="L217" s="1"/>
      <c r="M217" s="1"/>
      <c r="N217" s="1"/>
      <c r="O217" s="1"/>
      <c r="P217" s="1"/>
      <c r="Q217" s="1"/>
      <c r="R217" s="1"/>
      <c r="S217" s="1"/>
      <c r="T217" s="1"/>
      <c r="U217" s="1"/>
      <c r="V217" s="1"/>
      <c r="W217" s="1"/>
      <c r="X217" s="1"/>
      <c r="Y217" s="1"/>
      <c r="Z217" s="1"/>
      <c r="AA217" s="219"/>
      <c r="AB217" s="219"/>
      <c r="AC217" s="219"/>
    </row>
    <row r="218" spans="1:29" ht="14.4">
      <c r="A218" s="1"/>
      <c r="B218" s="220"/>
      <c r="C218" s="1"/>
      <c r="D218" s="1"/>
      <c r="E218" s="1"/>
      <c r="F218" s="1"/>
      <c r="G218" s="1"/>
      <c r="H218" s="1"/>
      <c r="I218" s="1"/>
      <c r="J218" s="1"/>
      <c r="K218" s="1"/>
      <c r="L218" s="1"/>
      <c r="M218" s="1"/>
      <c r="N218" s="1"/>
      <c r="O218" s="1"/>
      <c r="P218" s="1"/>
      <c r="Q218" s="1"/>
      <c r="R218" s="1"/>
      <c r="S218" s="1"/>
      <c r="T218" s="1"/>
      <c r="U218" s="1"/>
      <c r="V218" s="1"/>
      <c r="W218" s="1"/>
      <c r="X218" s="1"/>
      <c r="Y218" s="1"/>
      <c r="Z218" s="1"/>
      <c r="AA218" s="219"/>
      <c r="AB218" s="219"/>
      <c r="AC218" s="219"/>
    </row>
    <row r="219" spans="1:29" ht="14.4">
      <c r="A219" s="1"/>
      <c r="B219" s="220"/>
      <c r="C219" s="1"/>
      <c r="D219" s="1"/>
      <c r="E219" s="1"/>
      <c r="F219" s="1"/>
      <c r="G219" s="1"/>
      <c r="H219" s="1"/>
      <c r="I219" s="1"/>
      <c r="J219" s="1"/>
      <c r="K219" s="1"/>
      <c r="L219" s="1"/>
      <c r="M219" s="1"/>
      <c r="N219" s="1"/>
      <c r="O219" s="1"/>
      <c r="P219" s="1"/>
      <c r="Q219" s="1"/>
      <c r="R219" s="1"/>
      <c r="S219" s="1"/>
      <c r="T219" s="1"/>
      <c r="U219" s="1"/>
      <c r="V219" s="1"/>
      <c r="W219" s="1"/>
      <c r="X219" s="1"/>
      <c r="Y219" s="1"/>
      <c r="Z219" s="1"/>
      <c r="AA219" s="219"/>
      <c r="AB219" s="219"/>
      <c r="AC219" s="219"/>
    </row>
    <row r="220" spans="1:29" ht="14.4">
      <c r="A220" s="1"/>
      <c r="B220" s="220"/>
      <c r="C220" s="1"/>
      <c r="D220" s="1"/>
      <c r="E220" s="1"/>
      <c r="F220" s="1"/>
      <c r="G220" s="1"/>
      <c r="H220" s="1"/>
      <c r="I220" s="1"/>
      <c r="J220" s="1"/>
      <c r="K220" s="1"/>
      <c r="L220" s="1"/>
      <c r="M220" s="1"/>
      <c r="N220" s="1"/>
      <c r="O220" s="1"/>
      <c r="P220" s="1"/>
      <c r="Q220" s="1"/>
      <c r="R220" s="1"/>
      <c r="S220" s="1"/>
      <c r="T220" s="1"/>
      <c r="U220" s="1"/>
      <c r="V220" s="1"/>
      <c r="W220" s="1"/>
      <c r="X220" s="1"/>
      <c r="Y220" s="1"/>
      <c r="Z220" s="1"/>
      <c r="AA220" s="219"/>
      <c r="AB220" s="219"/>
      <c r="AC220" s="219"/>
    </row>
    <row r="221" spans="1:29" ht="14.4">
      <c r="A221" s="1"/>
      <c r="B221" s="220"/>
      <c r="C221" s="1"/>
      <c r="D221" s="1"/>
      <c r="E221" s="1"/>
      <c r="F221" s="1"/>
      <c r="G221" s="1"/>
      <c r="H221" s="1"/>
      <c r="I221" s="1"/>
      <c r="J221" s="1"/>
      <c r="K221" s="1"/>
      <c r="L221" s="1"/>
      <c r="M221" s="1"/>
      <c r="N221" s="1"/>
      <c r="O221" s="1"/>
      <c r="P221" s="1"/>
      <c r="Q221" s="1"/>
      <c r="R221" s="1"/>
      <c r="S221" s="1"/>
      <c r="T221" s="1"/>
      <c r="U221" s="1"/>
      <c r="V221" s="1"/>
      <c r="W221" s="1"/>
      <c r="X221" s="1"/>
      <c r="Y221" s="1"/>
      <c r="Z221" s="1"/>
      <c r="AA221" s="219"/>
      <c r="AB221" s="219"/>
      <c r="AC221" s="219"/>
    </row>
    <row r="222" spans="1:29" ht="14.4">
      <c r="A222" s="1"/>
      <c r="B222" s="220"/>
      <c r="C222" s="1"/>
      <c r="D222" s="1"/>
      <c r="E222" s="1"/>
      <c r="F222" s="1"/>
      <c r="G222" s="1"/>
      <c r="H222" s="1"/>
      <c r="I222" s="1"/>
      <c r="J222" s="1"/>
      <c r="K222" s="1"/>
      <c r="L222" s="1"/>
      <c r="M222" s="1"/>
      <c r="N222" s="1"/>
      <c r="O222" s="1"/>
      <c r="P222" s="1"/>
      <c r="Q222" s="1"/>
      <c r="R222" s="1"/>
      <c r="S222" s="1"/>
      <c r="T222" s="1"/>
      <c r="U222" s="1"/>
      <c r="V222" s="1"/>
      <c r="W222" s="1"/>
      <c r="X222" s="1"/>
      <c r="Y222" s="1"/>
      <c r="Z222" s="1"/>
      <c r="AA222" s="219"/>
      <c r="AB222" s="219"/>
      <c r="AC222" s="219"/>
    </row>
    <row r="223" spans="1:29" ht="14.4">
      <c r="A223" s="1"/>
      <c r="B223" s="220"/>
      <c r="C223" s="1"/>
      <c r="D223" s="1"/>
      <c r="E223" s="1"/>
      <c r="F223" s="1"/>
      <c r="G223" s="1"/>
      <c r="H223" s="1"/>
      <c r="I223" s="1"/>
      <c r="J223" s="1"/>
      <c r="K223" s="1"/>
      <c r="L223" s="1"/>
      <c r="M223" s="1"/>
      <c r="N223" s="1"/>
      <c r="O223" s="1"/>
      <c r="P223" s="1"/>
      <c r="Q223" s="1"/>
      <c r="R223" s="1"/>
      <c r="S223" s="1"/>
      <c r="T223" s="1"/>
      <c r="U223" s="1"/>
      <c r="V223" s="1"/>
      <c r="W223" s="1"/>
      <c r="X223" s="1"/>
      <c r="Y223" s="1"/>
      <c r="Z223" s="1"/>
      <c r="AA223" s="219"/>
      <c r="AB223" s="219"/>
      <c r="AC223" s="219"/>
    </row>
    <row r="224" spans="1:29" ht="14.4">
      <c r="A224" s="1"/>
      <c r="B224" s="220"/>
      <c r="C224" s="1"/>
      <c r="D224" s="1"/>
      <c r="E224" s="1"/>
      <c r="F224" s="1"/>
      <c r="G224" s="1"/>
      <c r="H224" s="1"/>
      <c r="I224" s="1"/>
      <c r="J224" s="1"/>
      <c r="K224" s="1"/>
      <c r="L224" s="1"/>
      <c r="M224" s="1"/>
      <c r="N224" s="1"/>
      <c r="O224" s="1"/>
      <c r="P224" s="1"/>
      <c r="Q224" s="1"/>
      <c r="R224" s="1"/>
      <c r="S224" s="1"/>
      <c r="T224" s="1"/>
      <c r="U224" s="1"/>
      <c r="V224" s="1"/>
      <c r="W224" s="1"/>
      <c r="X224" s="1"/>
      <c r="Y224" s="1"/>
      <c r="Z224" s="1"/>
      <c r="AA224" s="219"/>
      <c r="AB224" s="219"/>
      <c r="AC224" s="219"/>
    </row>
    <row r="225" spans="1:29" ht="14.4">
      <c r="A225" s="1"/>
      <c r="B225" s="220"/>
      <c r="C225" s="1"/>
      <c r="D225" s="1"/>
      <c r="E225" s="1"/>
      <c r="F225" s="1"/>
      <c r="G225" s="1"/>
      <c r="H225" s="1"/>
      <c r="I225" s="1"/>
      <c r="J225" s="1"/>
      <c r="K225" s="1"/>
      <c r="L225" s="1"/>
      <c r="M225" s="1"/>
      <c r="N225" s="1"/>
      <c r="O225" s="1"/>
      <c r="P225" s="1"/>
      <c r="Q225" s="1"/>
      <c r="R225" s="1"/>
      <c r="S225" s="1"/>
      <c r="T225" s="1"/>
      <c r="U225" s="1"/>
      <c r="V225" s="1"/>
      <c r="W225" s="1"/>
      <c r="X225" s="1"/>
      <c r="Y225" s="1"/>
      <c r="Z225" s="1"/>
      <c r="AA225" s="219"/>
      <c r="AB225" s="219"/>
      <c r="AC225" s="219"/>
    </row>
    <row r="226" spans="1:29" ht="14.4">
      <c r="A226" s="1"/>
      <c r="B226" s="220"/>
      <c r="C226" s="1"/>
      <c r="D226" s="1"/>
      <c r="E226" s="1"/>
      <c r="F226" s="1"/>
      <c r="G226" s="1"/>
      <c r="H226" s="1"/>
      <c r="I226" s="1"/>
      <c r="J226" s="1"/>
      <c r="K226" s="1"/>
      <c r="L226" s="1"/>
      <c r="M226" s="1"/>
      <c r="N226" s="1"/>
      <c r="O226" s="1"/>
      <c r="P226" s="1"/>
      <c r="Q226" s="1"/>
      <c r="R226" s="1"/>
      <c r="S226" s="1"/>
      <c r="T226" s="1"/>
      <c r="U226" s="1"/>
      <c r="V226" s="1"/>
      <c r="W226" s="1"/>
      <c r="X226" s="1"/>
      <c r="Y226" s="1"/>
      <c r="Z226" s="1"/>
      <c r="AA226" s="219"/>
      <c r="AB226" s="219"/>
      <c r="AC226" s="219"/>
    </row>
    <row r="227" spans="1:29" ht="14.4">
      <c r="A227" s="1"/>
      <c r="B227" s="220"/>
      <c r="C227" s="1"/>
      <c r="D227" s="1"/>
      <c r="E227" s="1"/>
      <c r="F227" s="1"/>
      <c r="G227" s="1"/>
      <c r="H227" s="1"/>
      <c r="I227" s="1"/>
      <c r="J227" s="1"/>
      <c r="K227" s="1"/>
      <c r="L227" s="1"/>
      <c r="M227" s="1"/>
      <c r="N227" s="1"/>
      <c r="O227" s="1"/>
      <c r="P227" s="1"/>
      <c r="Q227" s="1"/>
      <c r="R227" s="1"/>
      <c r="S227" s="1"/>
      <c r="T227" s="1"/>
      <c r="U227" s="1"/>
      <c r="V227" s="1"/>
      <c r="W227" s="1"/>
      <c r="X227" s="1"/>
      <c r="Y227" s="1"/>
      <c r="Z227" s="1"/>
      <c r="AA227" s="219"/>
      <c r="AB227" s="219"/>
      <c r="AC227" s="219"/>
    </row>
    <row r="228" spans="1:29" ht="14.4">
      <c r="A228" s="1"/>
      <c r="B228" s="220"/>
      <c r="C228" s="1"/>
      <c r="D228" s="1"/>
      <c r="E228" s="1"/>
      <c r="F228" s="1"/>
      <c r="G228" s="1"/>
      <c r="H228" s="1"/>
      <c r="I228" s="1"/>
      <c r="J228" s="1"/>
      <c r="K228" s="1"/>
      <c r="L228" s="1"/>
      <c r="M228" s="1"/>
      <c r="N228" s="1"/>
      <c r="O228" s="1"/>
      <c r="P228" s="1"/>
      <c r="Q228" s="1"/>
      <c r="R228" s="1"/>
      <c r="S228" s="1"/>
      <c r="T228" s="1"/>
      <c r="U228" s="1"/>
      <c r="V228" s="1"/>
      <c r="W228" s="1"/>
      <c r="X228" s="1"/>
      <c r="Y228" s="1"/>
      <c r="Z228" s="1"/>
      <c r="AA228" s="219"/>
      <c r="AB228" s="219"/>
      <c r="AC228" s="219"/>
    </row>
    <row r="229" spans="1:29" ht="14.4">
      <c r="A229" s="1"/>
      <c r="B229" s="220"/>
      <c r="C229" s="1"/>
      <c r="D229" s="1"/>
      <c r="E229" s="1"/>
      <c r="F229" s="1"/>
      <c r="G229" s="1"/>
      <c r="H229" s="1"/>
      <c r="I229" s="1"/>
      <c r="J229" s="1"/>
      <c r="K229" s="1"/>
      <c r="L229" s="1"/>
      <c r="M229" s="1"/>
      <c r="N229" s="1"/>
      <c r="O229" s="1"/>
      <c r="P229" s="1"/>
      <c r="Q229" s="1"/>
      <c r="R229" s="1"/>
      <c r="S229" s="1"/>
      <c r="T229" s="1"/>
      <c r="U229" s="1"/>
      <c r="V229" s="1"/>
      <c r="W229" s="1"/>
      <c r="X229" s="1"/>
      <c r="Y229" s="1"/>
      <c r="Z229" s="1"/>
      <c r="AA229" s="219"/>
      <c r="AB229" s="219"/>
      <c r="AC229" s="219"/>
    </row>
    <row r="230" spans="1:29" ht="14.4">
      <c r="A230" s="1"/>
      <c r="B230" s="220"/>
      <c r="C230" s="1"/>
      <c r="D230" s="1"/>
      <c r="E230" s="1"/>
      <c r="F230" s="1"/>
      <c r="G230" s="1"/>
      <c r="H230" s="1"/>
      <c r="I230" s="1"/>
      <c r="J230" s="1"/>
      <c r="K230" s="1"/>
      <c r="L230" s="1"/>
      <c r="M230" s="1"/>
      <c r="N230" s="1"/>
      <c r="O230" s="1"/>
      <c r="P230" s="1"/>
      <c r="Q230" s="1"/>
      <c r="R230" s="1"/>
      <c r="S230" s="1"/>
      <c r="T230" s="1"/>
      <c r="U230" s="1"/>
      <c r="V230" s="1"/>
      <c r="W230" s="1"/>
      <c r="X230" s="1"/>
      <c r="Y230" s="1"/>
      <c r="Z230" s="1"/>
      <c r="AA230" s="219"/>
      <c r="AB230" s="219"/>
      <c r="AC230" s="219"/>
    </row>
    <row r="231" spans="1:29" ht="14.4">
      <c r="A231" s="1"/>
      <c r="B231" s="220"/>
      <c r="C231" s="1"/>
      <c r="D231" s="1"/>
      <c r="E231" s="1"/>
      <c r="F231" s="1"/>
      <c r="G231" s="1"/>
      <c r="H231" s="1"/>
      <c r="I231" s="1"/>
      <c r="J231" s="1"/>
      <c r="K231" s="1"/>
      <c r="L231" s="1"/>
      <c r="M231" s="1"/>
      <c r="N231" s="1"/>
      <c r="O231" s="1"/>
      <c r="P231" s="1"/>
      <c r="Q231" s="1"/>
      <c r="R231" s="1"/>
      <c r="S231" s="1"/>
      <c r="T231" s="1"/>
      <c r="U231" s="1"/>
      <c r="V231" s="1"/>
      <c r="W231" s="1"/>
      <c r="X231" s="1"/>
      <c r="Y231" s="1"/>
      <c r="Z231" s="1"/>
      <c r="AA231" s="219"/>
      <c r="AB231" s="219"/>
      <c r="AC231" s="219"/>
    </row>
    <row r="232" spans="1:29" ht="14.4">
      <c r="A232" s="1"/>
      <c r="B232" s="220"/>
      <c r="C232" s="1"/>
      <c r="D232" s="1"/>
      <c r="E232" s="1"/>
      <c r="F232" s="1"/>
      <c r="G232" s="1"/>
      <c r="H232" s="1"/>
      <c r="I232" s="1"/>
      <c r="J232" s="1"/>
      <c r="K232" s="1"/>
      <c r="L232" s="1"/>
      <c r="M232" s="1"/>
      <c r="N232" s="1"/>
      <c r="O232" s="1"/>
      <c r="P232" s="1"/>
      <c r="Q232" s="1"/>
      <c r="R232" s="1"/>
      <c r="S232" s="1"/>
      <c r="T232" s="1"/>
      <c r="U232" s="1"/>
      <c r="V232" s="1"/>
      <c r="W232" s="1"/>
      <c r="X232" s="1"/>
      <c r="Y232" s="1"/>
      <c r="Z232" s="1"/>
      <c r="AA232" s="219"/>
      <c r="AB232" s="219"/>
      <c r="AC232" s="219"/>
    </row>
    <row r="233" spans="1:29" ht="14.4">
      <c r="A233" s="1"/>
      <c r="B233" s="220"/>
      <c r="C233" s="1"/>
      <c r="D233" s="1"/>
      <c r="E233" s="1"/>
      <c r="F233" s="1"/>
      <c r="G233" s="1"/>
      <c r="H233" s="1"/>
      <c r="I233" s="1"/>
      <c r="J233" s="1"/>
      <c r="K233" s="1"/>
      <c r="L233" s="1"/>
      <c r="M233" s="1"/>
      <c r="N233" s="1"/>
      <c r="O233" s="1"/>
      <c r="P233" s="1"/>
      <c r="Q233" s="1"/>
      <c r="R233" s="1"/>
      <c r="S233" s="1"/>
      <c r="T233" s="1"/>
      <c r="U233" s="1"/>
      <c r="V233" s="1"/>
      <c r="W233" s="1"/>
      <c r="X233" s="1"/>
      <c r="Y233" s="1"/>
      <c r="Z233" s="1"/>
      <c r="AA233" s="219"/>
      <c r="AB233" s="219"/>
      <c r="AC233" s="219"/>
    </row>
    <row r="234" spans="1:29" ht="14.4">
      <c r="A234" s="1"/>
      <c r="B234" s="220"/>
      <c r="C234" s="1"/>
      <c r="D234" s="1"/>
      <c r="E234" s="1"/>
      <c r="F234" s="1"/>
      <c r="G234" s="1"/>
      <c r="H234" s="1"/>
      <c r="I234" s="1"/>
      <c r="J234" s="1"/>
      <c r="K234" s="1"/>
      <c r="L234" s="1"/>
      <c r="M234" s="1"/>
      <c r="N234" s="1"/>
      <c r="O234" s="1"/>
      <c r="P234" s="1"/>
      <c r="Q234" s="1"/>
      <c r="R234" s="1"/>
      <c r="S234" s="1"/>
      <c r="T234" s="1"/>
      <c r="U234" s="1"/>
      <c r="V234" s="1"/>
      <c r="W234" s="1"/>
      <c r="X234" s="1"/>
      <c r="Y234" s="1"/>
      <c r="Z234" s="1"/>
      <c r="AA234" s="219"/>
      <c r="AB234" s="219"/>
      <c r="AC234" s="219"/>
    </row>
    <row r="235" spans="1:29" ht="14.4">
      <c r="A235" s="1"/>
      <c r="B235" s="220"/>
      <c r="C235" s="1"/>
      <c r="D235" s="1"/>
      <c r="E235" s="1"/>
      <c r="F235" s="1"/>
      <c r="G235" s="1"/>
      <c r="H235" s="1"/>
      <c r="I235" s="1"/>
      <c r="J235" s="1"/>
      <c r="K235" s="1"/>
      <c r="L235" s="1"/>
      <c r="M235" s="1"/>
      <c r="N235" s="1"/>
      <c r="O235" s="1"/>
      <c r="P235" s="1"/>
      <c r="Q235" s="1"/>
      <c r="R235" s="1"/>
      <c r="S235" s="1"/>
      <c r="T235" s="1"/>
      <c r="U235" s="1"/>
      <c r="V235" s="1"/>
      <c r="W235" s="1"/>
      <c r="X235" s="1"/>
      <c r="Y235" s="1"/>
      <c r="Z235" s="1"/>
      <c r="AA235" s="219"/>
      <c r="AB235" s="219"/>
      <c r="AC235" s="219"/>
    </row>
    <row r="236" spans="1:29" ht="14.4">
      <c r="A236" s="1"/>
      <c r="B236" s="220"/>
      <c r="C236" s="1"/>
      <c r="D236" s="1"/>
      <c r="E236" s="1"/>
      <c r="F236" s="1"/>
      <c r="G236" s="1"/>
      <c r="H236" s="1"/>
      <c r="I236" s="1"/>
      <c r="J236" s="1"/>
      <c r="K236" s="1"/>
      <c r="L236" s="1"/>
      <c r="M236" s="1"/>
      <c r="N236" s="1"/>
      <c r="O236" s="1"/>
      <c r="P236" s="1"/>
      <c r="Q236" s="1"/>
      <c r="R236" s="1"/>
      <c r="S236" s="1"/>
      <c r="T236" s="1"/>
      <c r="U236" s="1"/>
      <c r="V236" s="1"/>
      <c r="W236" s="1"/>
      <c r="X236" s="1"/>
      <c r="Y236" s="1"/>
      <c r="Z236" s="1"/>
      <c r="AA236" s="219"/>
      <c r="AB236" s="219"/>
      <c r="AC236" s="219"/>
    </row>
    <row r="237" spans="1:29" ht="14.4">
      <c r="A237" s="1"/>
      <c r="B237" s="220"/>
      <c r="C237" s="1"/>
      <c r="D237" s="1"/>
      <c r="E237" s="1"/>
      <c r="F237" s="1"/>
      <c r="G237" s="1"/>
      <c r="H237" s="1"/>
      <c r="I237" s="1"/>
      <c r="J237" s="1"/>
      <c r="K237" s="1"/>
      <c r="L237" s="1"/>
      <c r="M237" s="1"/>
      <c r="N237" s="1"/>
      <c r="O237" s="1"/>
      <c r="P237" s="1"/>
      <c r="Q237" s="1"/>
      <c r="R237" s="1"/>
      <c r="S237" s="1"/>
      <c r="T237" s="1"/>
      <c r="U237" s="1"/>
      <c r="V237" s="1"/>
      <c r="W237" s="1"/>
      <c r="X237" s="1"/>
      <c r="Y237" s="1"/>
      <c r="Z237" s="1"/>
      <c r="AA237" s="219"/>
      <c r="AB237" s="219"/>
      <c r="AC237" s="219"/>
    </row>
    <row r="238" spans="1:29" ht="14.4">
      <c r="A238" s="1"/>
      <c r="B238" s="220"/>
      <c r="C238" s="1"/>
      <c r="D238" s="1"/>
      <c r="E238" s="1"/>
      <c r="F238" s="1"/>
      <c r="G238" s="1"/>
      <c r="H238" s="1"/>
      <c r="I238" s="1"/>
      <c r="J238" s="1"/>
      <c r="K238" s="1"/>
      <c r="L238" s="1"/>
      <c r="M238" s="1"/>
      <c r="N238" s="1"/>
      <c r="O238" s="1"/>
      <c r="P238" s="1"/>
      <c r="Q238" s="1"/>
      <c r="R238" s="1"/>
      <c r="S238" s="1"/>
      <c r="T238" s="1"/>
      <c r="U238" s="1"/>
      <c r="V238" s="1"/>
      <c r="W238" s="1"/>
      <c r="X238" s="1"/>
      <c r="Y238" s="1"/>
      <c r="Z238" s="1"/>
      <c r="AA238" s="219"/>
      <c r="AB238" s="219"/>
      <c r="AC238" s="219"/>
    </row>
    <row r="239" spans="1:29" ht="14.4">
      <c r="A239" s="1"/>
      <c r="B239" s="220"/>
      <c r="C239" s="1"/>
      <c r="D239" s="1"/>
      <c r="E239" s="1"/>
      <c r="F239" s="1"/>
      <c r="G239" s="1"/>
      <c r="H239" s="1"/>
      <c r="I239" s="1"/>
      <c r="J239" s="1"/>
      <c r="K239" s="1"/>
      <c r="L239" s="1"/>
      <c r="M239" s="1"/>
      <c r="N239" s="1"/>
      <c r="O239" s="1"/>
      <c r="P239" s="1"/>
      <c r="Q239" s="1"/>
      <c r="R239" s="1"/>
      <c r="S239" s="1"/>
      <c r="T239" s="1"/>
      <c r="U239" s="1"/>
      <c r="V239" s="1"/>
      <c r="W239" s="1"/>
      <c r="X239" s="1"/>
      <c r="Y239" s="1"/>
      <c r="Z239" s="1"/>
      <c r="AA239" s="219"/>
      <c r="AB239" s="219"/>
      <c r="AC239" s="219"/>
    </row>
    <row r="240" spans="1:29" ht="14.4">
      <c r="A240" s="1"/>
      <c r="B240" s="220"/>
      <c r="C240" s="1"/>
      <c r="D240" s="1"/>
      <c r="E240" s="1"/>
      <c r="F240" s="1"/>
      <c r="G240" s="1"/>
      <c r="H240" s="1"/>
      <c r="I240" s="1"/>
      <c r="J240" s="1"/>
      <c r="K240" s="1"/>
      <c r="L240" s="1"/>
      <c r="M240" s="1"/>
      <c r="N240" s="1"/>
      <c r="O240" s="1"/>
      <c r="P240" s="1"/>
      <c r="Q240" s="1"/>
      <c r="R240" s="1"/>
      <c r="S240" s="1"/>
      <c r="T240" s="1"/>
      <c r="U240" s="1"/>
      <c r="V240" s="1"/>
      <c r="W240" s="1"/>
      <c r="X240" s="1"/>
      <c r="Y240" s="1"/>
      <c r="Z240" s="1"/>
      <c r="AA240" s="219"/>
      <c r="AB240" s="219"/>
      <c r="AC240" s="219"/>
    </row>
    <row r="241" spans="1:29" ht="14.4">
      <c r="A241" s="1"/>
      <c r="B241" s="220"/>
      <c r="C241" s="1"/>
      <c r="D241" s="1"/>
      <c r="E241" s="1"/>
      <c r="F241" s="1"/>
      <c r="G241" s="1"/>
      <c r="H241" s="1"/>
      <c r="I241" s="1"/>
      <c r="J241" s="1"/>
      <c r="K241" s="1"/>
      <c r="L241" s="1"/>
      <c r="M241" s="1"/>
      <c r="N241" s="1"/>
      <c r="O241" s="1"/>
      <c r="P241" s="1"/>
      <c r="Q241" s="1"/>
      <c r="R241" s="1"/>
      <c r="S241" s="1"/>
      <c r="T241" s="1"/>
      <c r="U241" s="1"/>
      <c r="V241" s="1"/>
      <c r="W241" s="1"/>
      <c r="X241" s="1"/>
      <c r="Y241" s="1"/>
      <c r="Z241" s="1"/>
      <c r="AA241" s="219"/>
      <c r="AB241" s="219"/>
      <c r="AC241" s="219"/>
    </row>
    <row r="242" spans="1:29" ht="14.4">
      <c r="A242" s="1"/>
      <c r="B242" s="220"/>
      <c r="C242" s="1"/>
      <c r="D242" s="1"/>
      <c r="E242" s="1"/>
      <c r="F242" s="1"/>
      <c r="G242" s="1"/>
      <c r="H242" s="1"/>
      <c r="I242" s="1"/>
      <c r="J242" s="1"/>
      <c r="K242" s="1"/>
      <c r="L242" s="1"/>
      <c r="M242" s="1"/>
      <c r="N242" s="1"/>
      <c r="O242" s="1"/>
      <c r="P242" s="1"/>
      <c r="Q242" s="1"/>
      <c r="R242" s="1"/>
      <c r="S242" s="1"/>
      <c r="T242" s="1"/>
      <c r="U242" s="1"/>
      <c r="V242" s="1"/>
      <c r="W242" s="1"/>
      <c r="X242" s="1"/>
      <c r="Y242" s="1"/>
      <c r="Z242" s="1"/>
      <c r="AA242" s="219"/>
      <c r="AB242" s="219"/>
      <c r="AC242" s="219"/>
    </row>
    <row r="243" spans="1:29" ht="14.4">
      <c r="A243" s="1"/>
      <c r="B243" s="220"/>
      <c r="C243" s="1"/>
      <c r="D243" s="1"/>
      <c r="E243" s="1"/>
      <c r="F243" s="1"/>
      <c r="G243" s="1"/>
      <c r="H243" s="1"/>
      <c r="I243" s="1"/>
      <c r="J243" s="1"/>
      <c r="K243" s="1"/>
      <c r="L243" s="1"/>
      <c r="M243" s="1"/>
      <c r="N243" s="1"/>
      <c r="O243" s="1"/>
      <c r="P243" s="1"/>
      <c r="Q243" s="1"/>
      <c r="R243" s="1"/>
      <c r="S243" s="1"/>
      <c r="T243" s="1"/>
      <c r="U243" s="1"/>
      <c r="V243" s="1"/>
      <c r="W243" s="1"/>
      <c r="X243" s="1"/>
      <c r="Y243" s="1"/>
      <c r="Z243" s="1"/>
      <c r="AA243" s="219"/>
      <c r="AB243" s="219"/>
      <c r="AC243" s="219"/>
    </row>
    <row r="244" spans="1:29" ht="14.4">
      <c r="A244" s="1"/>
      <c r="B244" s="220"/>
      <c r="C244" s="1"/>
      <c r="D244" s="1"/>
      <c r="E244" s="1"/>
      <c r="F244" s="1"/>
      <c r="G244" s="1"/>
      <c r="H244" s="1"/>
      <c r="I244" s="1"/>
      <c r="J244" s="1"/>
      <c r="K244" s="1"/>
      <c r="L244" s="1"/>
      <c r="M244" s="1"/>
      <c r="N244" s="1"/>
      <c r="O244" s="1"/>
      <c r="P244" s="1"/>
      <c r="Q244" s="1"/>
      <c r="R244" s="1"/>
      <c r="S244" s="1"/>
      <c r="T244" s="1"/>
      <c r="U244" s="1"/>
      <c r="V244" s="1"/>
      <c r="W244" s="1"/>
      <c r="X244" s="1"/>
      <c r="Y244" s="1"/>
      <c r="Z244" s="1"/>
      <c r="AA244" s="219"/>
      <c r="AB244" s="219"/>
      <c r="AC244" s="219"/>
    </row>
    <row r="245" spans="1:29" ht="14.4">
      <c r="A245" s="1"/>
      <c r="B245" s="220"/>
      <c r="C245" s="1"/>
      <c r="D245" s="1"/>
      <c r="E245" s="1"/>
      <c r="F245" s="1"/>
      <c r="G245" s="1"/>
      <c r="H245" s="1"/>
      <c r="I245" s="1"/>
      <c r="J245" s="1"/>
      <c r="K245" s="1"/>
      <c r="L245" s="1"/>
      <c r="M245" s="1"/>
      <c r="N245" s="1"/>
      <c r="O245" s="1"/>
      <c r="P245" s="1"/>
      <c r="Q245" s="1"/>
      <c r="R245" s="1"/>
      <c r="S245" s="1"/>
      <c r="T245" s="1"/>
      <c r="U245" s="1"/>
      <c r="V245" s="1"/>
      <c r="W245" s="1"/>
      <c r="X245" s="1"/>
      <c r="Y245" s="1"/>
      <c r="Z245" s="1"/>
      <c r="AA245" s="219"/>
      <c r="AB245" s="219"/>
      <c r="AC245" s="219"/>
    </row>
    <row r="246" spans="1:29" ht="14.4">
      <c r="A246" s="1"/>
      <c r="B246" s="220"/>
      <c r="C246" s="1"/>
      <c r="D246" s="1"/>
      <c r="E246" s="1"/>
      <c r="F246" s="1"/>
      <c r="G246" s="1"/>
      <c r="H246" s="1"/>
      <c r="I246" s="1"/>
      <c r="J246" s="1"/>
      <c r="K246" s="1"/>
      <c r="L246" s="1"/>
      <c r="M246" s="1"/>
      <c r="N246" s="1"/>
      <c r="O246" s="1"/>
      <c r="P246" s="1"/>
      <c r="Q246" s="1"/>
      <c r="R246" s="1"/>
      <c r="S246" s="1"/>
      <c r="T246" s="1"/>
      <c r="U246" s="1"/>
      <c r="V246" s="1"/>
      <c r="W246" s="1"/>
      <c r="X246" s="1"/>
      <c r="Y246" s="1"/>
      <c r="Z246" s="1"/>
      <c r="AA246" s="219"/>
      <c r="AB246" s="219"/>
      <c r="AC246" s="219"/>
    </row>
    <row r="247" spans="1:29" ht="14.4">
      <c r="A247" s="1"/>
      <c r="B247" s="220"/>
      <c r="C247" s="1"/>
      <c r="D247" s="1"/>
      <c r="E247" s="1"/>
      <c r="F247" s="1"/>
      <c r="G247" s="1"/>
      <c r="H247" s="1"/>
      <c r="I247" s="1"/>
      <c r="J247" s="1"/>
      <c r="K247" s="1"/>
      <c r="L247" s="1"/>
      <c r="M247" s="1"/>
      <c r="N247" s="1"/>
      <c r="O247" s="1"/>
      <c r="P247" s="1"/>
      <c r="Q247" s="1"/>
      <c r="R247" s="1"/>
      <c r="S247" s="1"/>
      <c r="T247" s="1"/>
      <c r="U247" s="1"/>
      <c r="V247" s="1"/>
      <c r="W247" s="1"/>
      <c r="X247" s="1"/>
      <c r="Y247" s="1"/>
      <c r="Z247" s="1"/>
      <c r="AA247" s="219"/>
      <c r="AB247" s="219"/>
      <c r="AC247" s="219"/>
    </row>
    <row r="248" spans="1:29" ht="14.4">
      <c r="A248" s="1"/>
      <c r="B248" s="220"/>
      <c r="C248" s="1"/>
      <c r="D248" s="1"/>
      <c r="E248" s="1"/>
      <c r="F248" s="1"/>
      <c r="G248" s="1"/>
      <c r="H248" s="1"/>
      <c r="I248" s="1"/>
      <c r="J248" s="1"/>
      <c r="K248" s="1"/>
      <c r="L248" s="1"/>
      <c r="M248" s="1"/>
      <c r="N248" s="1"/>
      <c r="O248" s="1"/>
      <c r="P248" s="1"/>
      <c r="Q248" s="1"/>
      <c r="R248" s="1"/>
      <c r="S248" s="1"/>
      <c r="T248" s="1"/>
      <c r="U248" s="1"/>
      <c r="V248" s="1"/>
      <c r="W248" s="1"/>
      <c r="X248" s="1"/>
      <c r="Y248" s="1"/>
      <c r="Z248" s="1"/>
      <c r="AA248" s="219"/>
      <c r="AB248" s="219"/>
      <c r="AC248" s="219"/>
    </row>
    <row r="249" spans="1:29" ht="14.4">
      <c r="A249" s="1"/>
      <c r="B249" s="220"/>
      <c r="C249" s="1"/>
      <c r="D249" s="1"/>
      <c r="E249" s="1"/>
      <c r="F249" s="1"/>
      <c r="G249" s="1"/>
      <c r="H249" s="1"/>
      <c r="I249" s="1"/>
      <c r="J249" s="1"/>
      <c r="K249" s="1"/>
      <c r="L249" s="1"/>
      <c r="M249" s="1"/>
      <c r="N249" s="1"/>
      <c r="O249" s="1"/>
      <c r="P249" s="1"/>
      <c r="Q249" s="1"/>
      <c r="R249" s="1"/>
      <c r="S249" s="1"/>
      <c r="T249" s="1"/>
      <c r="U249" s="1"/>
      <c r="V249" s="1"/>
      <c r="W249" s="1"/>
      <c r="X249" s="1"/>
      <c r="Y249" s="1"/>
      <c r="Z249" s="1"/>
      <c r="AA249" s="219"/>
      <c r="AB249" s="219"/>
      <c r="AC249" s="219"/>
    </row>
    <row r="250" spans="1:29" ht="14.4">
      <c r="A250" s="1"/>
      <c r="B250" s="220"/>
      <c r="C250" s="1"/>
      <c r="D250" s="1"/>
      <c r="E250" s="1"/>
      <c r="F250" s="1"/>
      <c r="G250" s="1"/>
      <c r="H250" s="1"/>
      <c r="I250" s="1"/>
      <c r="J250" s="1"/>
      <c r="K250" s="1"/>
      <c r="L250" s="1"/>
      <c r="M250" s="1"/>
      <c r="N250" s="1"/>
      <c r="O250" s="1"/>
      <c r="P250" s="1"/>
      <c r="Q250" s="1"/>
      <c r="R250" s="1"/>
      <c r="S250" s="1"/>
      <c r="T250" s="1"/>
      <c r="U250" s="1"/>
      <c r="V250" s="1"/>
      <c r="W250" s="1"/>
      <c r="X250" s="1"/>
      <c r="Y250" s="1"/>
      <c r="Z250" s="1"/>
      <c r="AA250" s="219"/>
      <c r="AB250" s="219"/>
      <c r="AC250" s="219"/>
    </row>
    <row r="251" spans="1:29" ht="14.4">
      <c r="A251" s="1"/>
      <c r="B251" s="220"/>
      <c r="C251" s="1"/>
      <c r="D251" s="1"/>
      <c r="E251" s="1"/>
      <c r="F251" s="1"/>
      <c r="G251" s="1"/>
      <c r="H251" s="1"/>
      <c r="I251" s="1"/>
      <c r="J251" s="1"/>
      <c r="K251" s="1"/>
      <c r="L251" s="1"/>
      <c r="M251" s="1"/>
      <c r="N251" s="1"/>
      <c r="O251" s="1"/>
      <c r="P251" s="1"/>
      <c r="Q251" s="1"/>
      <c r="R251" s="1"/>
      <c r="S251" s="1"/>
      <c r="T251" s="1"/>
      <c r="U251" s="1"/>
      <c r="V251" s="1"/>
      <c r="W251" s="1"/>
      <c r="X251" s="1"/>
      <c r="Y251" s="1"/>
      <c r="Z251" s="1"/>
      <c r="AA251" s="219"/>
      <c r="AB251" s="219"/>
      <c r="AC251" s="219"/>
    </row>
    <row r="252" spans="1:29" ht="14.4">
      <c r="A252" s="1"/>
      <c r="B252" s="220"/>
      <c r="C252" s="1"/>
      <c r="D252" s="1"/>
      <c r="E252" s="1"/>
      <c r="F252" s="1"/>
      <c r="G252" s="1"/>
      <c r="H252" s="1"/>
      <c r="I252" s="1"/>
      <c r="J252" s="1"/>
      <c r="K252" s="1"/>
      <c r="L252" s="1"/>
      <c r="M252" s="1"/>
      <c r="N252" s="1"/>
      <c r="O252" s="1"/>
      <c r="P252" s="1"/>
      <c r="Q252" s="1"/>
      <c r="R252" s="1"/>
      <c r="S252" s="1"/>
      <c r="T252" s="1"/>
      <c r="U252" s="1"/>
      <c r="V252" s="1"/>
      <c r="W252" s="1"/>
      <c r="X252" s="1"/>
      <c r="Y252" s="1"/>
      <c r="Z252" s="1"/>
      <c r="AA252" s="219"/>
      <c r="AB252" s="219"/>
      <c r="AC252" s="219"/>
    </row>
    <row r="253" spans="1:29" ht="14.4">
      <c r="A253" s="1"/>
      <c r="B253" s="220"/>
      <c r="C253" s="1"/>
      <c r="D253" s="1"/>
      <c r="E253" s="1"/>
      <c r="F253" s="1"/>
      <c r="G253" s="1"/>
      <c r="H253" s="1"/>
      <c r="I253" s="1"/>
      <c r="J253" s="1"/>
      <c r="K253" s="1"/>
      <c r="L253" s="1"/>
      <c r="M253" s="1"/>
      <c r="N253" s="1"/>
      <c r="O253" s="1"/>
      <c r="P253" s="1"/>
      <c r="Q253" s="1"/>
      <c r="R253" s="1"/>
      <c r="S253" s="1"/>
      <c r="T253" s="1"/>
      <c r="U253" s="1"/>
      <c r="V253" s="1"/>
      <c r="W253" s="1"/>
      <c r="X253" s="1"/>
      <c r="Y253" s="1"/>
      <c r="Z253" s="1"/>
      <c r="AA253" s="219"/>
      <c r="AB253" s="219"/>
      <c r="AC253" s="219"/>
    </row>
    <row r="254" spans="1:29" ht="14.4">
      <c r="A254" s="1"/>
      <c r="B254" s="220"/>
      <c r="C254" s="1"/>
      <c r="D254" s="1"/>
      <c r="E254" s="1"/>
      <c r="F254" s="1"/>
      <c r="G254" s="1"/>
      <c r="H254" s="1"/>
      <c r="I254" s="1"/>
      <c r="J254" s="1"/>
      <c r="K254" s="1"/>
      <c r="L254" s="1"/>
      <c r="M254" s="1"/>
      <c r="N254" s="1"/>
      <c r="O254" s="1"/>
      <c r="P254" s="1"/>
      <c r="Q254" s="1"/>
      <c r="R254" s="1"/>
      <c r="S254" s="1"/>
      <c r="T254" s="1"/>
      <c r="U254" s="1"/>
      <c r="V254" s="1"/>
      <c r="W254" s="1"/>
      <c r="X254" s="1"/>
      <c r="Y254" s="1"/>
      <c r="Z254" s="1"/>
      <c r="AA254" s="219"/>
      <c r="AB254" s="219"/>
      <c r="AC254" s="219"/>
    </row>
    <row r="255" spans="1:29" ht="14.4">
      <c r="A255" s="1"/>
      <c r="B255" s="220"/>
      <c r="C255" s="1"/>
      <c r="D255" s="1"/>
      <c r="E255" s="1"/>
      <c r="F255" s="1"/>
      <c r="G255" s="1"/>
      <c r="H255" s="1"/>
      <c r="I255" s="1"/>
      <c r="J255" s="1"/>
      <c r="K255" s="1"/>
      <c r="L255" s="1"/>
      <c r="M255" s="1"/>
      <c r="N255" s="1"/>
      <c r="O255" s="1"/>
      <c r="P255" s="1"/>
      <c r="Q255" s="1"/>
      <c r="R255" s="1"/>
      <c r="S255" s="1"/>
      <c r="T255" s="1"/>
      <c r="U255" s="1"/>
      <c r="V255" s="1"/>
      <c r="W255" s="1"/>
      <c r="X255" s="1"/>
      <c r="Y255" s="1"/>
      <c r="Z255" s="1"/>
      <c r="AA255" s="219"/>
      <c r="AB255" s="219"/>
      <c r="AC255" s="219"/>
    </row>
    <row r="256" spans="1:29" ht="14.4">
      <c r="A256" s="1"/>
      <c r="B256" s="220"/>
      <c r="C256" s="1"/>
      <c r="D256" s="1"/>
      <c r="E256" s="1"/>
      <c r="F256" s="1"/>
      <c r="G256" s="1"/>
      <c r="H256" s="1"/>
      <c r="I256" s="1"/>
      <c r="J256" s="1"/>
      <c r="K256" s="1"/>
      <c r="L256" s="1"/>
      <c r="M256" s="1"/>
      <c r="N256" s="1"/>
      <c r="O256" s="1"/>
      <c r="P256" s="1"/>
      <c r="Q256" s="1"/>
      <c r="R256" s="1"/>
      <c r="S256" s="1"/>
      <c r="T256" s="1"/>
      <c r="U256" s="1"/>
      <c r="V256" s="1"/>
      <c r="W256" s="1"/>
      <c r="X256" s="1"/>
      <c r="Y256" s="1"/>
      <c r="Z256" s="1"/>
      <c r="AA256" s="219"/>
      <c r="AB256" s="219"/>
      <c r="AC256" s="219"/>
    </row>
    <row r="257" spans="1:29" ht="14.4">
      <c r="A257" s="1"/>
      <c r="B257" s="220"/>
      <c r="C257" s="1"/>
      <c r="D257" s="1"/>
      <c r="E257" s="1"/>
      <c r="F257" s="1"/>
      <c r="G257" s="1"/>
      <c r="H257" s="1"/>
      <c r="I257" s="1"/>
      <c r="J257" s="1"/>
      <c r="K257" s="1"/>
      <c r="L257" s="1"/>
      <c r="M257" s="1"/>
      <c r="N257" s="1"/>
      <c r="O257" s="1"/>
      <c r="P257" s="1"/>
      <c r="Q257" s="1"/>
      <c r="R257" s="1"/>
      <c r="S257" s="1"/>
      <c r="T257" s="1"/>
      <c r="U257" s="1"/>
      <c r="V257" s="1"/>
      <c r="W257" s="1"/>
      <c r="X257" s="1"/>
      <c r="Y257" s="1"/>
      <c r="Z257" s="1"/>
      <c r="AA257" s="219"/>
      <c r="AB257" s="219"/>
      <c r="AC257" s="219"/>
    </row>
    <row r="258" spans="1:29" ht="14.4">
      <c r="A258" s="1"/>
      <c r="B258" s="220"/>
      <c r="C258" s="1"/>
      <c r="D258" s="1"/>
      <c r="E258" s="1"/>
      <c r="F258" s="1"/>
      <c r="G258" s="1"/>
      <c r="H258" s="1"/>
      <c r="I258" s="1"/>
      <c r="J258" s="1"/>
      <c r="K258" s="1"/>
      <c r="L258" s="1"/>
      <c r="M258" s="1"/>
      <c r="N258" s="1"/>
      <c r="O258" s="1"/>
      <c r="P258" s="1"/>
      <c r="Q258" s="1"/>
      <c r="R258" s="1"/>
      <c r="S258" s="1"/>
      <c r="T258" s="1"/>
      <c r="U258" s="1"/>
      <c r="V258" s="1"/>
      <c r="W258" s="1"/>
      <c r="X258" s="1"/>
      <c r="Y258" s="1"/>
      <c r="Z258" s="1"/>
      <c r="AA258" s="219"/>
      <c r="AB258" s="219"/>
      <c r="AC258" s="219"/>
    </row>
    <row r="259" spans="1:29" ht="14.4">
      <c r="A259" s="1"/>
      <c r="B259" s="220"/>
      <c r="C259" s="1"/>
      <c r="D259" s="1"/>
      <c r="E259" s="1"/>
      <c r="F259" s="1"/>
      <c r="G259" s="1"/>
      <c r="H259" s="1"/>
      <c r="I259" s="1"/>
      <c r="J259" s="1"/>
      <c r="K259" s="1"/>
      <c r="L259" s="1"/>
      <c r="M259" s="1"/>
      <c r="N259" s="1"/>
      <c r="O259" s="1"/>
      <c r="P259" s="1"/>
      <c r="Q259" s="1"/>
      <c r="R259" s="1"/>
      <c r="S259" s="1"/>
      <c r="T259" s="1"/>
      <c r="U259" s="1"/>
      <c r="V259" s="1"/>
      <c r="W259" s="1"/>
      <c r="X259" s="1"/>
      <c r="Y259" s="1"/>
      <c r="Z259" s="1"/>
      <c r="AA259" s="219"/>
      <c r="AB259" s="219"/>
      <c r="AC259" s="219"/>
    </row>
    <row r="260" spans="1:29" ht="14.4">
      <c r="A260" s="1"/>
      <c r="B260" s="220"/>
      <c r="C260" s="1"/>
      <c r="D260" s="1"/>
      <c r="E260" s="1"/>
      <c r="F260" s="1"/>
      <c r="G260" s="1"/>
      <c r="H260" s="1"/>
      <c r="I260" s="1"/>
      <c r="J260" s="1"/>
      <c r="K260" s="1"/>
      <c r="L260" s="1"/>
      <c r="M260" s="1"/>
      <c r="N260" s="1"/>
      <c r="O260" s="1"/>
      <c r="P260" s="1"/>
      <c r="Q260" s="1"/>
      <c r="R260" s="1"/>
      <c r="S260" s="1"/>
      <c r="T260" s="1"/>
      <c r="U260" s="1"/>
      <c r="V260" s="1"/>
      <c r="W260" s="1"/>
      <c r="X260" s="1"/>
      <c r="Y260" s="1"/>
      <c r="Z260" s="1"/>
      <c r="AA260" s="219"/>
      <c r="AB260" s="219"/>
      <c r="AC260" s="219"/>
    </row>
    <row r="261" spans="1:29" ht="14.4">
      <c r="A261" s="1"/>
      <c r="B261" s="220"/>
      <c r="C261" s="1"/>
      <c r="D261" s="1"/>
      <c r="E261" s="1"/>
      <c r="F261" s="1"/>
      <c r="G261" s="1"/>
      <c r="H261" s="1"/>
      <c r="I261" s="1"/>
      <c r="J261" s="1"/>
      <c r="K261" s="1"/>
      <c r="L261" s="1"/>
      <c r="M261" s="1"/>
      <c r="N261" s="1"/>
      <c r="O261" s="1"/>
      <c r="P261" s="1"/>
      <c r="Q261" s="1"/>
      <c r="R261" s="1"/>
      <c r="S261" s="1"/>
      <c r="T261" s="1"/>
      <c r="U261" s="1"/>
      <c r="V261" s="1"/>
      <c r="W261" s="1"/>
      <c r="X261" s="1"/>
      <c r="Y261" s="1"/>
      <c r="Z261" s="1"/>
      <c r="AA261" s="219"/>
      <c r="AB261" s="219"/>
      <c r="AC261" s="219"/>
    </row>
    <row r="262" spans="1:29" ht="14.4">
      <c r="A262" s="1"/>
      <c r="B262" s="220"/>
      <c r="C262" s="1"/>
      <c r="D262" s="1"/>
      <c r="E262" s="1"/>
      <c r="F262" s="1"/>
      <c r="G262" s="1"/>
      <c r="H262" s="1"/>
      <c r="I262" s="1"/>
      <c r="J262" s="1"/>
      <c r="K262" s="1"/>
      <c r="L262" s="1"/>
      <c r="M262" s="1"/>
      <c r="N262" s="1"/>
      <c r="O262" s="1"/>
      <c r="P262" s="1"/>
      <c r="Q262" s="1"/>
      <c r="R262" s="1"/>
      <c r="S262" s="1"/>
      <c r="T262" s="1"/>
      <c r="U262" s="1"/>
      <c r="V262" s="1"/>
      <c r="W262" s="1"/>
      <c r="X262" s="1"/>
      <c r="Y262" s="1"/>
      <c r="Z262" s="1"/>
      <c r="AA262" s="219"/>
      <c r="AB262" s="219"/>
      <c r="AC262" s="219"/>
    </row>
    <row r="263" spans="1:29" ht="14.4">
      <c r="A263" s="1"/>
      <c r="B263" s="220"/>
      <c r="C263" s="1"/>
      <c r="D263" s="1"/>
      <c r="E263" s="1"/>
      <c r="F263" s="1"/>
      <c r="G263" s="1"/>
      <c r="H263" s="1"/>
      <c r="I263" s="1"/>
      <c r="J263" s="1"/>
      <c r="K263" s="1"/>
      <c r="L263" s="1"/>
      <c r="M263" s="1"/>
      <c r="N263" s="1"/>
      <c r="O263" s="1"/>
      <c r="P263" s="1"/>
      <c r="Q263" s="1"/>
      <c r="R263" s="1"/>
      <c r="S263" s="1"/>
      <c r="T263" s="1"/>
      <c r="U263" s="1"/>
      <c r="V263" s="1"/>
      <c r="W263" s="1"/>
      <c r="X263" s="1"/>
      <c r="Y263" s="1"/>
      <c r="Z263" s="1"/>
      <c r="AA263" s="219"/>
      <c r="AB263" s="219"/>
      <c r="AC263" s="219"/>
    </row>
    <row r="264" spans="1:29" ht="14.4">
      <c r="A264" s="1"/>
      <c r="B264" s="220"/>
      <c r="C264" s="1"/>
      <c r="D264" s="1"/>
      <c r="E264" s="1"/>
      <c r="F264" s="1"/>
      <c r="G264" s="1"/>
      <c r="H264" s="1"/>
      <c r="I264" s="1"/>
      <c r="J264" s="1"/>
      <c r="K264" s="1"/>
      <c r="L264" s="1"/>
      <c r="M264" s="1"/>
      <c r="N264" s="1"/>
      <c r="O264" s="1"/>
      <c r="P264" s="1"/>
      <c r="Q264" s="1"/>
      <c r="R264" s="1"/>
      <c r="S264" s="1"/>
      <c r="T264" s="1"/>
      <c r="U264" s="1"/>
      <c r="V264" s="1"/>
      <c r="W264" s="1"/>
      <c r="X264" s="1"/>
      <c r="Y264" s="1"/>
      <c r="Z264" s="1"/>
      <c r="AA264" s="219"/>
      <c r="AB264" s="219"/>
      <c r="AC264" s="219"/>
    </row>
    <row r="265" spans="1:29" ht="14.4">
      <c r="A265" s="1"/>
      <c r="B265" s="220"/>
      <c r="C265" s="1"/>
      <c r="D265" s="1"/>
      <c r="E265" s="1"/>
      <c r="F265" s="1"/>
      <c r="G265" s="1"/>
      <c r="H265" s="1"/>
      <c r="I265" s="1"/>
      <c r="J265" s="1"/>
      <c r="K265" s="1"/>
      <c r="L265" s="1"/>
      <c r="M265" s="1"/>
      <c r="N265" s="1"/>
      <c r="O265" s="1"/>
      <c r="P265" s="1"/>
      <c r="Q265" s="1"/>
      <c r="R265" s="1"/>
      <c r="S265" s="1"/>
      <c r="T265" s="1"/>
      <c r="U265" s="1"/>
      <c r="V265" s="1"/>
      <c r="W265" s="1"/>
      <c r="X265" s="1"/>
      <c r="Y265" s="1"/>
      <c r="Z265" s="1"/>
      <c r="AA265" s="219"/>
      <c r="AB265" s="219"/>
      <c r="AC265" s="219"/>
    </row>
    <row r="266" spans="1:29" ht="14.4">
      <c r="A266" s="1"/>
      <c r="B266" s="220"/>
      <c r="C266" s="1"/>
      <c r="D266" s="1"/>
      <c r="E266" s="1"/>
      <c r="F266" s="1"/>
      <c r="G266" s="1"/>
      <c r="H266" s="1"/>
      <c r="I266" s="1"/>
      <c r="J266" s="1"/>
      <c r="K266" s="1"/>
      <c r="L266" s="1"/>
      <c r="M266" s="1"/>
      <c r="N266" s="1"/>
      <c r="O266" s="1"/>
      <c r="P266" s="1"/>
      <c r="Q266" s="1"/>
      <c r="R266" s="1"/>
      <c r="S266" s="1"/>
      <c r="T266" s="1"/>
      <c r="U266" s="1"/>
      <c r="V266" s="1"/>
      <c r="W266" s="1"/>
      <c r="X266" s="1"/>
      <c r="Y266" s="1"/>
      <c r="Z266" s="1"/>
      <c r="AA266" s="219"/>
      <c r="AB266" s="219"/>
      <c r="AC266" s="219"/>
    </row>
    <row r="267" spans="1:29" ht="14.4">
      <c r="A267" s="1"/>
      <c r="B267" s="220"/>
      <c r="C267" s="1"/>
      <c r="D267" s="1"/>
      <c r="E267" s="1"/>
      <c r="F267" s="1"/>
      <c r="G267" s="1"/>
      <c r="H267" s="1"/>
      <c r="I267" s="1"/>
      <c r="J267" s="1"/>
      <c r="K267" s="1"/>
      <c r="L267" s="1"/>
      <c r="M267" s="1"/>
      <c r="N267" s="1"/>
      <c r="O267" s="1"/>
      <c r="P267" s="1"/>
      <c r="Q267" s="1"/>
      <c r="R267" s="1"/>
      <c r="S267" s="1"/>
      <c r="T267" s="1"/>
      <c r="U267" s="1"/>
      <c r="V267" s="1"/>
      <c r="W267" s="1"/>
      <c r="X267" s="1"/>
      <c r="Y267" s="1"/>
      <c r="Z267" s="1"/>
      <c r="AA267" s="219"/>
      <c r="AB267" s="219"/>
      <c r="AC267" s="219"/>
    </row>
    <row r="268" spans="1:29" ht="14.4">
      <c r="A268" s="1"/>
      <c r="B268" s="220"/>
      <c r="C268" s="1"/>
      <c r="D268" s="1"/>
      <c r="E268" s="1"/>
      <c r="F268" s="1"/>
      <c r="G268" s="1"/>
      <c r="H268" s="1"/>
      <c r="I268" s="1"/>
      <c r="J268" s="1"/>
      <c r="K268" s="1"/>
      <c r="L268" s="1"/>
      <c r="M268" s="1"/>
      <c r="N268" s="1"/>
      <c r="O268" s="1"/>
      <c r="P268" s="1"/>
      <c r="Q268" s="1"/>
      <c r="R268" s="1"/>
      <c r="S268" s="1"/>
      <c r="T268" s="1"/>
      <c r="U268" s="1"/>
      <c r="V268" s="1"/>
      <c r="W268" s="1"/>
      <c r="X268" s="1"/>
      <c r="Y268" s="1"/>
      <c r="Z268" s="1"/>
      <c r="AA268" s="219"/>
      <c r="AB268" s="219"/>
      <c r="AC268" s="219"/>
    </row>
    <row r="269" spans="1:29" ht="14.4">
      <c r="A269" s="1"/>
      <c r="B269" s="220"/>
      <c r="C269" s="1"/>
      <c r="D269" s="1"/>
      <c r="E269" s="1"/>
      <c r="F269" s="1"/>
      <c r="G269" s="1"/>
      <c r="H269" s="1"/>
      <c r="I269" s="1"/>
      <c r="J269" s="1"/>
      <c r="K269" s="1"/>
      <c r="L269" s="1"/>
      <c r="M269" s="1"/>
      <c r="N269" s="1"/>
      <c r="O269" s="1"/>
      <c r="P269" s="1"/>
      <c r="Q269" s="1"/>
      <c r="R269" s="1"/>
      <c r="S269" s="1"/>
      <c r="T269" s="1"/>
      <c r="U269" s="1"/>
      <c r="V269" s="1"/>
      <c r="W269" s="1"/>
      <c r="X269" s="1"/>
      <c r="Y269" s="1"/>
      <c r="Z269" s="1"/>
      <c r="AA269" s="219"/>
      <c r="AB269" s="219"/>
      <c r="AC269" s="219"/>
    </row>
    <row r="270" spans="1:29" ht="14.4">
      <c r="A270" s="1"/>
      <c r="B270" s="220"/>
      <c r="C270" s="1"/>
      <c r="D270" s="1"/>
      <c r="E270" s="1"/>
      <c r="F270" s="1"/>
      <c r="G270" s="1"/>
      <c r="H270" s="1"/>
      <c r="I270" s="1"/>
      <c r="J270" s="1"/>
      <c r="K270" s="1"/>
      <c r="L270" s="1"/>
      <c r="M270" s="1"/>
      <c r="N270" s="1"/>
      <c r="O270" s="1"/>
      <c r="P270" s="1"/>
      <c r="Q270" s="1"/>
      <c r="R270" s="1"/>
      <c r="S270" s="1"/>
      <c r="T270" s="1"/>
      <c r="U270" s="1"/>
      <c r="V270" s="1"/>
      <c r="W270" s="1"/>
      <c r="X270" s="1"/>
      <c r="Y270" s="1"/>
      <c r="Z270" s="1"/>
      <c r="AA270" s="219"/>
      <c r="AB270" s="219"/>
      <c r="AC270" s="219"/>
    </row>
    <row r="271" spans="1:29" ht="14.4">
      <c r="A271" s="1"/>
      <c r="B271" s="220"/>
      <c r="C271" s="1"/>
      <c r="D271" s="1"/>
      <c r="E271" s="1"/>
      <c r="F271" s="1"/>
      <c r="G271" s="1"/>
      <c r="H271" s="1"/>
      <c r="I271" s="1"/>
      <c r="J271" s="1"/>
      <c r="K271" s="1"/>
      <c r="L271" s="1"/>
      <c r="M271" s="1"/>
      <c r="N271" s="1"/>
      <c r="O271" s="1"/>
      <c r="P271" s="1"/>
      <c r="Q271" s="1"/>
      <c r="R271" s="1"/>
      <c r="S271" s="1"/>
      <c r="T271" s="1"/>
      <c r="U271" s="1"/>
      <c r="V271" s="1"/>
      <c r="W271" s="1"/>
      <c r="X271" s="1"/>
      <c r="Y271" s="1"/>
      <c r="Z271" s="1"/>
      <c r="AA271" s="219"/>
      <c r="AB271" s="219"/>
      <c r="AC271" s="219"/>
    </row>
    <row r="272" spans="1:29" ht="14.4">
      <c r="A272" s="1"/>
      <c r="B272" s="220"/>
      <c r="C272" s="1"/>
      <c r="D272" s="1"/>
      <c r="E272" s="1"/>
      <c r="F272" s="1"/>
      <c r="G272" s="1"/>
      <c r="H272" s="1"/>
      <c r="I272" s="1"/>
      <c r="J272" s="1"/>
      <c r="K272" s="1"/>
      <c r="L272" s="1"/>
      <c r="M272" s="1"/>
      <c r="N272" s="1"/>
      <c r="O272" s="1"/>
      <c r="P272" s="1"/>
      <c r="Q272" s="1"/>
      <c r="R272" s="1"/>
      <c r="S272" s="1"/>
      <c r="T272" s="1"/>
      <c r="U272" s="1"/>
      <c r="V272" s="1"/>
      <c r="W272" s="1"/>
      <c r="X272" s="1"/>
      <c r="Y272" s="1"/>
      <c r="Z272" s="1"/>
      <c r="AA272" s="219"/>
      <c r="AB272" s="219"/>
      <c r="AC272" s="219"/>
    </row>
    <row r="273" spans="1:29" ht="14.4">
      <c r="A273" s="1"/>
      <c r="B273" s="220"/>
      <c r="C273" s="1"/>
      <c r="D273" s="1"/>
      <c r="E273" s="1"/>
      <c r="F273" s="1"/>
      <c r="G273" s="1"/>
      <c r="H273" s="1"/>
      <c r="I273" s="1"/>
      <c r="J273" s="1"/>
      <c r="K273" s="1"/>
      <c r="L273" s="1"/>
      <c r="M273" s="1"/>
      <c r="N273" s="1"/>
      <c r="O273" s="1"/>
      <c r="P273" s="1"/>
      <c r="Q273" s="1"/>
      <c r="R273" s="1"/>
      <c r="S273" s="1"/>
      <c r="T273" s="1"/>
      <c r="U273" s="1"/>
      <c r="V273" s="1"/>
      <c r="W273" s="1"/>
      <c r="X273" s="1"/>
      <c r="Y273" s="1"/>
      <c r="Z273" s="1"/>
      <c r="AA273" s="219"/>
      <c r="AB273" s="219"/>
      <c r="AC273" s="219"/>
    </row>
    <row r="274" spans="1:29" ht="14.4">
      <c r="A274" s="1"/>
      <c r="B274" s="220"/>
      <c r="C274" s="1"/>
      <c r="D274" s="1"/>
      <c r="E274" s="1"/>
      <c r="F274" s="1"/>
      <c r="G274" s="1"/>
      <c r="H274" s="1"/>
      <c r="I274" s="1"/>
      <c r="J274" s="1"/>
      <c r="K274" s="1"/>
      <c r="L274" s="1"/>
      <c r="M274" s="1"/>
      <c r="N274" s="1"/>
      <c r="O274" s="1"/>
      <c r="P274" s="1"/>
      <c r="Q274" s="1"/>
      <c r="R274" s="1"/>
      <c r="S274" s="1"/>
      <c r="T274" s="1"/>
      <c r="U274" s="1"/>
      <c r="V274" s="1"/>
      <c r="W274" s="1"/>
      <c r="X274" s="1"/>
      <c r="Y274" s="1"/>
      <c r="Z274" s="1"/>
      <c r="AA274" s="219"/>
      <c r="AB274" s="219"/>
      <c r="AC274" s="219"/>
    </row>
    <row r="275" spans="1:29" ht="14.4">
      <c r="A275" s="1"/>
      <c r="B275" s="220"/>
      <c r="C275" s="1"/>
      <c r="D275" s="1"/>
      <c r="E275" s="1"/>
      <c r="F275" s="1"/>
      <c r="G275" s="1"/>
      <c r="H275" s="1"/>
      <c r="I275" s="1"/>
      <c r="J275" s="1"/>
      <c r="K275" s="1"/>
      <c r="L275" s="1"/>
      <c r="M275" s="1"/>
      <c r="N275" s="1"/>
      <c r="O275" s="1"/>
      <c r="P275" s="1"/>
      <c r="Q275" s="1"/>
      <c r="R275" s="1"/>
      <c r="S275" s="1"/>
      <c r="T275" s="1"/>
      <c r="U275" s="1"/>
      <c r="V275" s="1"/>
      <c r="W275" s="1"/>
      <c r="X275" s="1"/>
      <c r="Y275" s="1"/>
      <c r="Z275" s="1"/>
      <c r="AA275" s="219"/>
      <c r="AB275" s="219"/>
      <c r="AC275" s="219"/>
    </row>
    <row r="276" spans="1:29" ht="14.4">
      <c r="A276" s="1"/>
      <c r="B276" s="220"/>
      <c r="C276" s="1"/>
      <c r="D276" s="1"/>
      <c r="E276" s="1"/>
      <c r="F276" s="1"/>
      <c r="G276" s="1"/>
      <c r="H276" s="1"/>
      <c r="I276" s="1"/>
      <c r="J276" s="1"/>
      <c r="K276" s="1"/>
      <c r="L276" s="1"/>
      <c r="M276" s="1"/>
      <c r="N276" s="1"/>
      <c r="O276" s="1"/>
      <c r="P276" s="1"/>
      <c r="Q276" s="1"/>
      <c r="R276" s="1"/>
      <c r="S276" s="1"/>
      <c r="T276" s="1"/>
      <c r="U276" s="1"/>
      <c r="V276" s="1"/>
      <c r="W276" s="1"/>
      <c r="X276" s="1"/>
      <c r="Y276" s="1"/>
      <c r="Z276" s="1"/>
      <c r="AA276" s="219"/>
      <c r="AB276" s="219"/>
      <c r="AC276" s="219"/>
    </row>
    <row r="277" spans="1:29" ht="14.4">
      <c r="A277" s="1"/>
      <c r="B277" s="220"/>
      <c r="C277" s="1"/>
      <c r="D277" s="1"/>
      <c r="E277" s="1"/>
      <c r="F277" s="1"/>
      <c r="G277" s="1"/>
      <c r="H277" s="1"/>
      <c r="I277" s="1"/>
      <c r="J277" s="1"/>
      <c r="K277" s="1"/>
      <c r="L277" s="1"/>
      <c r="M277" s="1"/>
      <c r="N277" s="1"/>
      <c r="O277" s="1"/>
      <c r="P277" s="1"/>
      <c r="Q277" s="1"/>
      <c r="R277" s="1"/>
      <c r="S277" s="1"/>
      <c r="T277" s="1"/>
      <c r="U277" s="1"/>
      <c r="V277" s="1"/>
      <c r="W277" s="1"/>
      <c r="X277" s="1"/>
      <c r="Y277" s="1"/>
      <c r="Z277" s="1"/>
      <c r="AA277" s="219"/>
      <c r="AB277" s="219"/>
      <c r="AC277" s="219"/>
    </row>
    <row r="278" spans="1:29" ht="14.4">
      <c r="A278" s="1"/>
      <c r="B278" s="220"/>
      <c r="C278" s="1"/>
      <c r="D278" s="1"/>
      <c r="E278" s="1"/>
      <c r="F278" s="1"/>
      <c r="G278" s="1"/>
      <c r="H278" s="1"/>
      <c r="I278" s="1"/>
      <c r="J278" s="1"/>
      <c r="K278" s="1"/>
      <c r="L278" s="1"/>
      <c r="M278" s="1"/>
      <c r="N278" s="1"/>
      <c r="O278" s="1"/>
      <c r="P278" s="1"/>
      <c r="Q278" s="1"/>
      <c r="R278" s="1"/>
      <c r="S278" s="1"/>
      <c r="T278" s="1"/>
      <c r="U278" s="1"/>
      <c r="V278" s="1"/>
      <c r="W278" s="1"/>
      <c r="X278" s="1"/>
      <c r="Y278" s="1"/>
      <c r="Z278" s="1"/>
      <c r="AA278" s="219"/>
      <c r="AB278" s="219"/>
      <c r="AC278" s="219"/>
    </row>
    <row r="279" spans="1:29" ht="14.4">
      <c r="A279" s="1"/>
      <c r="B279" s="220"/>
      <c r="C279" s="1"/>
      <c r="D279" s="1"/>
      <c r="E279" s="1"/>
      <c r="F279" s="1"/>
      <c r="G279" s="1"/>
      <c r="H279" s="1"/>
      <c r="I279" s="1"/>
      <c r="J279" s="1"/>
      <c r="K279" s="1"/>
      <c r="L279" s="1"/>
      <c r="M279" s="1"/>
      <c r="N279" s="1"/>
      <c r="O279" s="1"/>
      <c r="P279" s="1"/>
      <c r="Q279" s="1"/>
      <c r="R279" s="1"/>
      <c r="S279" s="1"/>
      <c r="T279" s="1"/>
      <c r="U279" s="1"/>
      <c r="V279" s="1"/>
      <c r="W279" s="1"/>
      <c r="X279" s="1"/>
      <c r="Y279" s="1"/>
      <c r="Z279" s="1"/>
      <c r="AA279" s="219"/>
      <c r="AB279" s="219"/>
      <c r="AC279" s="219"/>
    </row>
    <row r="280" spans="1:29" ht="14.4">
      <c r="A280" s="1"/>
      <c r="B280" s="220"/>
      <c r="C280" s="1"/>
      <c r="D280" s="1"/>
      <c r="E280" s="1"/>
      <c r="F280" s="1"/>
      <c r="G280" s="1"/>
      <c r="H280" s="1"/>
      <c r="I280" s="1"/>
      <c r="J280" s="1"/>
      <c r="K280" s="1"/>
      <c r="L280" s="1"/>
      <c r="M280" s="1"/>
      <c r="N280" s="1"/>
      <c r="O280" s="1"/>
      <c r="P280" s="1"/>
      <c r="Q280" s="1"/>
      <c r="R280" s="1"/>
      <c r="S280" s="1"/>
      <c r="T280" s="1"/>
      <c r="U280" s="1"/>
      <c r="V280" s="1"/>
      <c r="W280" s="1"/>
      <c r="X280" s="1"/>
      <c r="Y280" s="1"/>
      <c r="Z280" s="1"/>
      <c r="AA280" s="219"/>
      <c r="AB280" s="219"/>
      <c r="AC280" s="219"/>
    </row>
    <row r="281" spans="1:29" ht="14.4">
      <c r="A281" s="1"/>
      <c r="B281" s="220"/>
      <c r="C281" s="1"/>
      <c r="D281" s="1"/>
      <c r="E281" s="1"/>
      <c r="F281" s="1"/>
      <c r="G281" s="1"/>
      <c r="H281" s="1"/>
      <c r="I281" s="1"/>
      <c r="J281" s="1"/>
      <c r="K281" s="1"/>
      <c r="L281" s="1"/>
      <c r="M281" s="1"/>
      <c r="N281" s="1"/>
      <c r="O281" s="1"/>
      <c r="P281" s="1"/>
      <c r="Q281" s="1"/>
      <c r="R281" s="1"/>
      <c r="S281" s="1"/>
      <c r="T281" s="1"/>
      <c r="U281" s="1"/>
      <c r="V281" s="1"/>
      <c r="W281" s="1"/>
      <c r="X281" s="1"/>
      <c r="Y281" s="1"/>
      <c r="Z281" s="1"/>
      <c r="AA281" s="219"/>
      <c r="AB281" s="219"/>
      <c r="AC281" s="219"/>
    </row>
    <row r="282" spans="1:29" ht="14.4">
      <c r="A282" s="1"/>
      <c r="B282" s="220"/>
      <c r="C282" s="1"/>
      <c r="D282" s="1"/>
      <c r="E282" s="1"/>
      <c r="F282" s="1"/>
      <c r="G282" s="1"/>
      <c r="H282" s="1"/>
      <c r="I282" s="1"/>
      <c r="J282" s="1"/>
      <c r="K282" s="1"/>
      <c r="L282" s="1"/>
      <c r="M282" s="1"/>
      <c r="N282" s="1"/>
      <c r="O282" s="1"/>
      <c r="P282" s="1"/>
      <c r="Q282" s="1"/>
      <c r="R282" s="1"/>
      <c r="S282" s="1"/>
      <c r="T282" s="1"/>
      <c r="U282" s="1"/>
      <c r="V282" s="1"/>
      <c r="W282" s="1"/>
      <c r="X282" s="1"/>
      <c r="Y282" s="1"/>
      <c r="Z282" s="1"/>
      <c r="AA282" s="219"/>
      <c r="AB282" s="219"/>
      <c r="AC282" s="219"/>
    </row>
    <row r="283" spans="1:29" ht="14.4">
      <c r="A283" s="1"/>
      <c r="B283" s="220"/>
      <c r="C283" s="1"/>
      <c r="D283" s="1"/>
      <c r="E283" s="1"/>
      <c r="F283" s="1"/>
      <c r="G283" s="1"/>
      <c r="H283" s="1"/>
      <c r="I283" s="1"/>
      <c r="J283" s="1"/>
      <c r="K283" s="1"/>
      <c r="L283" s="1"/>
      <c r="M283" s="1"/>
      <c r="N283" s="1"/>
      <c r="O283" s="1"/>
      <c r="P283" s="1"/>
      <c r="Q283" s="1"/>
      <c r="R283" s="1"/>
      <c r="S283" s="1"/>
      <c r="T283" s="1"/>
      <c r="U283" s="1"/>
      <c r="V283" s="1"/>
      <c r="W283" s="1"/>
      <c r="X283" s="1"/>
      <c r="Y283" s="1"/>
      <c r="Z283" s="1"/>
      <c r="AA283" s="219"/>
      <c r="AB283" s="219"/>
      <c r="AC283" s="219"/>
    </row>
    <row r="284" spans="1:29" ht="14.4">
      <c r="A284" s="1"/>
      <c r="B284" s="220"/>
      <c r="C284" s="1"/>
      <c r="D284" s="1"/>
      <c r="E284" s="1"/>
      <c r="F284" s="1"/>
      <c r="G284" s="1"/>
      <c r="H284" s="1"/>
      <c r="I284" s="1"/>
      <c r="J284" s="1"/>
      <c r="K284" s="1"/>
      <c r="L284" s="1"/>
      <c r="M284" s="1"/>
      <c r="N284" s="1"/>
      <c r="O284" s="1"/>
      <c r="P284" s="1"/>
      <c r="Q284" s="1"/>
      <c r="R284" s="1"/>
      <c r="S284" s="1"/>
      <c r="T284" s="1"/>
      <c r="U284" s="1"/>
      <c r="V284" s="1"/>
      <c r="W284" s="1"/>
      <c r="X284" s="1"/>
      <c r="Y284" s="1"/>
      <c r="Z284" s="1"/>
      <c r="AA284" s="219"/>
      <c r="AB284" s="219"/>
      <c r="AC284" s="219"/>
    </row>
    <row r="285" spans="1:29" ht="14.4">
      <c r="A285" s="1"/>
      <c r="B285" s="220"/>
      <c r="C285" s="1"/>
      <c r="D285" s="1"/>
      <c r="E285" s="1"/>
      <c r="F285" s="1"/>
      <c r="G285" s="1"/>
      <c r="H285" s="1"/>
      <c r="I285" s="1"/>
      <c r="J285" s="1"/>
      <c r="K285" s="1"/>
      <c r="L285" s="1"/>
      <c r="M285" s="1"/>
      <c r="N285" s="1"/>
      <c r="O285" s="1"/>
      <c r="P285" s="1"/>
      <c r="Q285" s="1"/>
      <c r="R285" s="1"/>
      <c r="S285" s="1"/>
      <c r="T285" s="1"/>
      <c r="U285" s="1"/>
      <c r="V285" s="1"/>
      <c r="W285" s="1"/>
      <c r="X285" s="1"/>
      <c r="Y285" s="1"/>
      <c r="Z285" s="1"/>
      <c r="AA285" s="219"/>
      <c r="AB285" s="219"/>
      <c r="AC285" s="219"/>
    </row>
    <row r="286" spans="1:29" ht="14.4">
      <c r="A286" s="1"/>
      <c r="B286" s="220"/>
      <c r="C286" s="1"/>
      <c r="D286" s="1"/>
      <c r="E286" s="1"/>
      <c r="F286" s="1"/>
      <c r="G286" s="1"/>
      <c r="H286" s="1"/>
      <c r="I286" s="1"/>
      <c r="J286" s="1"/>
      <c r="K286" s="1"/>
      <c r="L286" s="1"/>
      <c r="M286" s="1"/>
      <c r="N286" s="1"/>
      <c r="O286" s="1"/>
      <c r="P286" s="1"/>
      <c r="Q286" s="1"/>
      <c r="R286" s="1"/>
      <c r="S286" s="1"/>
      <c r="T286" s="1"/>
      <c r="U286" s="1"/>
      <c r="V286" s="1"/>
      <c r="W286" s="1"/>
      <c r="X286" s="1"/>
      <c r="Y286" s="1"/>
      <c r="Z286" s="1"/>
      <c r="AA286" s="219"/>
      <c r="AB286" s="219"/>
      <c r="AC286" s="219"/>
    </row>
    <row r="287" spans="1:29" ht="14.4">
      <c r="A287" s="1"/>
      <c r="B287" s="220"/>
      <c r="C287" s="1"/>
      <c r="D287" s="1"/>
      <c r="E287" s="1"/>
      <c r="F287" s="1"/>
      <c r="G287" s="1"/>
      <c r="H287" s="1"/>
      <c r="I287" s="1"/>
      <c r="J287" s="1"/>
      <c r="K287" s="1"/>
      <c r="L287" s="1"/>
      <c r="M287" s="1"/>
      <c r="N287" s="1"/>
      <c r="O287" s="1"/>
      <c r="P287" s="1"/>
      <c r="Q287" s="1"/>
      <c r="R287" s="1"/>
      <c r="S287" s="1"/>
      <c r="T287" s="1"/>
      <c r="U287" s="1"/>
      <c r="V287" s="1"/>
      <c r="W287" s="1"/>
      <c r="X287" s="1"/>
      <c r="Y287" s="1"/>
      <c r="Z287" s="1"/>
      <c r="AA287" s="219"/>
      <c r="AB287" s="219"/>
      <c r="AC287" s="219"/>
    </row>
    <row r="288" spans="1:29" ht="14.4">
      <c r="A288" s="1"/>
      <c r="B288" s="220"/>
      <c r="C288" s="1"/>
      <c r="D288" s="1"/>
      <c r="E288" s="1"/>
      <c r="F288" s="1"/>
      <c r="G288" s="1"/>
      <c r="H288" s="1"/>
      <c r="I288" s="1"/>
      <c r="J288" s="1"/>
      <c r="K288" s="1"/>
      <c r="L288" s="1"/>
      <c r="M288" s="1"/>
      <c r="N288" s="1"/>
      <c r="O288" s="1"/>
      <c r="P288" s="1"/>
      <c r="Q288" s="1"/>
      <c r="R288" s="1"/>
      <c r="S288" s="1"/>
      <c r="T288" s="1"/>
      <c r="U288" s="1"/>
      <c r="V288" s="1"/>
      <c r="W288" s="1"/>
      <c r="X288" s="1"/>
      <c r="Y288" s="1"/>
      <c r="Z288" s="1"/>
      <c r="AA288" s="219"/>
      <c r="AB288" s="219"/>
      <c r="AC288" s="219"/>
    </row>
    <row r="289" spans="1:29" ht="14.4">
      <c r="A289" s="1"/>
      <c r="B289" s="220"/>
      <c r="C289" s="1"/>
      <c r="D289" s="1"/>
      <c r="E289" s="1"/>
      <c r="F289" s="1"/>
      <c r="G289" s="1"/>
      <c r="H289" s="1"/>
      <c r="I289" s="1"/>
      <c r="J289" s="1"/>
      <c r="K289" s="1"/>
      <c r="L289" s="1"/>
      <c r="M289" s="1"/>
      <c r="N289" s="1"/>
      <c r="O289" s="1"/>
      <c r="P289" s="1"/>
      <c r="Q289" s="1"/>
      <c r="R289" s="1"/>
      <c r="S289" s="1"/>
      <c r="T289" s="1"/>
      <c r="U289" s="1"/>
      <c r="V289" s="1"/>
      <c r="W289" s="1"/>
      <c r="X289" s="1"/>
      <c r="Y289" s="1"/>
      <c r="Z289" s="1"/>
      <c r="AA289" s="219"/>
      <c r="AB289" s="219"/>
      <c r="AC289" s="219"/>
    </row>
    <row r="290" spans="1:29" ht="14.4">
      <c r="A290" s="1"/>
      <c r="B290" s="220"/>
      <c r="C290" s="1"/>
      <c r="D290" s="1"/>
      <c r="E290" s="1"/>
      <c r="F290" s="1"/>
      <c r="G290" s="1"/>
      <c r="H290" s="1"/>
      <c r="I290" s="1"/>
      <c r="J290" s="1"/>
      <c r="K290" s="1"/>
      <c r="L290" s="1"/>
      <c r="M290" s="1"/>
      <c r="N290" s="1"/>
      <c r="O290" s="1"/>
      <c r="P290" s="1"/>
      <c r="Q290" s="1"/>
      <c r="R290" s="1"/>
      <c r="S290" s="1"/>
      <c r="T290" s="1"/>
      <c r="U290" s="1"/>
      <c r="V290" s="1"/>
      <c r="W290" s="1"/>
      <c r="X290" s="1"/>
      <c r="Y290" s="1"/>
      <c r="Z290" s="1"/>
      <c r="AA290" s="219"/>
      <c r="AB290" s="219"/>
      <c r="AC290" s="219"/>
    </row>
    <row r="291" spans="1:29" ht="14.4">
      <c r="A291" s="1"/>
      <c r="B291" s="220"/>
      <c r="C291" s="1"/>
      <c r="D291" s="1"/>
      <c r="E291" s="1"/>
      <c r="F291" s="1"/>
      <c r="G291" s="1"/>
      <c r="H291" s="1"/>
      <c r="I291" s="1"/>
      <c r="J291" s="1"/>
      <c r="K291" s="1"/>
      <c r="L291" s="1"/>
      <c r="M291" s="1"/>
      <c r="N291" s="1"/>
      <c r="O291" s="1"/>
      <c r="P291" s="1"/>
      <c r="Q291" s="1"/>
      <c r="R291" s="1"/>
      <c r="S291" s="1"/>
      <c r="T291" s="1"/>
      <c r="U291" s="1"/>
      <c r="V291" s="1"/>
      <c r="W291" s="1"/>
      <c r="X291" s="1"/>
      <c r="Y291" s="1"/>
      <c r="Z291" s="1"/>
      <c r="AA291" s="219"/>
      <c r="AB291" s="219"/>
      <c r="AC291" s="219"/>
    </row>
    <row r="292" spans="1:29" ht="14.4">
      <c r="A292" s="1"/>
      <c r="B292" s="220"/>
      <c r="C292" s="1"/>
      <c r="D292" s="1"/>
      <c r="E292" s="1"/>
      <c r="F292" s="1"/>
      <c r="G292" s="1"/>
      <c r="H292" s="1"/>
      <c r="I292" s="1"/>
      <c r="J292" s="1"/>
      <c r="K292" s="1"/>
      <c r="L292" s="1"/>
      <c r="M292" s="1"/>
      <c r="N292" s="1"/>
      <c r="O292" s="1"/>
      <c r="P292" s="1"/>
      <c r="Q292" s="1"/>
      <c r="R292" s="1"/>
      <c r="S292" s="1"/>
      <c r="T292" s="1"/>
      <c r="U292" s="1"/>
      <c r="V292" s="1"/>
      <c r="W292" s="1"/>
      <c r="X292" s="1"/>
      <c r="Y292" s="1"/>
      <c r="Z292" s="1"/>
      <c r="AA292" s="219"/>
      <c r="AB292" s="219"/>
      <c r="AC292" s="219"/>
    </row>
    <row r="293" spans="1:29" ht="14.4">
      <c r="A293" s="1"/>
      <c r="B293" s="220"/>
      <c r="C293" s="1"/>
      <c r="D293" s="1"/>
      <c r="E293" s="1"/>
      <c r="F293" s="1"/>
      <c r="G293" s="1"/>
      <c r="H293" s="1"/>
      <c r="I293" s="1"/>
      <c r="J293" s="1"/>
      <c r="K293" s="1"/>
      <c r="L293" s="1"/>
      <c r="M293" s="1"/>
      <c r="N293" s="1"/>
      <c r="O293" s="1"/>
      <c r="P293" s="1"/>
      <c r="Q293" s="1"/>
      <c r="R293" s="1"/>
      <c r="S293" s="1"/>
      <c r="T293" s="1"/>
      <c r="U293" s="1"/>
      <c r="V293" s="1"/>
      <c r="W293" s="1"/>
      <c r="X293" s="1"/>
      <c r="Y293" s="1"/>
      <c r="Z293" s="1"/>
      <c r="AA293" s="219"/>
      <c r="AB293" s="219"/>
      <c r="AC293" s="219"/>
    </row>
    <row r="294" spans="1:29" ht="14.4">
      <c r="A294" s="1"/>
      <c r="B294" s="220"/>
      <c r="C294" s="1"/>
      <c r="D294" s="1"/>
      <c r="E294" s="1"/>
      <c r="F294" s="1"/>
      <c r="G294" s="1"/>
      <c r="H294" s="1"/>
      <c r="I294" s="1"/>
      <c r="J294" s="1"/>
      <c r="K294" s="1"/>
      <c r="L294" s="1"/>
      <c r="M294" s="1"/>
      <c r="N294" s="1"/>
      <c r="O294" s="1"/>
      <c r="P294" s="1"/>
      <c r="Q294" s="1"/>
      <c r="R294" s="1"/>
      <c r="S294" s="1"/>
      <c r="T294" s="1"/>
      <c r="U294" s="1"/>
      <c r="V294" s="1"/>
      <c r="W294" s="1"/>
      <c r="X294" s="1"/>
      <c r="Y294" s="1"/>
      <c r="Z294" s="1"/>
      <c r="AA294" s="219"/>
      <c r="AB294" s="219"/>
      <c r="AC294" s="219"/>
    </row>
    <row r="295" spans="1:29" ht="14.4">
      <c r="A295" s="1"/>
      <c r="B295" s="220"/>
      <c r="C295" s="1"/>
      <c r="D295" s="1"/>
      <c r="E295" s="1"/>
      <c r="F295" s="1"/>
      <c r="G295" s="1"/>
      <c r="H295" s="1"/>
      <c r="I295" s="1"/>
      <c r="J295" s="1"/>
      <c r="K295" s="1"/>
      <c r="L295" s="1"/>
      <c r="M295" s="1"/>
      <c r="N295" s="1"/>
      <c r="O295" s="1"/>
      <c r="P295" s="1"/>
      <c r="Q295" s="1"/>
      <c r="R295" s="1"/>
      <c r="S295" s="1"/>
      <c r="T295" s="1"/>
      <c r="U295" s="1"/>
      <c r="V295" s="1"/>
      <c r="W295" s="1"/>
      <c r="X295" s="1"/>
      <c r="Y295" s="1"/>
      <c r="Z295" s="1"/>
      <c r="AA295" s="219"/>
      <c r="AB295" s="219"/>
      <c r="AC295" s="219"/>
    </row>
    <row r="296" spans="1:29" ht="14.4">
      <c r="A296" s="1"/>
      <c r="B296" s="220"/>
      <c r="C296" s="1"/>
      <c r="D296" s="1"/>
      <c r="E296" s="1"/>
      <c r="F296" s="1"/>
      <c r="G296" s="1"/>
      <c r="H296" s="1"/>
      <c r="I296" s="1"/>
      <c r="J296" s="1"/>
      <c r="K296" s="1"/>
      <c r="L296" s="1"/>
      <c r="M296" s="1"/>
      <c r="N296" s="1"/>
      <c r="O296" s="1"/>
      <c r="P296" s="1"/>
      <c r="Q296" s="1"/>
      <c r="R296" s="1"/>
      <c r="S296" s="1"/>
      <c r="T296" s="1"/>
      <c r="U296" s="1"/>
      <c r="V296" s="1"/>
      <c r="W296" s="1"/>
      <c r="X296" s="1"/>
      <c r="Y296" s="1"/>
      <c r="Z296" s="1"/>
      <c r="AA296" s="219"/>
      <c r="AB296" s="219"/>
      <c r="AC296" s="219"/>
    </row>
    <row r="297" spans="1:29" ht="14.4">
      <c r="A297" s="1"/>
      <c r="B297" s="220"/>
      <c r="C297" s="1"/>
      <c r="D297" s="1"/>
      <c r="E297" s="1"/>
      <c r="F297" s="1"/>
      <c r="G297" s="1"/>
      <c r="H297" s="1"/>
      <c r="I297" s="1"/>
      <c r="J297" s="1"/>
      <c r="K297" s="1"/>
      <c r="L297" s="1"/>
      <c r="M297" s="1"/>
      <c r="N297" s="1"/>
      <c r="O297" s="1"/>
      <c r="P297" s="1"/>
      <c r="Q297" s="1"/>
      <c r="R297" s="1"/>
      <c r="S297" s="1"/>
      <c r="T297" s="1"/>
      <c r="U297" s="1"/>
      <c r="V297" s="1"/>
      <c r="W297" s="1"/>
      <c r="X297" s="1"/>
      <c r="Y297" s="1"/>
      <c r="Z297" s="1"/>
      <c r="AA297" s="219"/>
      <c r="AB297" s="219"/>
      <c r="AC297" s="219"/>
    </row>
    <row r="298" spans="1:29" ht="14.4">
      <c r="A298" s="1"/>
      <c r="B298" s="220"/>
      <c r="C298" s="1"/>
      <c r="D298" s="1"/>
      <c r="E298" s="1"/>
      <c r="F298" s="1"/>
      <c r="G298" s="1"/>
      <c r="H298" s="1"/>
      <c r="I298" s="1"/>
      <c r="J298" s="1"/>
      <c r="K298" s="1"/>
      <c r="L298" s="1"/>
      <c r="M298" s="1"/>
      <c r="N298" s="1"/>
      <c r="O298" s="1"/>
      <c r="P298" s="1"/>
      <c r="Q298" s="1"/>
      <c r="R298" s="1"/>
      <c r="S298" s="1"/>
      <c r="T298" s="1"/>
      <c r="U298" s="1"/>
      <c r="V298" s="1"/>
      <c r="W298" s="1"/>
      <c r="X298" s="1"/>
      <c r="Y298" s="1"/>
      <c r="Z298" s="1"/>
      <c r="AA298" s="219"/>
      <c r="AB298" s="219"/>
      <c r="AC298" s="219"/>
    </row>
    <row r="299" spans="1:29" ht="14.4">
      <c r="A299" s="1"/>
      <c r="B299" s="220"/>
      <c r="C299" s="1"/>
      <c r="D299" s="1"/>
      <c r="E299" s="1"/>
      <c r="F299" s="1"/>
      <c r="G299" s="1"/>
      <c r="H299" s="1"/>
      <c r="I299" s="1"/>
      <c r="J299" s="1"/>
      <c r="K299" s="1"/>
      <c r="L299" s="1"/>
      <c r="M299" s="1"/>
      <c r="N299" s="1"/>
      <c r="O299" s="1"/>
      <c r="P299" s="1"/>
      <c r="Q299" s="1"/>
      <c r="R299" s="1"/>
      <c r="S299" s="1"/>
      <c r="T299" s="1"/>
      <c r="U299" s="1"/>
      <c r="V299" s="1"/>
      <c r="W299" s="1"/>
      <c r="X299" s="1"/>
      <c r="Y299" s="1"/>
      <c r="Z299" s="1"/>
      <c r="AA299" s="219"/>
      <c r="AB299" s="219"/>
      <c r="AC299" s="219"/>
    </row>
    <row r="300" spans="1:29" ht="14.4">
      <c r="A300" s="1"/>
      <c r="B300" s="220"/>
      <c r="C300" s="1"/>
      <c r="D300" s="1"/>
      <c r="E300" s="1"/>
      <c r="F300" s="1"/>
      <c r="G300" s="1"/>
      <c r="H300" s="1"/>
      <c r="I300" s="1"/>
      <c r="J300" s="1"/>
      <c r="K300" s="1"/>
      <c r="L300" s="1"/>
      <c r="M300" s="1"/>
      <c r="N300" s="1"/>
      <c r="O300" s="1"/>
      <c r="P300" s="1"/>
      <c r="Q300" s="1"/>
      <c r="R300" s="1"/>
      <c r="S300" s="1"/>
      <c r="T300" s="1"/>
      <c r="U300" s="1"/>
      <c r="V300" s="1"/>
      <c r="W300" s="1"/>
      <c r="X300" s="1"/>
      <c r="Y300" s="1"/>
      <c r="Z300" s="1"/>
      <c r="AA300" s="219"/>
      <c r="AB300" s="219"/>
      <c r="AC300" s="219"/>
    </row>
    <row r="301" spans="1:29" ht="14.4">
      <c r="A301" s="1"/>
      <c r="B301" s="220"/>
      <c r="C301" s="1"/>
      <c r="D301" s="1"/>
      <c r="E301" s="1"/>
      <c r="F301" s="1"/>
      <c r="G301" s="1"/>
      <c r="H301" s="1"/>
      <c r="I301" s="1"/>
      <c r="J301" s="1"/>
      <c r="K301" s="1"/>
      <c r="L301" s="1"/>
      <c r="M301" s="1"/>
      <c r="N301" s="1"/>
      <c r="O301" s="1"/>
      <c r="P301" s="1"/>
      <c r="Q301" s="1"/>
      <c r="R301" s="1"/>
      <c r="S301" s="1"/>
      <c r="T301" s="1"/>
      <c r="U301" s="1"/>
      <c r="V301" s="1"/>
      <c r="W301" s="1"/>
      <c r="X301" s="1"/>
      <c r="Y301" s="1"/>
      <c r="Z301" s="1"/>
      <c r="AA301" s="219"/>
      <c r="AB301" s="219"/>
      <c r="AC301" s="219"/>
    </row>
    <row r="302" spans="1:29" ht="14.4">
      <c r="A302" s="1"/>
      <c r="B302" s="220"/>
      <c r="C302" s="1"/>
      <c r="D302" s="1"/>
      <c r="E302" s="1"/>
      <c r="F302" s="1"/>
      <c r="G302" s="1"/>
      <c r="H302" s="1"/>
      <c r="I302" s="1"/>
      <c r="J302" s="1"/>
      <c r="K302" s="1"/>
      <c r="L302" s="1"/>
      <c r="M302" s="1"/>
      <c r="N302" s="1"/>
      <c r="O302" s="1"/>
      <c r="P302" s="1"/>
      <c r="Q302" s="1"/>
      <c r="R302" s="1"/>
      <c r="S302" s="1"/>
      <c r="T302" s="1"/>
      <c r="U302" s="1"/>
      <c r="V302" s="1"/>
      <c r="W302" s="1"/>
      <c r="X302" s="1"/>
      <c r="Y302" s="1"/>
      <c r="Z302" s="1"/>
      <c r="AA302" s="219"/>
      <c r="AB302" s="219"/>
      <c r="AC302" s="219"/>
    </row>
    <row r="303" spans="1:29" ht="14.4">
      <c r="A303" s="1"/>
      <c r="B303" s="220"/>
      <c r="C303" s="1"/>
      <c r="D303" s="1"/>
      <c r="E303" s="1"/>
      <c r="F303" s="1"/>
      <c r="G303" s="1"/>
      <c r="H303" s="1"/>
      <c r="I303" s="1"/>
      <c r="J303" s="1"/>
      <c r="K303" s="1"/>
      <c r="L303" s="1"/>
      <c r="M303" s="1"/>
      <c r="N303" s="1"/>
      <c r="O303" s="1"/>
      <c r="P303" s="1"/>
      <c r="Q303" s="1"/>
      <c r="R303" s="1"/>
      <c r="S303" s="1"/>
      <c r="T303" s="1"/>
      <c r="U303" s="1"/>
      <c r="V303" s="1"/>
      <c r="W303" s="1"/>
      <c r="X303" s="1"/>
      <c r="Y303" s="1"/>
      <c r="Z303" s="1"/>
      <c r="AA303" s="219"/>
      <c r="AB303" s="219"/>
      <c r="AC303" s="219"/>
    </row>
    <row r="304" spans="1:29" ht="14.4">
      <c r="A304" s="1"/>
      <c r="B304" s="220"/>
      <c r="C304" s="1"/>
      <c r="D304" s="1"/>
      <c r="E304" s="1"/>
      <c r="F304" s="1"/>
      <c r="G304" s="1"/>
      <c r="H304" s="1"/>
      <c r="I304" s="1"/>
      <c r="J304" s="1"/>
      <c r="K304" s="1"/>
      <c r="L304" s="1"/>
      <c r="M304" s="1"/>
      <c r="N304" s="1"/>
      <c r="O304" s="1"/>
      <c r="P304" s="1"/>
      <c r="Q304" s="1"/>
      <c r="R304" s="1"/>
      <c r="S304" s="1"/>
      <c r="T304" s="1"/>
      <c r="U304" s="1"/>
      <c r="V304" s="1"/>
      <c r="W304" s="1"/>
      <c r="X304" s="1"/>
      <c r="Y304" s="1"/>
      <c r="Z304" s="1"/>
      <c r="AA304" s="219"/>
      <c r="AB304" s="219"/>
      <c r="AC304" s="219"/>
    </row>
    <row r="305" spans="1:29" ht="14.4">
      <c r="A305" s="1"/>
      <c r="B305" s="220"/>
      <c r="C305" s="1"/>
      <c r="D305" s="1"/>
      <c r="E305" s="1"/>
      <c r="F305" s="1"/>
      <c r="G305" s="1"/>
      <c r="H305" s="1"/>
      <c r="I305" s="1"/>
      <c r="J305" s="1"/>
      <c r="K305" s="1"/>
      <c r="L305" s="1"/>
      <c r="M305" s="1"/>
      <c r="N305" s="1"/>
      <c r="O305" s="1"/>
      <c r="P305" s="1"/>
      <c r="Q305" s="1"/>
      <c r="R305" s="1"/>
      <c r="S305" s="1"/>
      <c r="T305" s="1"/>
      <c r="U305" s="1"/>
      <c r="V305" s="1"/>
      <c r="W305" s="1"/>
      <c r="X305" s="1"/>
      <c r="Y305" s="1"/>
      <c r="Z305" s="1"/>
      <c r="AA305" s="219"/>
      <c r="AB305" s="219"/>
      <c r="AC305" s="219"/>
    </row>
    <row r="306" spans="1:29" ht="14.4">
      <c r="A306" s="1"/>
      <c r="B306" s="220"/>
      <c r="C306" s="1"/>
      <c r="D306" s="1"/>
      <c r="E306" s="1"/>
      <c r="F306" s="1"/>
      <c r="G306" s="1"/>
      <c r="H306" s="1"/>
      <c r="I306" s="1"/>
      <c r="J306" s="1"/>
      <c r="K306" s="1"/>
      <c r="L306" s="1"/>
      <c r="M306" s="1"/>
      <c r="N306" s="1"/>
      <c r="O306" s="1"/>
      <c r="P306" s="1"/>
      <c r="Q306" s="1"/>
      <c r="R306" s="1"/>
      <c r="S306" s="1"/>
      <c r="T306" s="1"/>
      <c r="U306" s="1"/>
      <c r="V306" s="1"/>
      <c r="W306" s="1"/>
      <c r="X306" s="1"/>
      <c r="Y306" s="1"/>
      <c r="Z306" s="1"/>
      <c r="AA306" s="219"/>
      <c r="AB306" s="219"/>
      <c r="AC306" s="219"/>
    </row>
    <row r="307" spans="1:29" ht="14.4">
      <c r="A307" s="1"/>
      <c r="B307" s="220"/>
      <c r="C307" s="1"/>
      <c r="D307" s="1"/>
      <c r="E307" s="1"/>
      <c r="F307" s="1"/>
      <c r="G307" s="1"/>
      <c r="H307" s="1"/>
      <c r="I307" s="1"/>
      <c r="J307" s="1"/>
      <c r="K307" s="1"/>
      <c r="L307" s="1"/>
      <c r="M307" s="1"/>
      <c r="N307" s="1"/>
      <c r="O307" s="1"/>
      <c r="P307" s="1"/>
      <c r="Q307" s="1"/>
      <c r="R307" s="1"/>
      <c r="S307" s="1"/>
      <c r="T307" s="1"/>
      <c r="U307" s="1"/>
      <c r="V307" s="1"/>
      <c r="W307" s="1"/>
      <c r="X307" s="1"/>
      <c r="Y307" s="1"/>
      <c r="Z307" s="1"/>
      <c r="AA307" s="219"/>
      <c r="AB307" s="219"/>
      <c r="AC307" s="219"/>
    </row>
    <row r="308" spans="1:29" ht="14.4">
      <c r="A308" s="1"/>
      <c r="B308" s="220"/>
      <c r="C308" s="1"/>
      <c r="D308" s="1"/>
      <c r="E308" s="1"/>
      <c r="F308" s="1"/>
      <c r="G308" s="1"/>
      <c r="H308" s="1"/>
      <c r="I308" s="1"/>
      <c r="J308" s="1"/>
      <c r="K308" s="1"/>
      <c r="L308" s="1"/>
      <c r="M308" s="1"/>
      <c r="N308" s="1"/>
      <c r="O308" s="1"/>
      <c r="P308" s="1"/>
      <c r="Q308" s="1"/>
      <c r="R308" s="1"/>
      <c r="S308" s="1"/>
      <c r="T308" s="1"/>
      <c r="U308" s="1"/>
      <c r="V308" s="1"/>
      <c r="W308" s="1"/>
      <c r="X308" s="1"/>
      <c r="Y308" s="1"/>
      <c r="Z308" s="1"/>
      <c r="AA308" s="219"/>
      <c r="AB308" s="219"/>
      <c r="AC308" s="219"/>
    </row>
    <row r="309" spans="1:29" ht="14.4">
      <c r="A309" s="1"/>
      <c r="B309" s="220"/>
      <c r="C309" s="1"/>
      <c r="D309" s="1"/>
      <c r="E309" s="1"/>
      <c r="F309" s="1"/>
      <c r="G309" s="1"/>
      <c r="H309" s="1"/>
      <c r="I309" s="1"/>
      <c r="J309" s="1"/>
      <c r="K309" s="1"/>
      <c r="L309" s="1"/>
      <c r="M309" s="1"/>
      <c r="N309" s="1"/>
      <c r="O309" s="1"/>
      <c r="P309" s="1"/>
      <c r="Q309" s="1"/>
      <c r="R309" s="1"/>
      <c r="S309" s="1"/>
      <c r="T309" s="1"/>
      <c r="U309" s="1"/>
      <c r="V309" s="1"/>
      <c r="W309" s="1"/>
      <c r="X309" s="1"/>
      <c r="Y309" s="1"/>
      <c r="Z309" s="1"/>
      <c r="AA309" s="219"/>
      <c r="AB309" s="219"/>
      <c r="AC309" s="219"/>
    </row>
    <row r="310" spans="1:29" ht="14.4">
      <c r="A310" s="1"/>
      <c r="B310" s="220"/>
      <c r="C310" s="1"/>
      <c r="D310" s="1"/>
      <c r="E310" s="1"/>
      <c r="F310" s="1"/>
      <c r="G310" s="1"/>
      <c r="H310" s="1"/>
      <c r="I310" s="1"/>
      <c r="J310" s="1"/>
      <c r="K310" s="1"/>
      <c r="L310" s="1"/>
      <c r="M310" s="1"/>
      <c r="N310" s="1"/>
      <c r="O310" s="1"/>
      <c r="P310" s="1"/>
      <c r="Q310" s="1"/>
      <c r="R310" s="1"/>
      <c r="S310" s="1"/>
      <c r="T310" s="1"/>
      <c r="U310" s="1"/>
      <c r="V310" s="1"/>
      <c r="W310" s="1"/>
      <c r="X310" s="1"/>
      <c r="Y310" s="1"/>
      <c r="Z310" s="1"/>
      <c r="AA310" s="219"/>
      <c r="AB310" s="219"/>
      <c r="AC310" s="219"/>
    </row>
  </sheetData>
  <mergeCells count="123">
    <mergeCell ref="W89:X89"/>
    <mergeCell ref="Y89:Z89"/>
    <mergeCell ref="A110:H110"/>
    <mergeCell ref="A111:H116"/>
    <mergeCell ref="Y65:Z65"/>
    <mergeCell ref="O78:P78"/>
    <mergeCell ref="Q78:R78"/>
    <mergeCell ref="U78:V78"/>
    <mergeCell ref="W78:X78"/>
    <mergeCell ref="Y78:Z78"/>
    <mergeCell ref="S65:T65"/>
    <mergeCell ref="A70:C71"/>
    <mergeCell ref="H70:J71"/>
    <mergeCell ref="A77:E77"/>
    <mergeCell ref="A78:B79"/>
    <mergeCell ref="C78:D78"/>
    <mergeCell ref="E78:F78"/>
    <mergeCell ref="S78:T78"/>
    <mergeCell ref="W100:X100"/>
    <mergeCell ref="Y100:Z100"/>
    <mergeCell ref="A100:B101"/>
    <mergeCell ref="C100:D100"/>
    <mergeCell ref="E100:F100"/>
    <mergeCell ref="G100:H100"/>
    <mergeCell ref="I100:J100"/>
    <mergeCell ref="K100:L100"/>
    <mergeCell ref="M100:N100"/>
    <mergeCell ref="A89:B90"/>
    <mergeCell ref="C89:D89"/>
    <mergeCell ref="E89:F89"/>
    <mergeCell ref="G89:H89"/>
    <mergeCell ref="I89:J89"/>
    <mergeCell ref="O100:P100"/>
    <mergeCell ref="Q100:R100"/>
    <mergeCell ref="S100:T100"/>
    <mergeCell ref="U100:V100"/>
    <mergeCell ref="K89:L89"/>
    <mergeCell ref="M89:N89"/>
    <mergeCell ref="O89:P89"/>
    <mergeCell ref="Q89:R89"/>
    <mergeCell ref="S89:T89"/>
    <mergeCell ref="U89:V89"/>
    <mergeCell ref="A51:C52"/>
    <mergeCell ref="H51:J52"/>
    <mergeCell ref="A56:E56"/>
    <mergeCell ref="H56:L56"/>
    <mergeCell ref="Y56:AC56"/>
    <mergeCell ref="K78:L78"/>
    <mergeCell ref="M78:N78"/>
    <mergeCell ref="G78:H78"/>
    <mergeCell ref="I78:J78"/>
    <mergeCell ref="Y60:Z60"/>
    <mergeCell ref="Y61:Z61"/>
    <mergeCell ref="S56:W56"/>
    <mergeCell ref="S57:T57"/>
    <mergeCell ref="Y57:Z57"/>
    <mergeCell ref="S58:T58"/>
    <mergeCell ref="Y58:Z58"/>
    <mergeCell ref="Y59:Z59"/>
    <mergeCell ref="S61:T61"/>
    <mergeCell ref="S62:T62"/>
    <mergeCell ref="Y62:Z62"/>
    <mergeCell ref="S63:T63"/>
    <mergeCell ref="Y63:Z63"/>
    <mergeCell ref="S64:T64"/>
    <mergeCell ref="Y64:Z64"/>
    <mergeCell ref="H32:J33"/>
    <mergeCell ref="A32:C33"/>
    <mergeCell ref="A37:E37"/>
    <mergeCell ref="H37:L37"/>
    <mergeCell ref="S37:W37"/>
    <mergeCell ref="Y37:AC37"/>
    <mergeCell ref="S38:T38"/>
    <mergeCell ref="S39:T39"/>
    <mergeCell ref="Y44:Z44"/>
    <mergeCell ref="Y27:Z27"/>
    <mergeCell ref="Y28:Z28"/>
    <mergeCell ref="Y18:AC18"/>
    <mergeCell ref="Y19:Z19"/>
    <mergeCell ref="Y20:Z20"/>
    <mergeCell ref="Y21:Z21"/>
    <mergeCell ref="S22:T22"/>
    <mergeCell ref="Y22:Z22"/>
    <mergeCell ref="Y23:Z23"/>
    <mergeCell ref="S23:T23"/>
    <mergeCell ref="S24:T24"/>
    <mergeCell ref="S25:T25"/>
    <mergeCell ref="S26:T26"/>
    <mergeCell ref="S27:T27"/>
    <mergeCell ref="S28:T28"/>
    <mergeCell ref="A13:A14"/>
    <mergeCell ref="A18:E18"/>
    <mergeCell ref="H18:L18"/>
    <mergeCell ref="S18:W18"/>
    <mergeCell ref="S19:T19"/>
    <mergeCell ref="S20:T20"/>
    <mergeCell ref="Y24:Z24"/>
    <mergeCell ref="Y25:Z25"/>
    <mergeCell ref="Y26:Z26"/>
    <mergeCell ref="A3:E3"/>
    <mergeCell ref="H3:L3"/>
    <mergeCell ref="S3:W3"/>
    <mergeCell ref="Y3:AC3"/>
    <mergeCell ref="H4:L4"/>
    <mergeCell ref="S4:W4"/>
    <mergeCell ref="Y4:AC4"/>
    <mergeCell ref="A4:E4"/>
    <mergeCell ref="A6:C6"/>
    <mergeCell ref="S43:T43"/>
    <mergeCell ref="S44:T44"/>
    <mergeCell ref="S45:T45"/>
    <mergeCell ref="S46:T46"/>
    <mergeCell ref="S47:T47"/>
    <mergeCell ref="Y46:Z46"/>
    <mergeCell ref="Y47:Z47"/>
    <mergeCell ref="Y38:Z38"/>
    <mergeCell ref="Y39:Z39"/>
    <mergeCell ref="Y40:Z40"/>
    <mergeCell ref="Y41:Z41"/>
    <mergeCell ref="S42:T42"/>
    <mergeCell ref="Y42:Z42"/>
    <mergeCell ref="Y43:Z43"/>
    <mergeCell ref="Y45:Z45"/>
  </mergeCells>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30"/>
  <sheetViews>
    <sheetView topLeftCell="B1" workbookViewId="0">
      <pane ySplit="1" topLeftCell="A23" activePane="bottomLeft" state="frozen"/>
      <selection pane="bottomLeft" activeCell="B3" sqref="B3"/>
    </sheetView>
  </sheetViews>
  <sheetFormatPr baseColWidth="10" defaultColWidth="12.59765625" defaultRowHeight="15" customHeight="1"/>
  <cols>
    <col min="1" max="1" width="10" customWidth="1"/>
    <col min="2" max="2" width="62.09765625" customWidth="1"/>
    <col min="3" max="3" width="20" customWidth="1"/>
    <col min="4" max="4" width="24.19921875" customWidth="1"/>
    <col min="5" max="5" width="20.19921875" customWidth="1"/>
    <col min="6" max="6" width="3.19921875" customWidth="1"/>
    <col min="7" max="7" width="6.09765625" customWidth="1"/>
    <col min="8" max="8" width="2.3984375" customWidth="1"/>
    <col min="9" max="9" width="3.3984375" customWidth="1"/>
    <col min="10" max="25" width="10" customWidth="1"/>
  </cols>
  <sheetData>
    <row r="1" spans="1:26" ht="15" customHeight="1">
      <c r="A1" s="10"/>
      <c r="B1" s="10"/>
      <c r="C1" s="10"/>
      <c r="D1" s="10"/>
      <c r="E1" s="218" t="s">
        <v>5</v>
      </c>
      <c r="F1" s="10"/>
      <c r="G1" s="336"/>
      <c r="H1" s="336"/>
      <c r="I1" s="10"/>
      <c r="J1" s="10"/>
      <c r="K1" s="10"/>
      <c r="L1" s="10"/>
      <c r="M1" s="10"/>
      <c r="N1" s="10"/>
      <c r="O1" s="10"/>
      <c r="P1" s="10"/>
      <c r="Q1" s="10"/>
      <c r="R1" s="10"/>
      <c r="S1" s="10"/>
      <c r="T1" s="10"/>
      <c r="U1" s="10"/>
      <c r="V1" s="10"/>
      <c r="W1" s="10"/>
      <c r="X1" s="10"/>
      <c r="Y1" s="1"/>
      <c r="Z1" s="1"/>
    </row>
    <row r="2" spans="1:26" ht="15" customHeight="1">
      <c r="A2" s="1"/>
      <c r="B2" s="1"/>
      <c r="C2" s="1"/>
      <c r="D2" s="1"/>
      <c r="E2" s="1"/>
      <c r="F2" s="1"/>
      <c r="G2" s="1"/>
      <c r="H2" s="1"/>
      <c r="I2" s="1"/>
      <c r="J2" s="1"/>
      <c r="K2" s="1"/>
      <c r="L2" s="1"/>
      <c r="M2" s="1"/>
      <c r="N2" s="1"/>
      <c r="O2" s="1"/>
      <c r="P2" s="1"/>
      <c r="Q2" s="1"/>
      <c r="R2" s="1"/>
      <c r="S2" s="1"/>
      <c r="T2" s="1"/>
      <c r="U2" s="1"/>
      <c r="V2" s="1"/>
      <c r="W2" s="1"/>
      <c r="X2" s="1"/>
      <c r="Y2" s="1"/>
      <c r="Z2" s="1"/>
    </row>
    <row r="3" spans="1:26" ht="15" customHeight="1">
      <c r="A3" s="1"/>
      <c r="B3" s="1"/>
      <c r="C3" s="1"/>
      <c r="D3" s="1"/>
      <c r="E3" s="1"/>
      <c r="F3" s="1"/>
      <c r="G3" s="1"/>
      <c r="H3" s="1"/>
      <c r="I3" s="1"/>
      <c r="J3" s="1"/>
      <c r="K3" s="1"/>
      <c r="L3" s="1"/>
      <c r="M3" s="1"/>
      <c r="N3" s="1"/>
      <c r="O3" s="1"/>
      <c r="P3" s="1"/>
      <c r="Q3" s="1"/>
      <c r="R3" s="1"/>
      <c r="S3" s="1"/>
      <c r="T3" s="1"/>
      <c r="U3" s="1"/>
      <c r="V3" s="1"/>
      <c r="W3" s="1"/>
      <c r="X3" s="1"/>
      <c r="Y3" s="1"/>
      <c r="Z3" s="1"/>
    </row>
    <row r="4" spans="1:26" ht="15" customHeight="1">
      <c r="A4" s="1"/>
      <c r="B4" s="1"/>
      <c r="C4" s="1"/>
      <c r="D4" s="1"/>
      <c r="E4" s="1"/>
      <c r="F4" s="1"/>
      <c r="G4" s="1"/>
      <c r="H4" s="1"/>
      <c r="I4" s="1"/>
      <c r="J4" s="1"/>
      <c r="K4" s="1"/>
      <c r="L4" s="1"/>
      <c r="M4" s="1"/>
      <c r="N4" s="1"/>
      <c r="O4" s="1"/>
      <c r="P4" s="1"/>
      <c r="Q4" s="1"/>
      <c r="R4" s="1"/>
      <c r="S4" s="1"/>
      <c r="T4" s="1"/>
      <c r="U4" s="1"/>
      <c r="V4" s="1"/>
      <c r="W4" s="1"/>
      <c r="X4" s="1"/>
      <c r="Y4" s="1"/>
      <c r="Z4" s="1"/>
    </row>
    <row r="5" spans="1:26" ht="15" customHeight="1">
      <c r="A5" s="1"/>
      <c r="B5" s="1"/>
      <c r="C5" s="1"/>
      <c r="D5" s="1"/>
      <c r="E5" s="1"/>
      <c r="F5" s="1"/>
      <c r="G5" s="1"/>
      <c r="H5" s="1"/>
      <c r="I5" s="1"/>
      <c r="J5" s="1"/>
      <c r="K5" s="1"/>
      <c r="L5" s="1"/>
      <c r="M5" s="1"/>
      <c r="N5" s="1"/>
      <c r="O5" s="1"/>
      <c r="P5" s="1"/>
      <c r="Q5" s="1"/>
      <c r="R5" s="1"/>
      <c r="S5" s="1"/>
      <c r="T5" s="1"/>
      <c r="U5" s="1"/>
      <c r="V5" s="1"/>
      <c r="W5" s="1"/>
      <c r="X5" s="1"/>
      <c r="Y5" s="1"/>
      <c r="Z5" s="1"/>
    </row>
    <row r="6" spans="1:26" ht="15" customHeight="1">
      <c r="A6" s="1"/>
      <c r="B6" s="1"/>
      <c r="C6" s="1"/>
      <c r="D6" s="1"/>
      <c r="E6" s="1"/>
      <c r="F6" s="1"/>
      <c r="G6" s="1"/>
      <c r="H6" s="1"/>
      <c r="I6" s="1"/>
      <c r="J6" s="1"/>
      <c r="K6" s="1"/>
      <c r="L6" s="1"/>
      <c r="M6" s="1"/>
      <c r="N6" s="1"/>
      <c r="O6" s="1"/>
      <c r="P6" s="1"/>
      <c r="Q6" s="1"/>
      <c r="R6" s="1"/>
      <c r="S6" s="1"/>
      <c r="T6" s="1"/>
      <c r="U6" s="1"/>
      <c r="V6" s="1"/>
      <c r="W6" s="1"/>
      <c r="X6" s="1"/>
      <c r="Y6" s="1"/>
      <c r="Z6" s="1"/>
    </row>
    <row r="7" spans="1:26" ht="15" customHeight="1">
      <c r="A7" s="1"/>
      <c r="B7" s="798" t="s">
        <v>51</v>
      </c>
      <c r="C7" s="799"/>
      <c r="D7" s="800"/>
      <c r="E7" s="1"/>
      <c r="F7" s="1"/>
      <c r="G7" s="1"/>
      <c r="H7" s="1"/>
      <c r="I7" s="1"/>
      <c r="J7" s="1"/>
      <c r="K7" s="1"/>
      <c r="L7" s="1"/>
      <c r="M7" s="1"/>
      <c r="N7" s="1"/>
      <c r="O7" s="1"/>
      <c r="P7" s="1"/>
      <c r="Q7" s="1"/>
      <c r="R7" s="1"/>
      <c r="S7" s="1"/>
      <c r="T7" s="1"/>
      <c r="U7" s="1"/>
      <c r="V7" s="1"/>
      <c r="W7" s="1"/>
      <c r="X7" s="1"/>
      <c r="Y7" s="1"/>
      <c r="Z7" s="1"/>
    </row>
    <row r="8" spans="1:26" ht="15" customHeight="1">
      <c r="A8" s="1"/>
      <c r="B8" s="70">
        <v>2026</v>
      </c>
      <c r="C8" s="70">
        <v>2027</v>
      </c>
      <c r="D8" s="70">
        <v>2028</v>
      </c>
      <c r="E8" s="1"/>
      <c r="F8" s="1"/>
      <c r="G8" s="1"/>
      <c r="H8" s="1"/>
      <c r="I8" s="1"/>
      <c r="J8" s="1"/>
      <c r="K8" s="1"/>
      <c r="L8" s="1"/>
      <c r="M8" s="1"/>
      <c r="N8" s="1"/>
      <c r="O8" s="1"/>
      <c r="P8" s="1"/>
      <c r="Q8" s="1"/>
      <c r="R8" s="1"/>
      <c r="S8" s="1"/>
      <c r="T8" s="1"/>
      <c r="U8" s="1"/>
      <c r="V8" s="1"/>
      <c r="W8" s="1"/>
      <c r="X8" s="1"/>
      <c r="Y8" s="1"/>
      <c r="Z8" s="1"/>
    </row>
    <row r="9" spans="1:26" ht="15" customHeight="1">
      <c r="A9" s="1"/>
      <c r="B9" s="74">
        <f>Hipótesis!C24</f>
        <v>0.02</v>
      </c>
      <c r="C9" s="74">
        <f>Hipótesis!C25</f>
        <v>0.06</v>
      </c>
      <c r="D9" s="74">
        <f>Hipótesis!C26</f>
        <v>0.1</v>
      </c>
      <c r="E9" s="1"/>
      <c r="F9" s="1"/>
      <c r="G9" s="1"/>
      <c r="H9" s="1"/>
      <c r="I9" s="1"/>
      <c r="J9" s="1"/>
      <c r="K9" s="1"/>
      <c r="L9" s="1"/>
      <c r="M9" s="1"/>
      <c r="N9" s="1"/>
      <c r="O9" s="1"/>
      <c r="P9" s="1"/>
      <c r="Q9" s="1"/>
      <c r="R9" s="1"/>
      <c r="S9" s="1"/>
      <c r="T9" s="1"/>
      <c r="U9" s="1"/>
      <c r="V9" s="1"/>
      <c r="W9" s="1"/>
      <c r="X9" s="1"/>
      <c r="Y9" s="1"/>
      <c r="Z9" s="1"/>
    </row>
    <row r="10" spans="1:26" ht="15" customHeight="1">
      <c r="A10" s="1"/>
      <c r="B10" s="337">
        <f>Hipótesis!D24</f>
        <v>102480000</v>
      </c>
      <c r="C10" s="337">
        <f>Hipótesis!D25</f>
        <v>307440000</v>
      </c>
      <c r="D10" s="337">
        <f>Hipótesis!D26</f>
        <v>512400000</v>
      </c>
      <c r="E10" s="1"/>
      <c r="F10" s="1"/>
      <c r="G10" s="1"/>
      <c r="H10" s="1"/>
      <c r="I10" s="1"/>
      <c r="J10" s="1"/>
      <c r="K10" s="1"/>
      <c r="L10" s="1"/>
      <c r="M10" s="1"/>
      <c r="N10" s="1"/>
      <c r="O10" s="1"/>
      <c r="P10" s="1"/>
      <c r="Q10" s="1"/>
      <c r="R10" s="1"/>
      <c r="S10" s="1"/>
      <c r="T10" s="1"/>
      <c r="U10" s="1"/>
      <c r="V10" s="1"/>
      <c r="W10" s="1"/>
      <c r="X10" s="1"/>
      <c r="Y10" s="1"/>
      <c r="Z10" s="1"/>
    </row>
    <row r="11" spans="1:26" ht="1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 customHeight="1">
      <c r="A15" s="1"/>
      <c r="B15" s="950" t="s">
        <v>241</v>
      </c>
      <c r="C15" s="799"/>
      <c r="D15" s="799"/>
      <c r="E15" s="800"/>
      <c r="F15" s="1"/>
      <c r="G15" s="1"/>
      <c r="H15" s="1"/>
      <c r="I15" s="1"/>
      <c r="J15" s="1"/>
      <c r="K15" s="1"/>
      <c r="L15" s="1"/>
      <c r="M15" s="1"/>
      <c r="N15" s="1"/>
      <c r="O15" s="1"/>
      <c r="P15" s="1"/>
      <c r="Q15" s="1"/>
      <c r="R15" s="1"/>
      <c r="S15" s="1"/>
      <c r="T15" s="1"/>
      <c r="U15" s="1"/>
      <c r="V15" s="1"/>
      <c r="W15" s="1"/>
      <c r="X15" s="1"/>
      <c r="Y15" s="1"/>
      <c r="Z15" s="1"/>
    </row>
    <row r="16" spans="1:26" ht="15" customHeight="1">
      <c r="A16" s="1"/>
      <c r="B16" s="338" t="s">
        <v>41</v>
      </c>
      <c r="C16" s="339" t="s">
        <v>242</v>
      </c>
      <c r="D16" s="339" t="s">
        <v>243</v>
      </c>
      <c r="E16" s="340" t="s">
        <v>244</v>
      </c>
      <c r="F16" s="1"/>
      <c r="G16" s="1"/>
      <c r="H16" s="1"/>
      <c r="I16" s="1"/>
      <c r="J16" s="1"/>
      <c r="K16" s="1"/>
      <c r="L16" s="1"/>
      <c r="M16" s="1"/>
      <c r="N16" s="1"/>
      <c r="O16" s="1"/>
      <c r="P16" s="1"/>
      <c r="Q16" s="1"/>
      <c r="R16" s="1"/>
      <c r="S16" s="1"/>
      <c r="T16" s="1"/>
      <c r="U16" s="1"/>
      <c r="V16" s="1"/>
      <c r="W16" s="1"/>
      <c r="X16" s="1"/>
      <c r="Y16" s="1"/>
      <c r="Z16" s="1"/>
    </row>
    <row r="17" spans="1:26" ht="15" customHeight="1">
      <c r="A17" s="1"/>
      <c r="B17" s="85" t="str">
        <f>Hipótesis!$B$58</f>
        <v>Instalación A</v>
      </c>
      <c r="C17" s="341">
        <f>'Proy. ventas'!D19</f>
        <v>2850000</v>
      </c>
      <c r="D17" s="341">
        <f>'Proy. ventas'!D82</f>
        <v>5700000</v>
      </c>
      <c r="E17" s="342">
        <f>'Proy. ventas'!D144</f>
        <v>14250000</v>
      </c>
      <c r="F17" s="1"/>
      <c r="G17" s="1"/>
      <c r="H17" s="1"/>
      <c r="I17" s="1"/>
      <c r="J17" s="1"/>
      <c r="K17" s="1"/>
      <c r="L17" s="1"/>
      <c r="M17" s="1"/>
      <c r="N17" s="1"/>
      <c r="O17" s="1"/>
      <c r="P17" s="1"/>
      <c r="Q17" s="1"/>
      <c r="R17" s="1"/>
      <c r="S17" s="1"/>
      <c r="T17" s="1"/>
      <c r="U17" s="1"/>
      <c r="V17" s="1"/>
      <c r="W17" s="1"/>
      <c r="X17" s="1"/>
      <c r="Y17" s="1"/>
      <c r="Z17" s="1"/>
    </row>
    <row r="18" spans="1:26" ht="15" customHeight="1">
      <c r="A18" s="1"/>
      <c r="B18" s="85" t="str">
        <f>Hipótesis!$B$59</f>
        <v>Instalación B</v>
      </c>
      <c r="C18" s="343">
        <f>'Proy. ventas'!D20</f>
        <v>7200000</v>
      </c>
      <c r="D18" s="343">
        <f>'Proy. ventas'!D83</f>
        <v>3600000</v>
      </c>
      <c r="E18" s="344">
        <f>'Proy. ventas'!D145</f>
        <v>14400000</v>
      </c>
      <c r="F18" s="1"/>
      <c r="G18" s="1"/>
      <c r="H18" s="1"/>
      <c r="I18" s="1"/>
      <c r="J18" s="1"/>
      <c r="K18" s="1"/>
      <c r="L18" s="1"/>
      <c r="M18" s="1"/>
      <c r="N18" s="1"/>
      <c r="O18" s="1"/>
      <c r="P18" s="1"/>
      <c r="Q18" s="1"/>
      <c r="R18" s="1"/>
      <c r="S18" s="1"/>
      <c r="T18" s="1"/>
      <c r="U18" s="1"/>
      <c r="V18" s="1"/>
      <c r="W18" s="1"/>
      <c r="X18" s="1"/>
      <c r="Y18" s="1"/>
      <c r="Z18" s="1"/>
    </row>
    <row r="19" spans="1:26" ht="15" customHeight="1">
      <c r="A19" s="1"/>
      <c r="B19" s="85" t="str">
        <f>Hipótesis!$B$60</f>
        <v>Instalación C</v>
      </c>
      <c r="C19" s="345">
        <f>'Proy. ventas'!D21</f>
        <v>18600000</v>
      </c>
      <c r="D19" s="345">
        <f>'Proy. ventas'!D84</f>
        <v>27900000</v>
      </c>
      <c r="E19" s="346">
        <f>'Proy. ventas'!D146</f>
        <v>23250000</v>
      </c>
      <c r="F19" s="1"/>
      <c r="G19" s="1"/>
      <c r="H19" s="1"/>
      <c r="I19" s="1"/>
      <c r="J19" s="1"/>
      <c r="K19" s="1"/>
      <c r="L19" s="1"/>
      <c r="M19" s="1"/>
      <c r="N19" s="1"/>
      <c r="O19" s="1"/>
      <c r="P19" s="1"/>
      <c r="Q19" s="1"/>
      <c r="R19" s="1"/>
      <c r="S19" s="1"/>
      <c r="T19" s="1"/>
      <c r="U19" s="1"/>
      <c r="V19" s="1"/>
      <c r="W19" s="1"/>
      <c r="X19" s="1"/>
      <c r="Y19" s="1"/>
      <c r="Z19" s="1"/>
    </row>
    <row r="20" spans="1:26" ht="15" customHeight="1">
      <c r="A20" s="1"/>
      <c r="B20" s="99" t="str">
        <f>Hipótesis!$B$61</f>
        <v>Plan A</v>
      </c>
      <c r="C20" s="347">
        <f>'Proy. ventas'!D22</f>
        <v>14520000</v>
      </c>
      <c r="D20" s="347">
        <f>'Proy. ventas'!D85</f>
        <v>33000000</v>
      </c>
      <c r="E20" s="348">
        <f>'Proy. ventas'!D147</f>
        <v>104280000</v>
      </c>
      <c r="F20" s="1"/>
      <c r="G20" s="1"/>
      <c r="H20" s="1"/>
      <c r="I20" s="1"/>
      <c r="J20" s="1"/>
      <c r="K20" s="1"/>
      <c r="L20" s="1"/>
      <c r="M20" s="1"/>
      <c r="N20" s="1"/>
      <c r="O20" s="1"/>
      <c r="P20" s="1"/>
      <c r="Q20" s="1"/>
      <c r="R20" s="1"/>
      <c r="S20" s="1"/>
      <c r="T20" s="1"/>
      <c r="U20" s="1"/>
      <c r="V20" s="1"/>
      <c r="W20" s="1"/>
      <c r="X20" s="1"/>
      <c r="Y20" s="1"/>
      <c r="Z20" s="1"/>
    </row>
    <row r="21" spans="1:26" ht="15" customHeight="1">
      <c r="A21" s="1"/>
      <c r="B21" s="99" t="str">
        <f>Hipótesis!$B$62</f>
        <v>Plan B</v>
      </c>
      <c r="C21" s="349">
        <f>'Proy. ventas'!D23</f>
        <v>24300000</v>
      </c>
      <c r="D21" s="349">
        <f>'Proy. ventas'!D86</f>
        <v>55080000</v>
      </c>
      <c r="E21" s="350">
        <f>'Proy. ventas'!D148</f>
        <v>95580000</v>
      </c>
      <c r="F21" s="1"/>
      <c r="G21" s="1"/>
      <c r="H21" s="1"/>
      <c r="I21" s="1"/>
      <c r="J21" s="1"/>
      <c r="K21" s="1"/>
      <c r="L21" s="1"/>
      <c r="M21" s="1"/>
      <c r="N21" s="1"/>
      <c r="O21" s="1"/>
      <c r="P21" s="1"/>
      <c r="Q21" s="1"/>
      <c r="R21" s="1"/>
      <c r="S21" s="1"/>
      <c r="T21" s="1"/>
      <c r="U21" s="1"/>
      <c r="V21" s="1"/>
      <c r="W21" s="1"/>
      <c r="X21" s="1"/>
      <c r="Y21" s="1"/>
      <c r="Z21" s="1"/>
    </row>
    <row r="22" spans="1:26" ht="15" customHeight="1">
      <c r="A22" s="1"/>
      <c r="B22" s="99" t="str">
        <f>Hipótesis!$B$63</f>
        <v>Plan C</v>
      </c>
      <c r="C22" s="349">
        <f>'Proy. ventas'!D24</f>
        <v>41580000</v>
      </c>
      <c r="D22" s="349">
        <f>'Proy. ventas'!D87</f>
        <v>156420000</v>
      </c>
      <c r="E22" s="350">
        <f>'Proy. ventas'!D149</f>
        <v>285120000</v>
      </c>
      <c r="F22" s="1"/>
      <c r="G22" s="1"/>
      <c r="H22" s="1"/>
      <c r="I22" s="1"/>
      <c r="J22" s="1"/>
      <c r="K22" s="1"/>
      <c r="L22" s="1"/>
      <c r="M22" s="1"/>
      <c r="N22" s="1"/>
      <c r="O22" s="1"/>
      <c r="P22" s="1"/>
      <c r="Q22" s="1"/>
      <c r="R22" s="1"/>
      <c r="S22" s="1"/>
      <c r="T22" s="1"/>
      <c r="U22" s="1"/>
      <c r="V22" s="1"/>
      <c r="W22" s="1"/>
      <c r="X22" s="1"/>
      <c r="Y22" s="1"/>
      <c r="Z22" s="1"/>
    </row>
    <row r="23" spans="1:26" ht="15" customHeight="1">
      <c r="A23" s="1"/>
      <c r="B23" s="351"/>
      <c r="C23" s="352">
        <f>'Proy. ventas'!D25</f>
        <v>0</v>
      </c>
      <c r="D23" s="352">
        <f>'Proy. ventas'!D88</f>
        <v>0</v>
      </c>
      <c r="E23" s="353">
        <f>'Proy. ventas'!D150</f>
        <v>0</v>
      </c>
      <c r="F23" s="1"/>
      <c r="G23" s="1"/>
      <c r="H23" s="1"/>
      <c r="I23" s="1"/>
      <c r="J23" s="1"/>
      <c r="K23" s="1"/>
      <c r="L23" s="1"/>
      <c r="M23" s="1"/>
      <c r="N23" s="1"/>
      <c r="O23" s="1"/>
      <c r="P23" s="1"/>
      <c r="Q23" s="1"/>
      <c r="R23" s="1"/>
      <c r="S23" s="1"/>
      <c r="T23" s="1"/>
      <c r="U23" s="1"/>
      <c r="V23" s="1"/>
      <c r="W23" s="1"/>
      <c r="X23" s="1"/>
      <c r="Y23" s="1"/>
      <c r="Z23" s="1"/>
    </row>
    <row r="24" spans="1:26" ht="15" customHeight="1">
      <c r="A24" s="1"/>
      <c r="B24" s="354"/>
      <c r="C24" s="355">
        <f>'Proy. ventas'!D26</f>
        <v>0</v>
      </c>
      <c r="D24" s="355">
        <f>'Proy. ventas'!D89</f>
        <v>0</v>
      </c>
      <c r="E24" s="356">
        <f>'Proy. ventas'!D151</f>
        <v>0</v>
      </c>
      <c r="F24" s="1"/>
      <c r="G24" s="1"/>
      <c r="H24" s="1"/>
      <c r="I24" s="1"/>
      <c r="J24" s="1"/>
      <c r="K24" s="1"/>
      <c r="L24" s="1"/>
      <c r="M24" s="1"/>
      <c r="N24" s="1"/>
      <c r="O24" s="1"/>
      <c r="P24" s="1"/>
      <c r="Q24" s="1"/>
      <c r="R24" s="1"/>
      <c r="S24" s="1"/>
      <c r="T24" s="1"/>
      <c r="U24" s="1"/>
      <c r="V24" s="1"/>
      <c r="W24" s="1"/>
      <c r="X24" s="1"/>
      <c r="Y24" s="1"/>
      <c r="Z24" s="1"/>
    </row>
    <row r="25" spans="1:26" ht="15" customHeight="1">
      <c r="A25" s="1"/>
      <c r="B25" s="357"/>
      <c r="C25" s="358">
        <f>'Proy. ventas'!D27</f>
        <v>0</v>
      </c>
      <c r="D25" s="358">
        <f>'Proy. ventas'!D90</f>
        <v>0</v>
      </c>
      <c r="E25" s="359">
        <f>'Proy. ventas'!D152</f>
        <v>0</v>
      </c>
      <c r="F25" s="1"/>
      <c r="G25" s="1"/>
      <c r="H25" s="1"/>
      <c r="I25" s="1"/>
      <c r="J25" s="1"/>
      <c r="K25" s="1"/>
      <c r="L25" s="1"/>
      <c r="M25" s="1"/>
      <c r="N25" s="1"/>
      <c r="O25" s="1"/>
      <c r="P25" s="1"/>
      <c r="Q25" s="1"/>
      <c r="R25" s="1"/>
      <c r="S25" s="1"/>
      <c r="T25" s="1"/>
      <c r="U25" s="1"/>
      <c r="V25" s="1"/>
      <c r="W25" s="1"/>
      <c r="X25" s="1"/>
      <c r="Y25" s="1"/>
      <c r="Z25" s="1"/>
    </row>
    <row r="26" spans="1:26" ht="15" customHeight="1">
      <c r="A26" s="1"/>
      <c r="B26" s="357"/>
      <c r="C26" s="358">
        <f>'Proy. ventas'!D28</f>
        <v>0</v>
      </c>
      <c r="D26" s="358">
        <f>'Proy. ventas'!D91</f>
        <v>0</v>
      </c>
      <c r="E26" s="359">
        <f>'Proy. ventas'!D153</f>
        <v>0</v>
      </c>
      <c r="F26" s="1"/>
      <c r="G26" s="1"/>
      <c r="H26" s="1"/>
      <c r="I26" s="1"/>
      <c r="J26" s="1"/>
      <c r="K26" s="1"/>
      <c r="L26" s="1"/>
      <c r="M26" s="1"/>
      <c r="N26" s="1"/>
      <c r="O26" s="1"/>
      <c r="P26" s="1"/>
      <c r="Q26" s="1"/>
      <c r="R26" s="1"/>
      <c r="S26" s="1"/>
      <c r="T26" s="1"/>
      <c r="U26" s="1"/>
      <c r="V26" s="1"/>
      <c r="W26" s="1"/>
      <c r="X26" s="1"/>
      <c r="Y26" s="1"/>
      <c r="Z26" s="1"/>
    </row>
    <row r="27" spans="1:26" ht="15" customHeight="1">
      <c r="A27" s="1"/>
      <c r="B27" s="357"/>
      <c r="C27" s="358">
        <f>'Proy. ventas'!D29</f>
        <v>0</v>
      </c>
      <c r="D27" s="358">
        <f>'Proy. ventas'!D92</f>
        <v>0</v>
      </c>
      <c r="E27" s="359">
        <f>'Proy. ventas'!D154</f>
        <v>0</v>
      </c>
      <c r="F27" s="1"/>
      <c r="G27" s="1"/>
      <c r="H27" s="1"/>
      <c r="I27" s="1"/>
      <c r="J27" s="1"/>
      <c r="K27" s="1"/>
      <c r="L27" s="1"/>
      <c r="M27" s="1"/>
      <c r="N27" s="1"/>
      <c r="O27" s="1"/>
      <c r="P27" s="1"/>
      <c r="Q27" s="1"/>
      <c r="R27" s="1"/>
      <c r="S27" s="1"/>
      <c r="T27" s="1"/>
      <c r="U27" s="1"/>
      <c r="V27" s="1"/>
      <c r="W27" s="1"/>
      <c r="X27" s="1"/>
      <c r="Y27" s="1"/>
      <c r="Z27" s="1"/>
    </row>
    <row r="28" spans="1:26" ht="15" customHeight="1">
      <c r="A28" s="1"/>
      <c r="B28" s="360"/>
      <c r="C28" s="361">
        <f>'Proy. ventas'!D30</f>
        <v>0</v>
      </c>
      <c r="D28" s="361">
        <f>'Proy. ventas'!D93</f>
        <v>0</v>
      </c>
      <c r="E28" s="362">
        <f>'Proy. ventas'!D155</f>
        <v>0</v>
      </c>
      <c r="F28" s="1"/>
      <c r="G28" s="1"/>
      <c r="H28" s="1"/>
      <c r="I28" s="1"/>
      <c r="J28" s="1"/>
      <c r="K28" s="1"/>
      <c r="L28" s="1"/>
      <c r="M28" s="1"/>
      <c r="N28" s="1"/>
      <c r="O28" s="1"/>
      <c r="P28" s="1"/>
      <c r="Q28" s="1"/>
      <c r="R28" s="1"/>
      <c r="S28" s="1"/>
      <c r="T28" s="1"/>
      <c r="U28" s="1"/>
      <c r="V28" s="1"/>
      <c r="W28" s="1"/>
      <c r="X28" s="1"/>
      <c r="Y28" s="1"/>
      <c r="Z28" s="1"/>
    </row>
    <row r="29" spans="1:26" ht="15.6">
      <c r="A29" s="1"/>
      <c r="B29" s="363"/>
      <c r="C29" s="364">
        <f>'Proy. ventas'!D31</f>
        <v>0</v>
      </c>
      <c r="D29" s="364">
        <f>'Proy. ventas'!D94</f>
        <v>0</v>
      </c>
      <c r="E29" s="365">
        <f>'Proy. ventas'!D156</f>
        <v>0</v>
      </c>
      <c r="F29" s="1"/>
      <c r="G29" s="1"/>
      <c r="H29" s="1"/>
      <c r="I29" s="1"/>
      <c r="J29" s="1"/>
      <c r="K29" s="1"/>
      <c r="L29" s="1"/>
      <c r="M29" s="1"/>
      <c r="N29" s="1"/>
      <c r="O29" s="1"/>
      <c r="P29" s="1"/>
      <c r="Q29" s="1"/>
      <c r="R29" s="1"/>
      <c r="S29" s="1"/>
      <c r="T29" s="1"/>
      <c r="U29" s="1"/>
      <c r="V29" s="1"/>
      <c r="W29" s="1"/>
      <c r="X29" s="1"/>
      <c r="Y29" s="1"/>
      <c r="Z29" s="1"/>
    </row>
    <row r="30" spans="1:26" ht="14.4">
      <c r="A30" s="1"/>
      <c r="B30" s="366" t="s">
        <v>236</v>
      </c>
      <c r="C30" s="367">
        <f t="shared" ref="C30:E30" si="0">SUM(C17:C29)</f>
        <v>109050000</v>
      </c>
      <c r="D30" s="367">
        <f t="shared" si="0"/>
        <v>281700000</v>
      </c>
      <c r="E30" s="368">
        <f t="shared" si="0"/>
        <v>536880000</v>
      </c>
      <c r="F30" s="1"/>
      <c r="G30" s="1"/>
      <c r="H30" s="1"/>
      <c r="I30" s="1"/>
      <c r="J30" s="1"/>
      <c r="K30" s="1"/>
      <c r="L30" s="1"/>
      <c r="M30" s="1"/>
      <c r="N30" s="1"/>
      <c r="O30" s="1"/>
      <c r="P30" s="1"/>
      <c r="Q30" s="1"/>
      <c r="R30" s="1"/>
      <c r="S30" s="1"/>
      <c r="T30" s="1"/>
      <c r="U30" s="1"/>
      <c r="V30" s="1"/>
      <c r="W30" s="1"/>
      <c r="X30" s="1"/>
      <c r="Y30" s="1"/>
      <c r="Z30" s="1"/>
    </row>
    <row r="31" spans="1:26" ht="14.4">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4">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4">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4">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4">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4">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4">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4">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4">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4">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4">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4">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4">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4">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4">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4">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4">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4">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4">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4">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4">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4">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4">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4">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4">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4">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4">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4">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4">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4">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4">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4">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4">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4">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4">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4">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4">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4">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4">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4">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4">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4">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4">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4">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4">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4">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4">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4">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4">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4">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4">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4">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sheetData>
  <mergeCells count="2">
    <mergeCell ref="B7:D7"/>
    <mergeCell ref="B15:E15"/>
  </mergeCells>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60"/>
  <sheetViews>
    <sheetView workbookViewId="0">
      <pane ySplit="1" topLeftCell="A19" activePane="bottomLeft" state="frozen"/>
      <selection pane="bottomLeft" activeCell="B3" sqref="B3"/>
    </sheetView>
  </sheetViews>
  <sheetFormatPr baseColWidth="10" defaultColWidth="12.59765625" defaultRowHeight="15" customHeight="1"/>
  <cols>
    <col min="1" max="1" width="10" customWidth="1"/>
    <col min="2" max="2" width="32.5" customWidth="1"/>
    <col min="3" max="3" width="47.5" customWidth="1"/>
    <col min="4" max="4" width="13.8984375" customWidth="1"/>
    <col min="5" max="5" width="14" customWidth="1"/>
    <col min="6" max="6" width="61.19921875" customWidth="1"/>
    <col min="7" max="7" width="29.09765625" customWidth="1"/>
    <col min="8" max="8" width="13" customWidth="1"/>
    <col min="9" max="9" width="13.09765625" customWidth="1"/>
    <col min="10" max="15" width="12.8984375" customWidth="1"/>
    <col min="16" max="16" width="13.8984375" customWidth="1"/>
    <col min="17" max="17" width="80" customWidth="1"/>
    <col min="18" max="26" width="10" customWidth="1"/>
  </cols>
  <sheetData>
    <row r="1" spans="1:26" ht="15" customHeight="1">
      <c r="A1" s="10"/>
      <c r="B1" s="10"/>
      <c r="C1" s="10"/>
      <c r="D1" s="10"/>
      <c r="E1" s="10"/>
      <c r="F1" s="218" t="s">
        <v>6</v>
      </c>
      <c r="G1" s="336"/>
      <c r="H1" s="336"/>
      <c r="I1" s="10"/>
      <c r="J1" s="10"/>
      <c r="K1" s="10"/>
      <c r="L1" s="10"/>
      <c r="M1" s="10"/>
      <c r="N1" s="10"/>
      <c r="O1" s="10"/>
      <c r="P1" s="10"/>
      <c r="Q1" s="10"/>
      <c r="R1" s="1"/>
      <c r="S1" s="1"/>
      <c r="T1" s="1"/>
      <c r="U1" s="1"/>
      <c r="V1" s="1"/>
      <c r="W1" s="1"/>
      <c r="X1" s="1"/>
      <c r="Y1" s="1"/>
      <c r="Z1" s="1"/>
    </row>
    <row r="2" spans="1:26" ht="15" customHeight="1">
      <c r="A2" s="1"/>
      <c r="B2" s="1"/>
      <c r="C2" s="1"/>
      <c r="D2" s="1"/>
      <c r="E2" s="1"/>
      <c r="F2" s="1"/>
      <c r="G2" s="1"/>
      <c r="H2" s="1"/>
      <c r="I2" s="1"/>
      <c r="J2" s="1"/>
      <c r="K2" s="1"/>
      <c r="L2" s="1"/>
      <c r="M2" s="1"/>
      <c r="N2" s="1"/>
      <c r="O2" s="1"/>
      <c r="P2" s="1"/>
      <c r="Q2" s="1"/>
      <c r="R2" s="1"/>
      <c r="S2" s="1"/>
      <c r="T2" s="1"/>
      <c r="U2" s="1"/>
      <c r="V2" s="1"/>
      <c r="W2" s="1"/>
      <c r="X2" s="1"/>
      <c r="Y2" s="1"/>
      <c r="Z2" s="1"/>
    </row>
    <row r="3" spans="1:26" ht="15" customHeight="1">
      <c r="A3" s="1"/>
      <c r="B3" s="1"/>
      <c r="C3" s="798" t="s">
        <v>51</v>
      </c>
      <c r="D3" s="799"/>
      <c r="E3" s="800"/>
      <c r="F3" s="1"/>
      <c r="G3" s="798" t="s">
        <v>245</v>
      </c>
      <c r="H3" s="799"/>
      <c r="I3" s="800"/>
      <c r="J3" s="1"/>
      <c r="K3" s="1"/>
      <c r="L3" s="1"/>
      <c r="M3" s="1"/>
      <c r="N3" s="1"/>
      <c r="O3" s="1"/>
      <c r="P3" s="1"/>
      <c r="Q3" s="1"/>
      <c r="R3" s="1"/>
      <c r="S3" s="1"/>
      <c r="T3" s="1"/>
      <c r="U3" s="1"/>
      <c r="V3" s="1"/>
      <c r="W3" s="1"/>
      <c r="X3" s="1"/>
      <c r="Y3" s="1"/>
      <c r="Z3" s="1"/>
    </row>
    <row r="4" spans="1:26" ht="15" customHeight="1">
      <c r="A4" s="1"/>
      <c r="B4" s="1"/>
      <c r="C4" s="69">
        <v>2026</v>
      </c>
      <c r="D4" s="70">
        <v>2027</v>
      </c>
      <c r="E4" s="71">
        <v>2028</v>
      </c>
      <c r="F4" s="1"/>
      <c r="G4" s="69">
        <v>2026</v>
      </c>
      <c r="H4" s="70">
        <v>2027</v>
      </c>
      <c r="I4" s="71">
        <v>2028</v>
      </c>
      <c r="J4" s="1"/>
      <c r="K4" s="1"/>
      <c r="L4" s="1"/>
      <c r="M4" s="1"/>
      <c r="N4" s="1"/>
      <c r="O4" s="1"/>
      <c r="P4" s="1"/>
      <c r="Q4" s="1"/>
      <c r="R4" s="1"/>
      <c r="S4" s="1"/>
      <c r="T4" s="1"/>
      <c r="U4" s="1"/>
      <c r="V4" s="1"/>
      <c r="W4" s="1"/>
      <c r="X4" s="1"/>
      <c r="Y4" s="1"/>
      <c r="Z4" s="1"/>
    </row>
    <row r="5" spans="1:26" ht="15" customHeight="1">
      <c r="A5" s="1"/>
      <c r="B5" s="1"/>
      <c r="C5" s="73">
        <f>Hipótesis!C24</f>
        <v>0.02</v>
      </c>
      <c r="D5" s="74">
        <f>Hipótesis!C25</f>
        <v>0.06</v>
      </c>
      <c r="E5" s="75">
        <f>Hipótesis!C26</f>
        <v>0.1</v>
      </c>
      <c r="F5" s="1"/>
      <c r="G5" s="76">
        <f>P25</f>
        <v>26772000</v>
      </c>
      <c r="H5" s="77">
        <f>P42</f>
        <v>30638000</v>
      </c>
      <c r="I5" s="78">
        <f>P60</f>
        <v>37452000</v>
      </c>
      <c r="J5" s="1"/>
      <c r="K5" s="1"/>
      <c r="L5" s="1"/>
      <c r="M5" s="1"/>
      <c r="N5" s="1"/>
      <c r="O5" s="1"/>
      <c r="P5" s="1"/>
      <c r="Q5" s="1"/>
      <c r="R5" s="1"/>
      <c r="S5" s="1"/>
      <c r="T5" s="1"/>
      <c r="U5" s="1"/>
      <c r="V5" s="1"/>
      <c r="W5" s="1"/>
      <c r="X5" s="1"/>
      <c r="Y5" s="1"/>
      <c r="Z5" s="1"/>
    </row>
    <row r="6" spans="1:26" ht="15" customHeight="1">
      <c r="A6" s="1"/>
      <c r="B6" s="1"/>
      <c r="C6" s="76">
        <f>Hipótesis!D24</f>
        <v>102480000</v>
      </c>
      <c r="D6" s="77">
        <f>Hipótesis!D25</f>
        <v>307440000</v>
      </c>
      <c r="E6" s="78">
        <f>Hipótesis!D26</f>
        <v>512400000</v>
      </c>
      <c r="F6" s="1"/>
      <c r="G6" s="369"/>
      <c r="H6" s="369"/>
      <c r="I6" s="369"/>
      <c r="J6" s="1"/>
      <c r="K6" s="1"/>
      <c r="L6" s="1"/>
      <c r="M6" s="1"/>
      <c r="N6" s="1"/>
      <c r="O6" s="1"/>
      <c r="P6" s="1"/>
      <c r="Q6" s="1"/>
      <c r="R6" s="1"/>
      <c r="S6" s="1"/>
      <c r="T6" s="1"/>
      <c r="U6" s="1"/>
      <c r="V6" s="1"/>
      <c r="W6" s="1"/>
      <c r="X6" s="1"/>
      <c r="Y6" s="1"/>
      <c r="Z6" s="1"/>
    </row>
    <row r="7" spans="1:26" ht="15" customHeight="1">
      <c r="A7" s="1"/>
      <c r="B7" s="1"/>
      <c r="C7" s="1"/>
      <c r="D7" s="1"/>
      <c r="E7" s="1"/>
      <c r="F7" s="1"/>
      <c r="G7" s="951" t="s">
        <v>246</v>
      </c>
      <c r="H7" s="799"/>
      <c r="I7" s="800"/>
      <c r="J7" s="1"/>
      <c r="K7" s="1"/>
      <c r="L7" s="1"/>
      <c r="M7" s="1"/>
      <c r="N7" s="1"/>
      <c r="O7" s="1"/>
      <c r="P7" s="1"/>
      <c r="Q7" s="1"/>
      <c r="R7" s="1"/>
      <c r="S7" s="1"/>
      <c r="T7" s="1"/>
      <c r="U7" s="1"/>
      <c r="V7" s="1"/>
      <c r="W7" s="1"/>
      <c r="X7" s="1"/>
      <c r="Y7" s="1"/>
      <c r="Z7" s="1"/>
    </row>
    <row r="8" spans="1:26" ht="15" customHeight="1">
      <c r="A8" s="1"/>
      <c r="B8" s="1"/>
      <c r="C8" s="1"/>
      <c r="D8" s="1"/>
      <c r="E8" s="1"/>
      <c r="F8" s="1"/>
      <c r="G8" s="370">
        <v>2026</v>
      </c>
      <c r="H8" s="371">
        <v>2027</v>
      </c>
      <c r="I8" s="372">
        <v>2028</v>
      </c>
      <c r="J8" s="1"/>
      <c r="K8" s="1"/>
      <c r="L8" s="1"/>
      <c r="M8" s="1"/>
      <c r="N8" s="1"/>
      <c r="O8" s="1"/>
      <c r="P8" s="1"/>
      <c r="Q8" s="1"/>
      <c r="R8" s="1"/>
      <c r="S8" s="1"/>
      <c r="T8" s="1"/>
      <c r="U8" s="1"/>
      <c r="V8" s="1"/>
      <c r="W8" s="1"/>
      <c r="X8" s="1"/>
      <c r="Y8" s="1"/>
      <c r="Z8" s="1"/>
    </row>
    <row r="9" spans="1:26" ht="15" customHeight="1">
      <c r="A9" s="1"/>
      <c r="B9" s="1"/>
      <c r="C9" s="1"/>
      <c r="D9" s="1"/>
      <c r="E9" s="1"/>
      <c r="F9" s="1"/>
      <c r="G9" s="373">
        <f>SUM(P23:P24)</f>
        <v>1260000</v>
      </c>
      <c r="H9" s="374">
        <f>SUM(P40:P41)</f>
        <v>1806000</v>
      </c>
      <c r="I9" s="375">
        <f>SUM(P58:P59)</f>
        <v>2400000</v>
      </c>
      <c r="J9" s="1"/>
      <c r="K9" s="1"/>
      <c r="L9" s="1"/>
      <c r="M9" s="1"/>
      <c r="N9" s="1"/>
      <c r="O9" s="1"/>
      <c r="P9" s="1"/>
      <c r="Q9" s="1"/>
      <c r="R9" s="1"/>
      <c r="S9" s="1"/>
      <c r="T9" s="1"/>
      <c r="U9" s="1"/>
      <c r="V9" s="1"/>
      <c r="W9" s="1"/>
      <c r="X9" s="1"/>
      <c r="Y9" s="1"/>
      <c r="Z9" s="1"/>
    </row>
    <row r="10" spans="1:26" ht="1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 customHeight="1">
      <c r="A11" s="1"/>
      <c r="B11" s="798" t="s">
        <v>247</v>
      </c>
      <c r="C11" s="799"/>
      <c r="D11" s="799"/>
      <c r="E11" s="799"/>
      <c r="F11" s="799"/>
      <c r="G11" s="799"/>
      <c r="H11" s="799"/>
      <c r="I11" s="799"/>
      <c r="J11" s="799"/>
      <c r="K11" s="799"/>
      <c r="L11" s="799"/>
      <c r="M11" s="799"/>
      <c r="N11" s="799"/>
      <c r="O11" s="799"/>
      <c r="P11" s="799"/>
      <c r="Q11" s="800"/>
      <c r="R11" s="1"/>
      <c r="S11" s="1"/>
      <c r="T11" s="1"/>
      <c r="U11" s="1"/>
      <c r="V11" s="1"/>
      <c r="W11" s="1"/>
      <c r="X11" s="1"/>
      <c r="Y11" s="1"/>
      <c r="Z11" s="1"/>
    </row>
    <row r="12" spans="1:26" ht="15" customHeight="1">
      <c r="A12" s="1"/>
      <c r="B12" s="952" t="s">
        <v>248</v>
      </c>
      <c r="C12" s="800"/>
      <c r="D12" s="376" t="s">
        <v>58</v>
      </c>
      <c r="E12" s="377" t="s">
        <v>59</v>
      </c>
      <c r="F12" s="377" t="s">
        <v>60</v>
      </c>
      <c r="G12" s="377" t="s">
        <v>61</v>
      </c>
      <c r="H12" s="377" t="s">
        <v>62</v>
      </c>
      <c r="I12" s="377" t="s">
        <v>63</v>
      </c>
      <c r="J12" s="377" t="s">
        <v>64</v>
      </c>
      <c r="K12" s="377" t="s">
        <v>65</v>
      </c>
      <c r="L12" s="377" t="s">
        <v>66</v>
      </c>
      <c r="M12" s="377" t="s">
        <v>67</v>
      </c>
      <c r="N12" s="377" t="s">
        <v>68</v>
      </c>
      <c r="O12" s="378" t="s">
        <v>69</v>
      </c>
      <c r="P12" s="379" t="s">
        <v>249</v>
      </c>
      <c r="Q12" s="380" t="s">
        <v>250</v>
      </c>
      <c r="R12" s="1"/>
      <c r="S12" s="1"/>
      <c r="T12" s="1"/>
      <c r="U12" s="1"/>
      <c r="V12" s="1"/>
      <c r="W12" s="1"/>
      <c r="X12" s="1"/>
      <c r="Y12" s="1"/>
      <c r="Z12" s="1"/>
    </row>
    <row r="13" spans="1:26" ht="15" customHeight="1">
      <c r="A13" s="1"/>
      <c r="B13" s="953" t="s">
        <v>251</v>
      </c>
      <c r="C13" s="381" t="s">
        <v>252</v>
      </c>
      <c r="D13" s="382">
        <v>55000</v>
      </c>
      <c r="E13" s="382">
        <v>55000</v>
      </c>
      <c r="F13" s="382">
        <v>55000</v>
      </c>
      <c r="G13" s="382">
        <v>55000</v>
      </c>
      <c r="H13" s="382">
        <v>55000</v>
      </c>
      <c r="I13" s="382">
        <v>55000</v>
      </c>
      <c r="J13" s="382">
        <v>55000</v>
      </c>
      <c r="K13" s="382">
        <v>55000</v>
      </c>
      <c r="L13" s="382">
        <v>55000</v>
      </c>
      <c r="M13" s="382">
        <v>55000</v>
      </c>
      <c r="N13" s="382">
        <v>55000</v>
      </c>
      <c r="O13" s="382">
        <v>55000</v>
      </c>
      <c r="P13" s="383">
        <f t="shared" ref="P13:P24" si="0">SUM(D13:O13)</f>
        <v>660000</v>
      </c>
      <c r="Q13" s="384"/>
      <c r="R13" s="1"/>
      <c r="S13" s="1"/>
      <c r="T13" s="1"/>
      <c r="U13" s="1"/>
      <c r="V13" s="1"/>
      <c r="W13" s="1"/>
      <c r="X13" s="1"/>
      <c r="Y13" s="1"/>
      <c r="Z13" s="1"/>
    </row>
    <row r="14" spans="1:26" ht="15" customHeight="1">
      <c r="A14" s="1"/>
      <c r="B14" s="811"/>
      <c r="C14" s="381" t="s">
        <v>253</v>
      </c>
      <c r="D14" s="382">
        <v>19000</v>
      </c>
      <c r="E14" s="382">
        <v>19000</v>
      </c>
      <c r="F14" s="382">
        <v>19000</v>
      </c>
      <c r="G14" s="382">
        <v>19000</v>
      </c>
      <c r="H14" s="382">
        <v>19000</v>
      </c>
      <c r="I14" s="382">
        <v>19000</v>
      </c>
      <c r="J14" s="382">
        <v>19000</v>
      </c>
      <c r="K14" s="382">
        <v>19000</v>
      </c>
      <c r="L14" s="382">
        <v>19000</v>
      </c>
      <c r="M14" s="382">
        <v>19000</v>
      </c>
      <c r="N14" s="382">
        <v>19000</v>
      </c>
      <c r="O14" s="382">
        <v>19000</v>
      </c>
      <c r="P14" s="383">
        <f t="shared" si="0"/>
        <v>228000</v>
      </c>
      <c r="Q14" s="384"/>
      <c r="R14" s="1"/>
      <c r="S14" s="1"/>
      <c r="T14" s="1"/>
      <c r="U14" s="1"/>
      <c r="V14" s="1"/>
      <c r="W14" s="1"/>
      <c r="X14" s="1"/>
      <c r="Y14" s="1"/>
      <c r="Z14" s="1"/>
    </row>
    <row r="15" spans="1:26" ht="15" customHeight="1">
      <c r="A15" s="1"/>
      <c r="B15" s="811"/>
      <c r="C15" s="385" t="s">
        <v>254</v>
      </c>
      <c r="D15" s="382">
        <v>0</v>
      </c>
      <c r="E15" s="382">
        <v>0</v>
      </c>
      <c r="F15" s="382">
        <v>0</v>
      </c>
      <c r="G15" s="382">
        <v>0</v>
      </c>
      <c r="H15" s="382">
        <v>0</v>
      </c>
      <c r="I15" s="382">
        <v>0</v>
      </c>
      <c r="J15" s="382">
        <v>0</v>
      </c>
      <c r="K15" s="382">
        <v>0</v>
      </c>
      <c r="L15" s="382">
        <v>0</v>
      </c>
      <c r="M15" s="382">
        <v>0</v>
      </c>
      <c r="N15" s="382">
        <v>0</v>
      </c>
      <c r="O15" s="382">
        <v>0</v>
      </c>
      <c r="P15" s="383">
        <f t="shared" si="0"/>
        <v>0</v>
      </c>
      <c r="Q15" s="386"/>
      <c r="R15" s="1"/>
      <c r="S15" s="1"/>
      <c r="T15" s="1"/>
      <c r="U15" s="1"/>
      <c r="V15" s="1"/>
      <c r="W15" s="1"/>
      <c r="X15" s="1"/>
      <c r="Y15" s="1"/>
      <c r="Z15" s="1"/>
    </row>
    <row r="16" spans="1:26" ht="15" customHeight="1">
      <c r="A16" s="1"/>
      <c r="B16" s="811"/>
      <c r="C16" s="385" t="s">
        <v>255</v>
      </c>
      <c r="D16" s="382">
        <v>40000</v>
      </c>
      <c r="E16" s="382">
        <v>40000</v>
      </c>
      <c r="F16" s="382">
        <v>40000</v>
      </c>
      <c r="G16" s="382">
        <v>40000</v>
      </c>
      <c r="H16" s="382">
        <v>40000</v>
      </c>
      <c r="I16" s="382">
        <v>40000</v>
      </c>
      <c r="J16" s="382">
        <v>40000</v>
      </c>
      <c r="K16" s="382">
        <v>40000</v>
      </c>
      <c r="L16" s="382">
        <v>40000</v>
      </c>
      <c r="M16" s="382">
        <v>40000</v>
      </c>
      <c r="N16" s="382">
        <v>40000</v>
      </c>
      <c r="O16" s="382">
        <v>40000</v>
      </c>
      <c r="P16" s="383">
        <f t="shared" si="0"/>
        <v>480000</v>
      </c>
      <c r="Q16" s="386"/>
      <c r="R16" s="1"/>
      <c r="S16" s="1"/>
      <c r="T16" s="1"/>
      <c r="U16" s="1"/>
      <c r="V16" s="1"/>
      <c r="W16" s="1"/>
      <c r="X16" s="1"/>
      <c r="Y16" s="1"/>
      <c r="Z16" s="1"/>
    </row>
    <row r="17" spans="1:26" ht="15" customHeight="1">
      <c r="A17" s="1"/>
      <c r="B17" s="811"/>
      <c r="C17" s="387" t="s">
        <v>256</v>
      </c>
      <c r="D17" s="382">
        <v>250000</v>
      </c>
      <c r="E17" s="382">
        <v>250000</v>
      </c>
      <c r="F17" s="382">
        <v>250000</v>
      </c>
      <c r="G17" s="382">
        <v>250000</v>
      </c>
      <c r="H17" s="382">
        <v>250000</v>
      </c>
      <c r="I17" s="382">
        <v>250000</v>
      </c>
      <c r="J17" s="382">
        <v>250000</v>
      </c>
      <c r="K17" s="382">
        <v>250000</v>
      </c>
      <c r="L17" s="382">
        <v>250000</v>
      </c>
      <c r="M17" s="382">
        <v>250000</v>
      </c>
      <c r="N17" s="382">
        <v>250000</v>
      </c>
      <c r="O17" s="382">
        <v>250000</v>
      </c>
      <c r="P17" s="383">
        <f t="shared" si="0"/>
        <v>3000000</v>
      </c>
      <c r="Q17" s="386"/>
      <c r="R17" s="1"/>
      <c r="S17" s="1"/>
      <c r="T17" s="1"/>
      <c r="U17" s="1"/>
      <c r="V17" s="1"/>
      <c r="W17" s="1"/>
      <c r="X17" s="1"/>
      <c r="Y17" s="1"/>
      <c r="Z17" s="1"/>
    </row>
    <row r="18" spans="1:26" ht="15" customHeight="1">
      <c r="A18" s="1"/>
      <c r="B18" s="812"/>
      <c r="C18" s="388" t="s">
        <v>257</v>
      </c>
      <c r="D18" s="389">
        <v>42000</v>
      </c>
      <c r="E18" s="389">
        <v>42000</v>
      </c>
      <c r="F18" s="389">
        <v>42000</v>
      </c>
      <c r="G18" s="389">
        <v>42000</v>
      </c>
      <c r="H18" s="389">
        <v>42000</v>
      </c>
      <c r="I18" s="389">
        <v>42000</v>
      </c>
      <c r="J18" s="389">
        <v>42000</v>
      </c>
      <c r="K18" s="389">
        <v>42000</v>
      </c>
      <c r="L18" s="389">
        <v>42000</v>
      </c>
      <c r="M18" s="389">
        <v>42000</v>
      </c>
      <c r="N18" s="389">
        <v>42000</v>
      </c>
      <c r="O18" s="389">
        <v>42000</v>
      </c>
      <c r="P18" s="390">
        <f t="shared" si="0"/>
        <v>504000</v>
      </c>
      <c r="Q18" s="391"/>
      <c r="R18" s="1"/>
      <c r="S18" s="1"/>
      <c r="T18" s="1"/>
      <c r="U18" s="1"/>
      <c r="V18" s="1"/>
      <c r="W18" s="1"/>
      <c r="X18" s="1"/>
      <c r="Y18" s="1"/>
      <c r="Z18" s="1"/>
    </row>
    <row r="19" spans="1:26" ht="15" customHeight="1">
      <c r="A19" s="1"/>
      <c r="B19" s="953" t="s">
        <v>258</v>
      </c>
      <c r="C19" s="392" t="s">
        <v>92</v>
      </c>
      <c r="D19" s="393">
        <v>1100000</v>
      </c>
      <c r="E19" s="393">
        <v>1100000</v>
      </c>
      <c r="F19" s="393">
        <v>1100000</v>
      </c>
      <c r="G19" s="393">
        <v>1100000</v>
      </c>
      <c r="H19" s="393">
        <v>1100000</v>
      </c>
      <c r="I19" s="393">
        <v>1100000</v>
      </c>
      <c r="J19" s="393">
        <v>1100000</v>
      </c>
      <c r="K19" s="393">
        <v>1100000</v>
      </c>
      <c r="L19" s="393">
        <v>1100000</v>
      </c>
      <c r="M19" s="393">
        <v>1100000</v>
      </c>
      <c r="N19" s="393">
        <v>1100000</v>
      </c>
      <c r="O19" s="393">
        <v>1100000</v>
      </c>
      <c r="P19" s="394">
        <f t="shared" si="0"/>
        <v>13200000</v>
      </c>
      <c r="Q19" s="395" t="s">
        <v>259</v>
      </c>
      <c r="R19" s="1"/>
      <c r="S19" s="1"/>
      <c r="T19" s="1"/>
      <c r="U19" s="1"/>
      <c r="V19" s="1"/>
      <c r="W19" s="1"/>
      <c r="X19" s="1"/>
      <c r="Y19" s="1"/>
      <c r="Z19" s="1"/>
    </row>
    <row r="20" spans="1:26" ht="15" customHeight="1">
      <c r="A20" s="1"/>
      <c r="B20" s="812"/>
      <c r="C20" s="388" t="s">
        <v>260</v>
      </c>
      <c r="D20" s="396">
        <v>0</v>
      </c>
      <c r="E20" s="397">
        <v>0</v>
      </c>
      <c r="F20" s="397">
        <v>0</v>
      </c>
      <c r="G20" s="397">
        <v>0</v>
      </c>
      <c r="H20" s="397">
        <v>0</v>
      </c>
      <c r="I20" s="397">
        <v>0</v>
      </c>
      <c r="J20" s="397">
        <v>0</v>
      </c>
      <c r="K20" s="397">
        <v>0</v>
      </c>
      <c r="L20" s="397">
        <v>0</v>
      </c>
      <c r="M20" s="397">
        <v>0</v>
      </c>
      <c r="N20" s="397">
        <v>0</v>
      </c>
      <c r="O20" s="398">
        <v>0</v>
      </c>
      <c r="P20" s="390">
        <f t="shared" si="0"/>
        <v>0</v>
      </c>
      <c r="Q20" s="391"/>
      <c r="R20" s="1"/>
      <c r="S20" s="1"/>
      <c r="T20" s="1"/>
      <c r="U20" s="1"/>
      <c r="V20" s="1"/>
      <c r="W20" s="1"/>
      <c r="X20" s="1"/>
      <c r="Y20" s="1"/>
      <c r="Z20" s="1"/>
    </row>
    <row r="21" spans="1:26" ht="15" customHeight="1">
      <c r="A21" s="1"/>
      <c r="B21" s="953" t="s">
        <v>261</v>
      </c>
      <c r="C21" s="399" t="s">
        <v>262</v>
      </c>
      <c r="D21" s="400">
        <v>400000</v>
      </c>
      <c r="E21" s="400">
        <v>400000</v>
      </c>
      <c r="F21" s="400">
        <v>400000</v>
      </c>
      <c r="G21" s="400">
        <v>400000</v>
      </c>
      <c r="H21" s="400">
        <v>400000</v>
      </c>
      <c r="I21" s="400">
        <v>400000</v>
      </c>
      <c r="J21" s="400">
        <v>400000</v>
      </c>
      <c r="K21" s="400">
        <v>400000</v>
      </c>
      <c r="L21" s="400">
        <v>400000</v>
      </c>
      <c r="M21" s="400">
        <v>400000</v>
      </c>
      <c r="N21" s="400">
        <v>400000</v>
      </c>
      <c r="O21" s="400">
        <v>400000</v>
      </c>
      <c r="P21" s="401">
        <f t="shared" si="0"/>
        <v>4800000</v>
      </c>
      <c r="Q21" s="402"/>
      <c r="R21" s="1"/>
      <c r="S21" s="1"/>
      <c r="T21" s="1"/>
      <c r="U21" s="1"/>
      <c r="V21" s="1"/>
      <c r="W21" s="1"/>
      <c r="X21" s="1"/>
      <c r="Y21" s="1"/>
      <c r="Z21" s="1"/>
    </row>
    <row r="22" spans="1:26" ht="15" customHeight="1">
      <c r="A22" s="1"/>
      <c r="B22" s="812"/>
      <c r="C22" s="403" t="s">
        <v>263</v>
      </c>
      <c r="D22" s="404">
        <v>220000</v>
      </c>
      <c r="E22" s="404">
        <v>220000</v>
      </c>
      <c r="F22" s="404">
        <v>220000</v>
      </c>
      <c r="G22" s="404">
        <v>220000</v>
      </c>
      <c r="H22" s="404">
        <v>220000</v>
      </c>
      <c r="I22" s="404">
        <v>220000</v>
      </c>
      <c r="J22" s="404">
        <v>220000</v>
      </c>
      <c r="K22" s="404">
        <v>220000</v>
      </c>
      <c r="L22" s="404">
        <v>220000</v>
      </c>
      <c r="M22" s="404">
        <v>220000</v>
      </c>
      <c r="N22" s="404">
        <v>220000</v>
      </c>
      <c r="O22" s="404">
        <v>220000</v>
      </c>
      <c r="P22" s="401">
        <f t="shared" si="0"/>
        <v>2640000</v>
      </c>
      <c r="Q22" s="405"/>
      <c r="R22" s="1"/>
      <c r="S22" s="1"/>
      <c r="T22" s="1"/>
      <c r="U22" s="1"/>
      <c r="V22" s="1"/>
      <c r="W22" s="1"/>
      <c r="X22" s="1"/>
      <c r="Y22" s="1"/>
      <c r="Z22" s="1"/>
    </row>
    <row r="23" spans="1:26" ht="15" customHeight="1">
      <c r="A23" s="1"/>
      <c r="B23" s="954" t="s">
        <v>264</v>
      </c>
      <c r="C23" s="406" t="s">
        <v>265</v>
      </c>
      <c r="D23" s="382">
        <v>45000</v>
      </c>
      <c r="E23" s="382">
        <v>45000</v>
      </c>
      <c r="F23" s="382">
        <v>45000</v>
      </c>
      <c r="G23" s="382">
        <v>45000</v>
      </c>
      <c r="H23" s="382">
        <v>45000</v>
      </c>
      <c r="I23" s="382">
        <v>45000</v>
      </c>
      <c r="J23" s="382">
        <v>45000</v>
      </c>
      <c r="K23" s="382">
        <v>45000</v>
      </c>
      <c r="L23" s="382">
        <v>45000</v>
      </c>
      <c r="M23" s="382">
        <v>45000</v>
      </c>
      <c r="N23" s="382">
        <v>45000</v>
      </c>
      <c r="O23" s="382">
        <v>45000</v>
      </c>
      <c r="P23" s="383">
        <f t="shared" si="0"/>
        <v>540000</v>
      </c>
      <c r="Q23" s="407"/>
      <c r="R23" s="1"/>
      <c r="S23" s="1"/>
      <c r="T23" s="1"/>
      <c r="U23" s="1"/>
      <c r="V23" s="1"/>
      <c r="W23" s="1"/>
      <c r="X23" s="1"/>
      <c r="Y23" s="1"/>
      <c r="Z23" s="1"/>
    </row>
    <row r="24" spans="1:26" ht="15" customHeight="1">
      <c r="A24" s="1"/>
      <c r="B24" s="812"/>
      <c r="C24" s="406" t="s">
        <v>266</v>
      </c>
      <c r="D24" s="382">
        <v>60000</v>
      </c>
      <c r="E24" s="382">
        <v>60000</v>
      </c>
      <c r="F24" s="382">
        <v>60000</v>
      </c>
      <c r="G24" s="382">
        <v>60000</v>
      </c>
      <c r="H24" s="382">
        <v>60000</v>
      </c>
      <c r="I24" s="382">
        <v>60000</v>
      </c>
      <c r="J24" s="382">
        <v>60000</v>
      </c>
      <c r="K24" s="382">
        <v>60000</v>
      </c>
      <c r="L24" s="382">
        <v>60000</v>
      </c>
      <c r="M24" s="382">
        <v>60000</v>
      </c>
      <c r="N24" s="382">
        <v>60000</v>
      </c>
      <c r="O24" s="382">
        <v>60000</v>
      </c>
      <c r="P24" s="408">
        <f t="shared" si="0"/>
        <v>720000</v>
      </c>
      <c r="Q24" s="407"/>
      <c r="R24" s="1"/>
      <c r="S24" s="1"/>
      <c r="T24" s="1"/>
      <c r="U24" s="1"/>
      <c r="V24" s="1"/>
      <c r="W24" s="1"/>
      <c r="X24" s="1"/>
      <c r="Y24" s="1"/>
      <c r="Z24" s="1"/>
    </row>
    <row r="25" spans="1:26" ht="15" customHeight="1">
      <c r="A25" s="1"/>
      <c r="C25" s="409" t="s">
        <v>28</v>
      </c>
      <c r="D25" s="410">
        <f t="shared" ref="D25:P25" si="1">SUM(D13:D24)</f>
        <v>2231000</v>
      </c>
      <c r="E25" s="410">
        <f t="shared" si="1"/>
        <v>2231000</v>
      </c>
      <c r="F25" s="410">
        <f t="shared" si="1"/>
        <v>2231000</v>
      </c>
      <c r="G25" s="410">
        <f t="shared" si="1"/>
        <v>2231000</v>
      </c>
      <c r="H25" s="410">
        <f t="shared" si="1"/>
        <v>2231000</v>
      </c>
      <c r="I25" s="410">
        <f t="shared" si="1"/>
        <v>2231000</v>
      </c>
      <c r="J25" s="410">
        <f t="shared" si="1"/>
        <v>2231000</v>
      </c>
      <c r="K25" s="410">
        <f t="shared" si="1"/>
        <v>2231000</v>
      </c>
      <c r="L25" s="410">
        <f t="shared" si="1"/>
        <v>2231000</v>
      </c>
      <c r="M25" s="410">
        <f t="shared" si="1"/>
        <v>2231000</v>
      </c>
      <c r="N25" s="410">
        <f t="shared" si="1"/>
        <v>2231000</v>
      </c>
      <c r="O25" s="411">
        <f t="shared" si="1"/>
        <v>2231000</v>
      </c>
      <c r="P25" s="412">
        <f t="shared" si="1"/>
        <v>26772000</v>
      </c>
      <c r="Q25" s="413"/>
      <c r="R25" s="1"/>
      <c r="S25" s="1"/>
      <c r="T25" s="1"/>
      <c r="U25" s="1"/>
      <c r="V25" s="1"/>
      <c r="W25" s="1"/>
      <c r="X25" s="1"/>
      <c r="Y25" s="1"/>
      <c r="Z25" s="1"/>
    </row>
    <row r="26" spans="1:26" ht="1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customHeight="1">
      <c r="A28" s="1"/>
      <c r="B28" s="798" t="s">
        <v>267</v>
      </c>
      <c r="C28" s="799"/>
      <c r="D28" s="799"/>
      <c r="E28" s="799"/>
      <c r="F28" s="799"/>
      <c r="G28" s="799"/>
      <c r="H28" s="799"/>
      <c r="I28" s="799"/>
      <c r="J28" s="799"/>
      <c r="K28" s="799"/>
      <c r="L28" s="799"/>
      <c r="M28" s="799"/>
      <c r="N28" s="799"/>
      <c r="O28" s="799"/>
      <c r="P28" s="799"/>
      <c r="Q28" s="800"/>
      <c r="R28" s="1"/>
      <c r="S28" s="1"/>
      <c r="T28" s="1"/>
      <c r="U28" s="1"/>
      <c r="V28" s="1"/>
      <c r="W28" s="1"/>
      <c r="X28" s="1"/>
      <c r="Y28" s="1"/>
      <c r="Z28" s="1"/>
    </row>
    <row r="29" spans="1:26" ht="18">
      <c r="A29" s="1"/>
      <c r="B29" s="952" t="s">
        <v>248</v>
      </c>
      <c r="C29" s="800"/>
      <c r="D29" s="376" t="s">
        <v>58</v>
      </c>
      <c r="E29" s="377" t="s">
        <v>59</v>
      </c>
      <c r="F29" s="377" t="s">
        <v>60</v>
      </c>
      <c r="G29" s="377" t="s">
        <v>61</v>
      </c>
      <c r="H29" s="377" t="s">
        <v>62</v>
      </c>
      <c r="I29" s="377" t="s">
        <v>63</v>
      </c>
      <c r="J29" s="377" t="s">
        <v>64</v>
      </c>
      <c r="K29" s="377" t="s">
        <v>65</v>
      </c>
      <c r="L29" s="377" t="s">
        <v>66</v>
      </c>
      <c r="M29" s="377" t="s">
        <v>67</v>
      </c>
      <c r="N29" s="377" t="s">
        <v>68</v>
      </c>
      <c r="O29" s="378" t="s">
        <v>69</v>
      </c>
      <c r="P29" s="379" t="s">
        <v>249</v>
      </c>
      <c r="Q29" s="380" t="s">
        <v>250</v>
      </c>
      <c r="R29" s="1"/>
      <c r="S29" s="1"/>
      <c r="T29" s="1"/>
      <c r="U29" s="1"/>
      <c r="V29" s="1"/>
      <c r="W29" s="1"/>
      <c r="X29" s="1"/>
      <c r="Y29" s="1"/>
      <c r="Z29" s="1"/>
    </row>
    <row r="30" spans="1:26" ht="14.4">
      <c r="A30" s="1"/>
      <c r="B30" s="953" t="s">
        <v>251</v>
      </c>
      <c r="C30" s="381" t="s">
        <v>252</v>
      </c>
      <c r="D30" s="382">
        <v>55000</v>
      </c>
      <c r="E30" s="382">
        <v>55000</v>
      </c>
      <c r="F30" s="382">
        <v>55000</v>
      </c>
      <c r="G30" s="382">
        <v>55000</v>
      </c>
      <c r="H30" s="382">
        <v>55000</v>
      </c>
      <c r="I30" s="382">
        <v>55000</v>
      </c>
      <c r="J30" s="382">
        <v>55000</v>
      </c>
      <c r="K30" s="382">
        <v>55000</v>
      </c>
      <c r="L30" s="382">
        <v>55000</v>
      </c>
      <c r="M30" s="382">
        <v>55000</v>
      </c>
      <c r="N30" s="382">
        <v>55000</v>
      </c>
      <c r="O30" s="382">
        <v>55000</v>
      </c>
      <c r="P30" s="383">
        <f t="shared" ref="P30:P41" si="2">SUM(D30:O30)</f>
        <v>660000</v>
      </c>
      <c r="Q30" s="384"/>
      <c r="R30" s="1"/>
      <c r="S30" s="1"/>
      <c r="T30" s="1"/>
      <c r="U30" s="1"/>
      <c r="V30" s="1"/>
      <c r="W30" s="1"/>
      <c r="X30" s="1"/>
      <c r="Y30" s="1"/>
      <c r="Z30" s="1"/>
    </row>
    <row r="31" spans="1:26" ht="14.4">
      <c r="A31" s="1"/>
      <c r="B31" s="811"/>
      <c r="C31" s="381" t="s">
        <v>253</v>
      </c>
      <c r="D31" s="382">
        <v>19000</v>
      </c>
      <c r="E31" s="382">
        <v>19000</v>
      </c>
      <c r="F31" s="382">
        <v>19000</v>
      </c>
      <c r="G31" s="382">
        <v>19000</v>
      </c>
      <c r="H31" s="382">
        <v>19000</v>
      </c>
      <c r="I31" s="382">
        <v>19000</v>
      </c>
      <c r="J31" s="382">
        <v>19000</v>
      </c>
      <c r="K31" s="382">
        <v>19000</v>
      </c>
      <c r="L31" s="382">
        <v>19000</v>
      </c>
      <c r="M31" s="382">
        <v>19000</v>
      </c>
      <c r="N31" s="382">
        <v>19000</v>
      </c>
      <c r="O31" s="382">
        <v>19000</v>
      </c>
      <c r="P31" s="383">
        <f t="shared" si="2"/>
        <v>228000</v>
      </c>
      <c r="Q31" s="384"/>
      <c r="R31" s="1"/>
      <c r="S31" s="1"/>
      <c r="T31" s="1"/>
      <c r="U31" s="1"/>
      <c r="V31" s="1"/>
      <c r="W31" s="1"/>
      <c r="X31" s="1"/>
      <c r="Y31" s="1"/>
      <c r="Z31" s="1"/>
    </row>
    <row r="32" spans="1:26" ht="14.4">
      <c r="A32" s="1"/>
      <c r="B32" s="811"/>
      <c r="C32" s="385" t="s">
        <v>254</v>
      </c>
      <c r="D32" s="382">
        <v>0</v>
      </c>
      <c r="E32" s="382">
        <v>0</v>
      </c>
      <c r="F32" s="382">
        <v>20000</v>
      </c>
      <c r="G32" s="382">
        <v>20000</v>
      </c>
      <c r="H32" s="382">
        <v>20000</v>
      </c>
      <c r="I32" s="382">
        <v>20000</v>
      </c>
      <c r="J32" s="382">
        <v>20000</v>
      </c>
      <c r="K32" s="382">
        <v>20000</v>
      </c>
      <c r="L32" s="382">
        <v>20000</v>
      </c>
      <c r="M32" s="382">
        <v>20000</v>
      </c>
      <c r="N32" s="382">
        <v>20000</v>
      </c>
      <c r="O32" s="382">
        <v>20000</v>
      </c>
      <c r="P32" s="383">
        <f t="shared" si="2"/>
        <v>200000</v>
      </c>
      <c r="Q32" s="386" t="s">
        <v>268</v>
      </c>
      <c r="R32" s="1"/>
      <c r="S32" s="1"/>
      <c r="T32" s="1"/>
      <c r="U32" s="1"/>
      <c r="V32" s="1"/>
      <c r="W32" s="1"/>
      <c r="X32" s="1"/>
      <c r="Y32" s="1"/>
      <c r="Z32" s="1"/>
    </row>
    <row r="33" spans="1:26" ht="14.4">
      <c r="A33" s="1"/>
      <c r="B33" s="811"/>
      <c r="C33" s="385" t="s">
        <v>269</v>
      </c>
      <c r="D33" s="382">
        <v>40000</v>
      </c>
      <c r="E33" s="382">
        <v>40000</v>
      </c>
      <c r="F33" s="382">
        <v>40000</v>
      </c>
      <c r="G33" s="382">
        <v>40000</v>
      </c>
      <c r="H33" s="382">
        <v>40000</v>
      </c>
      <c r="I33" s="382">
        <v>40000</v>
      </c>
      <c r="J33" s="382">
        <v>40000</v>
      </c>
      <c r="K33" s="382">
        <v>40000</v>
      </c>
      <c r="L33" s="382">
        <v>40000</v>
      </c>
      <c r="M33" s="382">
        <v>40000</v>
      </c>
      <c r="N33" s="382">
        <v>40000</v>
      </c>
      <c r="O33" s="382">
        <v>40000</v>
      </c>
      <c r="P33" s="383">
        <f t="shared" si="2"/>
        <v>480000</v>
      </c>
      <c r="Q33" s="386"/>
      <c r="R33" s="1"/>
      <c r="S33" s="1"/>
      <c r="T33" s="1"/>
      <c r="U33" s="1"/>
      <c r="V33" s="1"/>
      <c r="W33" s="1"/>
      <c r="X33" s="1"/>
      <c r="Y33" s="1"/>
      <c r="Z33" s="1"/>
    </row>
    <row r="34" spans="1:26" ht="14.4">
      <c r="A34" s="1"/>
      <c r="B34" s="811"/>
      <c r="C34" s="387" t="s">
        <v>256</v>
      </c>
      <c r="D34" s="382">
        <v>300000</v>
      </c>
      <c r="E34" s="382">
        <v>300000</v>
      </c>
      <c r="F34" s="382">
        <v>300000</v>
      </c>
      <c r="G34" s="382">
        <v>300000</v>
      </c>
      <c r="H34" s="382">
        <v>300000</v>
      </c>
      <c r="I34" s="382">
        <v>300000</v>
      </c>
      <c r="J34" s="382">
        <v>300000</v>
      </c>
      <c r="K34" s="382">
        <v>300000</v>
      </c>
      <c r="L34" s="382">
        <v>300000</v>
      </c>
      <c r="M34" s="382">
        <v>300000</v>
      </c>
      <c r="N34" s="382">
        <v>300000</v>
      </c>
      <c r="O34" s="382">
        <v>300000</v>
      </c>
      <c r="P34" s="383">
        <f t="shared" si="2"/>
        <v>3600000</v>
      </c>
      <c r="Q34" s="386"/>
      <c r="R34" s="1"/>
      <c r="S34" s="1"/>
      <c r="T34" s="1"/>
      <c r="U34" s="1"/>
      <c r="V34" s="1"/>
      <c r="W34" s="1"/>
      <c r="X34" s="1"/>
      <c r="Y34" s="1"/>
      <c r="Z34" s="1"/>
    </row>
    <row r="35" spans="1:26" ht="14.4">
      <c r="A35" s="1"/>
      <c r="B35" s="812"/>
      <c r="C35" s="388" t="s">
        <v>257</v>
      </c>
      <c r="D35" s="389">
        <v>42000</v>
      </c>
      <c r="E35" s="389">
        <v>42000</v>
      </c>
      <c r="F35" s="389">
        <v>42000</v>
      </c>
      <c r="G35" s="389">
        <v>42000</v>
      </c>
      <c r="H35" s="389">
        <v>42000</v>
      </c>
      <c r="I35" s="389">
        <v>42000</v>
      </c>
      <c r="J35" s="389">
        <v>42000</v>
      </c>
      <c r="K35" s="389">
        <v>42000</v>
      </c>
      <c r="L35" s="389">
        <v>42000</v>
      </c>
      <c r="M35" s="389">
        <v>42000</v>
      </c>
      <c r="N35" s="389">
        <v>42000</v>
      </c>
      <c r="O35" s="389">
        <v>42000</v>
      </c>
      <c r="P35" s="390">
        <f t="shared" si="2"/>
        <v>504000</v>
      </c>
      <c r="Q35" s="391"/>
      <c r="R35" s="1"/>
      <c r="S35" s="1"/>
      <c r="T35" s="1"/>
      <c r="U35" s="1"/>
      <c r="V35" s="1"/>
      <c r="W35" s="1"/>
      <c r="X35" s="1"/>
      <c r="Y35" s="1"/>
      <c r="Z35" s="1"/>
    </row>
    <row r="36" spans="1:26" ht="14.4">
      <c r="A36" s="1"/>
      <c r="B36" s="953" t="s">
        <v>258</v>
      </c>
      <c r="C36" s="392" t="s">
        <v>92</v>
      </c>
      <c r="D36" s="393">
        <v>1100000</v>
      </c>
      <c r="E36" s="393">
        <v>1100000</v>
      </c>
      <c r="F36" s="393">
        <v>1100000</v>
      </c>
      <c r="G36" s="393">
        <v>1100000</v>
      </c>
      <c r="H36" s="393">
        <v>1100000</v>
      </c>
      <c r="I36" s="393">
        <v>1100000</v>
      </c>
      <c r="J36" s="393">
        <v>1100000</v>
      </c>
      <c r="K36" s="393">
        <v>1100000</v>
      </c>
      <c r="L36" s="393">
        <v>1100000</v>
      </c>
      <c r="M36" s="393">
        <v>1100000</v>
      </c>
      <c r="N36" s="393">
        <v>1100000</v>
      </c>
      <c r="O36" s="393">
        <v>1100000</v>
      </c>
      <c r="P36" s="394">
        <f t="shared" si="2"/>
        <v>13200000</v>
      </c>
      <c r="Q36" s="395"/>
      <c r="R36" s="1"/>
      <c r="S36" s="1"/>
      <c r="T36" s="1"/>
      <c r="U36" s="1"/>
      <c r="V36" s="1"/>
      <c r="W36" s="1"/>
      <c r="X36" s="1"/>
      <c r="Y36" s="1"/>
      <c r="Z36" s="1"/>
    </row>
    <row r="37" spans="1:26" ht="14.4">
      <c r="A37" s="1"/>
      <c r="B37" s="812"/>
      <c r="C37" s="388" t="s">
        <v>260</v>
      </c>
      <c r="D37" s="396">
        <v>0</v>
      </c>
      <c r="E37" s="397">
        <v>0</v>
      </c>
      <c r="F37" s="397">
        <v>0</v>
      </c>
      <c r="G37" s="397">
        <v>0</v>
      </c>
      <c r="H37" s="397">
        <v>0</v>
      </c>
      <c r="I37" s="397">
        <v>0</v>
      </c>
      <c r="J37" s="397">
        <v>0</v>
      </c>
      <c r="K37" s="397">
        <v>0</v>
      </c>
      <c r="L37" s="397">
        <v>0</v>
      </c>
      <c r="M37" s="397">
        <v>0</v>
      </c>
      <c r="N37" s="397">
        <v>0</v>
      </c>
      <c r="O37" s="398">
        <v>0</v>
      </c>
      <c r="P37" s="390">
        <f t="shared" si="2"/>
        <v>0</v>
      </c>
      <c r="Q37" s="391"/>
      <c r="R37" s="1"/>
      <c r="S37" s="1"/>
      <c r="T37" s="1"/>
      <c r="U37" s="1"/>
      <c r="V37" s="1"/>
      <c r="W37" s="1"/>
      <c r="X37" s="1"/>
      <c r="Y37" s="1"/>
      <c r="Z37" s="1"/>
    </row>
    <row r="38" spans="1:26" ht="14.4">
      <c r="A38" s="1"/>
      <c r="B38" s="953" t="s">
        <v>261</v>
      </c>
      <c r="C38" s="399" t="s">
        <v>262</v>
      </c>
      <c r="D38" s="400">
        <v>500000</v>
      </c>
      <c r="E38" s="400">
        <v>500000</v>
      </c>
      <c r="F38" s="400">
        <v>500000</v>
      </c>
      <c r="G38" s="400">
        <v>500000</v>
      </c>
      <c r="H38" s="400">
        <v>500000</v>
      </c>
      <c r="I38" s="400">
        <v>500000</v>
      </c>
      <c r="J38" s="400">
        <v>500000</v>
      </c>
      <c r="K38" s="400">
        <v>500000</v>
      </c>
      <c r="L38" s="400">
        <v>500000</v>
      </c>
      <c r="M38" s="400">
        <v>500000</v>
      </c>
      <c r="N38" s="400">
        <v>500000</v>
      </c>
      <c r="O38" s="400">
        <v>500000</v>
      </c>
      <c r="P38" s="401">
        <f t="shared" si="2"/>
        <v>6000000</v>
      </c>
      <c r="Q38" s="402"/>
      <c r="R38" s="1"/>
      <c r="S38" s="1"/>
      <c r="T38" s="1"/>
      <c r="U38" s="1"/>
      <c r="V38" s="1"/>
      <c r="W38" s="1"/>
      <c r="X38" s="1"/>
      <c r="Y38" s="1"/>
      <c r="Z38" s="1"/>
    </row>
    <row r="39" spans="1:26" ht="14.4">
      <c r="A39" s="1"/>
      <c r="B39" s="812"/>
      <c r="C39" s="403" t="s">
        <v>263</v>
      </c>
      <c r="D39" s="404">
        <v>330000</v>
      </c>
      <c r="E39" s="404">
        <v>330000</v>
      </c>
      <c r="F39" s="404">
        <v>330000</v>
      </c>
      <c r="G39" s="404">
        <v>330000</v>
      </c>
      <c r="H39" s="404">
        <v>330000</v>
      </c>
      <c r="I39" s="404">
        <v>330000</v>
      </c>
      <c r="J39" s="404">
        <v>330000</v>
      </c>
      <c r="K39" s="404">
        <v>330000</v>
      </c>
      <c r="L39" s="404">
        <v>330000</v>
      </c>
      <c r="M39" s="404">
        <v>330000</v>
      </c>
      <c r="N39" s="404">
        <v>330000</v>
      </c>
      <c r="O39" s="404">
        <v>330000</v>
      </c>
      <c r="P39" s="401">
        <f t="shared" si="2"/>
        <v>3960000</v>
      </c>
      <c r="Q39" s="405"/>
      <c r="R39" s="1"/>
      <c r="S39" s="1"/>
      <c r="T39" s="1"/>
      <c r="U39" s="1"/>
      <c r="V39" s="1"/>
      <c r="W39" s="1"/>
      <c r="X39" s="1"/>
      <c r="Y39" s="1"/>
      <c r="Z39" s="1"/>
    </row>
    <row r="40" spans="1:26" ht="14.4">
      <c r="A40" s="1"/>
      <c r="B40" s="954" t="s">
        <v>264</v>
      </c>
      <c r="C40" s="406" t="s">
        <v>265</v>
      </c>
      <c r="D40" s="382">
        <v>65000</v>
      </c>
      <c r="E40" s="382">
        <v>65000</v>
      </c>
      <c r="F40" s="382">
        <v>65000</v>
      </c>
      <c r="G40" s="382">
        <v>65000</v>
      </c>
      <c r="H40" s="382">
        <v>65000</v>
      </c>
      <c r="I40" s="382">
        <v>65000</v>
      </c>
      <c r="J40" s="382">
        <v>65000</v>
      </c>
      <c r="K40" s="382">
        <v>65000</v>
      </c>
      <c r="L40" s="382">
        <v>65000</v>
      </c>
      <c r="M40" s="382">
        <v>65000</v>
      </c>
      <c r="N40" s="382">
        <v>65000</v>
      </c>
      <c r="O40" s="382">
        <v>65000</v>
      </c>
      <c r="P40" s="383">
        <f t="shared" si="2"/>
        <v>780000</v>
      </c>
      <c r="Q40" s="407"/>
      <c r="R40" s="1"/>
      <c r="S40" s="1"/>
      <c r="T40" s="1"/>
      <c r="U40" s="1"/>
      <c r="V40" s="1"/>
      <c r="W40" s="1"/>
      <c r="X40" s="1"/>
      <c r="Y40" s="1"/>
      <c r="Z40" s="1"/>
    </row>
    <row r="41" spans="1:26" ht="14.4">
      <c r="A41" s="1"/>
      <c r="B41" s="812"/>
      <c r="C41" s="406" t="s">
        <v>266</v>
      </c>
      <c r="D41" s="414">
        <f t="shared" ref="D41:O41" si="3">950*60*1.5</f>
        <v>85500</v>
      </c>
      <c r="E41" s="414">
        <f t="shared" si="3"/>
        <v>85500</v>
      </c>
      <c r="F41" s="414">
        <f t="shared" si="3"/>
        <v>85500</v>
      </c>
      <c r="G41" s="414">
        <f t="shared" si="3"/>
        <v>85500</v>
      </c>
      <c r="H41" s="414">
        <f t="shared" si="3"/>
        <v>85500</v>
      </c>
      <c r="I41" s="414">
        <f t="shared" si="3"/>
        <v>85500</v>
      </c>
      <c r="J41" s="414">
        <f t="shared" si="3"/>
        <v>85500</v>
      </c>
      <c r="K41" s="414">
        <f t="shared" si="3"/>
        <v>85500</v>
      </c>
      <c r="L41" s="414">
        <f t="shared" si="3"/>
        <v>85500</v>
      </c>
      <c r="M41" s="414">
        <f t="shared" si="3"/>
        <v>85500</v>
      </c>
      <c r="N41" s="414">
        <f t="shared" si="3"/>
        <v>85500</v>
      </c>
      <c r="O41" s="414">
        <f t="shared" si="3"/>
        <v>85500</v>
      </c>
      <c r="P41" s="408">
        <f t="shared" si="2"/>
        <v>1026000</v>
      </c>
      <c r="Q41" s="407"/>
      <c r="R41" s="1"/>
      <c r="S41" s="1"/>
      <c r="T41" s="1"/>
      <c r="U41" s="1"/>
      <c r="V41" s="1"/>
      <c r="W41" s="1"/>
      <c r="X41" s="1"/>
      <c r="Y41" s="1"/>
      <c r="Z41" s="1"/>
    </row>
    <row r="42" spans="1:26" ht="14.4">
      <c r="A42" s="1"/>
      <c r="C42" s="409" t="s">
        <v>28</v>
      </c>
      <c r="D42" s="410">
        <f t="shared" ref="D42:P42" si="4">SUM(D30:D41)</f>
        <v>2536500</v>
      </c>
      <c r="E42" s="410">
        <f t="shared" si="4"/>
        <v>2536500</v>
      </c>
      <c r="F42" s="410">
        <f t="shared" si="4"/>
        <v>2556500</v>
      </c>
      <c r="G42" s="410">
        <f t="shared" si="4"/>
        <v>2556500</v>
      </c>
      <c r="H42" s="410">
        <f t="shared" si="4"/>
        <v>2556500</v>
      </c>
      <c r="I42" s="410">
        <f t="shared" si="4"/>
        <v>2556500</v>
      </c>
      <c r="J42" s="410">
        <f t="shared" si="4"/>
        <v>2556500</v>
      </c>
      <c r="K42" s="410">
        <f t="shared" si="4"/>
        <v>2556500</v>
      </c>
      <c r="L42" s="410">
        <f t="shared" si="4"/>
        <v>2556500</v>
      </c>
      <c r="M42" s="410">
        <f t="shared" si="4"/>
        <v>2556500</v>
      </c>
      <c r="N42" s="410">
        <f t="shared" si="4"/>
        <v>2556500</v>
      </c>
      <c r="O42" s="411">
        <f t="shared" si="4"/>
        <v>2556500</v>
      </c>
      <c r="P42" s="412">
        <f t="shared" si="4"/>
        <v>30638000</v>
      </c>
      <c r="Q42" s="413"/>
      <c r="R42" s="1"/>
      <c r="S42" s="1"/>
      <c r="T42" s="1"/>
      <c r="U42" s="1"/>
      <c r="V42" s="1"/>
      <c r="W42" s="1"/>
      <c r="X42" s="1"/>
      <c r="Y42" s="1"/>
      <c r="Z42" s="1"/>
    </row>
    <row r="43" spans="1:26" ht="14.4">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4">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4">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5.8">
      <c r="A46" s="1"/>
      <c r="B46" s="798" t="s">
        <v>270</v>
      </c>
      <c r="C46" s="799"/>
      <c r="D46" s="799"/>
      <c r="E46" s="799"/>
      <c r="F46" s="799"/>
      <c r="G46" s="799"/>
      <c r="H46" s="799"/>
      <c r="I46" s="799"/>
      <c r="J46" s="799"/>
      <c r="K46" s="799"/>
      <c r="L46" s="799"/>
      <c r="M46" s="799"/>
      <c r="N46" s="799"/>
      <c r="O46" s="799"/>
      <c r="P46" s="799"/>
      <c r="Q46" s="800"/>
      <c r="R46" s="1"/>
      <c r="S46" s="1"/>
      <c r="T46" s="1"/>
      <c r="U46" s="1"/>
      <c r="V46" s="1"/>
      <c r="W46" s="1"/>
      <c r="X46" s="1"/>
      <c r="Y46" s="1"/>
      <c r="Z46" s="1"/>
    </row>
    <row r="47" spans="1:26" ht="18">
      <c r="A47" s="1"/>
      <c r="B47" s="952" t="s">
        <v>248</v>
      </c>
      <c r="C47" s="800"/>
      <c r="D47" s="376" t="s">
        <v>58</v>
      </c>
      <c r="E47" s="377" t="s">
        <v>59</v>
      </c>
      <c r="F47" s="377" t="s">
        <v>60</v>
      </c>
      <c r="G47" s="377" t="s">
        <v>61</v>
      </c>
      <c r="H47" s="377" t="s">
        <v>62</v>
      </c>
      <c r="I47" s="377" t="s">
        <v>63</v>
      </c>
      <c r="J47" s="377" t="s">
        <v>64</v>
      </c>
      <c r="K47" s="377" t="s">
        <v>65</v>
      </c>
      <c r="L47" s="377" t="s">
        <v>66</v>
      </c>
      <c r="M47" s="377" t="s">
        <v>67</v>
      </c>
      <c r="N47" s="377" t="s">
        <v>68</v>
      </c>
      <c r="O47" s="378" t="s">
        <v>69</v>
      </c>
      <c r="P47" s="379" t="s">
        <v>249</v>
      </c>
      <c r="Q47" s="380" t="s">
        <v>250</v>
      </c>
      <c r="R47" s="1"/>
      <c r="S47" s="1"/>
      <c r="T47" s="1"/>
      <c r="U47" s="1"/>
      <c r="V47" s="1"/>
      <c r="W47" s="1"/>
      <c r="X47" s="1"/>
      <c r="Y47" s="1"/>
      <c r="Z47" s="1"/>
    </row>
    <row r="48" spans="1:26" ht="14.4">
      <c r="A48" s="1"/>
      <c r="B48" s="953" t="s">
        <v>251</v>
      </c>
      <c r="C48" s="381" t="s">
        <v>252</v>
      </c>
      <c r="D48" s="382">
        <v>55000</v>
      </c>
      <c r="E48" s="382">
        <v>55000</v>
      </c>
      <c r="F48" s="382">
        <v>55000</v>
      </c>
      <c r="G48" s="382">
        <v>55000</v>
      </c>
      <c r="H48" s="382">
        <v>55000</v>
      </c>
      <c r="I48" s="382">
        <v>55000</v>
      </c>
      <c r="J48" s="382">
        <v>55000</v>
      </c>
      <c r="K48" s="382">
        <v>55000</v>
      </c>
      <c r="L48" s="382">
        <v>55000</v>
      </c>
      <c r="M48" s="382">
        <v>55000</v>
      </c>
      <c r="N48" s="382">
        <v>55000</v>
      </c>
      <c r="O48" s="382">
        <v>55000</v>
      </c>
      <c r="P48" s="383">
        <f t="shared" ref="P48:P59" si="5">SUM(D48:O48)</f>
        <v>660000</v>
      </c>
      <c r="Q48" s="384"/>
      <c r="R48" s="1"/>
      <c r="S48" s="1"/>
      <c r="T48" s="1"/>
      <c r="U48" s="1"/>
      <c r="V48" s="1"/>
      <c r="W48" s="1"/>
      <c r="X48" s="1"/>
      <c r="Y48" s="1"/>
      <c r="Z48" s="1"/>
    </row>
    <row r="49" spans="1:26" ht="14.4">
      <c r="A49" s="1"/>
      <c r="B49" s="811"/>
      <c r="C49" s="381" t="s">
        <v>253</v>
      </c>
      <c r="D49" s="382">
        <v>19000</v>
      </c>
      <c r="E49" s="382">
        <v>19000</v>
      </c>
      <c r="F49" s="382">
        <v>19000</v>
      </c>
      <c r="G49" s="382">
        <v>19000</v>
      </c>
      <c r="H49" s="382">
        <v>19000</v>
      </c>
      <c r="I49" s="382">
        <v>19000</v>
      </c>
      <c r="J49" s="382">
        <v>19000</v>
      </c>
      <c r="K49" s="382">
        <v>19000</v>
      </c>
      <c r="L49" s="382">
        <v>19000</v>
      </c>
      <c r="M49" s="382">
        <v>19000</v>
      </c>
      <c r="N49" s="382">
        <v>19000</v>
      </c>
      <c r="O49" s="382">
        <v>19000</v>
      </c>
      <c r="P49" s="383">
        <f t="shared" si="5"/>
        <v>228000</v>
      </c>
      <c r="Q49" s="384"/>
      <c r="R49" s="1"/>
      <c r="S49" s="1"/>
      <c r="T49" s="1"/>
      <c r="U49" s="1"/>
      <c r="V49" s="1"/>
      <c r="W49" s="1"/>
      <c r="X49" s="1"/>
      <c r="Y49" s="1"/>
      <c r="Z49" s="1"/>
    </row>
    <row r="50" spans="1:26" ht="14.4">
      <c r="A50" s="1"/>
      <c r="B50" s="811"/>
      <c r="C50" s="385" t="s">
        <v>254</v>
      </c>
      <c r="D50" s="382">
        <v>40000</v>
      </c>
      <c r="E50" s="382">
        <v>40000</v>
      </c>
      <c r="F50" s="382">
        <v>40000</v>
      </c>
      <c r="G50" s="382">
        <v>40000</v>
      </c>
      <c r="H50" s="382">
        <v>40000</v>
      </c>
      <c r="I50" s="382">
        <v>40000</v>
      </c>
      <c r="J50" s="382">
        <v>40000</v>
      </c>
      <c r="K50" s="382">
        <v>40000</v>
      </c>
      <c r="L50" s="382">
        <v>40000</v>
      </c>
      <c r="M50" s="382">
        <v>40000</v>
      </c>
      <c r="N50" s="382">
        <v>40000</v>
      </c>
      <c r="O50" s="382">
        <v>40000</v>
      </c>
      <c r="P50" s="383">
        <f t="shared" si="5"/>
        <v>480000</v>
      </c>
      <c r="Q50" s="386" t="s">
        <v>271</v>
      </c>
      <c r="R50" s="1"/>
      <c r="S50" s="1"/>
      <c r="T50" s="1"/>
      <c r="U50" s="1"/>
      <c r="V50" s="1"/>
      <c r="W50" s="1"/>
      <c r="X50" s="1"/>
      <c r="Y50" s="1"/>
      <c r="Z50" s="1"/>
    </row>
    <row r="51" spans="1:26" ht="14.4">
      <c r="A51" s="1"/>
      <c r="B51" s="811"/>
      <c r="C51" s="385" t="s">
        <v>272</v>
      </c>
      <c r="D51" s="382">
        <v>40000</v>
      </c>
      <c r="E51" s="382">
        <v>40000</v>
      </c>
      <c r="F51" s="382">
        <v>40000</v>
      </c>
      <c r="G51" s="382">
        <v>40000</v>
      </c>
      <c r="H51" s="382">
        <v>40000</v>
      </c>
      <c r="I51" s="382">
        <v>40000</v>
      </c>
      <c r="J51" s="382">
        <v>40000</v>
      </c>
      <c r="K51" s="382">
        <v>40000</v>
      </c>
      <c r="L51" s="382">
        <v>40000</v>
      </c>
      <c r="M51" s="382">
        <v>40000</v>
      </c>
      <c r="N51" s="382">
        <v>40000</v>
      </c>
      <c r="O51" s="382">
        <v>40000</v>
      </c>
      <c r="P51" s="383">
        <f t="shared" si="5"/>
        <v>480000</v>
      </c>
      <c r="Q51" s="386"/>
      <c r="R51" s="1"/>
      <c r="S51" s="1"/>
      <c r="T51" s="1"/>
      <c r="U51" s="1"/>
      <c r="V51" s="1"/>
      <c r="W51" s="1"/>
      <c r="X51" s="1"/>
      <c r="Y51" s="1"/>
      <c r="Z51" s="1"/>
    </row>
    <row r="52" spans="1:26" ht="14.4">
      <c r="A52" s="1"/>
      <c r="B52" s="811"/>
      <c r="C52" s="387" t="s">
        <v>256</v>
      </c>
      <c r="D52" s="382">
        <v>400000</v>
      </c>
      <c r="E52" s="382">
        <v>400000</v>
      </c>
      <c r="F52" s="382">
        <v>400000</v>
      </c>
      <c r="G52" s="382">
        <v>400000</v>
      </c>
      <c r="H52" s="382">
        <v>400000</v>
      </c>
      <c r="I52" s="382">
        <v>400000</v>
      </c>
      <c r="J52" s="382">
        <v>400000</v>
      </c>
      <c r="K52" s="382">
        <v>400000</v>
      </c>
      <c r="L52" s="382">
        <v>400000</v>
      </c>
      <c r="M52" s="382">
        <v>400000</v>
      </c>
      <c r="N52" s="382">
        <v>400000</v>
      </c>
      <c r="O52" s="382">
        <v>400000</v>
      </c>
      <c r="P52" s="383">
        <f t="shared" si="5"/>
        <v>4800000</v>
      </c>
      <c r="Q52" s="386"/>
      <c r="R52" s="1"/>
      <c r="S52" s="1"/>
      <c r="T52" s="1"/>
      <c r="U52" s="1"/>
      <c r="V52" s="1"/>
      <c r="W52" s="1"/>
      <c r="X52" s="1"/>
      <c r="Y52" s="1"/>
      <c r="Z52" s="1"/>
    </row>
    <row r="53" spans="1:26" ht="14.4">
      <c r="A53" s="1"/>
      <c r="B53" s="812"/>
      <c r="C53" s="388" t="s">
        <v>257</v>
      </c>
      <c r="D53" s="389">
        <v>42000</v>
      </c>
      <c r="E53" s="389">
        <v>42000</v>
      </c>
      <c r="F53" s="389">
        <v>42000</v>
      </c>
      <c r="G53" s="389">
        <v>42000</v>
      </c>
      <c r="H53" s="389">
        <v>42000</v>
      </c>
      <c r="I53" s="389">
        <v>42000</v>
      </c>
      <c r="J53" s="389">
        <v>42000</v>
      </c>
      <c r="K53" s="389">
        <v>42000</v>
      </c>
      <c r="L53" s="389">
        <v>42000</v>
      </c>
      <c r="M53" s="389">
        <v>42000</v>
      </c>
      <c r="N53" s="389">
        <v>42000</v>
      </c>
      <c r="O53" s="389">
        <v>42000</v>
      </c>
      <c r="P53" s="390">
        <f t="shared" si="5"/>
        <v>504000</v>
      </c>
      <c r="Q53" s="391"/>
      <c r="R53" s="1"/>
      <c r="S53" s="1"/>
      <c r="T53" s="1"/>
      <c r="U53" s="1"/>
      <c r="V53" s="1"/>
      <c r="W53" s="1"/>
      <c r="X53" s="1"/>
      <c r="Y53" s="1"/>
      <c r="Z53" s="1"/>
    </row>
    <row r="54" spans="1:26" ht="14.4">
      <c r="A54" s="1"/>
      <c r="B54" s="953" t="s">
        <v>258</v>
      </c>
      <c r="C54" s="392" t="s">
        <v>273</v>
      </c>
      <c r="D54" s="393">
        <v>1100000</v>
      </c>
      <c r="E54" s="393">
        <v>1100000</v>
      </c>
      <c r="F54" s="393">
        <v>1100000</v>
      </c>
      <c r="G54" s="393">
        <v>1100000</v>
      </c>
      <c r="H54" s="393">
        <v>1100000</v>
      </c>
      <c r="I54" s="393">
        <v>1100000</v>
      </c>
      <c r="J54" s="393">
        <v>1100000</v>
      </c>
      <c r="K54" s="393">
        <v>1100000</v>
      </c>
      <c r="L54" s="393">
        <v>1100000</v>
      </c>
      <c r="M54" s="393">
        <v>1100000</v>
      </c>
      <c r="N54" s="393">
        <v>1100000</v>
      </c>
      <c r="O54" s="393">
        <v>1100000</v>
      </c>
      <c r="P54" s="394">
        <f t="shared" si="5"/>
        <v>13200000</v>
      </c>
      <c r="Q54" s="395"/>
      <c r="R54" s="1"/>
      <c r="S54" s="1"/>
      <c r="T54" s="1"/>
      <c r="U54" s="1"/>
      <c r="V54" s="1"/>
      <c r="W54" s="1"/>
      <c r="X54" s="1"/>
      <c r="Y54" s="1"/>
      <c r="Z54" s="1"/>
    </row>
    <row r="55" spans="1:26" ht="14.4">
      <c r="A55" s="1"/>
      <c r="B55" s="812"/>
      <c r="C55" s="388" t="s">
        <v>260</v>
      </c>
      <c r="D55" s="396">
        <v>0</v>
      </c>
      <c r="E55" s="397">
        <v>0</v>
      </c>
      <c r="F55" s="397">
        <v>0</v>
      </c>
      <c r="G55" s="397">
        <v>0</v>
      </c>
      <c r="H55" s="397">
        <v>0</v>
      </c>
      <c r="I55" s="397">
        <v>0</v>
      </c>
      <c r="J55" s="397">
        <v>0</v>
      </c>
      <c r="K55" s="397">
        <v>0</v>
      </c>
      <c r="L55" s="397">
        <v>0</v>
      </c>
      <c r="M55" s="397">
        <v>0</v>
      </c>
      <c r="N55" s="397">
        <v>0</v>
      </c>
      <c r="O55" s="398">
        <v>0</v>
      </c>
      <c r="P55" s="390">
        <f t="shared" si="5"/>
        <v>0</v>
      </c>
      <c r="Q55" s="391"/>
      <c r="R55" s="1"/>
      <c r="S55" s="1"/>
      <c r="T55" s="1"/>
      <c r="U55" s="1"/>
      <c r="V55" s="1"/>
      <c r="W55" s="1"/>
      <c r="X55" s="1"/>
      <c r="Y55" s="1"/>
      <c r="Z55" s="1"/>
    </row>
    <row r="56" spans="1:26" ht="14.4">
      <c r="A56" s="1"/>
      <c r="B56" s="953" t="s">
        <v>261</v>
      </c>
      <c r="C56" s="399" t="s">
        <v>262</v>
      </c>
      <c r="D56" s="400">
        <v>625000</v>
      </c>
      <c r="E56" s="400">
        <v>625000</v>
      </c>
      <c r="F56" s="400">
        <v>625000</v>
      </c>
      <c r="G56" s="400">
        <v>625000</v>
      </c>
      <c r="H56" s="400">
        <v>625000</v>
      </c>
      <c r="I56" s="400">
        <v>625000</v>
      </c>
      <c r="J56" s="400">
        <v>625000</v>
      </c>
      <c r="K56" s="400">
        <v>625000</v>
      </c>
      <c r="L56" s="400">
        <v>625000</v>
      </c>
      <c r="M56" s="400">
        <v>625000</v>
      </c>
      <c r="N56" s="400">
        <v>625000</v>
      </c>
      <c r="O56" s="400">
        <v>625000</v>
      </c>
      <c r="P56" s="401">
        <f t="shared" si="5"/>
        <v>7500000</v>
      </c>
      <c r="Q56" s="402"/>
      <c r="R56" s="1"/>
      <c r="S56" s="1"/>
      <c r="T56" s="1"/>
      <c r="U56" s="1"/>
      <c r="V56" s="1"/>
      <c r="W56" s="1"/>
      <c r="X56" s="1"/>
      <c r="Y56" s="1"/>
      <c r="Z56" s="1"/>
    </row>
    <row r="57" spans="1:26" ht="14.4">
      <c r="A57" s="1"/>
      <c r="B57" s="812"/>
      <c r="C57" s="388" t="s">
        <v>263</v>
      </c>
      <c r="D57" s="404">
        <v>600000</v>
      </c>
      <c r="E57" s="404">
        <v>600000</v>
      </c>
      <c r="F57" s="404">
        <v>600000</v>
      </c>
      <c r="G57" s="404">
        <v>600000</v>
      </c>
      <c r="H57" s="404">
        <v>600000</v>
      </c>
      <c r="I57" s="404">
        <v>600000</v>
      </c>
      <c r="J57" s="404">
        <v>600000</v>
      </c>
      <c r="K57" s="404">
        <v>600000</v>
      </c>
      <c r="L57" s="404">
        <v>600000</v>
      </c>
      <c r="M57" s="404">
        <v>600000</v>
      </c>
      <c r="N57" s="404">
        <v>600000</v>
      </c>
      <c r="O57" s="404">
        <v>600000</v>
      </c>
      <c r="P57" s="401">
        <f t="shared" si="5"/>
        <v>7200000</v>
      </c>
      <c r="Q57" s="405"/>
      <c r="R57" s="1"/>
      <c r="S57" s="1"/>
      <c r="T57" s="1"/>
      <c r="U57" s="1"/>
      <c r="V57" s="1"/>
      <c r="W57" s="1"/>
      <c r="X57" s="1"/>
      <c r="Y57" s="1"/>
      <c r="Z57" s="1"/>
    </row>
    <row r="58" spans="1:26" ht="14.4">
      <c r="A58" s="1"/>
      <c r="B58" s="954" t="s">
        <v>264</v>
      </c>
      <c r="C58" s="406" t="s">
        <v>265</v>
      </c>
      <c r="D58" s="382">
        <v>80000</v>
      </c>
      <c r="E58" s="382">
        <v>80000</v>
      </c>
      <c r="F58" s="382">
        <v>80000</v>
      </c>
      <c r="G58" s="382">
        <v>80000</v>
      </c>
      <c r="H58" s="382">
        <v>80000</v>
      </c>
      <c r="I58" s="382">
        <v>80000</v>
      </c>
      <c r="J58" s="382">
        <v>80000</v>
      </c>
      <c r="K58" s="382">
        <v>80000</v>
      </c>
      <c r="L58" s="382">
        <v>80000</v>
      </c>
      <c r="M58" s="382">
        <v>80000</v>
      </c>
      <c r="N58" s="382">
        <v>80000</v>
      </c>
      <c r="O58" s="382">
        <v>80000</v>
      </c>
      <c r="P58" s="383">
        <f t="shared" si="5"/>
        <v>960000</v>
      </c>
      <c r="Q58" s="407"/>
      <c r="R58" s="1"/>
      <c r="S58" s="1"/>
      <c r="T58" s="1"/>
      <c r="U58" s="1"/>
      <c r="V58" s="1"/>
      <c r="W58" s="1"/>
      <c r="X58" s="1"/>
      <c r="Y58" s="1"/>
      <c r="Z58" s="1"/>
    </row>
    <row r="59" spans="1:26" ht="14.4">
      <c r="A59" s="1"/>
      <c r="B59" s="812"/>
      <c r="C59" s="406" t="s">
        <v>266</v>
      </c>
      <c r="D59" s="382">
        <v>120000</v>
      </c>
      <c r="E59" s="382">
        <v>120000</v>
      </c>
      <c r="F59" s="382">
        <v>120000</v>
      </c>
      <c r="G59" s="382">
        <v>120000</v>
      </c>
      <c r="H59" s="382">
        <v>120000</v>
      </c>
      <c r="I59" s="382">
        <v>120000</v>
      </c>
      <c r="J59" s="382">
        <v>120000</v>
      </c>
      <c r="K59" s="382">
        <v>120000</v>
      </c>
      <c r="L59" s="382">
        <v>120000</v>
      </c>
      <c r="M59" s="382">
        <v>120000</v>
      </c>
      <c r="N59" s="382">
        <v>120000</v>
      </c>
      <c r="O59" s="382">
        <v>120000</v>
      </c>
      <c r="P59" s="408">
        <f t="shared" si="5"/>
        <v>1440000</v>
      </c>
      <c r="Q59" s="407"/>
      <c r="R59" s="1"/>
      <c r="S59" s="1"/>
      <c r="T59" s="1"/>
      <c r="U59" s="1"/>
      <c r="V59" s="1"/>
      <c r="W59" s="1"/>
      <c r="X59" s="1"/>
      <c r="Y59" s="1"/>
      <c r="Z59" s="1"/>
    </row>
    <row r="60" spans="1:26" ht="14.4">
      <c r="A60" s="1"/>
      <c r="C60" s="409" t="s">
        <v>28</v>
      </c>
      <c r="D60" s="410">
        <f t="shared" ref="D60:P60" si="6">SUM(D48:D59)</f>
        <v>3121000</v>
      </c>
      <c r="E60" s="410">
        <f t="shared" si="6"/>
        <v>3121000</v>
      </c>
      <c r="F60" s="410">
        <f t="shared" si="6"/>
        <v>3121000</v>
      </c>
      <c r="G60" s="410">
        <f t="shared" si="6"/>
        <v>3121000</v>
      </c>
      <c r="H60" s="410">
        <f t="shared" si="6"/>
        <v>3121000</v>
      </c>
      <c r="I60" s="410">
        <f t="shared" si="6"/>
        <v>3121000</v>
      </c>
      <c r="J60" s="410">
        <f t="shared" si="6"/>
        <v>3121000</v>
      </c>
      <c r="K60" s="410">
        <f t="shared" si="6"/>
        <v>3121000</v>
      </c>
      <c r="L60" s="410">
        <f t="shared" si="6"/>
        <v>3121000</v>
      </c>
      <c r="M60" s="410">
        <f t="shared" si="6"/>
        <v>3121000</v>
      </c>
      <c r="N60" s="410">
        <f t="shared" si="6"/>
        <v>3121000</v>
      </c>
      <c r="O60" s="411">
        <f t="shared" si="6"/>
        <v>3121000</v>
      </c>
      <c r="P60" s="412">
        <f t="shared" si="6"/>
        <v>37452000</v>
      </c>
      <c r="Q60" s="413"/>
      <c r="R60" s="1"/>
      <c r="S60" s="1"/>
      <c r="T60" s="1"/>
      <c r="U60" s="1"/>
      <c r="V60" s="1"/>
      <c r="W60" s="1"/>
      <c r="X60" s="1"/>
      <c r="Y60" s="1"/>
      <c r="Z60" s="1"/>
    </row>
    <row r="61" spans="1:26" ht="14.4">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4">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4">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4">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4">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4">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4">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4">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4">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4">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4">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4">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4">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4">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4">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4">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4">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4">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4">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4">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4">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4">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sheetData>
  <mergeCells count="21">
    <mergeCell ref="B48:B53"/>
    <mergeCell ref="B54:B55"/>
    <mergeCell ref="B56:B57"/>
    <mergeCell ref="B58:B59"/>
    <mergeCell ref="B21:B22"/>
    <mergeCell ref="B23:B24"/>
    <mergeCell ref="B28:Q28"/>
    <mergeCell ref="B29:C29"/>
    <mergeCell ref="B30:B35"/>
    <mergeCell ref="B36:B37"/>
    <mergeCell ref="B38:B39"/>
    <mergeCell ref="B13:B18"/>
    <mergeCell ref="B19:B20"/>
    <mergeCell ref="B40:B41"/>
    <mergeCell ref="B46:Q46"/>
    <mergeCell ref="B47:C47"/>
    <mergeCell ref="C3:E3"/>
    <mergeCell ref="G3:I3"/>
    <mergeCell ref="G7:I7"/>
    <mergeCell ref="B11:Q11"/>
    <mergeCell ref="B12:C12"/>
  </mergeCells>
  <pageMargins left="0.7" right="0.7" top="0.75" bottom="0.75" header="0" footer="0"/>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78"/>
  <sheetViews>
    <sheetView workbookViewId="0">
      <pane xSplit="3" ySplit="1" topLeftCell="D2" activePane="bottomRight" state="frozen"/>
      <selection pane="topRight" activeCell="D1" sqref="D1"/>
      <selection pane="bottomLeft" activeCell="A2" sqref="A2"/>
      <selection pane="bottomRight" activeCell="B70" sqref="B70:B75"/>
    </sheetView>
  </sheetViews>
  <sheetFormatPr baseColWidth="10" defaultColWidth="12.59765625" defaultRowHeight="15" customHeight="1"/>
  <cols>
    <col min="1" max="1" width="12.8984375" customWidth="1"/>
    <col min="2" max="2" width="40.59765625" customWidth="1"/>
    <col min="3" max="4" width="13.8984375" customWidth="1"/>
    <col min="5" max="5" width="12.8984375" customWidth="1"/>
    <col min="6" max="6" width="16" customWidth="1"/>
    <col min="7" max="7" width="12.8984375" customWidth="1"/>
    <col min="8" max="8" width="15.59765625" customWidth="1"/>
    <col min="9" max="9" width="13" customWidth="1"/>
    <col min="10" max="10" width="13.09765625" customWidth="1"/>
    <col min="11" max="11" width="12.8984375" customWidth="1"/>
    <col min="12" max="12" width="7.69921875" customWidth="1"/>
    <col min="13" max="13" width="12.8984375" customWidth="1"/>
    <col min="14" max="14" width="7.69921875" customWidth="1"/>
    <col min="15" max="15" width="12.8984375" customWidth="1"/>
    <col min="16" max="16" width="7.69921875" customWidth="1"/>
    <col min="17" max="17" width="12.8984375" customWidth="1"/>
    <col min="18" max="18" width="7.69921875" customWidth="1"/>
    <col min="19" max="19" width="12.8984375" customWidth="1"/>
    <col min="20" max="20" width="9.69921875" customWidth="1"/>
    <col min="21" max="21" width="13" customWidth="1"/>
    <col min="22" max="22" width="7.69921875" customWidth="1"/>
    <col min="23" max="23" width="12.8984375" customWidth="1"/>
    <col min="24" max="24" width="9.5" customWidth="1"/>
    <col min="25" max="25" width="12.8984375" customWidth="1"/>
    <col min="26" max="26" width="8.69921875" customWidth="1"/>
    <col min="27" max="27" width="11.5" customWidth="1"/>
    <col min="28" max="28" width="13.8984375" customWidth="1"/>
  </cols>
  <sheetData>
    <row r="1" spans="1:28" ht="15" customHeight="1">
      <c r="A1" s="10"/>
      <c r="B1" s="10"/>
      <c r="C1" s="10"/>
      <c r="D1" s="10"/>
      <c r="E1" s="10"/>
      <c r="F1" s="218" t="s">
        <v>7</v>
      </c>
      <c r="G1" s="336"/>
      <c r="H1" s="336"/>
      <c r="I1" s="10"/>
      <c r="J1" s="10"/>
      <c r="K1" s="10"/>
      <c r="L1" s="10"/>
      <c r="M1" s="1"/>
      <c r="N1" s="1"/>
      <c r="O1" s="1"/>
      <c r="P1" s="1"/>
      <c r="Q1" s="1"/>
      <c r="R1" s="1"/>
      <c r="S1" s="1"/>
      <c r="T1" s="1"/>
      <c r="U1" s="1"/>
      <c r="V1" s="1"/>
      <c r="W1" s="1"/>
      <c r="X1" s="1"/>
      <c r="Y1" s="1"/>
      <c r="Z1" s="1"/>
      <c r="AA1" s="1"/>
      <c r="AB1" s="1"/>
    </row>
    <row r="2" spans="1:28" ht="15" customHeight="1">
      <c r="A2" s="1"/>
      <c r="B2" s="1"/>
      <c r="C2" s="1"/>
      <c r="D2" s="1"/>
      <c r="E2" s="1"/>
      <c r="F2" s="1"/>
      <c r="G2" s="1"/>
      <c r="H2" s="1"/>
      <c r="I2" s="1"/>
      <c r="J2" s="1"/>
      <c r="K2" s="1"/>
      <c r="L2" s="1"/>
      <c r="M2" s="1"/>
      <c r="N2" s="1"/>
      <c r="O2" s="1"/>
      <c r="P2" s="1"/>
      <c r="Q2" s="1"/>
      <c r="R2" s="1"/>
      <c r="S2" s="1"/>
      <c r="T2" s="1"/>
      <c r="U2" s="1"/>
      <c r="V2" s="1"/>
      <c r="W2" s="1"/>
      <c r="X2" s="1"/>
      <c r="Y2" s="1"/>
      <c r="Z2" s="1"/>
      <c r="AA2" s="1"/>
      <c r="AB2" s="1"/>
    </row>
    <row r="3" spans="1:28" ht="15" customHeight="1">
      <c r="A3" s="1"/>
      <c r="B3" s="1"/>
      <c r="C3" s="1"/>
      <c r="D3" s="1"/>
      <c r="E3" s="1"/>
      <c r="F3" s="1"/>
      <c r="G3" s="1"/>
      <c r="H3" s="1"/>
      <c r="I3" s="1"/>
      <c r="J3" s="1"/>
      <c r="K3" s="1"/>
      <c r="L3" s="1"/>
      <c r="M3" s="1"/>
      <c r="N3" s="1"/>
      <c r="O3" s="1"/>
      <c r="P3" s="1"/>
      <c r="Q3" s="1"/>
      <c r="R3" s="1"/>
      <c r="S3" s="1"/>
      <c r="T3" s="1"/>
      <c r="U3" s="1"/>
      <c r="V3" s="1"/>
      <c r="W3" s="1"/>
      <c r="X3" s="1"/>
      <c r="Y3" s="1"/>
      <c r="Z3" s="1"/>
      <c r="AA3" s="1"/>
      <c r="AB3" s="1"/>
    </row>
    <row r="4" spans="1:28" ht="15" customHeight="1">
      <c r="A4" s="1"/>
      <c r="B4" s="798" t="s">
        <v>51</v>
      </c>
      <c r="C4" s="799"/>
      <c r="D4" s="800"/>
      <c r="E4" s="28"/>
      <c r="F4" s="1"/>
      <c r="G4" s="1"/>
      <c r="H4" s="798" t="s">
        <v>274</v>
      </c>
      <c r="I4" s="799"/>
      <c r="J4" s="800"/>
      <c r="K4" s="1"/>
      <c r="L4" s="1"/>
      <c r="M4" s="1"/>
      <c r="N4" s="1"/>
      <c r="O4" s="1"/>
      <c r="P4" s="1"/>
      <c r="Q4" s="1"/>
      <c r="R4" s="1"/>
      <c r="S4" s="1"/>
      <c r="T4" s="1"/>
      <c r="U4" s="1"/>
      <c r="V4" s="1"/>
      <c r="W4" s="1"/>
      <c r="X4" s="1"/>
      <c r="Y4" s="1"/>
      <c r="Z4" s="1"/>
      <c r="AA4" s="1"/>
      <c r="AB4" s="1"/>
    </row>
    <row r="5" spans="1:28" ht="15" customHeight="1">
      <c r="A5" s="1"/>
      <c r="B5" s="70">
        <v>2026</v>
      </c>
      <c r="C5" s="70">
        <v>2027</v>
      </c>
      <c r="D5" s="70">
        <v>2028</v>
      </c>
      <c r="E5" s="290"/>
      <c r="F5" s="1"/>
      <c r="G5" s="1"/>
      <c r="H5" s="69">
        <v>2026</v>
      </c>
      <c r="I5" s="70">
        <v>2027</v>
      </c>
      <c r="J5" s="71">
        <v>2028</v>
      </c>
      <c r="K5" s="1"/>
      <c r="L5" s="1"/>
      <c r="M5" s="1"/>
      <c r="N5" s="1"/>
      <c r="O5" s="1"/>
      <c r="P5" s="1"/>
      <c r="Q5" s="1"/>
      <c r="R5" s="1"/>
      <c r="S5" s="1"/>
      <c r="T5" s="1"/>
      <c r="U5" s="1"/>
      <c r="V5" s="1"/>
      <c r="W5" s="1"/>
      <c r="X5" s="1"/>
      <c r="Y5" s="1"/>
      <c r="Z5" s="1"/>
      <c r="AA5" s="1"/>
      <c r="AB5" s="1"/>
    </row>
    <row r="6" spans="1:28" ht="15" customHeight="1">
      <c r="A6" s="1"/>
      <c r="B6" s="74">
        <f>Hipótesis!C24</f>
        <v>0.02</v>
      </c>
      <c r="C6" s="74">
        <f>Hipótesis!C25</f>
        <v>0.06</v>
      </c>
      <c r="D6" s="74">
        <f>Hipótesis!C26</f>
        <v>0.1</v>
      </c>
      <c r="E6" s="415"/>
      <c r="F6" s="1"/>
      <c r="G6" s="1"/>
      <c r="H6" s="76">
        <f>AB32</f>
        <v>32918375</v>
      </c>
      <c r="I6" s="77">
        <f>AB55</f>
        <v>59495000</v>
      </c>
      <c r="J6" s="78">
        <f>AB78</f>
        <v>87758125</v>
      </c>
      <c r="K6" s="1"/>
      <c r="L6" s="1"/>
      <c r="M6" s="1"/>
      <c r="N6" s="1"/>
      <c r="O6" s="1"/>
      <c r="P6" s="1"/>
      <c r="Q6" s="1"/>
      <c r="R6" s="1"/>
      <c r="S6" s="1"/>
      <c r="T6" s="1"/>
      <c r="U6" s="1"/>
      <c r="V6" s="1"/>
      <c r="W6" s="1"/>
      <c r="X6" s="1"/>
      <c r="Y6" s="1"/>
      <c r="Z6" s="1"/>
      <c r="AA6" s="1"/>
      <c r="AB6" s="1"/>
    </row>
    <row r="7" spans="1:28" ht="15" customHeight="1">
      <c r="A7" s="1"/>
      <c r="B7" s="337">
        <f>Hipótesis!D24</f>
        <v>102480000</v>
      </c>
      <c r="C7" s="337">
        <f>Hipótesis!D25</f>
        <v>307440000</v>
      </c>
      <c r="D7" s="337">
        <f>Hipótesis!D26</f>
        <v>512400000</v>
      </c>
      <c r="E7" s="369"/>
      <c r="F7" s="1"/>
      <c r="G7" s="1"/>
      <c r="H7" s="1"/>
      <c r="I7" s="1"/>
      <c r="J7" s="1"/>
      <c r="K7" s="1"/>
      <c r="L7" s="1"/>
      <c r="M7" s="1"/>
      <c r="N7" s="1"/>
      <c r="O7" s="1"/>
      <c r="P7" s="1"/>
      <c r="Q7" s="1"/>
      <c r="R7" s="1"/>
      <c r="S7" s="1"/>
      <c r="T7" s="1"/>
      <c r="U7" s="1"/>
      <c r="V7" s="1"/>
      <c r="W7" s="1"/>
      <c r="X7" s="1"/>
      <c r="Y7" s="1"/>
      <c r="Z7" s="1"/>
      <c r="AA7" s="1"/>
      <c r="AB7" s="1"/>
    </row>
    <row r="8" spans="1:28" ht="15" customHeight="1">
      <c r="A8" s="1"/>
      <c r="B8" s="1"/>
      <c r="C8" s="1"/>
      <c r="D8" s="1"/>
      <c r="E8" s="1"/>
      <c r="F8" s="1"/>
      <c r="G8" s="1"/>
      <c r="H8" s="798" t="s">
        <v>275</v>
      </c>
      <c r="I8" s="799"/>
      <c r="J8" s="800"/>
      <c r="K8" s="1"/>
      <c r="L8" s="1"/>
      <c r="M8" s="1"/>
      <c r="N8" s="1"/>
      <c r="O8" s="1"/>
      <c r="P8" s="1"/>
      <c r="Q8" s="1"/>
      <c r="R8" s="1"/>
      <c r="S8" s="1"/>
      <c r="T8" s="1"/>
      <c r="U8" s="1"/>
      <c r="V8" s="1"/>
      <c r="W8" s="1"/>
      <c r="X8" s="1"/>
      <c r="Y8" s="1"/>
      <c r="Z8" s="1"/>
      <c r="AA8" s="1"/>
      <c r="AB8" s="1"/>
    </row>
    <row r="9" spans="1:28" ht="15" customHeight="1">
      <c r="A9" s="1"/>
      <c r="B9" s="1"/>
      <c r="C9" s="1"/>
      <c r="D9" s="1"/>
      <c r="E9" s="1"/>
      <c r="F9" s="1"/>
      <c r="G9" s="1"/>
      <c r="H9" s="69">
        <v>2026</v>
      </c>
      <c r="I9" s="70">
        <v>2027</v>
      </c>
      <c r="J9" s="71">
        <v>2028</v>
      </c>
      <c r="K9" s="1"/>
      <c r="L9" s="1"/>
      <c r="M9" s="1"/>
      <c r="N9" s="1"/>
      <c r="O9" s="1"/>
      <c r="P9" s="1"/>
      <c r="Q9" s="1"/>
      <c r="R9" s="1"/>
      <c r="S9" s="1"/>
      <c r="T9" s="1"/>
      <c r="U9" s="1"/>
      <c r="V9" s="1"/>
      <c r="W9" s="1"/>
      <c r="X9" s="1"/>
      <c r="Y9" s="1"/>
      <c r="Z9" s="1"/>
      <c r="AA9" s="1"/>
      <c r="AB9" s="1"/>
    </row>
    <row r="10" spans="1:28" ht="15" customHeight="1">
      <c r="A10" s="1"/>
      <c r="B10" s="1"/>
      <c r="C10" s="1"/>
      <c r="D10" s="1"/>
      <c r="E10" s="1"/>
      <c r="F10" s="1"/>
      <c r="G10" s="1"/>
      <c r="H10" s="76">
        <f>SUM(AB21:AB29)</f>
        <v>15599000</v>
      </c>
      <c r="I10" s="77">
        <f>SUM(AB44:AB52)</f>
        <v>35240000</v>
      </c>
      <c r="J10" s="78">
        <f>SUM(AB67:AB75)</f>
        <v>55930000</v>
      </c>
      <c r="K10" s="1"/>
      <c r="L10" s="1"/>
      <c r="M10" s="1"/>
      <c r="N10" s="1"/>
      <c r="O10" s="1"/>
      <c r="P10" s="1"/>
      <c r="Q10" s="1"/>
      <c r="R10" s="1"/>
      <c r="S10" s="1"/>
      <c r="T10" s="1"/>
      <c r="U10" s="1"/>
      <c r="V10" s="1"/>
      <c r="W10" s="1"/>
      <c r="X10" s="1"/>
      <c r="Y10" s="1"/>
      <c r="Z10" s="1"/>
      <c r="AA10" s="1"/>
      <c r="AB10" s="1"/>
    </row>
    <row r="11" spans="1:28" ht="1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row>
    <row r="12" spans="1:28" ht="15" customHeight="1">
      <c r="A12" s="1"/>
      <c r="B12" s="798" t="s">
        <v>276</v>
      </c>
      <c r="C12" s="799"/>
      <c r="D12" s="799"/>
      <c r="E12" s="799"/>
      <c r="F12" s="799"/>
      <c r="G12" s="799"/>
      <c r="H12" s="799"/>
      <c r="I12" s="799"/>
      <c r="J12" s="799"/>
      <c r="K12" s="799"/>
      <c r="L12" s="799"/>
      <c r="M12" s="799"/>
      <c r="N12" s="799"/>
      <c r="O12" s="799"/>
      <c r="P12" s="799"/>
      <c r="Q12" s="799"/>
      <c r="R12" s="799"/>
      <c r="S12" s="799"/>
      <c r="T12" s="799"/>
      <c r="U12" s="799"/>
      <c r="V12" s="799"/>
      <c r="W12" s="799"/>
      <c r="X12" s="799"/>
      <c r="Y12" s="799"/>
      <c r="Z12" s="799"/>
      <c r="AA12" s="799"/>
      <c r="AB12" s="800"/>
    </row>
    <row r="13" spans="1:28" ht="15" customHeight="1">
      <c r="A13" s="1"/>
      <c r="B13" s="962" t="s">
        <v>76</v>
      </c>
      <c r="C13" s="828"/>
      <c r="D13" s="963" t="s">
        <v>58</v>
      </c>
      <c r="E13" s="806"/>
      <c r="F13" s="955" t="s">
        <v>59</v>
      </c>
      <c r="G13" s="806"/>
      <c r="H13" s="955" t="s">
        <v>60</v>
      </c>
      <c r="I13" s="806"/>
      <c r="J13" s="955" t="s">
        <v>61</v>
      </c>
      <c r="K13" s="806"/>
      <c r="L13" s="955" t="s">
        <v>62</v>
      </c>
      <c r="M13" s="806"/>
      <c r="N13" s="955" t="s">
        <v>63</v>
      </c>
      <c r="O13" s="806"/>
      <c r="P13" s="955" t="s">
        <v>64</v>
      </c>
      <c r="Q13" s="806"/>
      <c r="R13" s="955" t="s">
        <v>65</v>
      </c>
      <c r="S13" s="806"/>
      <c r="T13" s="955" t="s">
        <v>66</v>
      </c>
      <c r="U13" s="806"/>
      <c r="V13" s="955" t="s">
        <v>67</v>
      </c>
      <c r="W13" s="806"/>
      <c r="X13" s="955" t="s">
        <v>68</v>
      </c>
      <c r="Y13" s="806"/>
      <c r="Z13" s="955" t="s">
        <v>69</v>
      </c>
      <c r="AA13" s="956"/>
      <c r="AB13" s="957" t="s">
        <v>28</v>
      </c>
    </row>
    <row r="14" spans="1:28" ht="15" customHeight="1">
      <c r="A14" s="1"/>
      <c r="B14" s="416" t="s">
        <v>178</v>
      </c>
      <c r="C14" s="417" t="s">
        <v>277</v>
      </c>
      <c r="D14" s="418" t="s">
        <v>26</v>
      </c>
      <c r="E14" s="419" t="s">
        <v>278</v>
      </c>
      <c r="F14" s="419" t="s">
        <v>26</v>
      </c>
      <c r="G14" s="419" t="s">
        <v>278</v>
      </c>
      <c r="H14" s="419" t="s">
        <v>26</v>
      </c>
      <c r="I14" s="419" t="s">
        <v>278</v>
      </c>
      <c r="J14" s="419" t="s">
        <v>26</v>
      </c>
      <c r="K14" s="419" t="s">
        <v>278</v>
      </c>
      <c r="L14" s="419" t="s">
        <v>26</v>
      </c>
      <c r="M14" s="419" t="s">
        <v>278</v>
      </c>
      <c r="N14" s="419" t="s">
        <v>26</v>
      </c>
      <c r="O14" s="419" t="s">
        <v>278</v>
      </c>
      <c r="P14" s="419" t="s">
        <v>26</v>
      </c>
      <c r="Q14" s="419" t="s">
        <v>278</v>
      </c>
      <c r="R14" s="419" t="s">
        <v>26</v>
      </c>
      <c r="S14" s="419" t="s">
        <v>278</v>
      </c>
      <c r="T14" s="419" t="s">
        <v>26</v>
      </c>
      <c r="U14" s="419" t="s">
        <v>278</v>
      </c>
      <c r="V14" s="419" t="s">
        <v>26</v>
      </c>
      <c r="W14" s="419" t="s">
        <v>278</v>
      </c>
      <c r="X14" s="419" t="s">
        <v>26</v>
      </c>
      <c r="Y14" s="419" t="s">
        <v>278</v>
      </c>
      <c r="Z14" s="419" t="s">
        <v>26</v>
      </c>
      <c r="AA14" s="420" t="s">
        <v>278</v>
      </c>
      <c r="AB14" s="958"/>
    </row>
    <row r="15" spans="1:28" ht="15" customHeight="1">
      <c r="A15" s="960" t="s">
        <v>279</v>
      </c>
      <c r="B15" s="421" t="str">
        <f>'Anexo capacidad operativa'!$S$18</f>
        <v>Plan A</v>
      </c>
      <c r="C15" s="422">
        <f>'Anexo capacidad operativa'!$W$28</f>
        <v>92625</v>
      </c>
      <c r="D15" s="423">
        <f>'Anexo capacidad operativa'!C80</f>
        <v>0</v>
      </c>
      <c r="E15" s="424">
        <f t="shared" ref="E15:E29" si="0">D15*$C15</f>
        <v>0</v>
      </c>
      <c r="F15" s="423">
        <f>'Anexo capacidad operativa'!E80</f>
        <v>15</v>
      </c>
      <c r="G15" s="424">
        <f t="shared" ref="G15:G29" si="1">F15*$C15</f>
        <v>1389375</v>
      </c>
      <c r="H15" s="423">
        <f>'Anexo capacidad operativa'!G80</f>
        <v>0</v>
      </c>
      <c r="I15" s="424">
        <f t="shared" ref="I15:I29" si="2">H15*$C15</f>
        <v>0</v>
      </c>
      <c r="J15" s="423">
        <f>'Anexo capacidad operativa'!I80</f>
        <v>0</v>
      </c>
      <c r="K15" s="424">
        <f t="shared" ref="K15:K29" si="3">J15*$C15</f>
        <v>0</v>
      </c>
      <c r="L15" s="423">
        <f>'Anexo capacidad operativa'!K80</f>
        <v>0</v>
      </c>
      <c r="M15" s="424">
        <f t="shared" ref="M15:M29" si="4">L15*$C15</f>
        <v>0</v>
      </c>
      <c r="N15" s="423">
        <f>'Anexo capacidad operativa'!M80</f>
        <v>0</v>
      </c>
      <c r="O15" s="424">
        <f t="shared" ref="O15:O29" si="5">N15*$C15</f>
        <v>0</v>
      </c>
      <c r="P15" s="423">
        <f>'Anexo capacidad operativa'!O80</f>
        <v>0</v>
      </c>
      <c r="Q15" s="424">
        <f t="shared" ref="Q15:Q29" si="6">P15*$C15</f>
        <v>0</v>
      </c>
      <c r="R15" s="423">
        <f>'Anexo capacidad operativa'!Q80</f>
        <v>0</v>
      </c>
      <c r="S15" s="424">
        <f t="shared" ref="S15:S29" si="7">R15*$C15</f>
        <v>0</v>
      </c>
      <c r="T15" s="423">
        <f>'Anexo capacidad operativa'!S80</f>
        <v>0</v>
      </c>
      <c r="U15" s="424">
        <f t="shared" ref="U15:U29" si="8">T15*$C15</f>
        <v>0</v>
      </c>
      <c r="V15" s="423">
        <f>'Anexo capacidad operativa'!U80</f>
        <v>0</v>
      </c>
      <c r="W15" s="424">
        <f t="shared" ref="W15:W29" si="9">V15*$C15</f>
        <v>0</v>
      </c>
      <c r="X15" s="423">
        <f>'Anexo capacidad operativa'!W80</f>
        <v>0</v>
      </c>
      <c r="Y15" s="424">
        <f t="shared" ref="Y15:Y29" si="10">X15*$C15</f>
        <v>0</v>
      </c>
      <c r="Z15" s="425">
        <f>'Anexo capacidad operativa'!Y80</f>
        <v>0</v>
      </c>
      <c r="AA15" s="426">
        <f t="shared" ref="AA15:AA29" si="11">Z15*$C15</f>
        <v>0</v>
      </c>
      <c r="AB15" s="427">
        <f t="shared" ref="AB15:AB29" si="12">E15+G15+I15+K15+M15+O15+Q15+S15++U15+W15+Y15+AA15</f>
        <v>1389375</v>
      </c>
    </row>
    <row r="16" spans="1:28" ht="15" customHeight="1">
      <c r="A16" s="819"/>
      <c r="B16" s="428" t="str">
        <f>'Anexo capacidad operativa'!$S$37</f>
        <v>Plan B</v>
      </c>
      <c r="C16" s="429">
        <f>'Anexo capacidad operativa'!$W$47</f>
        <v>115000</v>
      </c>
      <c r="D16" s="430">
        <f>'Anexo capacidad operativa'!C81</f>
        <v>0</v>
      </c>
      <c r="E16" s="431">
        <f t="shared" si="0"/>
        <v>0</v>
      </c>
      <c r="F16" s="430">
        <f>'Anexo capacidad operativa'!E81</f>
        <v>0</v>
      </c>
      <c r="G16" s="431">
        <f t="shared" si="1"/>
        <v>0</v>
      </c>
      <c r="H16" s="430">
        <f>'Anexo capacidad operativa'!G81</f>
        <v>0</v>
      </c>
      <c r="I16" s="431">
        <f t="shared" si="2"/>
        <v>0</v>
      </c>
      <c r="J16" s="430">
        <f>'Anexo capacidad operativa'!I81</f>
        <v>15</v>
      </c>
      <c r="K16" s="431">
        <f t="shared" si="3"/>
        <v>1725000</v>
      </c>
      <c r="L16" s="430">
        <f>'Anexo capacidad operativa'!K81</f>
        <v>0</v>
      </c>
      <c r="M16" s="431">
        <f t="shared" si="4"/>
        <v>0</v>
      </c>
      <c r="N16" s="430">
        <f>'Anexo capacidad operativa'!M81</f>
        <v>0</v>
      </c>
      <c r="O16" s="431">
        <f t="shared" si="5"/>
        <v>0</v>
      </c>
      <c r="P16" s="430">
        <f>'Anexo capacidad operativa'!O81</f>
        <v>15</v>
      </c>
      <c r="Q16" s="431">
        <f t="shared" si="6"/>
        <v>1725000</v>
      </c>
      <c r="R16" s="430">
        <f>'Anexo capacidad operativa'!Q81</f>
        <v>0</v>
      </c>
      <c r="S16" s="431">
        <f t="shared" si="7"/>
        <v>0</v>
      </c>
      <c r="T16" s="430">
        <f>'Anexo capacidad operativa'!S81</f>
        <v>0</v>
      </c>
      <c r="U16" s="431">
        <f t="shared" si="8"/>
        <v>0</v>
      </c>
      <c r="V16" s="430">
        <f>'Anexo capacidad operativa'!U81</f>
        <v>0</v>
      </c>
      <c r="W16" s="431">
        <f t="shared" si="9"/>
        <v>0</v>
      </c>
      <c r="X16" s="430">
        <f>'Anexo capacidad operativa'!W81</f>
        <v>0</v>
      </c>
      <c r="Y16" s="431">
        <f t="shared" si="10"/>
        <v>0</v>
      </c>
      <c r="Z16" s="432">
        <f>'Anexo capacidad operativa'!Y81</f>
        <v>0</v>
      </c>
      <c r="AA16" s="433">
        <f t="shared" si="11"/>
        <v>0</v>
      </c>
      <c r="AB16" s="434">
        <f t="shared" si="12"/>
        <v>3450000</v>
      </c>
    </row>
    <row r="17" spans="1:28" ht="15" customHeight="1">
      <c r="A17" s="819"/>
      <c r="B17" s="428" t="str">
        <f>'Anexo capacidad operativa'!$S$56</f>
        <v>Plan C</v>
      </c>
      <c r="C17" s="429">
        <f>'Anexo capacidad operativa'!$W$65</f>
        <v>208000</v>
      </c>
      <c r="D17" s="430">
        <f>'Anexo capacidad operativa'!C82</f>
        <v>15</v>
      </c>
      <c r="E17" s="431">
        <f t="shared" si="0"/>
        <v>3120000</v>
      </c>
      <c r="F17" s="430">
        <f>'Anexo capacidad operativa'!E82</f>
        <v>0</v>
      </c>
      <c r="G17" s="431">
        <f t="shared" si="1"/>
        <v>0</v>
      </c>
      <c r="H17" s="430">
        <f>'Anexo capacidad operativa'!G82</f>
        <v>0</v>
      </c>
      <c r="I17" s="431">
        <f t="shared" si="2"/>
        <v>0</v>
      </c>
      <c r="J17" s="430">
        <f>'Anexo capacidad operativa'!I82</f>
        <v>0</v>
      </c>
      <c r="K17" s="431">
        <f t="shared" si="3"/>
        <v>0</v>
      </c>
      <c r="L17" s="430">
        <f>'Anexo capacidad operativa'!K82</f>
        <v>0</v>
      </c>
      <c r="M17" s="431">
        <f t="shared" si="4"/>
        <v>0</v>
      </c>
      <c r="N17" s="430">
        <f>'Anexo capacidad operativa'!M82</f>
        <v>0</v>
      </c>
      <c r="O17" s="431">
        <f t="shared" si="5"/>
        <v>0</v>
      </c>
      <c r="P17" s="430">
        <f>'Anexo capacidad operativa'!O82</f>
        <v>0</v>
      </c>
      <c r="Q17" s="431">
        <f t="shared" si="6"/>
        <v>0</v>
      </c>
      <c r="R17" s="430">
        <f>'Anexo capacidad operativa'!Q82</f>
        <v>0</v>
      </c>
      <c r="S17" s="431">
        <f t="shared" si="7"/>
        <v>0</v>
      </c>
      <c r="T17" s="430">
        <f>'Anexo capacidad operativa'!S82</f>
        <v>15</v>
      </c>
      <c r="U17" s="431">
        <f t="shared" si="8"/>
        <v>3120000</v>
      </c>
      <c r="V17" s="430">
        <f>'Anexo capacidad operativa'!U82</f>
        <v>15</v>
      </c>
      <c r="W17" s="431">
        <f t="shared" si="9"/>
        <v>3120000</v>
      </c>
      <c r="X17" s="430">
        <f>'Anexo capacidad operativa'!W82</f>
        <v>15</v>
      </c>
      <c r="Y17" s="431">
        <f t="shared" si="10"/>
        <v>3120000</v>
      </c>
      <c r="Z17" s="432">
        <f>'Anexo capacidad operativa'!Y82</f>
        <v>0</v>
      </c>
      <c r="AA17" s="433">
        <f t="shared" si="11"/>
        <v>0</v>
      </c>
      <c r="AB17" s="434">
        <f t="shared" si="12"/>
        <v>12480000</v>
      </c>
    </row>
    <row r="18" spans="1:28" ht="15" customHeight="1">
      <c r="A18" s="819"/>
      <c r="B18" s="428" t="str">
        <f>'Anexo capacidad operativa'!$Y$18</f>
        <v>Mantenimiento plan A</v>
      </c>
      <c r="C18" s="429">
        <f>'Anexo capacidad operativa'!$AC$28</f>
        <v>3750</v>
      </c>
      <c r="D18" s="430">
        <f>'Anexo capacidad operativa'!C83</f>
        <v>0</v>
      </c>
      <c r="E18" s="431">
        <f t="shared" si="0"/>
        <v>0</v>
      </c>
      <c r="F18" s="430">
        <f>'Anexo capacidad operativa'!E83</f>
        <v>0</v>
      </c>
      <c r="G18" s="431">
        <f t="shared" si="1"/>
        <v>0</v>
      </c>
      <c r="H18" s="430">
        <f>'Anexo capacidad operativa'!G83</f>
        <v>0</v>
      </c>
      <c r="I18" s="431">
        <f t="shared" si="2"/>
        <v>0</v>
      </c>
      <c r="J18" s="430">
        <f>'Anexo capacidad operativa'!I83</f>
        <v>0</v>
      </c>
      <c r="K18" s="431">
        <f t="shared" si="3"/>
        <v>0</v>
      </c>
      <c r="L18" s="430">
        <f>'Anexo capacidad operativa'!K83</f>
        <v>0</v>
      </c>
      <c r="M18" s="431">
        <f t="shared" si="4"/>
        <v>0</v>
      </c>
      <c r="N18" s="430">
        <f>'Anexo capacidad operativa'!M83</f>
        <v>0</v>
      </c>
      <c r="O18" s="431">
        <f t="shared" si="5"/>
        <v>0</v>
      </c>
      <c r="P18" s="430">
        <f>'Anexo capacidad operativa'!O83</f>
        <v>0</v>
      </c>
      <c r="Q18" s="431">
        <f t="shared" si="6"/>
        <v>0</v>
      </c>
      <c r="R18" s="430">
        <f>'Anexo capacidad operativa'!Q83</f>
        <v>0</v>
      </c>
      <c r="S18" s="431">
        <f t="shared" si="7"/>
        <v>0</v>
      </c>
      <c r="T18" s="430">
        <f>'Anexo capacidad operativa'!S83</f>
        <v>0</v>
      </c>
      <c r="U18" s="431">
        <f t="shared" si="8"/>
        <v>0</v>
      </c>
      <c r="V18" s="430">
        <f>'Anexo capacidad operativa'!U83</f>
        <v>0</v>
      </c>
      <c r="W18" s="431">
        <f t="shared" si="9"/>
        <v>0</v>
      </c>
      <c r="X18" s="430">
        <f>'Anexo capacidad operativa'!W83</f>
        <v>0</v>
      </c>
      <c r="Y18" s="431">
        <f t="shared" si="10"/>
        <v>0</v>
      </c>
      <c r="Z18" s="432">
        <f>'Anexo capacidad operativa'!Y83</f>
        <v>0</v>
      </c>
      <c r="AA18" s="433">
        <f t="shared" si="11"/>
        <v>0</v>
      </c>
      <c r="AB18" s="434">
        <f t="shared" si="12"/>
        <v>0</v>
      </c>
    </row>
    <row r="19" spans="1:28" ht="15" customHeight="1">
      <c r="A19" s="819"/>
      <c r="B19" s="428" t="str">
        <f>'Anexo capacidad operativa'!$Y$37</f>
        <v>Mantenimiento plan B</v>
      </c>
      <c r="C19" s="429">
        <f>'Anexo capacidad operativa'!$AC$47</f>
        <v>7500</v>
      </c>
      <c r="D19" s="430">
        <f>'Anexo capacidad operativa'!C84</f>
        <v>0</v>
      </c>
      <c r="E19" s="431">
        <f t="shared" si="0"/>
        <v>0</v>
      </c>
      <c r="F19" s="430">
        <f>'Anexo capacidad operativa'!E84</f>
        <v>0</v>
      </c>
      <c r="G19" s="431">
        <f t="shared" si="1"/>
        <v>0</v>
      </c>
      <c r="H19" s="430">
        <f>'Anexo capacidad operativa'!G84</f>
        <v>0</v>
      </c>
      <c r="I19" s="431">
        <f t="shared" si="2"/>
        <v>0</v>
      </c>
      <c r="J19" s="430">
        <f>'Anexo capacidad operativa'!I84</f>
        <v>0</v>
      </c>
      <c r="K19" s="431">
        <f t="shared" si="3"/>
        <v>0</v>
      </c>
      <c r="L19" s="430">
        <f>'Anexo capacidad operativa'!K84</f>
        <v>0</v>
      </c>
      <c r="M19" s="431">
        <f t="shared" si="4"/>
        <v>0</v>
      </c>
      <c r="N19" s="430">
        <f>'Anexo capacidad operativa'!M84</f>
        <v>0</v>
      </c>
      <c r="O19" s="431">
        <f t="shared" si="5"/>
        <v>0</v>
      </c>
      <c r="P19" s="430">
        <f>'Anexo capacidad operativa'!O84</f>
        <v>0</v>
      </c>
      <c r="Q19" s="431">
        <f t="shared" si="6"/>
        <v>0</v>
      </c>
      <c r="R19" s="430">
        <f>'Anexo capacidad operativa'!Q84</f>
        <v>0</v>
      </c>
      <c r="S19" s="431">
        <f t="shared" si="7"/>
        <v>0</v>
      </c>
      <c r="T19" s="430">
        <f>'Anexo capacidad operativa'!S84</f>
        <v>0</v>
      </c>
      <c r="U19" s="431">
        <f t="shared" si="8"/>
        <v>0</v>
      </c>
      <c r="V19" s="430">
        <f>'Anexo capacidad operativa'!U84</f>
        <v>0</v>
      </c>
      <c r="W19" s="431">
        <f t="shared" si="9"/>
        <v>0</v>
      </c>
      <c r="X19" s="430">
        <f>'Anexo capacidad operativa'!W84</f>
        <v>0</v>
      </c>
      <c r="Y19" s="431">
        <f t="shared" si="10"/>
        <v>0</v>
      </c>
      <c r="Z19" s="432">
        <f>'Anexo capacidad operativa'!Y84</f>
        <v>0</v>
      </c>
      <c r="AA19" s="433">
        <f t="shared" si="11"/>
        <v>0</v>
      </c>
      <c r="AB19" s="434">
        <f t="shared" si="12"/>
        <v>0</v>
      </c>
    </row>
    <row r="20" spans="1:28" ht="15" customHeight="1">
      <c r="A20" s="822"/>
      <c r="B20" s="435" t="str">
        <f>'Anexo capacidad operativa'!$Y$56</f>
        <v>Mantenimiento plan C</v>
      </c>
      <c r="C20" s="436">
        <f>'Anexo capacidad operativa'!$AC$65</f>
        <v>12500</v>
      </c>
      <c r="D20" s="437">
        <f>'Anexo capacidad operativa'!C85</f>
        <v>0</v>
      </c>
      <c r="E20" s="438">
        <f t="shared" si="0"/>
        <v>0</v>
      </c>
      <c r="F20" s="437">
        <f>'Anexo capacidad operativa'!E85</f>
        <v>0</v>
      </c>
      <c r="G20" s="438">
        <f t="shared" si="1"/>
        <v>0</v>
      </c>
      <c r="H20" s="437">
        <f>'Anexo capacidad operativa'!G85</f>
        <v>0</v>
      </c>
      <c r="I20" s="438">
        <f t="shared" si="2"/>
        <v>0</v>
      </c>
      <c r="J20" s="437">
        <f>'Anexo capacidad operativa'!I85</f>
        <v>0</v>
      </c>
      <c r="K20" s="438">
        <f t="shared" si="3"/>
        <v>0</v>
      </c>
      <c r="L20" s="437">
        <f>'Anexo capacidad operativa'!K85</f>
        <v>0</v>
      </c>
      <c r="M20" s="438">
        <f t="shared" si="4"/>
        <v>0</v>
      </c>
      <c r="N20" s="437">
        <f>'Anexo capacidad operativa'!M85</f>
        <v>0</v>
      </c>
      <c r="O20" s="438">
        <f t="shared" si="5"/>
        <v>0</v>
      </c>
      <c r="P20" s="437">
        <f>'Anexo capacidad operativa'!O85</f>
        <v>0</v>
      </c>
      <c r="Q20" s="438">
        <f t="shared" si="6"/>
        <v>0</v>
      </c>
      <c r="R20" s="437">
        <f>'Anexo capacidad operativa'!Q85</f>
        <v>0</v>
      </c>
      <c r="S20" s="438">
        <f t="shared" si="7"/>
        <v>0</v>
      </c>
      <c r="T20" s="437">
        <f>'Anexo capacidad operativa'!S85</f>
        <v>0</v>
      </c>
      <c r="U20" s="438">
        <f t="shared" si="8"/>
        <v>0</v>
      </c>
      <c r="V20" s="437">
        <f>'Anexo capacidad operativa'!U85</f>
        <v>0</v>
      </c>
      <c r="W20" s="438">
        <f t="shared" si="9"/>
        <v>0</v>
      </c>
      <c r="X20" s="437">
        <f>'Anexo capacidad operativa'!W85</f>
        <v>0</v>
      </c>
      <c r="Y20" s="438">
        <f t="shared" si="10"/>
        <v>0</v>
      </c>
      <c r="Z20" s="439">
        <f>'Anexo capacidad operativa'!Y85</f>
        <v>0</v>
      </c>
      <c r="AA20" s="398">
        <f t="shared" si="11"/>
        <v>0</v>
      </c>
      <c r="AB20" s="440">
        <f t="shared" si="12"/>
        <v>0</v>
      </c>
    </row>
    <row r="21" spans="1:28" ht="15" customHeight="1">
      <c r="A21" s="961" t="s">
        <v>280</v>
      </c>
      <c r="B21" s="441" t="s">
        <v>281</v>
      </c>
      <c r="C21" s="442">
        <v>300000</v>
      </c>
      <c r="D21" s="443">
        <v>0</v>
      </c>
      <c r="E21" s="424">
        <f t="shared" si="0"/>
        <v>0</v>
      </c>
      <c r="F21" s="423">
        <v>0</v>
      </c>
      <c r="G21" s="424">
        <f t="shared" si="1"/>
        <v>0</v>
      </c>
      <c r="H21" s="443">
        <v>1</v>
      </c>
      <c r="I21" s="424">
        <f t="shared" si="2"/>
        <v>300000</v>
      </c>
      <c r="J21" s="423">
        <v>0</v>
      </c>
      <c r="K21" s="424">
        <f t="shared" si="3"/>
        <v>0</v>
      </c>
      <c r="L21" s="423">
        <v>0</v>
      </c>
      <c r="M21" s="424">
        <f t="shared" si="4"/>
        <v>0</v>
      </c>
      <c r="N21" s="423">
        <v>0</v>
      </c>
      <c r="O21" s="424">
        <f t="shared" si="5"/>
        <v>0</v>
      </c>
      <c r="P21" s="423">
        <v>0</v>
      </c>
      <c r="Q21" s="424">
        <f t="shared" si="6"/>
        <v>0</v>
      </c>
      <c r="R21" s="423">
        <v>0</v>
      </c>
      <c r="S21" s="424">
        <f t="shared" si="7"/>
        <v>0</v>
      </c>
      <c r="T21" s="423">
        <v>0</v>
      </c>
      <c r="U21" s="424">
        <f t="shared" si="8"/>
        <v>0</v>
      </c>
      <c r="V21" s="443">
        <v>0</v>
      </c>
      <c r="W21" s="424">
        <f t="shared" si="9"/>
        <v>0</v>
      </c>
      <c r="X21" s="443">
        <v>0</v>
      </c>
      <c r="Y21" s="424">
        <f t="shared" si="10"/>
        <v>0</v>
      </c>
      <c r="Z21" s="423">
        <v>0</v>
      </c>
      <c r="AA21" s="424">
        <f t="shared" si="11"/>
        <v>0</v>
      </c>
      <c r="AB21" s="444">
        <f t="shared" si="12"/>
        <v>300000</v>
      </c>
    </row>
    <row r="22" spans="1:28" ht="15" customHeight="1">
      <c r="A22" s="811"/>
      <c r="B22" s="445" t="s">
        <v>282</v>
      </c>
      <c r="C22" s="446">
        <v>400000</v>
      </c>
      <c r="D22" s="447">
        <v>0</v>
      </c>
      <c r="E22" s="431">
        <f t="shared" si="0"/>
        <v>0</v>
      </c>
      <c r="F22" s="447">
        <v>0</v>
      </c>
      <c r="G22" s="431">
        <f t="shared" si="1"/>
        <v>0</v>
      </c>
      <c r="H22" s="447">
        <v>0</v>
      </c>
      <c r="I22" s="431">
        <f t="shared" si="2"/>
        <v>0</v>
      </c>
      <c r="J22" s="447">
        <v>0</v>
      </c>
      <c r="K22" s="431">
        <f t="shared" si="3"/>
        <v>0</v>
      </c>
      <c r="L22" s="447">
        <v>0</v>
      </c>
      <c r="M22" s="431">
        <f t="shared" si="4"/>
        <v>0</v>
      </c>
      <c r="N22" s="447">
        <v>0</v>
      </c>
      <c r="O22" s="431">
        <f t="shared" si="5"/>
        <v>0</v>
      </c>
      <c r="P22" s="447">
        <v>0</v>
      </c>
      <c r="Q22" s="431">
        <f t="shared" si="6"/>
        <v>0</v>
      </c>
      <c r="R22" s="447">
        <v>1</v>
      </c>
      <c r="S22" s="431">
        <f t="shared" si="7"/>
        <v>400000</v>
      </c>
      <c r="T22" s="447">
        <v>1</v>
      </c>
      <c r="U22" s="431">
        <f t="shared" si="8"/>
        <v>400000</v>
      </c>
      <c r="V22" s="447">
        <v>1</v>
      </c>
      <c r="W22" s="431">
        <f t="shared" si="9"/>
        <v>400000</v>
      </c>
      <c r="X22" s="447">
        <v>1</v>
      </c>
      <c r="Y22" s="431">
        <f t="shared" si="10"/>
        <v>400000</v>
      </c>
      <c r="Z22" s="447">
        <v>1</v>
      </c>
      <c r="AA22" s="431">
        <f t="shared" si="11"/>
        <v>400000</v>
      </c>
      <c r="AB22" s="448">
        <f t="shared" si="12"/>
        <v>2000000</v>
      </c>
    </row>
    <row r="23" spans="1:28" ht="15" customHeight="1">
      <c r="A23" s="811"/>
      <c r="B23" s="449" t="s">
        <v>283</v>
      </c>
      <c r="C23" s="446">
        <v>120000</v>
      </c>
      <c r="D23" s="450">
        <v>0</v>
      </c>
      <c r="E23" s="438">
        <f t="shared" si="0"/>
        <v>0</v>
      </c>
      <c r="F23" s="450">
        <v>0</v>
      </c>
      <c r="G23" s="438">
        <f t="shared" si="1"/>
        <v>0</v>
      </c>
      <c r="H23" s="450">
        <v>0</v>
      </c>
      <c r="I23" s="438">
        <f t="shared" si="2"/>
        <v>0</v>
      </c>
      <c r="J23" s="450">
        <v>0</v>
      </c>
      <c r="K23" s="438">
        <f t="shared" si="3"/>
        <v>0</v>
      </c>
      <c r="L23" s="450">
        <v>1</v>
      </c>
      <c r="M23" s="438">
        <f t="shared" si="4"/>
        <v>120000</v>
      </c>
      <c r="N23" s="450">
        <v>1</v>
      </c>
      <c r="O23" s="438">
        <f t="shared" si="5"/>
        <v>120000</v>
      </c>
      <c r="P23" s="450">
        <v>1</v>
      </c>
      <c r="Q23" s="438">
        <f t="shared" si="6"/>
        <v>120000</v>
      </c>
      <c r="R23" s="450">
        <v>1</v>
      </c>
      <c r="S23" s="438">
        <f t="shared" si="7"/>
        <v>120000</v>
      </c>
      <c r="T23" s="450">
        <v>1</v>
      </c>
      <c r="U23" s="438">
        <f t="shared" si="8"/>
        <v>120000</v>
      </c>
      <c r="V23" s="450">
        <v>1</v>
      </c>
      <c r="W23" s="438">
        <f t="shared" si="9"/>
        <v>120000</v>
      </c>
      <c r="X23" s="450">
        <v>1</v>
      </c>
      <c r="Y23" s="438">
        <f t="shared" si="10"/>
        <v>120000</v>
      </c>
      <c r="Z23" s="450">
        <v>1</v>
      </c>
      <c r="AA23" s="438">
        <f t="shared" si="11"/>
        <v>120000</v>
      </c>
      <c r="AB23" s="448">
        <f t="shared" si="12"/>
        <v>960000</v>
      </c>
    </row>
    <row r="24" spans="1:28" ht="15" customHeight="1">
      <c r="A24" s="811"/>
      <c r="B24" s="451" t="s">
        <v>606</v>
      </c>
      <c r="C24" s="452">
        <f>Hipótesis!$C$61*0.3</f>
        <v>26400</v>
      </c>
      <c r="D24" s="453">
        <f t="shared" ref="D24:D26" si="13">D15</f>
        <v>0</v>
      </c>
      <c r="E24" s="454">
        <f t="shared" si="0"/>
        <v>0</v>
      </c>
      <c r="F24" s="453">
        <f t="shared" ref="F24:F26" si="14">F15</f>
        <v>15</v>
      </c>
      <c r="G24" s="454">
        <f t="shared" si="1"/>
        <v>396000</v>
      </c>
      <c r="H24" s="453">
        <f t="shared" ref="H24:H26" si="15">H15</f>
        <v>0</v>
      </c>
      <c r="I24" s="454">
        <f t="shared" si="2"/>
        <v>0</v>
      </c>
      <c r="J24" s="453">
        <f t="shared" ref="J24:J26" si="16">J15</f>
        <v>0</v>
      </c>
      <c r="K24" s="454">
        <f t="shared" si="3"/>
        <v>0</v>
      </c>
      <c r="L24" s="453">
        <f t="shared" ref="L24:L26" si="17">L15</f>
        <v>0</v>
      </c>
      <c r="M24" s="454">
        <f t="shared" si="4"/>
        <v>0</v>
      </c>
      <c r="N24" s="453">
        <f t="shared" ref="N24:N26" si="18">N15</f>
        <v>0</v>
      </c>
      <c r="O24" s="454">
        <f t="shared" si="5"/>
        <v>0</v>
      </c>
      <c r="P24" s="453">
        <f t="shared" ref="P24:P26" si="19">P15</f>
        <v>0</v>
      </c>
      <c r="Q24" s="454">
        <f t="shared" si="6"/>
        <v>0</v>
      </c>
      <c r="R24" s="453">
        <f t="shared" ref="R24:R26" si="20">R15</f>
        <v>0</v>
      </c>
      <c r="S24" s="454">
        <f t="shared" si="7"/>
        <v>0</v>
      </c>
      <c r="T24" s="453">
        <f t="shared" ref="T24:T26" si="21">T15</f>
        <v>0</v>
      </c>
      <c r="U24" s="454">
        <f t="shared" si="8"/>
        <v>0</v>
      </c>
      <c r="V24" s="453">
        <f t="shared" ref="V24:V26" si="22">V15</f>
        <v>0</v>
      </c>
      <c r="W24" s="454">
        <f t="shared" si="9"/>
        <v>0</v>
      </c>
      <c r="X24" s="453">
        <f t="shared" ref="X24:X26" si="23">X15</f>
        <v>0</v>
      </c>
      <c r="Y24" s="454">
        <f t="shared" si="10"/>
        <v>0</v>
      </c>
      <c r="Z24" s="453">
        <f t="shared" ref="Z24:Z26" si="24">Z15</f>
        <v>0</v>
      </c>
      <c r="AA24" s="454">
        <f t="shared" si="11"/>
        <v>0</v>
      </c>
      <c r="AB24" s="448">
        <f t="shared" si="12"/>
        <v>396000</v>
      </c>
    </row>
    <row r="25" spans="1:28" ht="15" customHeight="1">
      <c r="A25" s="811"/>
      <c r="B25" s="451" t="s">
        <v>607</v>
      </c>
      <c r="C25" s="452">
        <f>Hipótesis!$C$62*0.3</f>
        <v>32400</v>
      </c>
      <c r="D25" s="453">
        <f t="shared" si="13"/>
        <v>0</v>
      </c>
      <c r="E25" s="454">
        <f t="shared" si="0"/>
        <v>0</v>
      </c>
      <c r="F25" s="453">
        <f t="shared" si="14"/>
        <v>0</v>
      </c>
      <c r="G25" s="454">
        <f t="shared" si="1"/>
        <v>0</v>
      </c>
      <c r="H25" s="453">
        <f t="shared" si="15"/>
        <v>0</v>
      </c>
      <c r="I25" s="454">
        <f t="shared" si="2"/>
        <v>0</v>
      </c>
      <c r="J25" s="453">
        <f t="shared" si="16"/>
        <v>15</v>
      </c>
      <c r="K25" s="454">
        <f t="shared" si="3"/>
        <v>486000</v>
      </c>
      <c r="L25" s="453">
        <f t="shared" si="17"/>
        <v>0</v>
      </c>
      <c r="M25" s="454">
        <f t="shared" si="4"/>
        <v>0</v>
      </c>
      <c r="N25" s="453">
        <f t="shared" si="18"/>
        <v>0</v>
      </c>
      <c r="O25" s="454">
        <f t="shared" si="5"/>
        <v>0</v>
      </c>
      <c r="P25" s="453">
        <f t="shared" si="19"/>
        <v>15</v>
      </c>
      <c r="Q25" s="454">
        <f t="shared" si="6"/>
        <v>486000</v>
      </c>
      <c r="R25" s="453">
        <f t="shared" si="20"/>
        <v>0</v>
      </c>
      <c r="S25" s="454">
        <f t="shared" si="7"/>
        <v>0</v>
      </c>
      <c r="T25" s="453">
        <f t="shared" si="21"/>
        <v>0</v>
      </c>
      <c r="U25" s="454">
        <f t="shared" si="8"/>
        <v>0</v>
      </c>
      <c r="V25" s="453">
        <f t="shared" si="22"/>
        <v>0</v>
      </c>
      <c r="W25" s="454">
        <f t="shared" si="9"/>
        <v>0</v>
      </c>
      <c r="X25" s="453">
        <f t="shared" si="23"/>
        <v>0</v>
      </c>
      <c r="Y25" s="454">
        <f t="shared" si="10"/>
        <v>0</v>
      </c>
      <c r="Z25" s="453">
        <f t="shared" si="24"/>
        <v>0</v>
      </c>
      <c r="AA25" s="454">
        <f t="shared" si="11"/>
        <v>0</v>
      </c>
      <c r="AB25" s="448">
        <f t="shared" si="12"/>
        <v>972000</v>
      </c>
    </row>
    <row r="26" spans="1:28" ht="15" customHeight="1">
      <c r="A26" s="811"/>
      <c r="B26" s="451" t="s">
        <v>609</v>
      </c>
      <c r="C26" s="452">
        <f>Hipótesis!$C$63*0.3</f>
        <v>39600</v>
      </c>
      <c r="D26" s="453">
        <f t="shared" si="13"/>
        <v>15</v>
      </c>
      <c r="E26" s="454">
        <f t="shared" si="0"/>
        <v>594000</v>
      </c>
      <c r="F26" s="453">
        <f t="shared" si="14"/>
        <v>0</v>
      </c>
      <c r="G26" s="454">
        <f t="shared" si="1"/>
        <v>0</v>
      </c>
      <c r="H26" s="453">
        <f t="shared" si="15"/>
        <v>0</v>
      </c>
      <c r="I26" s="454">
        <f t="shared" si="2"/>
        <v>0</v>
      </c>
      <c r="J26" s="453">
        <f t="shared" si="16"/>
        <v>0</v>
      </c>
      <c r="K26" s="454">
        <f t="shared" si="3"/>
        <v>0</v>
      </c>
      <c r="L26" s="453">
        <f t="shared" si="17"/>
        <v>0</v>
      </c>
      <c r="M26" s="454">
        <f t="shared" si="4"/>
        <v>0</v>
      </c>
      <c r="N26" s="453">
        <f t="shared" si="18"/>
        <v>0</v>
      </c>
      <c r="O26" s="454">
        <f t="shared" si="5"/>
        <v>0</v>
      </c>
      <c r="P26" s="453">
        <f t="shared" si="19"/>
        <v>0</v>
      </c>
      <c r="Q26" s="454">
        <f t="shared" si="6"/>
        <v>0</v>
      </c>
      <c r="R26" s="453">
        <f t="shared" si="20"/>
        <v>0</v>
      </c>
      <c r="S26" s="454">
        <f t="shared" si="7"/>
        <v>0</v>
      </c>
      <c r="T26" s="453">
        <f t="shared" si="21"/>
        <v>15</v>
      </c>
      <c r="U26" s="454">
        <f t="shared" si="8"/>
        <v>594000</v>
      </c>
      <c r="V26" s="453">
        <f t="shared" si="22"/>
        <v>15</v>
      </c>
      <c r="W26" s="454">
        <f t="shared" si="9"/>
        <v>594000</v>
      </c>
      <c r="X26" s="453">
        <f t="shared" si="23"/>
        <v>15</v>
      </c>
      <c r="Y26" s="454">
        <f t="shared" si="10"/>
        <v>594000</v>
      </c>
      <c r="Z26" s="453">
        <f t="shared" si="24"/>
        <v>0</v>
      </c>
      <c r="AA26" s="454">
        <f t="shared" si="11"/>
        <v>0</v>
      </c>
      <c r="AB26" s="448">
        <f t="shared" si="12"/>
        <v>2376000</v>
      </c>
    </row>
    <row r="27" spans="1:28" ht="15" customHeight="1">
      <c r="A27" s="811"/>
      <c r="B27" s="455" t="s">
        <v>610</v>
      </c>
      <c r="C27" s="456">
        <f>Hipótesis!$C$58*0.3</f>
        <v>57000</v>
      </c>
      <c r="D27" s="453">
        <f t="shared" ref="D27:D29" si="25">D15</f>
        <v>0</v>
      </c>
      <c r="E27" s="454">
        <f t="shared" si="0"/>
        <v>0</v>
      </c>
      <c r="F27" s="453">
        <f t="shared" ref="F27:F29" si="26">F15</f>
        <v>15</v>
      </c>
      <c r="G27" s="454">
        <f t="shared" si="1"/>
        <v>855000</v>
      </c>
      <c r="H27" s="453">
        <f t="shared" ref="H27:H29" si="27">H15</f>
        <v>0</v>
      </c>
      <c r="I27" s="454">
        <f t="shared" si="2"/>
        <v>0</v>
      </c>
      <c r="J27" s="453">
        <f t="shared" ref="J27:J29" si="28">J15</f>
        <v>0</v>
      </c>
      <c r="K27" s="454">
        <f t="shared" si="3"/>
        <v>0</v>
      </c>
      <c r="L27" s="453">
        <f t="shared" ref="L27:L29" si="29">L15</f>
        <v>0</v>
      </c>
      <c r="M27" s="454">
        <f t="shared" si="4"/>
        <v>0</v>
      </c>
      <c r="N27" s="453">
        <f t="shared" ref="N27:N29" si="30">N15</f>
        <v>0</v>
      </c>
      <c r="O27" s="454">
        <f t="shared" si="5"/>
        <v>0</v>
      </c>
      <c r="P27" s="453">
        <f t="shared" ref="P27:P29" si="31">P15</f>
        <v>0</v>
      </c>
      <c r="Q27" s="454">
        <f t="shared" si="6"/>
        <v>0</v>
      </c>
      <c r="R27" s="453">
        <f t="shared" ref="R27:R29" si="32">R15</f>
        <v>0</v>
      </c>
      <c r="S27" s="454">
        <f t="shared" si="7"/>
        <v>0</v>
      </c>
      <c r="T27" s="453">
        <f t="shared" ref="T27:T29" si="33">T15</f>
        <v>0</v>
      </c>
      <c r="U27" s="454">
        <f t="shared" si="8"/>
        <v>0</v>
      </c>
      <c r="V27" s="453">
        <f t="shared" ref="V27:V29" si="34">V15</f>
        <v>0</v>
      </c>
      <c r="W27" s="454">
        <f t="shared" si="9"/>
        <v>0</v>
      </c>
      <c r="X27" s="453">
        <f t="shared" ref="X27:X29" si="35">X15</f>
        <v>0</v>
      </c>
      <c r="Y27" s="454">
        <f t="shared" si="10"/>
        <v>0</v>
      </c>
      <c r="Z27" s="453">
        <f t="shared" ref="Z27:Z29" si="36">Z15</f>
        <v>0</v>
      </c>
      <c r="AA27" s="454">
        <f t="shared" si="11"/>
        <v>0</v>
      </c>
      <c r="AB27" s="448">
        <f t="shared" si="12"/>
        <v>855000</v>
      </c>
    </row>
    <row r="28" spans="1:28" ht="15" customHeight="1">
      <c r="A28" s="811"/>
      <c r="B28" s="455" t="s">
        <v>611</v>
      </c>
      <c r="C28" s="456">
        <f>Hipótesis!$C$59*0.3</f>
        <v>72000</v>
      </c>
      <c r="D28" s="453">
        <f t="shared" si="25"/>
        <v>0</v>
      </c>
      <c r="E28" s="454">
        <f t="shared" si="0"/>
        <v>0</v>
      </c>
      <c r="F28" s="453">
        <f t="shared" si="26"/>
        <v>0</v>
      </c>
      <c r="G28" s="454">
        <f t="shared" si="1"/>
        <v>0</v>
      </c>
      <c r="H28" s="453">
        <f t="shared" si="27"/>
        <v>0</v>
      </c>
      <c r="I28" s="454">
        <f t="shared" si="2"/>
        <v>0</v>
      </c>
      <c r="J28" s="453">
        <f t="shared" si="28"/>
        <v>15</v>
      </c>
      <c r="K28" s="454">
        <f t="shared" si="3"/>
        <v>1080000</v>
      </c>
      <c r="L28" s="453">
        <f t="shared" si="29"/>
        <v>0</v>
      </c>
      <c r="M28" s="454">
        <f t="shared" si="4"/>
        <v>0</v>
      </c>
      <c r="N28" s="453">
        <f t="shared" si="30"/>
        <v>0</v>
      </c>
      <c r="O28" s="454">
        <f t="shared" si="5"/>
        <v>0</v>
      </c>
      <c r="P28" s="453">
        <f t="shared" si="31"/>
        <v>15</v>
      </c>
      <c r="Q28" s="454">
        <f t="shared" si="6"/>
        <v>1080000</v>
      </c>
      <c r="R28" s="453">
        <f t="shared" si="32"/>
        <v>0</v>
      </c>
      <c r="S28" s="454">
        <f t="shared" si="7"/>
        <v>0</v>
      </c>
      <c r="T28" s="453">
        <f t="shared" si="33"/>
        <v>0</v>
      </c>
      <c r="U28" s="454">
        <f t="shared" si="8"/>
        <v>0</v>
      </c>
      <c r="V28" s="453">
        <f t="shared" si="34"/>
        <v>0</v>
      </c>
      <c r="W28" s="454">
        <f t="shared" si="9"/>
        <v>0</v>
      </c>
      <c r="X28" s="453">
        <f t="shared" si="35"/>
        <v>0</v>
      </c>
      <c r="Y28" s="454">
        <f t="shared" si="10"/>
        <v>0</v>
      </c>
      <c r="Z28" s="453">
        <f t="shared" si="36"/>
        <v>0</v>
      </c>
      <c r="AA28" s="454">
        <f t="shared" si="11"/>
        <v>0</v>
      </c>
      <c r="AB28" s="448">
        <f t="shared" si="12"/>
        <v>2160000</v>
      </c>
    </row>
    <row r="29" spans="1:28" ht="14.4">
      <c r="A29" s="811"/>
      <c r="B29" s="455" t="s">
        <v>608</v>
      </c>
      <c r="C29" s="456">
        <f>Hipótesis!$C$60*0.3</f>
        <v>93000</v>
      </c>
      <c r="D29" s="453">
        <f t="shared" si="25"/>
        <v>15</v>
      </c>
      <c r="E29" s="454">
        <f t="shared" si="0"/>
        <v>1395000</v>
      </c>
      <c r="F29" s="453">
        <f t="shared" si="26"/>
        <v>0</v>
      </c>
      <c r="G29" s="454">
        <f t="shared" si="1"/>
        <v>0</v>
      </c>
      <c r="H29" s="453">
        <f t="shared" si="27"/>
        <v>0</v>
      </c>
      <c r="I29" s="454">
        <f t="shared" si="2"/>
        <v>0</v>
      </c>
      <c r="J29" s="453">
        <f t="shared" si="28"/>
        <v>0</v>
      </c>
      <c r="K29" s="454">
        <f t="shared" si="3"/>
        <v>0</v>
      </c>
      <c r="L29" s="453">
        <f t="shared" si="29"/>
        <v>0</v>
      </c>
      <c r="M29" s="454">
        <f t="shared" si="4"/>
        <v>0</v>
      </c>
      <c r="N29" s="453">
        <f t="shared" si="30"/>
        <v>0</v>
      </c>
      <c r="O29" s="454">
        <f t="shared" si="5"/>
        <v>0</v>
      </c>
      <c r="P29" s="453">
        <f t="shared" si="31"/>
        <v>0</v>
      </c>
      <c r="Q29" s="454">
        <f t="shared" si="6"/>
        <v>0</v>
      </c>
      <c r="R29" s="453">
        <f t="shared" si="32"/>
        <v>0</v>
      </c>
      <c r="S29" s="454">
        <f t="shared" si="7"/>
        <v>0</v>
      </c>
      <c r="T29" s="453">
        <f t="shared" si="33"/>
        <v>15</v>
      </c>
      <c r="U29" s="454">
        <f t="shared" si="8"/>
        <v>1395000</v>
      </c>
      <c r="V29" s="453">
        <f t="shared" si="34"/>
        <v>15</v>
      </c>
      <c r="W29" s="454">
        <f t="shared" si="9"/>
        <v>1395000</v>
      </c>
      <c r="X29" s="453">
        <f t="shared" si="35"/>
        <v>15</v>
      </c>
      <c r="Y29" s="454">
        <f t="shared" si="10"/>
        <v>1395000</v>
      </c>
      <c r="Z29" s="453">
        <f t="shared" si="36"/>
        <v>0</v>
      </c>
      <c r="AA29" s="454">
        <f t="shared" si="11"/>
        <v>0</v>
      </c>
      <c r="AB29" s="448">
        <f t="shared" si="12"/>
        <v>5580000</v>
      </c>
    </row>
    <row r="30" spans="1:28" ht="14.4">
      <c r="A30" s="812"/>
      <c r="B30" s="457"/>
      <c r="C30" s="458">
        <v>0</v>
      </c>
      <c r="D30" s="459">
        <v>0</v>
      </c>
      <c r="E30" s="460">
        <v>0</v>
      </c>
      <c r="F30" s="461">
        <v>0</v>
      </c>
      <c r="G30" s="460">
        <v>0</v>
      </c>
      <c r="H30" s="461">
        <v>0</v>
      </c>
      <c r="I30" s="460">
        <v>0</v>
      </c>
      <c r="J30" s="461">
        <v>0</v>
      </c>
      <c r="K30" s="460">
        <v>0</v>
      </c>
      <c r="L30" s="461">
        <v>0</v>
      </c>
      <c r="M30" s="460">
        <v>0</v>
      </c>
      <c r="N30" s="461">
        <v>0</v>
      </c>
      <c r="O30" s="460">
        <f>($C$15*N15 + $C$16*N16+$C$17*N17)*0.15</f>
        <v>0</v>
      </c>
      <c r="P30" s="461">
        <v>0</v>
      </c>
      <c r="Q30" s="460">
        <v>0</v>
      </c>
      <c r="R30" s="461">
        <v>0</v>
      </c>
      <c r="S30" s="460">
        <v>0</v>
      </c>
      <c r="T30" s="461">
        <v>0</v>
      </c>
      <c r="U30" s="460">
        <v>0</v>
      </c>
      <c r="V30" s="461">
        <v>0</v>
      </c>
      <c r="W30" s="460">
        <v>0</v>
      </c>
      <c r="X30" s="461">
        <v>0</v>
      </c>
      <c r="Y30" s="460">
        <v>0</v>
      </c>
      <c r="Z30" s="461">
        <v>0</v>
      </c>
      <c r="AA30" s="454">
        <v>0</v>
      </c>
      <c r="AB30" s="440">
        <f t="shared" ref="AB30:AB31" si="37">E30+G30+I30+K30+M30+O30+Q30+S30+U30+W30+Y30+AA30</f>
        <v>0</v>
      </c>
    </row>
    <row r="31" spans="1:28" ht="14.4">
      <c r="A31" s="462"/>
      <c r="B31" s="463"/>
      <c r="C31" s="464">
        <v>0</v>
      </c>
      <c r="D31" s="465">
        <v>0</v>
      </c>
      <c r="E31" s="466">
        <v>0</v>
      </c>
      <c r="F31" s="467">
        <v>0</v>
      </c>
      <c r="G31" s="466">
        <v>0</v>
      </c>
      <c r="H31" s="467">
        <v>0</v>
      </c>
      <c r="I31" s="468">
        <f>((H17*24)+(H16*18)+(H15*12))*6*1034</f>
        <v>0</v>
      </c>
      <c r="J31" s="467">
        <v>0</v>
      </c>
      <c r="K31" s="466">
        <v>0</v>
      </c>
      <c r="L31" s="467">
        <v>0</v>
      </c>
      <c r="M31" s="468">
        <f>((L17*24)+(L16*18)+(L15*12))*6*1034</f>
        <v>0</v>
      </c>
      <c r="N31" s="467">
        <v>0</v>
      </c>
      <c r="O31" s="468">
        <f>(N17+N16+N15)*75</f>
        <v>0</v>
      </c>
      <c r="P31" s="467">
        <v>0</v>
      </c>
      <c r="Q31" s="466">
        <v>0</v>
      </c>
      <c r="R31" s="467">
        <v>0</v>
      </c>
      <c r="S31" s="468">
        <f>((R17*24)+(R16*18)+(R15*12))*6*1034</f>
        <v>0</v>
      </c>
      <c r="T31" s="467">
        <v>0</v>
      </c>
      <c r="U31" s="466">
        <v>0</v>
      </c>
      <c r="V31" s="467">
        <v>0</v>
      </c>
      <c r="W31" s="466">
        <v>0</v>
      </c>
      <c r="X31" s="467">
        <v>0</v>
      </c>
      <c r="Y31" s="466">
        <v>0</v>
      </c>
      <c r="Z31" s="467">
        <v>0</v>
      </c>
      <c r="AA31" s="468">
        <f>((Z17*24)+(Z16*18)+(Z15*12))*6*1034</f>
        <v>0</v>
      </c>
      <c r="AB31" s="440">
        <f t="shared" si="37"/>
        <v>0</v>
      </c>
    </row>
    <row r="32" spans="1:28" ht="14.4">
      <c r="A32" s="1"/>
      <c r="B32" s="469" t="s">
        <v>284</v>
      </c>
      <c r="C32" s="470"/>
      <c r="D32" s="471"/>
      <c r="E32" s="472">
        <f>SUM(E15:E31)</f>
        <v>5109000</v>
      </c>
      <c r="F32" s="473"/>
      <c r="G32" s="472">
        <f>SUM(G15:G31)</f>
        <v>2640375</v>
      </c>
      <c r="H32" s="473"/>
      <c r="I32" s="472">
        <f>SUM(I15:I31)</f>
        <v>300000</v>
      </c>
      <c r="J32" s="473"/>
      <c r="K32" s="472">
        <f>SUM(K15:K31)</f>
        <v>3291000</v>
      </c>
      <c r="L32" s="473"/>
      <c r="M32" s="472">
        <f>SUM(M15:M31)</f>
        <v>120000</v>
      </c>
      <c r="N32" s="471"/>
      <c r="O32" s="472">
        <f>SUM(O15:O31)</f>
        <v>120000</v>
      </c>
      <c r="P32" s="473"/>
      <c r="Q32" s="472">
        <f>SUM(Q15:Q31)</f>
        <v>3411000</v>
      </c>
      <c r="R32" s="473"/>
      <c r="S32" s="472">
        <f>SUM(S15:S31)</f>
        <v>520000</v>
      </c>
      <c r="T32" s="473"/>
      <c r="U32" s="472">
        <f>SUM(U15:U31)</f>
        <v>5629000</v>
      </c>
      <c r="V32" s="473"/>
      <c r="W32" s="472">
        <f>SUM(W15:W31)</f>
        <v>5629000</v>
      </c>
      <c r="X32" s="473"/>
      <c r="Y32" s="472">
        <f>SUM(Y15:Y31)</f>
        <v>5629000</v>
      </c>
      <c r="Z32" s="473"/>
      <c r="AA32" s="474">
        <f>SUM(AA15:AA31)</f>
        <v>520000</v>
      </c>
      <c r="AB32" s="475">
        <f>SUM(E32:AA32)</f>
        <v>32918375</v>
      </c>
    </row>
    <row r="33" spans="1:28" ht="14.4">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4.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25.8">
      <c r="A35" s="1"/>
      <c r="B35" s="798" t="s">
        <v>285</v>
      </c>
      <c r="C35" s="799"/>
      <c r="D35" s="799"/>
      <c r="E35" s="799"/>
      <c r="F35" s="799"/>
      <c r="G35" s="799"/>
      <c r="H35" s="799"/>
      <c r="I35" s="799"/>
      <c r="J35" s="799"/>
      <c r="K35" s="799"/>
      <c r="L35" s="799"/>
      <c r="M35" s="799"/>
      <c r="N35" s="799"/>
      <c r="O35" s="799"/>
      <c r="P35" s="799"/>
      <c r="Q35" s="799"/>
      <c r="R35" s="799"/>
      <c r="S35" s="799"/>
      <c r="T35" s="799"/>
      <c r="U35" s="799"/>
      <c r="V35" s="799"/>
      <c r="W35" s="799"/>
      <c r="X35" s="799"/>
      <c r="Y35" s="799"/>
      <c r="Z35" s="799"/>
      <c r="AA35" s="799"/>
      <c r="AB35" s="800"/>
    </row>
    <row r="36" spans="1:28" ht="14.4">
      <c r="A36" s="1"/>
      <c r="B36" s="962" t="s">
        <v>76</v>
      </c>
      <c r="C36" s="828"/>
      <c r="D36" s="963" t="s">
        <v>58</v>
      </c>
      <c r="E36" s="806"/>
      <c r="F36" s="955" t="s">
        <v>59</v>
      </c>
      <c r="G36" s="806"/>
      <c r="H36" s="955" t="s">
        <v>60</v>
      </c>
      <c r="I36" s="806"/>
      <c r="J36" s="955" t="s">
        <v>61</v>
      </c>
      <c r="K36" s="806"/>
      <c r="L36" s="955" t="s">
        <v>62</v>
      </c>
      <c r="M36" s="806"/>
      <c r="N36" s="955" t="s">
        <v>63</v>
      </c>
      <c r="O36" s="806"/>
      <c r="P36" s="955" t="s">
        <v>64</v>
      </c>
      <c r="Q36" s="806"/>
      <c r="R36" s="955" t="s">
        <v>65</v>
      </c>
      <c r="S36" s="806"/>
      <c r="T36" s="955" t="s">
        <v>66</v>
      </c>
      <c r="U36" s="806"/>
      <c r="V36" s="955" t="s">
        <v>67</v>
      </c>
      <c r="W36" s="806"/>
      <c r="X36" s="955" t="s">
        <v>68</v>
      </c>
      <c r="Y36" s="806"/>
      <c r="Z36" s="955" t="s">
        <v>69</v>
      </c>
      <c r="AA36" s="956"/>
      <c r="AB36" s="959" t="s">
        <v>28</v>
      </c>
    </row>
    <row r="37" spans="1:28" ht="14.4">
      <c r="A37" s="1"/>
      <c r="B37" s="476" t="s">
        <v>178</v>
      </c>
      <c r="C37" s="477" t="s">
        <v>277</v>
      </c>
      <c r="D37" s="418" t="s">
        <v>26</v>
      </c>
      <c r="E37" s="419" t="s">
        <v>278</v>
      </c>
      <c r="F37" s="419" t="s">
        <v>26</v>
      </c>
      <c r="G37" s="419" t="s">
        <v>278</v>
      </c>
      <c r="H37" s="419" t="s">
        <v>26</v>
      </c>
      <c r="I37" s="419" t="s">
        <v>278</v>
      </c>
      <c r="J37" s="419" t="s">
        <v>26</v>
      </c>
      <c r="K37" s="419" t="s">
        <v>278</v>
      </c>
      <c r="L37" s="419" t="s">
        <v>26</v>
      </c>
      <c r="M37" s="419" t="s">
        <v>278</v>
      </c>
      <c r="N37" s="419" t="s">
        <v>26</v>
      </c>
      <c r="O37" s="419" t="s">
        <v>278</v>
      </c>
      <c r="P37" s="419" t="s">
        <v>26</v>
      </c>
      <c r="Q37" s="419" t="s">
        <v>278</v>
      </c>
      <c r="R37" s="419" t="s">
        <v>26</v>
      </c>
      <c r="S37" s="419" t="s">
        <v>278</v>
      </c>
      <c r="T37" s="419" t="s">
        <v>26</v>
      </c>
      <c r="U37" s="419" t="s">
        <v>278</v>
      </c>
      <c r="V37" s="419" t="s">
        <v>26</v>
      </c>
      <c r="W37" s="419" t="s">
        <v>278</v>
      </c>
      <c r="X37" s="419" t="s">
        <v>26</v>
      </c>
      <c r="Y37" s="419" t="s">
        <v>278</v>
      </c>
      <c r="Z37" s="419" t="s">
        <v>26</v>
      </c>
      <c r="AA37" s="420" t="s">
        <v>278</v>
      </c>
      <c r="AB37" s="958"/>
    </row>
    <row r="38" spans="1:28" ht="14.4">
      <c r="A38" s="964" t="s">
        <v>279</v>
      </c>
      <c r="B38" s="421" t="str">
        <f>'Anexo capacidad operativa'!$S$18</f>
        <v>Plan A</v>
      </c>
      <c r="C38" s="422">
        <f>'Anexo capacidad operativa'!$W$28</f>
        <v>92625</v>
      </c>
      <c r="D38" s="423">
        <f>'Anexo capacidad operativa'!C91</f>
        <v>0</v>
      </c>
      <c r="E38" s="424">
        <f t="shared" ref="E38:E52" si="38">D38*$C38</f>
        <v>0</v>
      </c>
      <c r="F38" s="423">
        <f>'Anexo capacidad operativa'!E91</f>
        <v>0</v>
      </c>
      <c r="G38" s="424">
        <f t="shared" ref="G38:G52" si="39">F38*$C38</f>
        <v>0</v>
      </c>
      <c r="H38" s="423">
        <f>'Anexo capacidad operativa'!G91</f>
        <v>0</v>
      </c>
      <c r="I38" s="424">
        <f t="shared" ref="I38:I52" si="40">H38*$C38</f>
        <v>0</v>
      </c>
      <c r="J38" s="423">
        <f>'Anexo capacidad operativa'!I91</f>
        <v>15</v>
      </c>
      <c r="K38" s="424">
        <f t="shared" ref="K38:K52" si="41">J38*$C38</f>
        <v>1389375</v>
      </c>
      <c r="L38" s="423">
        <f>'Anexo capacidad operativa'!K91</f>
        <v>0</v>
      </c>
      <c r="M38" s="424">
        <f t="shared" ref="M38:M52" si="42">L38*$C38</f>
        <v>0</v>
      </c>
      <c r="N38" s="423">
        <f>'Anexo capacidad operativa'!M91</f>
        <v>0</v>
      </c>
      <c r="O38" s="424">
        <f t="shared" ref="O38:O52" si="43">N38*$C38</f>
        <v>0</v>
      </c>
      <c r="P38" s="423">
        <f>'Anexo capacidad operativa'!O91</f>
        <v>0</v>
      </c>
      <c r="Q38" s="424">
        <f t="shared" ref="Q38:Q52" si="44">P38*$C38</f>
        <v>0</v>
      </c>
      <c r="R38" s="423">
        <f>'Anexo capacidad operativa'!Q91</f>
        <v>0</v>
      </c>
      <c r="S38" s="424">
        <f t="shared" ref="S38:S52" si="45">R38*$C38</f>
        <v>0</v>
      </c>
      <c r="T38" s="423">
        <f>'Anexo capacidad operativa'!S91</f>
        <v>15</v>
      </c>
      <c r="U38" s="424">
        <f t="shared" ref="U38:U52" si="46">T38*$C38</f>
        <v>1389375</v>
      </c>
      <c r="V38" s="423">
        <f>'Anexo capacidad operativa'!U91</f>
        <v>0</v>
      </c>
      <c r="W38" s="424">
        <f t="shared" ref="W38:W52" si="47">V38*$C38</f>
        <v>0</v>
      </c>
      <c r="X38" s="423">
        <f>'Anexo capacidad operativa'!W91</f>
        <v>0</v>
      </c>
      <c r="Y38" s="424">
        <f t="shared" ref="Y38:Y52" si="48">X38*$C38</f>
        <v>0</v>
      </c>
      <c r="Z38" s="423">
        <f>'Anexo capacidad operativa'!Y91</f>
        <v>0</v>
      </c>
      <c r="AA38" s="424">
        <f t="shared" ref="AA38:AA52" si="49">Z38*$C38</f>
        <v>0</v>
      </c>
      <c r="AB38" s="427">
        <f t="shared" ref="AB38:AB52" si="50">E38+G38+I38+K38+M38+O38+Q38+S38++U38+W38+Y38+AA38</f>
        <v>2778750</v>
      </c>
    </row>
    <row r="39" spans="1:28" ht="14.4">
      <c r="A39" s="887"/>
      <c r="B39" s="428" t="str">
        <f>'Anexo capacidad operativa'!$S$37</f>
        <v>Plan B</v>
      </c>
      <c r="C39" s="429">
        <f>'Anexo capacidad operativa'!$W$47</f>
        <v>115000</v>
      </c>
      <c r="D39" s="430">
        <f>'Anexo capacidad operativa'!C92</f>
        <v>0</v>
      </c>
      <c r="E39" s="431">
        <f t="shared" si="38"/>
        <v>0</v>
      </c>
      <c r="F39" s="430">
        <f>'Anexo capacidad operativa'!E92</f>
        <v>0</v>
      </c>
      <c r="G39" s="431">
        <f t="shared" si="39"/>
        <v>0</v>
      </c>
      <c r="H39" s="430">
        <f>'Anexo capacidad operativa'!G92</f>
        <v>15</v>
      </c>
      <c r="I39" s="431">
        <f t="shared" si="40"/>
        <v>1725000</v>
      </c>
      <c r="J39" s="430">
        <f>'Anexo capacidad operativa'!I92</f>
        <v>0</v>
      </c>
      <c r="K39" s="431">
        <f t="shared" si="41"/>
        <v>0</v>
      </c>
      <c r="L39" s="430">
        <f>'Anexo capacidad operativa'!K92</f>
        <v>0</v>
      </c>
      <c r="M39" s="431">
        <f t="shared" si="42"/>
        <v>0</v>
      </c>
      <c r="N39" s="430">
        <f>'Anexo capacidad operativa'!M92</f>
        <v>0</v>
      </c>
      <c r="O39" s="431">
        <f t="shared" si="43"/>
        <v>0</v>
      </c>
      <c r="P39" s="430">
        <f>'Anexo capacidad operativa'!O92</f>
        <v>0</v>
      </c>
      <c r="Q39" s="431">
        <f t="shared" si="44"/>
        <v>0</v>
      </c>
      <c r="R39" s="430">
        <f>'Anexo capacidad operativa'!Q92</f>
        <v>0</v>
      </c>
      <c r="S39" s="431">
        <f t="shared" si="45"/>
        <v>0</v>
      </c>
      <c r="T39" s="430">
        <f>'Anexo capacidad operativa'!S92</f>
        <v>0</v>
      </c>
      <c r="U39" s="431">
        <f t="shared" si="46"/>
        <v>0</v>
      </c>
      <c r="V39" s="430">
        <f>'Anexo capacidad operativa'!U92</f>
        <v>0</v>
      </c>
      <c r="W39" s="431">
        <f t="shared" si="47"/>
        <v>0</v>
      </c>
      <c r="X39" s="430">
        <f>'Anexo capacidad operativa'!W92</f>
        <v>0</v>
      </c>
      <c r="Y39" s="431">
        <f t="shared" si="48"/>
        <v>0</v>
      </c>
      <c r="Z39" s="430">
        <f>'Anexo capacidad operativa'!Y92</f>
        <v>0</v>
      </c>
      <c r="AA39" s="431">
        <f t="shared" si="49"/>
        <v>0</v>
      </c>
      <c r="AB39" s="434">
        <f t="shared" si="50"/>
        <v>1725000</v>
      </c>
    </row>
    <row r="40" spans="1:28" ht="14.4">
      <c r="A40" s="887"/>
      <c r="B40" s="428" t="str">
        <f>'Anexo capacidad operativa'!$S$56</f>
        <v>Plan C</v>
      </c>
      <c r="C40" s="429">
        <f>'Anexo capacidad operativa'!$W$65</f>
        <v>208000</v>
      </c>
      <c r="D40" s="430">
        <f>'Anexo capacidad operativa'!C93</f>
        <v>15</v>
      </c>
      <c r="E40" s="431">
        <f t="shared" si="38"/>
        <v>3120000</v>
      </c>
      <c r="F40" s="430">
        <f>'Anexo capacidad operativa'!E93</f>
        <v>0</v>
      </c>
      <c r="G40" s="431">
        <f t="shared" si="39"/>
        <v>0</v>
      </c>
      <c r="H40" s="430">
        <f>'Anexo capacidad operativa'!G93</f>
        <v>0</v>
      </c>
      <c r="I40" s="431">
        <f t="shared" si="40"/>
        <v>0</v>
      </c>
      <c r="J40" s="430">
        <f>'Anexo capacidad operativa'!I93</f>
        <v>15</v>
      </c>
      <c r="K40" s="431">
        <f t="shared" si="41"/>
        <v>3120000</v>
      </c>
      <c r="L40" s="430">
        <f>'Anexo capacidad operativa'!K93</f>
        <v>0</v>
      </c>
      <c r="M40" s="431">
        <f t="shared" si="42"/>
        <v>0</v>
      </c>
      <c r="N40" s="430">
        <f>'Anexo capacidad operativa'!M93</f>
        <v>0</v>
      </c>
      <c r="O40" s="431">
        <f t="shared" si="43"/>
        <v>0</v>
      </c>
      <c r="P40" s="430">
        <f>'Anexo capacidad operativa'!O93</f>
        <v>0</v>
      </c>
      <c r="Q40" s="431">
        <f t="shared" si="44"/>
        <v>0</v>
      </c>
      <c r="R40" s="430">
        <f>'Anexo capacidad operativa'!Q93</f>
        <v>0</v>
      </c>
      <c r="S40" s="431">
        <f t="shared" si="45"/>
        <v>0</v>
      </c>
      <c r="T40" s="430">
        <f>'Anexo capacidad operativa'!S93</f>
        <v>0</v>
      </c>
      <c r="U40" s="431">
        <f t="shared" si="46"/>
        <v>0</v>
      </c>
      <c r="V40" s="430">
        <f>'Anexo capacidad operativa'!U93</f>
        <v>30</v>
      </c>
      <c r="W40" s="431">
        <f t="shared" si="47"/>
        <v>6240000</v>
      </c>
      <c r="X40" s="430">
        <f>'Anexo capacidad operativa'!W93</f>
        <v>30</v>
      </c>
      <c r="Y40" s="431">
        <f t="shared" si="48"/>
        <v>6240000</v>
      </c>
      <c r="Z40" s="430">
        <f>'Anexo capacidad operativa'!Y93</f>
        <v>0</v>
      </c>
      <c r="AA40" s="431">
        <f t="shared" si="49"/>
        <v>0</v>
      </c>
      <c r="AB40" s="434">
        <f t="shared" si="50"/>
        <v>18720000</v>
      </c>
    </row>
    <row r="41" spans="1:28" ht="14.4">
      <c r="A41" s="887"/>
      <c r="B41" s="428" t="str">
        <f>'Anexo capacidad operativa'!$Y$18</f>
        <v>Mantenimiento plan A</v>
      </c>
      <c r="C41" s="429">
        <f>'Anexo capacidad operativa'!$AC$28</f>
        <v>3750</v>
      </c>
      <c r="D41" s="430">
        <f>'Anexo capacidad operativa'!C94</f>
        <v>0</v>
      </c>
      <c r="E41" s="431">
        <f t="shared" si="38"/>
        <v>0</v>
      </c>
      <c r="F41" s="430">
        <f>'Anexo capacidad operativa'!E94</f>
        <v>15</v>
      </c>
      <c r="G41" s="431">
        <f t="shared" si="39"/>
        <v>56250</v>
      </c>
      <c r="H41" s="430">
        <f>'Anexo capacidad operativa'!G94</f>
        <v>0</v>
      </c>
      <c r="I41" s="431">
        <f t="shared" si="40"/>
        <v>0</v>
      </c>
      <c r="J41" s="430">
        <f>'Anexo capacidad operativa'!I94</f>
        <v>0</v>
      </c>
      <c r="K41" s="431">
        <f t="shared" si="41"/>
        <v>0</v>
      </c>
      <c r="L41" s="430">
        <f>'Anexo capacidad operativa'!K94</f>
        <v>0</v>
      </c>
      <c r="M41" s="431">
        <f t="shared" si="42"/>
        <v>0</v>
      </c>
      <c r="N41" s="430">
        <f>'Anexo capacidad operativa'!M94</f>
        <v>0</v>
      </c>
      <c r="O41" s="431">
        <f t="shared" si="43"/>
        <v>0</v>
      </c>
      <c r="P41" s="430">
        <f>'Anexo capacidad operativa'!O94</f>
        <v>0</v>
      </c>
      <c r="Q41" s="431">
        <f t="shared" si="44"/>
        <v>0</v>
      </c>
      <c r="R41" s="430">
        <f>'Anexo capacidad operativa'!Q94</f>
        <v>0</v>
      </c>
      <c r="S41" s="431">
        <f t="shared" si="45"/>
        <v>0</v>
      </c>
      <c r="T41" s="430">
        <f>'Anexo capacidad operativa'!S94</f>
        <v>0</v>
      </c>
      <c r="U41" s="431">
        <f t="shared" si="46"/>
        <v>0</v>
      </c>
      <c r="V41" s="430">
        <f>'Anexo capacidad operativa'!U94</f>
        <v>0</v>
      </c>
      <c r="W41" s="431">
        <f t="shared" si="47"/>
        <v>0</v>
      </c>
      <c r="X41" s="430">
        <f>'Anexo capacidad operativa'!W94</f>
        <v>0</v>
      </c>
      <c r="Y41" s="431">
        <f t="shared" si="48"/>
        <v>0</v>
      </c>
      <c r="Z41" s="430">
        <f>'Anexo capacidad operativa'!Y94</f>
        <v>0</v>
      </c>
      <c r="AA41" s="431">
        <f t="shared" si="49"/>
        <v>0</v>
      </c>
      <c r="AB41" s="434">
        <f t="shared" si="50"/>
        <v>56250</v>
      </c>
    </row>
    <row r="42" spans="1:28" ht="14.4">
      <c r="A42" s="887"/>
      <c r="B42" s="428" t="str">
        <f>'Anexo capacidad operativa'!$Y$37</f>
        <v>Mantenimiento plan B</v>
      </c>
      <c r="C42" s="429">
        <f>'Anexo capacidad operativa'!$AC$47</f>
        <v>7500</v>
      </c>
      <c r="D42" s="430">
        <f>'Anexo capacidad operativa'!C95</f>
        <v>0</v>
      </c>
      <c r="E42" s="431">
        <f t="shared" si="38"/>
        <v>0</v>
      </c>
      <c r="F42" s="430">
        <f>'Anexo capacidad operativa'!E95</f>
        <v>0</v>
      </c>
      <c r="G42" s="431">
        <f t="shared" si="39"/>
        <v>0</v>
      </c>
      <c r="H42" s="430">
        <f>'Anexo capacidad operativa'!G95</f>
        <v>0</v>
      </c>
      <c r="I42" s="431">
        <f t="shared" si="40"/>
        <v>0</v>
      </c>
      <c r="J42" s="430">
        <f>'Anexo capacidad operativa'!I95</f>
        <v>15</v>
      </c>
      <c r="K42" s="431">
        <f t="shared" si="41"/>
        <v>112500</v>
      </c>
      <c r="L42" s="430">
        <f>'Anexo capacidad operativa'!K95</f>
        <v>0</v>
      </c>
      <c r="M42" s="431">
        <f t="shared" si="42"/>
        <v>0</v>
      </c>
      <c r="N42" s="430">
        <f>'Anexo capacidad operativa'!M95</f>
        <v>0</v>
      </c>
      <c r="O42" s="431">
        <f t="shared" si="43"/>
        <v>0</v>
      </c>
      <c r="P42" s="430">
        <f>'Anexo capacidad operativa'!O95</f>
        <v>15</v>
      </c>
      <c r="Q42" s="431">
        <f t="shared" si="44"/>
        <v>112500</v>
      </c>
      <c r="R42" s="430">
        <f>'Anexo capacidad operativa'!Q95</f>
        <v>0</v>
      </c>
      <c r="S42" s="431">
        <f t="shared" si="45"/>
        <v>0</v>
      </c>
      <c r="T42" s="430">
        <f>'Anexo capacidad operativa'!S95</f>
        <v>0</v>
      </c>
      <c r="U42" s="431">
        <f t="shared" si="46"/>
        <v>0</v>
      </c>
      <c r="V42" s="430">
        <f>'Anexo capacidad operativa'!U95</f>
        <v>0</v>
      </c>
      <c r="W42" s="431">
        <f t="shared" si="47"/>
        <v>0</v>
      </c>
      <c r="X42" s="430">
        <f>'Anexo capacidad operativa'!W95</f>
        <v>0</v>
      </c>
      <c r="Y42" s="431">
        <f t="shared" si="48"/>
        <v>0</v>
      </c>
      <c r="Z42" s="430">
        <f>'Anexo capacidad operativa'!Y95</f>
        <v>0</v>
      </c>
      <c r="AA42" s="431">
        <f t="shared" si="49"/>
        <v>0</v>
      </c>
      <c r="AB42" s="434">
        <f t="shared" si="50"/>
        <v>225000</v>
      </c>
    </row>
    <row r="43" spans="1:28" ht="14.4">
      <c r="A43" s="888"/>
      <c r="B43" s="478" t="str">
        <f>'Anexo capacidad operativa'!$Y$56</f>
        <v>Mantenimiento plan C</v>
      </c>
      <c r="C43" s="479">
        <f>'Anexo capacidad operativa'!$AC$65</f>
        <v>12500</v>
      </c>
      <c r="D43" s="480">
        <f>'Anexo capacidad operativa'!C96</f>
        <v>15</v>
      </c>
      <c r="E43" s="481">
        <f t="shared" si="38"/>
        <v>187500</v>
      </c>
      <c r="F43" s="480">
        <f>'Anexo capacidad operativa'!E96</f>
        <v>0</v>
      </c>
      <c r="G43" s="481">
        <f t="shared" si="39"/>
        <v>0</v>
      </c>
      <c r="H43" s="480">
        <f>'Anexo capacidad operativa'!G96</f>
        <v>0</v>
      </c>
      <c r="I43" s="481">
        <f t="shared" si="40"/>
        <v>0</v>
      </c>
      <c r="J43" s="480">
        <f>'Anexo capacidad operativa'!I96</f>
        <v>0</v>
      </c>
      <c r="K43" s="481">
        <f t="shared" si="41"/>
        <v>0</v>
      </c>
      <c r="L43" s="480">
        <f>'Anexo capacidad operativa'!K96</f>
        <v>0</v>
      </c>
      <c r="M43" s="481">
        <f t="shared" si="42"/>
        <v>0</v>
      </c>
      <c r="N43" s="480">
        <f>'Anexo capacidad operativa'!M96</f>
        <v>0</v>
      </c>
      <c r="O43" s="481">
        <f t="shared" si="43"/>
        <v>0</v>
      </c>
      <c r="P43" s="480">
        <f>'Anexo capacidad operativa'!O96</f>
        <v>0</v>
      </c>
      <c r="Q43" s="481">
        <f t="shared" si="44"/>
        <v>0</v>
      </c>
      <c r="R43" s="480">
        <f>'Anexo capacidad operativa'!Q96</f>
        <v>0</v>
      </c>
      <c r="S43" s="481">
        <f t="shared" si="45"/>
        <v>0</v>
      </c>
      <c r="T43" s="480">
        <f>'Anexo capacidad operativa'!S96</f>
        <v>15</v>
      </c>
      <c r="U43" s="481">
        <f t="shared" si="46"/>
        <v>187500</v>
      </c>
      <c r="V43" s="480">
        <f>'Anexo capacidad operativa'!U96</f>
        <v>15</v>
      </c>
      <c r="W43" s="481">
        <f t="shared" si="47"/>
        <v>187500</v>
      </c>
      <c r="X43" s="480">
        <f>'Anexo capacidad operativa'!W96</f>
        <v>15</v>
      </c>
      <c r="Y43" s="481">
        <f t="shared" si="48"/>
        <v>187500</v>
      </c>
      <c r="Z43" s="480">
        <f>'Anexo capacidad operativa'!Y96</f>
        <v>0</v>
      </c>
      <c r="AA43" s="481">
        <f t="shared" si="49"/>
        <v>0</v>
      </c>
      <c r="AB43" s="482">
        <f t="shared" si="50"/>
        <v>750000</v>
      </c>
    </row>
    <row r="44" spans="1:28" ht="14.4">
      <c r="A44" s="961" t="s">
        <v>280</v>
      </c>
      <c r="B44" s="483" t="s">
        <v>281</v>
      </c>
      <c r="C44" s="442">
        <v>300000</v>
      </c>
      <c r="D44" s="423">
        <v>0</v>
      </c>
      <c r="E44" s="424">
        <f t="shared" si="38"/>
        <v>0</v>
      </c>
      <c r="F44" s="423">
        <v>0</v>
      </c>
      <c r="G44" s="424">
        <f t="shared" si="39"/>
        <v>0</v>
      </c>
      <c r="H44" s="443">
        <v>1</v>
      </c>
      <c r="I44" s="424">
        <f t="shared" si="40"/>
        <v>300000</v>
      </c>
      <c r="J44" s="443">
        <v>0</v>
      </c>
      <c r="K44" s="424">
        <f t="shared" si="41"/>
        <v>0</v>
      </c>
      <c r="L44" s="443">
        <v>0</v>
      </c>
      <c r="M44" s="424">
        <f t="shared" si="42"/>
        <v>0</v>
      </c>
      <c r="N44" s="423">
        <v>0</v>
      </c>
      <c r="O44" s="424">
        <f t="shared" si="43"/>
        <v>0</v>
      </c>
      <c r="P44" s="423">
        <v>0</v>
      </c>
      <c r="Q44" s="424">
        <f t="shared" si="44"/>
        <v>0</v>
      </c>
      <c r="R44" s="423">
        <v>0</v>
      </c>
      <c r="S44" s="424">
        <f t="shared" si="45"/>
        <v>0</v>
      </c>
      <c r="T44" s="443">
        <v>0</v>
      </c>
      <c r="U44" s="424">
        <f t="shared" si="46"/>
        <v>0</v>
      </c>
      <c r="V44" s="423">
        <v>0</v>
      </c>
      <c r="W44" s="424">
        <f t="shared" si="47"/>
        <v>0</v>
      </c>
      <c r="X44" s="443">
        <v>0</v>
      </c>
      <c r="Y44" s="424">
        <f t="shared" si="48"/>
        <v>0</v>
      </c>
      <c r="Z44" s="423">
        <v>0</v>
      </c>
      <c r="AA44" s="424">
        <f t="shared" si="49"/>
        <v>0</v>
      </c>
      <c r="AB44" s="427">
        <f t="shared" si="50"/>
        <v>300000</v>
      </c>
    </row>
    <row r="45" spans="1:28" ht="14.4">
      <c r="A45" s="811"/>
      <c r="B45" s="445" t="s">
        <v>282</v>
      </c>
      <c r="C45" s="446">
        <v>400000</v>
      </c>
      <c r="D45" s="447">
        <v>1</v>
      </c>
      <c r="E45" s="431">
        <f t="shared" si="38"/>
        <v>400000</v>
      </c>
      <c r="F45" s="447">
        <v>1</v>
      </c>
      <c r="G45" s="431">
        <f t="shared" si="39"/>
        <v>400000</v>
      </c>
      <c r="H45" s="447">
        <v>1</v>
      </c>
      <c r="I45" s="431">
        <f t="shared" si="40"/>
        <v>400000</v>
      </c>
      <c r="J45" s="447">
        <v>1</v>
      </c>
      <c r="K45" s="431">
        <f t="shared" si="41"/>
        <v>400000</v>
      </c>
      <c r="L45" s="447">
        <v>1</v>
      </c>
      <c r="M45" s="431">
        <f t="shared" si="42"/>
        <v>400000</v>
      </c>
      <c r="N45" s="447">
        <v>1</v>
      </c>
      <c r="O45" s="431">
        <f t="shared" si="43"/>
        <v>400000</v>
      </c>
      <c r="P45" s="447">
        <v>1</v>
      </c>
      <c r="Q45" s="431">
        <f t="shared" si="44"/>
        <v>400000</v>
      </c>
      <c r="R45" s="447">
        <v>1</v>
      </c>
      <c r="S45" s="431">
        <f t="shared" si="45"/>
        <v>400000</v>
      </c>
      <c r="T45" s="447">
        <v>1</v>
      </c>
      <c r="U45" s="431">
        <f t="shared" si="46"/>
        <v>400000</v>
      </c>
      <c r="V45" s="447">
        <v>1</v>
      </c>
      <c r="W45" s="431">
        <f t="shared" si="47"/>
        <v>400000</v>
      </c>
      <c r="X45" s="447">
        <v>2</v>
      </c>
      <c r="Y45" s="431">
        <f t="shared" si="48"/>
        <v>800000</v>
      </c>
      <c r="Z45" s="447">
        <v>2</v>
      </c>
      <c r="AA45" s="431">
        <f t="shared" si="49"/>
        <v>800000</v>
      </c>
      <c r="AB45" s="434">
        <f t="shared" si="50"/>
        <v>5600000</v>
      </c>
    </row>
    <row r="46" spans="1:28" ht="14.4">
      <c r="A46" s="811"/>
      <c r="B46" s="449" t="s">
        <v>283</v>
      </c>
      <c r="C46" s="446">
        <v>120000</v>
      </c>
      <c r="D46" s="450">
        <v>1</v>
      </c>
      <c r="E46" s="438">
        <f t="shared" si="38"/>
        <v>120000</v>
      </c>
      <c r="F46" s="450">
        <v>2</v>
      </c>
      <c r="G46" s="438">
        <f t="shared" si="39"/>
        <v>240000</v>
      </c>
      <c r="H46" s="450">
        <v>0</v>
      </c>
      <c r="I46" s="438">
        <f t="shared" si="40"/>
        <v>0</v>
      </c>
      <c r="J46" s="450">
        <v>1</v>
      </c>
      <c r="K46" s="438">
        <f t="shared" si="41"/>
        <v>120000</v>
      </c>
      <c r="L46" s="450">
        <v>1</v>
      </c>
      <c r="M46" s="438">
        <f t="shared" si="42"/>
        <v>120000</v>
      </c>
      <c r="N46" s="450">
        <v>1</v>
      </c>
      <c r="O46" s="438">
        <f t="shared" si="43"/>
        <v>120000</v>
      </c>
      <c r="P46" s="450">
        <v>1</v>
      </c>
      <c r="Q46" s="438">
        <f t="shared" si="44"/>
        <v>120000</v>
      </c>
      <c r="R46" s="450">
        <v>2</v>
      </c>
      <c r="S46" s="438">
        <f t="shared" si="45"/>
        <v>240000</v>
      </c>
      <c r="T46" s="450">
        <v>2</v>
      </c>
      <c r="U46" s="438">
        <f t="shared" si="46"/>
        <v>240000</v>
      </c>
      <c r="V46" s="450">
        <v>2</v>
      </c>
      <c r="W46" s="438">
        <f t="shared" si="47"/>
        <v>240000</v>
      </c>
      <c r="X46" s="450">
        <v>2</v>
      </c>
      <c r="Y46" s="438">
        <f t="shared" si="48"/>
        <v>240000</v>
      </c>
      <c r="Z46" s="450">
        <v>2</v>
      </c>
      <c r="AA46" s="438">
        <f t="shared" si="49"/>
        <v>240000</v>
      </c>
      <c r="AB46" s="440">
        <f t="shared" si="50"/>
        <v>2040000</v>
      </c>
    </row>
    <row r="47" spans="1:28" ht="14.4">
      <c r="A47" s="811"/>
      <c r="B47" s="451" t="s">
        <v>606</v>
      </c>
      <c r="C47" s="452">
        <f>Hipótesis!$C$61</f>
        <v>88000</v>
      </c>
      <c r="D47" s="453">
        <f t="shared" ref="D47:D49" si="51">D38</f>
        <v>0</v>
      </c>
      <c r="E47" s="454">
        <f t="shared" si="38"/>
        <v>0</v>
      </c>
      <c r="F47" s="453">
        <f t="shared" ref="F47:F49" si="52">F38</f>
        <v>0</v>
      </c>
      <c r="G47" s="454">
        <f t="shared" si="39"/>
        <v>0</v>
      </c>
      <c r="H47" s="453">
        <f t="shared" ref="H47:H49" si="53">H38</f>
        <v>0</v>
      </c>
      <c r="I47" s="454">
        <f t="shared" si="40"/>
        <v>0</v>
      </c>
      <c r="J47" s="453">
        <f t="shared" ref="J47:J49" si="54">J38</f>
        <v>15</v>
      </c>
      <c r="K47" s="454">
        <f t="shared" si="41"/>
        <v>1320000</v>
      </c>
      <c r="L47" s="453">
        <f t="shared" ref="L47:L49" si="55">L38</f>
        <v>0</v>
      </c>
      <c r="M47" s="454">
        <f t="shared" si="42"/>
        <v>0</v>
      </c>
      <c r="N47" s="453">
        <f t="shared" ref="N47:N49" si="56">N38</f>
        <v>0</v>
      </c>
      <c r="O47" s="454">
        <f t="shared" si="43"/>
        <v>0</v>
      </c>
      <c r="P47" s="453">
        <f t="shared" ref="P47:P49" si="57">P38</f>
        <v>0</v>
      </c>
      <c r="Q47" s="454">
        <f t="shared" si="44"/>
        <v>0</v>
      </c>
      <c r="R47" s="453">
        <f t="shared" ref="R47:R49" si="58">R38</f>
        <v>0</v>
      </c>
      <c r="S47" s="454">
        <f t="shared" si="45"/>
        <v>0</v>
      </c>
      <c r="T47" s="453">
        <f t="shared" ref="T47:T49" si="59">T38</f>
        <v>15</v>
      </c>
      <c r="U47" s="454">
        <f t="shared" si="46"/>
        <v>1320000</v>
      </c>
      <c r="V47" s="453">
        <f t="shared" ref="V47:V49" si="60">V38</f>
        <v>0</v>
      </c>
      <c r="W47" s="454">
        <f t="shared" si="47"/>
        <v>0</v>
      </c>
      <c r="X47" s="453">
        <f t="shared" ref="X47:X49" si="61">X38</f>
        <v>0</v>
      </c>
      <c r="Y47" s="454">
        <f t="shared" si="48"/>
        <v>0</v>
      </c>
      <c r="Z47" s="453">
        <f t="shared" ref="Z47:Z49" si="62">Z38</f>
        <v>0</v>
      </c>
      <c r="AA47" s="454">
        <f t="shared" si="49"/>
        <v>0</v>
      </c>
      <c r="AB47" s="448">
        <f t="shared" si="50"/>
        <v>2640000</v>
      </c>
    </row>
    <row r="48" spans="1:28" ht="14.4">
      <c r="A48" s="811"/>
      <c r="B48" s="451" t="s">
        <v>607</v>
      </c>
      <c r="C48" s="452">
        <f>Hipótesis!$C$62</f>
        <v>108000</v>
      </c>
      <c r="D48" s="453">
        <f t="shared" si="51"/>
        <v>0</v>
      </c>
      <c r="E48" s="454">
        <f t="shared" si="38"/>
        <v>0</v>
      </c>
      <c r="F48" s="453">
        <f t="shared" si="52"/>
        <v>0</v>
      </c>
      <c r="G48" s="454">
        <f t="shared" si="39"/>
        <v>0</v>
      </c>
      <c r="H48" s="453">
        <f t="shared" si="53"/>
        <v>15</v>
      </c>
      <c r="I48" s="454">
        <f t="shared" si="40"/>
        <v>1620000</v>
      </c>
      <c r="J48" s="453">
        <f t="shared" si="54"/>
        <v>0</v>
      </c>
      <c r="K48" s="454">
        <f t="shared" si="41"/>
        <v>0</v>
      </c>
      <c r="L48" s="453">
        <f t="shared" si="55"/>
        <v>0</v>
      </c>
      <c r="M48" s="454">
        <f t="shared" si="42"/>
        <v>0</v>
      </c>
      <c r="N48" s="453">
        <f t="shared" si="56"/>
        <v>0</v>
      </c>
      <c r="O48" s="454">
        <f t="shared" si="43"/>
        <v>0</v>
      </c>
      <c r="P48" s="453">
        <f t="shared" si="57"/>
        <v>0</v>
      </c>
      <c r="Q48" s="454">
        <f t="shared" si="44"/>
        <v>0</v>
      </c>
      <c r="R48" s="453">
        <f t="shared" si="58"/>
        <v>0</v>
      </c>
      <c r="S48" s="454">
        <f t="shared" si="45"/>
        <v>0</v>
      </c>
      <c r="T48" s="453">
        <f t="shared" si="59"/>
        <v>0</v>
      </c>
      <c r="U48" s="454">
        <f t="shared" si="46"/>
        <v>0</v>
      </c>
      <c r="V48" s="453">
        <f t="shared" si="60"/>
        <v>0</v>
      </c>
      <c r="W48" s="454">
        <f t="shared" si="47"/>
        <v>0</v>
      </c>
      <c r="X48" s="453">
        <f t="shared" si="61"/>
        <v>0</v>
      </c>
      <c r="Y48" s="454">
        <f t="shared" si="48"/>
        <v>0</v>
      </c>
      <c r="Z48" s="453">
        <f t="shared" si="62"/>
        <v>0</v>
      </c>
      <c r="AA48" s="454">
        <f t="shared" si="49"/>
        <v>0</v>
      </c>
      <c r="AB48" s="448">
        <f t="shared" si="50"/>
        <v>1620000</v>
      </c>
    </row>
    <row r="49" spans="1:28" ht="14.4">
      <c r="A49" s="811"/>
      <c r="B49" s="451" t="s">
        <v>609</v>
      </c>
      <c r="C49" s="452">
        <f>Hipótesis!$C$63</f>
        <v>132000</v>
      </c>
      <c r="D49" s="453">
        <f t="shared" si="51"/>
        <v>15</v>
      </c>
      <c r="E49" s="454">
        <f t="shared" si="38"/>
        <v>1980000</v>
      </c>
      <c r="F49" s="453">
        <f t="shared" si="52"/>
        <v>0</v>
      </c>
      <c r="G49" s="454">
        <f t="shared" si="39"/>
        <v>0</v>
      </c>
      <c r="H49" s="453">
        <f t="shared" si="53"/>
        <v>0</v>
      </c>
      <c r="I49" s="454">
        <f t="shared" si="40"/>
        <v>0</v>
      </c>
      <c r="J49" s="453">
        <f t="shared" si="54"/>
        <v>15</v>
      </c>
      <c r="K49" s="454">
        <f t="shared" si="41"/>
        <v>1980000</v>
      </c>
      <c r="L49" s="453">
        <f t="shared" si="55"/>
        <v>0</v>
      </c>
      <c r="M49" s="454">
        <f t="shared" si="42"/>
        <v>0</v>
      </c>
      <c r="N49" s="453">
        <f t="shared" si="56"/>
        <v>0</v>
      </c>
      <c r="O49" s="454">
        <f t="shared" si="43"/>
        <v>0</v>
      </c>
      <c r="P49" s="453">
        <f t="shared" si="57"/>
        <v>0</v>
      </c>
      <c r="Q49" s="454">
        <f t="shared" si="44"/>
        <v>0</v>
      </c>
      <c r="R49" s="453">
        <f t="shared" si="58"/>
        <v>0</v>
      </c>
      <c r="S49" s="454">
        <f t="shared" si="45"/>
        <v>0</v>
      </c>
      <c r="T49" s="453">
        <f t="shared" si="59"/>
        <v>0</v>
      </c>
      <c r="U49" s="454">
        <f t="shared" si="46"/>
        <v>0</v>
      </c>
      <c r="V49" s="453">
        <f t="shared" si="60"/>
        <v>30</v>
      </c>
      <c r="W49" s="454">
        <f t="shared" si="47"/>
        <v>3960000</v>
      </c>
      <c r="X49" s="453">
        <f t="shared" si="61"/>
        <v>30</v>
      </c>
      <c r="Y49" s="454">
        <f t="shared" si="48"/>
        <v>3960000</v>
      </c>
      <c r="Z49" s="453">
        <f t="shared" si="62"/>
        <v>0</v>
      </c>
      <c r="AA49" s="454">
        <f t="shared" si="49"/>
        <v>0</v>
      </c>
      <c r="AB49" s="448">
        <f t="shared" si="50"/>
        <v>11880000</v>
      </c>
    </row>
    <row r="50" spans="1:28" ht="14.4">
      <c r="A50" s="811"/>
      <c r="B50" s="455" t="s">
        <v>610</v>
      </c>
      <c r="C50" s="456">
        <f>Hipótesis!$C$58*0.3</f>
        <v>57000</v>
      </c>
      <c r="D50" s="453">
        <f t="shared" ref="D50:D52" si="63">D38</f>
        <v>0</v>
      </c>
      <c r="E50" s="454">
        <f t="shared" si="38"/>
        <v>0</v>
      </c>
      <c r="F50" s="453">
        <f t="shared" ref="F50:F52" si="64">F38</f>
        <v>0</v>
      </c>
      <c r="G50" s="454">
        <f t="shared" si="39"/>
        <v>0</v>
      </c>
      <c r="H50" s="453">
        <f t="shared" ref="H50:H52" si="65">H38</f>
        <v>0</v>
      </c>
      <c r="I50" s="454">
        <f t="shared" si="40"/>
        <v>0</v>
      </c>
      <c r="J50" s="453">
        <f t="shared" ref="J50:J52" si="66">J38</f>
        <v>15</v>
      </c>
      <c r="K50" s="454">
        <f t="shared" si="41"/>
        <v>855000</v>
      </c>
      <c r="L50" s="453">
        <f t="shared" ref="L50:L52" si="67">L38</f>
        <v>0</v>
      </c>
      <c r="M50" s="454">
        <f t="shared" si="42"/>
        <v>0</v>
      </c>
      <c r="N50" s="453">
        <f t="shared" ref="N50:N52" si="68">N38</f>
        <v>0</v>
      </c>
      <c r="O50" s="454">
        <f t="shared" si="43"/>
        <v>0</v>
      </c>
      <c r="P50" s="453">
        <f t="shared" ref="P50:P52" si="69">P38</f>
        <v>0</v>
      </c>
      <c r="Q50" s="454">
        <f t="shared" si="44"/>
        <v>0</v>
      </c>
      <c r="R50" s="453">
        <f t="shared" ref="R50:R52" si="70">R38</f>
        <v>0</v>
      </c>
      <c r="S50" s="454">
        <f t="shared" si="45"/>
        <v>0</v>
      </c>
      <c r="T50" s="453">
        <f t="shared" ref="T50:T52" si="71">T38</f>
        <v>15</v>
      </c>
      <c r="U50" s="454">
        <f t="shared" si="46"/>
        <v>855000</v>
      </c>
      <c r="V50" s="453">
        <f t="shared" ref="V50:V52" si="72">V38</f>
        <v>0</v>
      </c>
      <c r="W50" s="454">
        <f t="shared" si="47"/>
        <v>0</v>
      </c>
      <c r="X50" s="453">
        <f t="shared" ref="X50:X52" si="73">X38</f>
        <v>0</v>
      </c>
      <c r="Y50" s="454">
        <f t="shared" si="48"/>
        <v>0</v>
      </c>
      <c r="Z50" s="453">
        <f t="shared" ref="Z50:Z52" si="74">Z38</f>
        <v>0</v>
      </c>
      <c r="AA50" s="454">
        <f t="shared" si="49"/>
        <v>0</v>
      </c>
      <c r="AB50" s="448">
        <f t="shared" si="50"/>
        <v>1710000</v>
      </c>
    </row>
    <row r="51" spans="1:28" ht="14.4">
      <c r="A51" s="811"/>
      <c r="B51" s="455" t="s">
        <v>611</v>
      </c>
      <c r="C51" s="456">
        <f>Hipótesis!$C$59*0.3</f>
        <v>72000</v>
      </c>
      <c r="D51" s="453">
        <f t="shared" si="63"/>
        <v>0</v>
      </c>
      <c r="E51" s="454">
        <f t="shared" si="38"/>
        <v>0</v>
      </c>
      <c r="F51" s="453">
        <f t="shared" si="64"/>
        <v>0</v>
      </c>
      <c r="G51" s="454">
        <f t="shared" si="39"/>
        <v>0</v>
      </c>
      <c r="H51" s="453">
        <f t="shared" si="65"/>
        <v>15</v>
      </c>
      <c r="I51" s="454">
        <f t="shared" si="40"/>
        <v>1080000</v>
      </c>
      <c r="J51" s="453">
        <f t="shared" si="66"/>
        <v>0</v>
      </c>
      <c r="K51" s="454">
        <f t="shared" si="41"/>
        <v>0</v>
      </c>
      <c r="L51" s="453">
        <f t="shared" si="67"/>
        <v>0</v>
      </c>
      <c r="M51" s="454">
        <f t="shared" si="42"/>
        <v>0</v>
      </c>
      <c r="N51" s="453">
        <f t="shared" si="68"/>
        <v>0</v>
      </c>
      <c r="O51" s="454">
        <f t="shared" si="43"/>
        <v>0</v>
      </c>
      <c r="P51" s="453">
        <f t="shared" si="69"/>
        <v>0</v>
      </c>
      <c r="Q51" s="454">
        <f t="shared" si="44"/>
        <v>0</v>
      </c>
      <c r="R51" s="453">
        <f t="shared" si="70"/>
        <v>0</v>
      </c>
      <c r="S51" s="454">
        <f t="shared" si="45"/>
        <v>0</v>
      </c>
      <c r="T51" s="453">
        <f t="shared" si="71"/>
        <v>0</v>
      </c>
      <c r="U51" s="454">
        <f t="shared" si="46"/>
        <v>0</v>
      </c>
      <c r="V51" s="453">
        <f t="shared" si="72"/>
        <v>0</v>
      </c>
      <c r="W51" s="454">
        <f t="shared" si="47"/>
        <v>0</v>
      </c>
      <c r="X51" s="453">
        <f t="shared" si="73"/>
        <v>0</v>
      </c>
      <c r="Y51" s="454">
        <f t="shared" si="48"/>
        <v>0</v>
      </c>
      <c r="Z51" s="453">
        <f t="shared" si="74"/>
        <v>0</v>
      </c>
      <c r="AA51" s="454">
        <f t="shared" si="49"/>
        <v>0</v>
      </c>
      <c r="AB51" s="448">
        <f t="shared" si="50"/>
        <v>1080000</v>
      </c>
    </row>
    <row r="52" spans="1:28" ht="14.4">
      <c r="A52" s="811"/>
      <c r="B52" s="455" t="s">
        <v>608</v>
      </c>
      <c r="C52" s="456">
        <f>Hipótesis!$C$60*0.3</f>
        <v>93000</v>
      </c>
      <c r="D52" s="453">
        <f t="shared" si="63"/>
        <v>15</v>
      </c>
      <c r="E52" s="454">
        <f t="shared" si="38"/>
        <v>1395000</v>
      </c>
      <c r="F52" s="453">
        <f t="shared" si="64"/>
        <v>0</v>
      </c>
      <c r="G52" s="454">
        <f t="shared" si="39"/>
        <v>0</v>
      </c>
      <c r="H52" s="453">
        <f t="shared" si="65"/>
        <v>0</v>
      </c>
      <c r="I52" s="454">
        <f t="shared" si="40"/>
        <v>0</v>
      </c>
      <c r="J52" s="453">
        <f t="shared" si="66"/>
        <v>15</v>
      </c>
      <c r="K52" s="454">
        <f t="shared" si="41"/>
        <v>1395000</v>
      </c>
      <c r="L52" s="453">
        <f t="shared" si="67"/>
        <v>0</v>
      </c>
      <c r="M52" s="454">
        <f t="shared" si="42"/>
        <v>0</v>
      </c>
      <c r="N52" s="453">
        <f t="shared" si="68"/>
        <v>0</v>
      </c>
      <c r="O52" s="454">
        <f t="shared" si="43"/>
        <v>0</v>
      </c>
      <c r="P52" s="453">
        <f t="shared" si="69"/>
        <v>0</v>
      </c>
      <c r="Q52" s="454">
        <f t="shared" si="44"/>
        <v>0</v>
      </c>
      <c r="R52" s="453">
        <f t="shared" si="70"/>
        <v>0</v>
      </c>
      <c r="S52" s="454">
        <f t="shared" si="45"/>
        <v>0</v>
      </c>
      <c r="T52" s="453">
        <f t="shared" si="71"/>
        <v>0</v>
      </c>
      <c r="U52" s="454">
        <f t="shared" si="46"/>
        <v>0</v>
      </c>
      <c r="V52" s="453">
        <f t="shared" si="72"/>
        <v>30</v>
      </c>
      <c r="W52" s="454">
        <f t="shared" si="47"/>
        <v>2790000</v>
      </c>
      <c r="X52" s="453">
        <f t="shared" si="73"/>
        <v>30</v>
      </c>
      <c r="Y52" s="454">
        <f t="shared" si="48"/>
        <v>2790000</v>
      </c>
      <c r="Z52" s="453">
        <f t="shared" si="74"/>
        <v>0</v>
      </c>
      <c r="AA52" s="454">
        <f t="shared" si="49"/>
        <v>0</v>
      </c>
      <c r="AB52" s="448">
        <f t="shared" si="50"/>
        <v>8370000</v>
      </c>
    </row>
    <row r="53" spans="1:28" ht="14.4">
      <c r="A53" s="812"/>
      <c r="B53" s="484"/>
      <c r="C53" s="485">
        <v>0</v>
      </c>
      <c r="D53" s="459">
        <v>0</v>
      </c>
      <c r="E53" s="460">
        <v>0</v>
      </c>
      <c r="F53" s="461">
        <v>0</v>
      </c>
      <c r="G53" s="460">
        <v>0</v>
      </c>
      <c r="H53" s="461">
        <v>0</v>
      </c>
      <c r="I53" s="460">
        <v>0</v>
      </c>
      <c r="J53" s="461">
        <v>0</v>
      </c>
      <c r="K53" s="460">
        <v>0</v>
      </c>
      <c r="L53" s="461">
        <v>0</v>
      </c>
      <c r="M53" s="460">
        <v>0</v>
      </c>
      <c r="N53" s="461">
        <v>0</v>
      </c>
      <c r="O53" s="460">
        <v>0</v>
      </c>
      <c r="P53" s="461">
        <v>0</v>
      </c>
      <c r="Q53" s="460">
        <v>0</v>
      </c>
      <c r="R53" s="461">
        <v>0</v>
      </c>
      <c r="S53" s="460">
        <v>0</v>
      </c>
      <c r="T53" s="461">
        <v>0</v>
      </c>
      <c r="U53" s="460">
        <v>0</v>
      </c>
      <c r="V53" s="461">
        <v>0</v>
      </c>
      <c r="W53" s="460">
        <v>0</v>
      </c>
      <c r="X53" s="461">
        <v>0</v>
      </c>
      <c r="Y53" s="460">
        <v>0</v>
      </c>
      <c r="Z53" s="461">
        <v>0</v>
      </c>
      <c r="AA53" s="454">
        <v>0</v>
      </c>
      <c r="AB53" s="486">
        <f t="shared" ref="AB53:AB54" si="75">E53+G53+I53+K53+M53+O53+Q53+S53+U53+W53+Y53+AA53</f>
        <v>0</v>
      </c>
    </row>
    <row r="54" spans="1:28" ht="14.4">
      <c r="A54" s="462"/>
      <c r="B54" s="463"/>
      <c r="C54" s="464">
        <v>0</v>
      </c>
      <c r="D54" s="465">
        <v>0</v>
      </c>
      <c r="E54" s="466">
        <v>0</v>
      </c>
      <c r="F54" s="467">
        <v>0</v>
      </c>
      <c r="G54" s="468">
        <f>(F40+F39+F38)*75</f>
        <v>0</v>
      </c>
      <c r="H54" s="467">
        <v>0</v>
      </c>
      <c r="I54" s="466">
        <v>0</v>
      </c>
      <c r="J54" s="467">
        <v>0</v>
      </c>
      <c r="K54" s="466">
        <v>0</v>
      </c>
      <c r="L54" s="467">
        <v>0</v>
      </c>
      <c r="M54" s="468">
        <f>((L40*24)+(L39*18)+(L38*12))*6*1034</f>
        <v>0</v>
      </c>
      <c r="N54" s="467">
        <v>0</v>
      </c>
      <c r="O54" s="468">
        <f>((N40*24)+(N39*18)+(N38*12))*6*1034</f>
        <v>0</v>
      </c>
      <c r="P54" s="467">
        <v>0</v>
      </c>
      <c r="Q54" s="468">
        <f>((P40*24)+(P39*18)+(P38*12))*6*1034</f>
        <v>0</v>
      </c>
      <c r="R54" s="467">
        <v>0</v>
      </c>
      <c r="S54" s="468">
        <f>((R40*24)+(R39*18)+(R38*12))*6*1034</f>
        <v>0</v>
      </c>
      <c r="T54" s="467">
        <v>0</v>
      </c>
      <c r="U54" s="466">
        <v>0</v>
      </c>
      <c r="V54" s="467">
        <v>0</v>
      </c>
      <c r="W54" s="466">
        <v>0</v>
      </c>
      <c r="X54" s="467">
        <v>0</v>
      </c>
      <c r="Y54" s="466">
        <v>0</v>
      </c>
      <c r="Z54" s="467">
        <v>0</v>
      </c>
      <c r="AA54" s="468">
        <f>((Z40*24)+(Z39*18)+(Z38*12))*6*1034</f>
        <v>0</v>
      </c>
      <c r="AB54" s="440">
        <f t="shared" si="75"/>
        <v>0</v>
      </c>
    </row>
    <row r="55" spans="1:28" ht="14.4">
      <c r="A55" s="1"/>
      <c r="B55" s="469" t="s">
        <v>284</v>
      </c>
      <c r="C55" s="470"/>
      <c r="D55" s="471"/>
      <c r="E55" s="472">
        <f>SUM(E38:E54)</f>
        <v>7202500</v>
      </c>
      <c r="F55" s="473"/>
      <c r="G55" s="472">
        <f>SUM(G38:G54)</f>
        <v>696250</v>
      </c>
      <c r="H55" s="473"/>
      <c r="I55" s="472">
        <f>SUM(I38:I54)</f>
        <v>5125000</v>
      </c>
      <c r="J55" s="473"/>
      <c r="K55" s="472">
        <f>SUM(K38:K54)</f>
        <v>10691875</v>
      </c>
      <c r="L55" s="473"/>
      <c r="M55" s="472">
        <f>SUM(M38:M54)</f>
        <v>520000</v>
      </c>
      <c r="N55" s="471"/>
      <c r="O55" s="472">
        <f>SUM(O38:O54)</f>
        <v>520000</v>
      </c>
      <c r="P55" s="473"/>
      <c r="Q55" s="472">
        <f>SUM(Q38:Q54)</f>
        <v>632500</v>
      </c>
      <c r="R55" s="473"/>
      <c r="S55" s="472">
        <f>SUM(S38:S54)</f>
        <v>640000</v>
      </c>
      <c r="T55" s="473"/>
      <c r="U55" s="472">
        <f>SUM(U38:U54)</f>
        <v>4391875</v>
      </c>
      <c r="V55" s="473"/>
      <c r="W55" s="472">
        <f>SUM(W38:W54)</f>
        <v>13817500</v>
      </c>
      <c r="X55" s="473"/>
      <c r="Y55" s="472">
        <f>SUM(Y38:Y54)</f>
        <v>14217500</v>
      </c>
      <c r="Z55" s="473"/>
      <c r="AA55" s="472">
        <f>SUM(AA38:AA54)</f>
        <v>1040000</v>
      </c>
      <c r="AB55" s="475">
        <f>SUM(E55:AA55)</f>
        <v>59495000</v>
      </c>
    </row>
    <row r="56" spans="1:28" ht="14.4">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4.4">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25.8">
      <c r="A58" s="1"/>
      <c r="B58" s="798" t="s">
        <v>286</v>
      </c>
      <c r="C58" s="799"/>
      <c r="D58" s="799"/>
      <c r="E58" s="799"/>
      <c r="F58" s="799"/>
      <c r="G58" s="799"/>
      <c r="H58" s="799"/>
      <c r="I58" s="799"/>
      <c r="J58" s="799"/>
      <c r="K58" s="799"/>
      <c r="L58" s="799"/>
      <c r="M58" s="799"/>
      <c r="N58" s="799"/>
      <c r="O58" s="799"/>
      <c r="P58" s="799"/>
      <c r="Q58" s="799"/>
      <c r="R58" s="799"/>
      <c r="S58" s="799"/>
      <c r="T58" s="799"/>
      <c r="U58" s="799"/>
      <c r="V58" s="799"/>
      <c r="W58" s="799"/>
      <c r="X58" s="799"/>
      <c r="Y58" s="799"/>
      <c r="Z58" s="799"/>
      <c r="AA58" s="799"/>
      <c r="AB58" s="800"/>
    </row>
    <row r="59" spans="1:28" ht="14.4">
      <c r="A59" s="1"/>
      <c r="B59" s="962" t="s">
        <v>76</v>
      </c>
      <c r="C59" s="828"/>
      <c r="D59" s="963" t="s">
        <v>58</v>
      </c>
      <c r="E59" s="806"/>
      <c r="F59" s="955" t="s">
        <v>59</v>
      </c>
      <c r="G59" s="806"/>
      <c r="H59" s="955" t="s">
        <v>60</v>
      </c>
      <c r="I59" s="806"/>
      <c r="J59" s="955" t="s">
        <v>61</v>
      </c>
      <c r="K59" s="806"/>
      <c r="L59" s="955" t="s">
        <v>62</v>
      </c>
      <c r="M59" s="806"/>
      <c r="N59" s="955" t="s">
        <v>63</v>
      </c>
      <c r="O59" s="806"/>
      <c r="P59" s="955" t="s">
        <v>64</v>
      </c>
      <c r="Q59" s="806"/>
      <c r="R59" s="955" t="s">
        <v>65</v>
      </c>
      <c r="S59" s="806"/>
      <c r="T59" s="955" t="s">
        <v>66</v>
      </c>
      <c r="U59" s="806"/>
      <c r="V59" s="955" t="s">
        <v>67</v>
      </c>
      <c r="W59" s="806"/>
      <c r="X59" s="955" t="s">
        <v>68</v>
      </c>
      <c r="Y59" s="806"/>
      <c r="Z59" s="955" t="s">
        <v>69</v>
      </c>
      <c r="AA59" s="956"/>
      <c r="AB59" s="959" t="s">
        <v>28</v>
      </c>
    </row>
    <row r="60" spans="1:28" ht="14.4">
      <c r="A60" s="1"/>
      <c r="B60" s="416" t="s">
        <v>178</v>
      </c>
      <c r="C60" s="417" t="s">
        <v>277</v>
      </c>
      <c r="D60" s="418" t="s">
        <v>26</v>
      </c>
      <c r="E60" s="419" t="s">
        <v>278</v>
      </c>
      <c r="F60" s="419" t="s">
        <v>26</v>
      </c>
      <c r="G60" s="419" t="s">
        <v>278</v>
      </c>
      <c r="H60" s="419" t="s">
        <v>26</v>
      </c>
      <c r="I60" s="419" t="s">
        <v>278</v>
      </c>
      <c r="J60" s="419" t="s">
        <v>26</v>
      </c>
      <c r="K60" s="419" t="s">
        <v>278</v>
      </c>
      <c r="L60" s="419" t="s">
        <v>26</v>
      </c>
      <c r="M60" s="419" t="s">
        <v>278</v>
      </c>
      <c r="N60" s="419" t="s">
        <v>26</v>
      </c>
      <c r="O60" s="419" t="s">
        <v>278</v>
      </c>
      <c r="P60" s="419" t="s">
        <v>26</v>
      </c>
      <c r="Q60" s="419" t="s">
        <v>278</v>
      </c>
      <c r="R60" s="419" t="s">
        <v>26</v>
      </c>
      <c r="S60" s="419" t="s">
        <v>278</v>
      </c>
      <c r="T60" s="419" t="s">
        <v>26</v>
      </c>
      <c r="U60" s="419" t="s">
        <v>278</v>
      </c>
      <c r="V60" s="419" t="s">
        <v>26</v>
      </c>
      <c r="W60" s="419" t="s">
        <v>278</v>
      </c>
      <c r="X60" s="419" t="s">
        <v>26</v>
      </c>
      <c r="Y60" s="419" t="s">
        <v>278</v>
      </c>
      <c r="Z60" s="419" t="s">
        <v>26</v>
      </c>
      <c r="AA60" s="420" t="s">
        <v>278</v>
      </c>
      <c r="AB60" s="958"/>
    </row>
    <row r="61" spans="1:28" ht="14.4">
      <c r="A61" s="960" t="s">
        <v>279</v>
      </c>
      <c r="B61" s="421" t="str">
        <f>'Anexo capacidad operativa'!$S$18</f>
        <v>Plan A</v>
      </c>
      <c r="C61" s="422">
        <f>'Anexo capacidad operativa'!$W$28</f>
        <v>92625</v>
      </c>
      <c r="D61" s="423">
        <f>'Anexo capacidad operativa'!C102</f>
        <v>0</v>
      </c>
      <c r="E61" s="424">
        <f t="shared" ref="E61:E75" si="76">D61*$C61</f>
        <v>0</v>
      </c>
      <c r="F61" s="423">
        <f>'Anexo capacidad operativa'!E102</f>
        <v>15</v>
      </c>
      <c r="G61" s="424">
        <f t="shared" ref="G61:G75" si="77">F61*$C61</f>
        <v>1389375</v>
      </c>
      <c r="H61" s="423">
        <f>'Anexo capacidad operativa'!G102</f>
        <v>15</v>
      </c>
      <c r="I61" s="424">
        <f t="shared" ref="I61:I75" si="78">H61*$C61</f>
        <v>1389375</v>
      </c>
      <c r="J61" s="423">
        <f>'Anexo capacidad operativa'!I102</f>
        <v>15</v>
      </c>
      <c r="K61" s="424">
        <f t="shared" ref="K61:K75" si="79">J61*$C61</f>
        <v>1389375</v>
      </c>
      <c r="L61" s="423">
        <f>'Anexo capacidad operativa'!K102</f>
        <v>15</v>
      </c>
      <c r="M61" s="424">
        <f t="shared" ref="M61:M75" si="80">L61*$C61</f>
        <v>1389375</v>
      </c>
      <c r="N61" s="423">
        <f>'Anexo capacidad operativa'!M102</f>
        <v>0</v>
      </c>
      <c r="O61" s="424">
        <f t="shared" ref="O61:O75" si="81">N61*$C61</f>
        <v>0</v>
      </c>
      <c r="P61" s="423">
        <f>'Anexo capacidad operativa'!O102</f>
        <v>0</v>
      </c>
      <c r="Q61" s="424">
        <f t="shared" ref="Q61:Q75" si="82">P61*$C61</f>
        <v>0</v>
      </c>
      <c r="R61" s="423">
        <f>'Anexo capacidad operativa'!Q102</f>
        <v>15</v>
      </c>
      <c r="S61" s="424">
        <f t="shared" ref="S61:S75" si="83">R61*$C61</f>
        <v>1389375</v>
      </c>
      <c r="T61" s="423">
        <f>'Anexo capacidad operativa'!S102</f>
        <v>0</v>
      </c>
      <c r="U61" s="424">
        <f t="shared" ref="U61:U75" si="84">T61*$C61</f>
        <v>0</v>
      </c>
      <c r="V61" s="423">
        <f>'Anexo capacidad operativa'!U102</f>
        <v>0</v>
      </c>
      <c r="W61" s="424">
        <f t="shared" ref="W61:W75" si="85">V61*$C61</f>
        <v>0</v>
      </c>
      <c r="X61" s="423">
        <f>'Anexo capacidad operativa'!W102</f>
        <v>0</v>
      </c>
      <c r="Y61" s="424">
        <f t="shared" ref="Y61:Y75" si="86">X61*$C61</f>
        <v>0</v>
      </c>
      <c r="Z61" s="423">
        <f>'Anexo capacidad operativa'!Y102</f>
        <v>0</v>
      </c>
      <c r="AA61" s="424">
        <f t="shared" ref="AA61:AA75" si="87">Z61*$C61</f>
        <v>0</v>
      </c>
      <c r="AB61" s="427">
        <f t="shared" ref="AB61:AB75" si="88">E61+G61+I61+K61+M61+O61+Q61+S61++U61+W61+Y61+AA61</f>
        <v>6946875</v>
      </c>
    </row>
    <row r="62" spans="1:28" ht="14.4">
      <c r="A62" s="819"/>
      <c r="B62" s="428" t="str">
        <f>'Anexo capacidad operativa'!$S$37</f>
        <v>Plan B</v>
      </c>
      <c r="C62" s="429">
        <f>'Anexo capacidad operativa'!$W$47</f>
        <v>115000</v>
      </c>
      <c r="D62" s="430">
        <f>'Anexo capacidad operativa'!C103</f>
        <v>0</v>
      </c>
      <c r="E62" s="431">
        <f t="shared" si="76"/>
        <v>0</v>
      </c>
      <c r="F62" s="430">
        <f>'Anexo capacidad operativa'!E103</f>
        <v>0</v>
      </c>
      <c r="G62" s="431">
        <f t="shared" si="77"/>
        <v>0</v>
      </c>
      <c r="H62" s="430">
        <f>'Anexo capacidad operativa'!G103</f>
        <v>0</v>
      </c>
      <c r="I62" s="431">
        <f t="shared" si="78"/>
        <v>0</v>
      </c>
      <c r="J62" s="430">
        <f>'Anexo capacidad operativa'!I103</f>
        <v>15</v>
      </c>
      <c r="K62" s="431">
        <f t="shared" si="79"/>
        <v>1725000</v>
      </c>
      <c r="L62" s="430">
        <f>'Anexo capacidad operativa'!K103</f>
        <v>0</v>
      </c>
      <c r="M62" s="431">
        <f t="shared" si="80"/>
        <v>0</v>
      </c>
      <c r="N62" s="430">
        <f>'Anexo capacidad operativa'!M103</f>
        <v>15</v>
      </c>
      <c r="O62" s="431">
        <f t="shared" si="81"/>
        <v>1725000</v>
      </c>
      <c r="P62" s="430">
        <f>'Anexo capacidad operativa'!O103</f>
        <v>0</v>
      </c>
      <c r="Q62" s="431">
        <f t="shared" si="82"/>
        <v>0</v>
      </c>
      <c r="R62" s="430">
        <f>'Anexo capacidad operativa'!Q103</f>
        <v>0</v>
      </c>
      <c r="S62" s="431">
        <f t="shared" si="83"/>
        <v>0</v>
      </c>
      <c r="T62" s="430">
        <f>'Anexo capacidad operativa'!S103</f>
        <v>15</v>
      </c>
      <c r="U62" s="431">
        <f t="shared" si="84"/>
        <v>1725000</v>
      </c>
      <c r="V62" s="430">
        <f>'Anexo capacidad operativa'!U103</f>
        <v>15</v>
      </c>
      <c r="W62" s="431">
        <f t="shared" si="85"/>
        <v>1725000</v>
      </c>
      <c r="X62" s="430">
        <f>'Anexo capacidad operativa'!W103</f>
        <v>0</v>
      </c>
      <c r="Y62" s="431">
        <f t="shared" si="86"/>
        <v>0</v>
      </c>
      <c r="Z62" s="430">
        <f>'Anexo capacidad operativa'!Y103</f>
        <v>0</v>
      </c>
      <c r="AA62" s="431">
        <f t="shared" si="87"/>
        <v>0</v>
      </c>
      <c r="AB62" s="434">
        <f t="shared" si="88"/>
        <v>6900000</v>
      </c>
    </row>
    <row r="63" spans="1:28" ht="14.4">
      <c r="A63" s="819"/>
      <c r="B63" s="428" t="str">
        <f>'Anexo capacidad operativa'!$S$56</f>
        <v>Plan C</v>
      </c>
      <c r="C63" s="429">
        <f>'Anexo capacidad operativa'!$W$65</f>
        <v>208000</v>
      </c>
      <c r="D63" s="430">
        <f>'Anexo capacidad operativa'!C104</f>
        <v>0</v>
      </c>
      <c r="E63" s="431">
        <f t="shared" si="76"/>
        <v>0</v>
      </c>
      <c r="F63" s="430">
        <f>'Anexo capacidad operativa'!E104</f>
        <v>15</v>
      </c>
      <c r="G63" s="431">
        <f t="shared" si="77"/>
        <v>3120000</v>
      </c>
      <c r="H63" s="430">
        <f>'Anexo capacidad operativa'!G104</f>
        <v>0</v>
      </c>
      <c r="I63" s="431">
        <f t="shared" si="78"/>
        <v>0</v>
      </c>
      <c r="J63" s="430">
        <f>'Anexo capacidad operativa'!I104</f>
        <v>0</v>
      </c>
      <c r="K63" s="431">
        <f t="shared" si="79"/>
        <v>0</v>
      </c>
      <c r="L63" s="430">
        <f>'Anexo capacidad operativa'!K104</f>
        <v>0</v>
      </c>
      <c r="M63" s="431">
        <f t="shared" si="80"/>
        <v>0</v>
      </c>
      <c r="N63" s="430">
        <f>'Anexo capacidad operativa'!M104</f>
        <v>0</v>
      </c>
      <c r="O63" s="431">
        <f t="shared" si="81"/>
        <v>0</v>
      </c>
      <c r="P63" s="430">
        <f>'Anexo capacidad operativa'!O104</f>
        <v>0</v>
      </c>
      <c r="Q63" s="431">
        <f t="shared" si="82"/>
        <v>0</v>
      </c>
      <c r="R63" s="430">
        <f>'Anexo capacidad operativa'!Q104</f>
        <v>0</v>
      </c>
      <c r="S63" s="431">
        <f t="shared" si="83"/>
        <v>0</v>
      </c>
      <c r="T63" s="430">
        <f>'Anexo capacidad operativa'!S104</f>
        <v>30</v>
      </c>
      <c r="U63" s="431">
        <f t="shared" si="84"/>
        <v>6240000</v>
      </c>
      <c r="V63" s="430">
        <f>'Anexo capacidad operativa'!U104</f>
        <v>15</v>
      </c>
      <c r="W63" s="431">
        <f t="shared" si="85"/>
        <v>3120000</v>
      </c>
      <c r="X63" s="430">
        <f>'Anexo capacidad operativa'!W104</f>
        <v>15</v>
      </c>
      <c r="Y63" s="431">
        <f t="shared" si="86"/>
        <v>3120000</v>
      </c>
      <c r="Z63" s="430">
        <f>'Anexo capacidad operativa'!Y104</f>
        <v>0</v>
      </c>
      <c r="AA63" s="431">
        <f t="shared" si="87"/>
        <v>0</v>
      </c>
      <c r="AB63" s="434">
        <f t="shared" si="88"/>
        <v>15600000</v>
      </c>
    </row>
    <row r="64" spans="1:28" ht="14.4">
      <c r="A64" s="819"/>
      <c r="B64" s="428" t="str">
        <f>'Anexo capacidad operativa'!$Y$18</f>
        <v>Mantenimiento plan A</v>
      </c>
      <c r="C64" s="429">
        <f>'Anexo capacidad operativa'!$AC$28</f>
        <v>3750</v>
      </c>
      <c r="D64" s="430">
        <f>'Anexo capacidad operativa'!C105</f>
        <v>0</v>
      </c>
      <c r="E64" s="431">
        <f t="shared" si="76"/>
        <v>0</v>
      </c>
      <c r="F64" s="430">
        <f>'Anexo capacidad operativa'!E105</f>
        <v>15</v>
      </c>
      <c r="G64" s="431">
        <f t="shared" si="77"/>
        <v>56250</v>
      </c>
      <c r="H64" s="430">
        <f>'Anexo capacidad operativa'!G105</f>
        <v>0</v>
      </c>
      <c r="I64" s="431">
        <f t="shared" si="78"/>
        <v>0</v>
      </c>
      <c r="J64" s="430">
        <f>'Anexo capacidad operativa'!I105</f>
        <v>15</v>
      </c>
      <c r="K64" s="431">
        <f t="shared" si="79"/>
        <v>56250</v>
      </c>
      <c r="L64" s="430">
        <f>'Anexo capacidad operativa'!K105</f>
        <v>0</v>
      </c>
      <c r="M64" s="431">
        <f t="shared" si="80"/>
        <v>0</v>
      </c>
      <c r="N64" s="430">
        <f>'Anexo capacidad operativa'!M105</f>
        <v>0</v>
      </c>
      <c r="O64" s="431">
        <f t="shared" si="81"/>
        <v>0</v>
      </c>
      <c r="P64" s="430">
        <f>'Anexo capacidad operativa'!O105</f>
        <v>0</v>
      </c>
      <c r="Q64" s="431">
        <f t="shared" si="82"/>
        <v>0</v>
      </c>
      <c r="R64" s="430">
        <f>'Anexo capacidad operativa'!Q105</f>
        <v>0</v>
      </c>
      <c r="S64" s="431">
        <f t="shared" si="83"/>
        <v>0</v>
      </c>
      <c r="T64" s="430">
        <f>'Anexo capacidad operativa'!S105</f>
        <v>15</v>
      </c>
      <c r="U64" s="431">
        <f t="shared" si="84"/>
        <v>56250</v>
      </c>
      <c r="V64" s="430">
        <f>'Anexo capacidad operativa'!U105</f>
        <v>0</v>
      </c>
      <c r="W64" s="431">
        <f t="shared" si="85"/>
        <v>0</v>
      </c>
      <c r="X64" s="430">
        <f>'Anexo capacidad operativa'!W105</f>
        <v>0</v>
      </c>
      <c r="Y64" s="431">
        <f t="shared" si="86"/>
        <v>0</v>
      </c>
      <c r="Z64" s="430">
        <f>'Anexo capacidad operativa'!Y105</f>
        <v>0</v>
      </c>
      <c r="AA64" s="431">
        <f t="shared" si="87"/>
        <v>0</v>
      </c>
      <c r="AB64" s="434">
        <f t="shared" si="88"/>
        <v>168750</v>
      </c>
    </row>
    <row r="65" spans="1:28" ht="14.4">
      <c r="A65" s="819"/>
      <c r="B65" s="428" t="str">
        <f>'Anexo capacidad operativa'!$Y$37</f>
        <v>Mantenimiento plan B</v>
      </c>
      <c r="C65" s="429">
        <f>'Anexo capacidad operativa'!$AC$47</f>
        <v>7500</v>
      </c>
      <c r="D65" s="430">
        <f>'Anexo capacidad operativa'!C106</f>
        <v>0</v>
      </c>
      <c r="E65" s="431">
        <f t="shared" si="76"/>
        <v>0</v>
      </c>
      <c r="F65" s="430">
        <f>'Anexo capacidad operativa'!E106</f>
        <v>0</v>
      </c>
      <c r="G65" s="431">
        <f t="shared" si="77"/>
        <v>0</v>
      </c>
      <c r="H65" s="430">
        <f>'Anexo capacidad operativa'!G106</f>
        <v>15</v>
      </c>
      <c r="I65" s="431">
        <f t="shared" si="78"/>
        <v>112500</v>
      </c>
      <c r="J65" s="430">
        <f>'Anexo capacidad operativa'!I106</f>
        <v>15</v>
      </c>
      <c r="K65" s="431">
        <f t="shared" si="79"/>
        <v>112500</v>
      </c>
      <c r="L65" s="430">
        <f>'Anexo capacidad operativa'!K106</f>
        <v>0</v>
      </c>
      <c r="M65" s="431">
        <f t="shared" si="80"/>
        <v>0</v>
      </c>
      <c r="N65" s="430">
        <f>'Anexo capacidad operativa'!M106</f>
        <v>0</v>
      </c>
      <c r="O65" s="431">
        <f t="shared" si="81"/>
        <v>0</v>
      </c>
      <c r="P65" s="430">
        <f>'Anexo capacidad operativa'!O106</f>
        <v>15</v>
      </c>
      <c r="Q65" s="431">
        <f t="shared" si="82"/>
        <v>112500</v>
      </c>
      <c r="R65" s="430">
        <f>'Anexo capacidad operativa'!Q106</f>
        <v>0</v>
      </c>
      <c r="S65" s="431">
        <f t="shared" si="83"/>
        <v>0</v>
      </c>
      <c r="T65" s="430">
        <f>'Anexo capacidad operativa'!S106</f>
        <v>0</v>
      </c>
      <c r="U65" s="431">
        <f t="shared" si="84"/>
        <v>0</v>
      </c>
      <c r="V65" s="430">
        <f>'Anexo capacidad operativa'!U106</f>
        <v>0</v>
      </c>
      <c r="W65" s="431">
        <f t="shared" si="85"/>
        <v>0</v>
      </c>
      <c r="X65" s="430">
        <f>'Anexo capacidad operativa'!W106</f>
        <v>0</v>
      </c>
      <c r="Y65" s="431">
        <f t="shared" si="86"/>
        <v>0</v>
      </c>
      <c r="Z65" s="430">
        <f>'Anexo capacidad operativa'!Y106</f>
        <v>0</v>
      </c>
      <c r="AA65" s="431">
        <f t="shared" si="87"/>
        <v>0</v>
      </c>
      <c r="AB65" s="434">
        <f t="shared" si="88"/>
        <v>337500</v>
      </c>
    </row>
    <row r="66" spans="1:28" ht="14.4">
      <c r="A66" s="822"/>
      <c r="B66" s="435" t="str">
        <f>'Anexo capacidad operativa'!$Y$56</f>
        <v>Mantenimiento plan C</v>
      </c>
      <c r="C66" s="436">
        <f>'Anexo capacidad operativa'!$AC$65</f>
        <v>12500</v>
      </c>
      <c r="D66" s="437">
        <f>'Anexo capacidad operativa'!C107</f>
        <v>30</v>
      </c>
      <c r="E66" s="438">
        <f t="shared" si="76"/>
        <v>375000</v>
      </c>
      <c r="F66" s="437">
        <f>'Anexo capacidad operativa'!E107</f>
        <v>0</v>
      </c>
      <c r="G66" s="438">
        <f t="shared" si="77"/>
        <v>0</v>
      </c>
      <c r="H66" s="437">
        <f>'Anexo capacidad operativa'!G107</f>
        <v>0</v>
      </c>
      <c r="I66" s="438">
        <f t="shared" si="78"/>
        <v>0</v>
      </c>
      <c r="J66" s="437">
        <f>'Anexo capacidad operativa'!I107</f>
        <v>15</v>
      </c>
      <c r="K66" s="438">
        <f t="shared" si="79"/>
        <v>187500</v>
      </c>
      <c r="L66" s="437">
        <f>'Anexo capacidad operativa'!K107</f>
        <v>0</v>
      </c>
      <c r="M66" s="438">
        <f t="shared" si="80"/>
        <v>0</v>
      </c>
      <c r="N66" s="437">
        <f>'Anexo capacidad operativa'!M107</f>
        <v>0</v>
      </c>
      <c r="O66" s="438">
        <f t="shared" si="81"/>
        <v>0</v>
      </c>
      <c r="P66" s="437">
        <f>'Anexo capacidad operativa'!O107</f>
        <v>0</v>
      </c>
      <c r="Q66" s="438">
        <f t="shared" si="82"/>
        <v>0</v>
      </c>
      <c r="R66" s="437">
        <f>'Anexo capacidad operativa'!Q107</f>
        <v>0</v>
      </c>
      <c r="S66" s="438">
        <f t="shared" si="83"/>
        <v>0</v>
      </c>
      <c r="T66" s="437">
        <f>'Anexo capacidad operativa'!S107</f>
        <v>15</v>
      </c>
      <c r="U66" s="438">
        <f t="shared" si="84"/>
        <v>187500</v>
      </c>
      <c r="V66" s="437">
        <f>'Anexo capacidad operativa'!U107</f>
        <v>45</v>
      </c>
      <c r="W66" s="438">
        <f t="shared" si="85"/>
        <v>562500</v>
      </c>
      <c r="X66" s="437">
        <f>'Anexo capacidad operativa'!W107</f>
        <v>45</v>
      </c>
      <c r="Y66" s="438">
        <f t="shared" si="86"/>
        <v>562500</v>
      </c>
      <c r="Z66" s="437">
        <f>'Anexo capacidad operativa'!Y107</f>
        <v>0</v>
      </c>
      <c r="AA66" s="438">
        <f t="shared" si="87"/>
        <v>0</v>
      </c>
      <c r="AB66" s="440">
        <f t="shared" si="88"/>
        <v>1875000</v>
      </c>
    </row>
    <row r="67" spans="1:28" ht="14.4">
      <c r="A67" s="961" t="s">
        <v>280</v>
      </c>
      <c r="B67" s="483" t="s">
        <v>281</v>
      </c>
      <c r="C67" s="442">
        <v>300000</v>
      </c>
      <c r="D67" s="423">
        <v>0</v>
      </c>
      <c r="E67" s="424">
        <f t="shared" si="76"/>
        <v>0</v>
      </c>
      <c r="F67" s="443">
        <v>0</v>
      </c>
      <c r="G67" s="424">
        <f t="shared" si="77"/>
        <v>0</v>
      </c>
      <c r="H67" s="443">
        <v>1</v>
      </c>
      <c r="I67" s="424">
        <f t="shared" si="78"/>
        <v>300000</v>
      </c>
      <c r="J67" s="443">
        <v>0</v>
      </c>
      <c r="K67" s="424">
        <f t="shared" si="79"/>
        <v>0</v>
      </c>
      <c r="L67" s="423">
        <v>0</v>
      </c>
      <c r="M67" s="424">
        <f t="shared" si="80"/>
        <v>0</v>
      </c>
      <c r="N67" s="423">
        <v>0</v>
      </c>
      <c r="O67" s="424">
        <f t="shared" si="81"/>
        <v>0</v>
      </c>
      <c r="P67" s="423">
        <v>0</v>
      </c>
      <c r="Q67" s="424">
        <f t="shared" si="82"/>
        <v>0</v>
      </c>
      <c r="R67" s="423">
        <v>0</v>
      </c>
      <c r="S67" s="424">
        <f t="shared" si="83"/>
        <v>0</v>
      </c>
      <c r="T67" s="443">
        <v>0</v>
      </c>
      <c r="U67" s="424">
        <f t="shared" si="84"/>
        <v>0</v>
      </c>
      <c r="V67" s="423">
        <v>0</v>
      </c>
      <c r="W67" s="424">
        <f t="shared" si="85"/>
        <v>0</v>
      </c>
      <c r="X67" s="443">
        <v>0</v>
      </c>
      <c r="Y67" s="424">
        <f t="shared" si="86"/>
        <v>0</v>
      </c>
      <c r="Z67" s="423">
        <v>0</v>
      </c>
      <c r="AA67" s="424">
        <f t="shared" si="87"/>
        <v>0</v>
      </c>
      <c r="AB67" s="427">
        <f t="shared" si="88"/>
        <v>300000</v>
      </c>
    </row>
    <row r="68" spans="1:28" ht="14.4">
      <c r="A68" s="811"/>
      <c r="B68" s="445" t="s">
        <v>282</v>
      </c>
      <c r="C68" s="446">
        <v>400000</v>
      </c>
      <c r="D68" s="447">
        <v>1</v>
      </c>
      <c r="E68" s="431">
        <f t="shared" si="76"/>
        <v>400000</v>
      </c>
      <c r="F68" s="447">
        <v>3</v>
      </c>
      <c r="G68" s="431">
        <f t="shared" si="77"/>
        <v>1200000</v>
      </c>
      <c r="H68" s="447">
        <v>2</v>
      </c>
      <c r="I68" s="431">
        <f t="shared" si="78"/>
        <v>800000</v>
      </c>
      <c r="J68" s="447">
        <v>2</v>
      </c>
      <c r="K68" s="431">
        <f t="shared" si="79"/>
        <v>800000</v>
      </c>
      <c r="L68" s="447">
        <v>2</v>
      </c>
      <c r="M68" s="431">
        <f t="shared" si="80"/>
        <v>800000</v>
      </c>
      <c r="N68" s="447">
        <v>2</v>
      </c>
      <c r="O68" s="431">
        <f t="shared" si="81"/>
        <v>800000</v>
      </c>
      <c r="P68" s="447">
        <v>3</v>
      </c>
      <c r="Q68" s="431">
        <f t="shared" si="82"/>
        <v>1200000</v>
      </c>
      <c r="R68" s="447">
        <v>3</v>
      </c>
      <c r="S68" s="431">
        <f t="shared" si="83"/>
        <v>1200000</v>
      </c>
      <c r="T68" s="447">
        <v>4</v>
      </c>
      <c r="U68" s="431">
        <f t="shared" si="84"/>
        <v>1600000</v>
      </c>
      <c r="V68" s="447">
        <v>4</v>
      </c>
      <c r="W68" s="431">
        <f t="shared" si="85"/>
        <v>1600000</v>
      </c>
      <c r="X68" s="447">
        <v>4</v>
      </c>
      <c r="Y68" s="431">
        <f t="shared" si="86"/>
        <v>1600000</v>
      </c>
      <c r="Z68" s="447">
        <v>4</v>
      </c>
      <c r="AA68" s="431">
        <f t="shared" si="87"/>
        <v>1600000</v>
      </c>
      <c r="AB68" s="434">
        <f t="shared" si="88"/>
        <v>13600000</v>
      </c>
    </row>
    <row r="69" spans="1:28" ht="14.4">
      <c r="A69" s="811"/>
      <c r="B69" s="449" t="s">
        <v>283</v>
      </c>
      <c r="C69" s="446">
        <v>120000</v>
      </c>
      <c r="D69" s="450">
        <v>2</v>
      </c>
      <c r="E69" s="438">
        <f t="shared" si="76"/>
        <v>240000</v>
      </c>
      <c r="F69" s="450">
        <v>2</v>
      </c>
      <c r="G69" s="438">
        <f t="shared" si="77"/>
        <v>240000</v>
      </c>
      <c r="H69" s="450">
        <v>1</v>
      </c>
      <c r="I69" s="438">
        <f t="shared" si="78"/>
        <v>120000</v>
      </c>
      <c r="J69" s="450">
        <v>2</v>
      </c>
      <c r="K69" s="438">
        <f t="shared" si="79"/>
        <v>240000</v>
      </c>
      <c r="L69" s="450">
        <v>1</v>
      </c>
      <c r="M69" s="438">
        <f t="shared" si="80"/>
        <v>120000</v>
      </c>
      <c r="N69" s="450">
        <v>2</v>
      </c>
      <c r="O69" s="438">
        <f t="shared" si="81"/>
        <v>240000</v>
      </c>
      <c r="P69" s="450">
        <v>3</v>
      </c>
      <c r="Q69" s="438">
        <f t="shared" si="82"/>
        <v>360000</v>
      </c>
      <c r="R69" s="450">
        <v>3</v>
      </c>
      <c r="S69" s="438">
        <f t="shared" si="83"/>
        <v>360000</v>
      </c>
      <c r="T69" s="450">
        <v>3</v>
      </c>
      <c r="U69" s="438">
        <f t="shared" si="84"/>
        <v>360000</v>
      </c>
      <c r="V69" s="450">
        <v>3</v>
      </c>
      <c r="W69" s="438">
        <f t="shared" si="85"/>
        <v>360000</v>
      </c>
      <c r="X69" s="450">
        <v>3</v>
      </c>
      <c r="Y69" s="438">
        <f t="shared" si="86"/>
        <v>360000</v>
      </c>
      <c r="Z69" s="450">
        <v>4</v>
      </c>
      <c r="AA69" s="438">
        <f t="shared" si="87"/>
        <v>480000</v>
      </c>
      <c r="AB69" s="440">
        <f t="shared" si="88"/>
        <v>3480000</v>
      </c>
    </row>
    <row r="70" spans="1:28" ht="14.4">
      <c r="A70" s="811"/>
      <c r="B70" s="451" t="s">
        <v>606</v>
      </c>
      <c r="C70" s="452">
        <f>Hipótesis!$C$61</f>
        <v>88000</v>
      </c>
      <c r="D70" s="453">
        <f t="shared" ref="D70:D72" si="89">D61</f>
        <v>0</v>
      </c>
      <c r="E70" s="454">
        <f t="shared" si="76"/>
        <v>0</v>
      </c>
      <c r="F70" s="453">
        <f t="shared" ref="F70:F72" si="90">F61</f>
        <v>15</v>
      </c>
      <c r="G70" s="454">
        <f t="shared" si="77"/>
        <v>1320000</v>
      </c>
      <c r="H70" s="453">
        <f t="shared" ref="H70:H72" si="91">H61</f>
        <v>15</v>
      </c>
      <c r="I70" s="454">
        <f t="shared" si="78"/>
        <v>1320000</v>
      </c>
      <c r="J70" s="453">
        <f t="shared" ref="J70:J72" si="92">J61</f>
        <v>15</v>
      </c>
      <c r="K70" s="454">
        <f t="shared" si="79"/>
        <v>1320000</v>
      </c>
      <c r="L70" s="453">
        <f t="shared" ref="L70:L72" si="93">L61</f>
        <v>15</v>
      </c>
      <c r="M70" s="454">
        <f t="shared" si="80"/>
        <v>1320000</v>
      </c>
      <c r="N70" s="453">
        <f t="shared" ref="N70:N72" si="94">N61</f>
        <v>0</v>
      </c>
      <c r="O70" s="454">
        <f t="shared" si="81"/>
        <v>0</v>
      </c>
      <c r="P70" s="453">
        <f t="shared" ref="P70:P72" si="95">P61</f>
        <v>0</v>
      </c>
      <c r="Q70" s="454">
        <f t="shared" si="82"/>
        <v>0</v>
      </c>
      <c r="R70" s="453">
        <f t="shared" ref="R70:R72" si="96">R61</f>
        <v>15</v>
      </c>
      <c r="S70" s="454">
        <f t="shared" si="83"/>
        <v>1320000</v>
      </c>
      <c r="T70" s="453">
        <f t="shared" ref="T70:T72" si="97">T61</f>
        <v>0</v>
      </c>
      <c r="U70" s="454">
        <f t="shared" si="84"/>
        <v>0</v>
      </c>
      <c r="V70" s="453">
        <f t="shared" ref="V70:V72" si="98">V61</f>
        <v>0</v>
      </c>
      <c r="W70" s="454">
        <f t="shared" si="85"/>
        <v>0</v>
      </c>
      <c r="X70" s="453">
        <f t="shared" ref="X70:X72" si="99">X61</f>
        <v>0</v>
      </c>
      <c r="Y70" s="454">
        <f t="shared" si="86"/>
        <v>0</v>
      </c>
      <c r="Z70" s="453">
        <f t="shared" ref="Z70:Z72" si="100">Z61</f>
        <v>0</v>
      </c>
      <c r="AA70" s="454">
        <f t="shared" si="87"/>
        <v>0</v>
      </c>
      <c r="AB70" s="448">
        <f t="shared" si="88"/>
        <v>6600000</v>
      </c>
    </row>
    <row r="71" spans="1:28" ht="14.4">
      <c r="A71" s="811"/>
      <c r="B71" s="451" t="s">
        <v>607</v>
      </c>
      <c r="C71" s="452">
        <f>Hipótesis!$C$62</f>
        <v>108000</v>
      </c>
      <c r="D71" s="453">
        <f t="shared" si="89"/>
        <v>0</v>
      </c>
      <c r="E71" s="454">
        <f t="shared" si="76"/>
        <v>0</v>
      </c>
      <c r="F71" s="453">
        <f t="shared" si="90"/>
        <v>0</v>
      </c>
      <c r="G71" s="454">
        <f t="shared" si="77"/>
        <v>0</v>
      </c>
      <c r="H71" s="453">
        <f t="shared" si="91"/>
        <v>0</v>
      </c>
      <c r="I71" s="454">
        <f t="shared" si="78"/>
        <v>0</v>
      </c>
      <c r="J71" s="453">
        <f t="shared" si="92"/>
        <v>15</v>
      </c>
      <c r="K71" s="454">
        <f t="shared" si="79"/>
        <v>1620000</v>
      </c>
      <c r="L71" s="453">
        <f t="shared" si="93"/>
        <v>0</v>
      </c>
      <c r="M71" s="454">
        <f t="shared" si="80"/>
        <v>0</v>
      </c>
      <c r="N71" s="453">
        <f t="shared" si="94"/>
        <v>15</v>
      </c>
      <c r="O71" s="454">
        <f t="shared" si="81"/>
        <v>1620000</v>
      </c>
      <c r="P71" s="453">
        <f t="shared" si="95"/>
        <v>0</v>
      </c>
      <c r="Q71" s="454">
        <f t="shared" si="82"/>
        <v>0</v>
      </c>
      <c r="R71" s="453">
        <f t="shared" si="96"/>
        <v>0</v>
      </c>
      <c r="S71" s="454">
        <f t="shared" si="83"/>
        <v>0</v>
      </c>
      <c r="T71" s="453">
        <f t="shared" si="97"/>
        <v>15</v>
      </c>
      <c r="U71" s="454">
        <f t="shared" si="84"/>
        <v>1620000</v>
      </c>
      <c r="V71" s="453">
        <f t="shared" si="98"/>
        <v>15</v>
      </c>
      <c r="W71" s="454">
        <f t="shared" si="85"/>
        <v>1620000</v>
      </c>
      <c r="X71" s="453">
        <f t="shared" si="99"/>
        <v>0</v>
      </c>
      <c r="Y71" s="454">
        <f t="shared" si="86"/>
        <v>0</v>
      </c>
      <c r="Z71" s="453">
        <f t="shared" si="100"/>
        <v>0</v>
      </c>
      <c r="AA71" s="454">
        <f t="shared" si="87"/>
        <v>0</v>
      </c>
      <c r="AB71" s="448">
        <f t="shared" si="88"/>
        <v>6480000</v>
      </c>
    </row>
    <row r="72" spans="1:28" ht="14.4">
      <c r="A72" s="811"/>
      <c r="B72" s="451" t="s">
        <v>609</v>
      </c>
      <c r="C72" s="452">
        <f>Hipótesis!$C$63</f>
        <v>132000</v>
      </c>
      <c r="D72" s="453">
        <f t="shared" si="89"/>
        <v>0</v>
      </c>
      <c r="E72" s="454">
        <f t="shared" si="76"/>
        <v>0</v>
      </c>
      <c r="F72" s="453">
        <f t="shared" si="90"/>
        <v>15</v>
      </c>
      <c r="G72" s="454">
        <f t="shared" si="77"/>
        <v>1980000</v>
      </c>
      <c r="H72" s="453">
        <f t="shared" si="91"/>
        <v>0</v>
      </c>
      <c r="I72" s="454">
        <f t="shared" si="78"/>
        <v>0</v>
      </c>
      <c r="J72" s="453">
        <f t="shared" si="92"/>
        <v>0</v>
      </c>
      <c r="K72" s="454">
        <f t="shared" si="79"/>
        <v>0</v>
      </c>
      <c r="L72" s="453">
        <f t="shared" si="93"/>
        <v>0</v>
      </c>
      <c r="M72" s="454">
        <f t="shared" si="80"/>
        <v>0</v>
      </c>
      <c r="N72" s="453">
        <f t="shared" si="94"/>
        <v>0</v>
      </c>
      <c r="O72" s="454">
        <f t="shared" si="81"/>
        <v>0</v>
      </c>
      <c r="P72" s="453">
        <f t="shared" si="95"/>
        <v>0</v>
      </c>
      <c r="Q72" s="454">
        <f t="shared" si="82"/>
        <v>0</v>
      </c>
      <c r="R72" s="453">
        <f t="shared" si="96"/>
        <v>0</v>
      </c>
      <c r="S72" s="454">
        <f t="shared" si="83"/>
        <v>0</v>
      </c>
      <c r="T72" s="453">
        <f t="shared" si="97"/>
        <v>30</v>
      </c>
      <c r="U72" s="454">
        <f t="shared" si="84"/>
        <v>3960000</v>
      </c>
      <c r="V72" s="453">
        <f t="shared" si="98"/>
        <v>15</v>
      </c>
      <c r="W72" s="454">
        <f t="shared" si="85"/>
        <v>1980000</v>
      </c>
      <c r="X72" s="453">
        <f t="shared" si="99"/>
        <v>15</v>
      </c>
      <c r="Y72" s="454">
        <f t="shared" si="86"/>
        <v>1980000</v>
      </c>
      <c r="Z72" s="453">
        <f t="shared" si="100"/>
        <v>0</v>
      </c>
      <c r="AA72" s="454">
        <f t="shared" si="87"/>
        <v>0</v>
      </c>
      <c r="AB72" s="448">
        <f t="shared" si="88"/>
        <v>9900000</v>
      </c>
    </row>
    <row r="73" spans="1:28" ht="14.4">
      <c r="A73" s="811"/>
      <c r="B73" s="455" t="s">
        <v>610</v>
      </c>
      <c r="C73" s="456">
        <f>Hipótesis!$C$58*0.3</f>
        <v>57000</v>
      </c>
      <c r="D73" s="453">
        <f t="shared" ref="D73:D75" si="101">D61</f>
        <v>0</v>
      </c>
      <c r="E73" s="454">
        <f t="shared" si="76"/>
        <v>0</v>
      </c>
      <c r="F73" s="453">
        <f t="shared" ref="F73:F75" si="102">F61</f>
        <v>15</v>
      </c>
      <c r="G73" s="454">
        <f t="shared" si="77"/>
        <v>855000</v>
      </c>
      <c r="H73" s="453">
        <f t="shared" ref="H73:H75" si="103">H61</f>
        <v>15</v>
      </c>
      <c r="I73" s="454">
        <f t="shared" si="78"/>
        <v>855000</v>
      </c>
      <c r="J73" s="453">
        <f t="shared" ref="J73:J75" si="104">J61</f>
        <v>15</v>
      </c>
      <c r="K73" s="454">
        <f t="shared" si="79"/>
        <v>855000</v>
      </c>
      <c r="L73" s="453">
        <f t="shared" ref="L73:L75" si="105">L61</f>
        <v>15</v>
      </c>
      <c r="M73" s="454">
        <f t="shared" si="80"/>
        <v>855000</v>
      </c>
      <c r="N73" s="453">
        <f t="shared" ref="N73:N75" si="106">N61</f>
        <v>0</v>
      </c>
      <c r="O73" s="454">
        <f t="shared" si="81"/>
        <v>0</v>
      </c>
      <c r="P73" s="453">
        <f t="shared" ref="P73:P75" si="107">P61</f>
        <v>0</v>
      </c>
      <c r="Q73" s="454">
        <f t="shared" si="82"/>
        <v>0</v>
      </c>
      <c r="R73" s="453">
        <f t="shared" ref="R73:R75" si="108">R61</f>
        <v>15</v>
      </c>
      <c r="S73" s="454">
        <f t="shared" si="83"/>
        <v>855000</v>
      </c>
      <c r="T73" s="453">
        <f t="shared" ref="T73:T75" si="109">T61</f>
        <v>0</v>
      </c>
      <c r="U73" s="454">
        <f t="shared" si="84"/>
        <v>0</v>
      </c>
      <c r="V73" s="453">
        <f t="shared" ref="V73:V75" si="110">V61</f>
        <v>0</v>
      </c>
      <c r="W73" s="454">
        <f t="shared" si="85"/>
        <v>0</v>
      </c>
      <c r="X73" s="453">
        <f t="shared" ref="X73:X75" si="111">X61</f>
        <v>0</v>
      </c>
      <c r="Y73" s="454">
        <f t="shared" si="86"/>
        <v>0</v>
      </c>
      <c r="Z73" s="453">
        <f t="shared" ref="Z73:Z75" si="112">Z61</f>
        <v>0</v>
      </c>
      <c r="AA73" s="454">
        <f t="shared" si="87"/>
        <v>0</v>
      </c>
      <c r="AB73" s="448">
        <f t="shared" si="88"/>
        <v>4275000</v>
      </c>
    </row>
    <row r="74" spans="1:28" ht="14.4">
      <c r="A74" s="811"/>
      <c r="B74" s="455" t="s">
        <v>611</v>
      </c>
      <c r="C74" s="456">
        <f>Hipótesis!$C$59*0.3</f>
        <v>72000</v>
      </c>
      <c r="D74" s="453">
        <f t="shared" si="101"/>
        <v>0</v>
      </c>
      <c r="E74" s="454">
        <f t="shared" si="76"/>
        <v>0</v>
      </c>
      <c r="F74" s="453">
        <f t="shared" si="102"/>
        <v>0</v>
      </c>
      <c r="G74" s="454">
        <f t="shared" si="77"/>
        <v>0</v>
      </c>
      <c r="H74" s="453">
        <f t="shared" si="103"/>
        <v>0</v>
      </c>
      <c r="I74" s="454">
        <f t="shared" si="78"/>
        <v>0</v>
      </c>
      <c r="J74" s="453">
        <f t="shared" si="104"/>
        <v>15</v>
      </c>
      <c r="K74" s="454">
        <f t="shared" si="79"/>
        <v>1080000</v>
      </c>
      <c r="L74" s="453">
        <f t="shared" si="105"/>
        <v>0</v>
      </c>
      <c r="M74" s="454">
        <f t="shared" si="80"/>
        <v>0</v>
      </c>
      <c r="N74" s="453">
        <f t="shared" si="106"/>
        <v>15</v>
      </c>
      <c r="O74" s="454">
        <f t="shared" si="81"/>
        <v>1080000</v>
      </c>
      <c r="P74" s="453">
        <f t="shared" si="107"/>
        <v>0</v>
      </c>
      <c r="Q74" s="454">
        <f t="shared" si="82"/>
        <v>0</v>
      </c>
      <c r="R74" s="453">
        <f t="shared" si="108"/>
        <v>0</v>
      </c>
      <c r="S74" s="454">
        <f t="shared" si="83"/>
        <v>0</v>
      </c>
      <c r="T74" s="453">
        <f t="shared" si="109"/>
        <v>15</v>
      </c>
      <c r="U74" s="454">
        <f t="shared" si="84"/>
        <v>1080000</v>
      </c>
      <c r="V74" s="453">
        <f t="shared" si="110"/>
        <v>15</v>
      </c>
      <c r="W74" s="454">
        <f t="shared" si="85"/>
        <v>1080000</v>
      </c>
      <c r="X74" s="453">
        <f t="shared" si="111"/>
        <v>0</v>
      </c>
      <c r="Y74" s="454">
        <f t="shared" si="86"/>
        <v>0</v>
      </c>
      <c r="Z74" s="453">
        <f t="shared" si="112"/>
        <v>0</v>
      </c>
      <c r="AA74" s="454">
        <f t="shared" si="87"/>
        <v>0</v>
      </c>
      <c r="AB74" s="448">
        <f t="shared" si="88"/>
        <v>4320000</v>
      </c>
    </row>
    <row r="75" spans="1:28" ht="14.4">
      <c r="A75" s="811"/>
      <c r="B75" s="455" t="s">
        <v>608</v>
      </c>
      <c r="C75" s="456">
        <f>Hipótesis!$C$60*0.3</f>
        <v>93000</v>
      </c>
      <c r="D75" s="453">
        <f t="shared" si="101"/>
        <v>0</v>
      </c>
      <c r="E75" s="454">
        <f t="shared" si="76"/>
        <v>0</v>
      </c>
      <c r="F75" s="453">
        <f t="shared" si="102"/>
        <v>15</v>
      </c>
      <c r="G75" s="454">
        <f t="shared" si="77"/>
        <v>1395000</v>
      </c>
      <c r="H75" s="453">
        <f t="shared" si="103"/>
        <v>0</v>
      </c>
      <c r="I75" s="454">
        <f t="shared" si="78"/>
        <v>0</v>
      </c>
      <c r="J75" s="453">
        <f t="shared" si="104"/>
        <v>0</v>
      </c>
      <c r="K75" s="454">
        <f t="shared" si="79"/>
        <v>0</v>
      </c>
      <c r="L75" s="453">
        <f t="shared" si="105"/>
        <v>0</v>
      </c>
      <c r="M75" s="454">
        <f t="shared" si="80"/>
        <v>0</v>
      </c>
      <c r="N75" s="453">
        <f t="shared" si="106"/>
        <v>0</v>
      </c>
      <c r="O75" s="454">
        <f t="shared" si="81"/>
        <v>0</v>
      </c>
      <c r="P75" s="453">
        <f t="shared" si="107"/>
        <v>0</v>
      </c>
      <c r="Q75" s="454">
        <f t="shared" si="82"/>
        <v>0</v>
      </c>
      <c r="R75" s="453">
        <f t="shared" si="108"/>
        <v>0</v>
      </c>
      <c r="S75" s="454">
        <f t="shared" si="83"/>
        <v>0</v>
      </c>
      <c r="T75" s="453">
        <f t="shared" si="109"/>
        <v>30</v>
      </c>
      <c r="U75" s="454">
        <f t="shared" si="84"/>
        <v>2790000</v>
      </c>
      <c r="V75" s="453">
        <f t="shared" si="110"/>
        <v>15</v>
      </c>
      <c r="W75" s="454">
        <f t="shared" si="85"/>
        <v>1395000</v>
      </c>
      <c r="X75" s="453">
        <f t="shared" si="111"/>
        <v>15</v>
      </c>
      <c r="Y75" s="454">
        <f t="shared" si="86"/>
        <v>1395000</v>
      </c>
      <c r="Z75" s="453">
        <f t="shared" si="112"/>
        <v>0</v>
      </c>
      <c r="AA75" s="454">
        <f t="shared" si="87"/>
        <v>0</v>
      </c>
      <c r="AB75" s="448">
        <f t="shared" si="88"/>
        <v>6975000</v>
      </c>
    </row>
    <row r="76" spans="1:28" ht="14.4">
      <c r="A76" s="812"/>
      <c r="B76" s="487"/>
      <c r="C76" s="485">
        <v>0</v>
      </c>
      <c r="D76" s="459">
        <v>0</v>
      </c>
      <c r="E76" s="460">
        <v>0</v>
      </c>
      <c r="F76" s="461">
        <v>0</v>
      </c>
      <c r="G76" s="460">
        <v>0</v>
      </c>
      <c r="H76" s="461">
        <v>0</v>
      </c>
      <c r="I76" s="460">
        <v>0</v>
      </c>
      <c r="J76" s="461">
        <v>0</v>
      </c>
      <c r="K76" s="460">
        <v>0</v>
      </c>
      <c r="L76" s="461">
        <v>0</v>
      </c>
      <c r="M76" s="460">
        <v>0</v>
      </c>
      <c r="N76" s="461">
        <v>0</v>
      </c>
      <c r="O76" s="460">
        <v>0</v>
      </c>
      <c r="P76" s="461">
        <v>0</v>
      </c>
      <c r="Q76" s="460">
        <v>0</v>
      </c>
      <c r="R76" s="461">
        <v>0</v>
      </c>
      <c r="S76" s="460">
        <v>0</v>
      </c>
      <c r="T76" s="461">
        <v>0</v>
      </c>
      <c r="U76" s="460">
        <v>0</v>
      </c>
      <c r="V76" s="461">
        <v>0</v>
      </c>
      <c r="W76" s="460">
        <v>0</v>
      </c>
      <c r="X76" s="461">
        <v>0</v>
      </c>
      <c r="Y76" s="460">
        <v>0</v>
      </c>
      <c r="Z76" s="461">
        <v>0</v>
      </c>
      <c r="AA76" s="454">
        <v>0</v>
      </c>
      <c r="AB76" s="486">
        <f t="shared" ref="AB76:AB77" si="113">E76+G76+I76+K76+M76+O76+Q76+S76+U76+W76+Y76+AA76</f>
        <v>0</v>
      </c>
    </row>
    <row r="77" spans="1:28" ht="14.4">
      <c r="A77" s="462"/>
      <c r="B77" s="463"/>
      <c r="C77" s="464">
        <v>0</v>
      </c>
      <c r="D77" s="465">
        <v>0</v>
      </c>
      <c r="E77" s="466">
        <v>0</v>
      </c>
      <c r="F77" s="467">
        <v>0</v>
      </c>
      <c r="G77" s="466">
        <v>0</v>
      </c>
      <c r="H77" s="467">
        <v>0</v>
      </c>
      <c r="I77" s="466">
        <v>0</v>
      </c>
      <c r="J77" s="467">
        <v>0</v>
      </c>
      <c r="K77" s="466">
        <v>0</v>
      </c>
      <c r="L77" s="467">
        <v>0</v>
      </c>
      <c r="M77" s="468">
        <f>((L66*24)+(L65*18)+(L64*12))*6*1034</f>
        <v>0</v>
      </c>
      <c r="N77" s="467">
        <v>0</v>
      </c>
      <c r="O77" s="468">
        <f>((N66*24)+(N65*18)+(N64*12))*6*1034</f>
        <v>0</v>
      </c>
      <c r="P77" s="467">
        <v>0</v>
      </c>
      <c r="Q77" s="466">
        <v>0</v>
      </c>
      <c r="R77" s="467">
        <v>0</v>
      </c>
      <c r="S77" s="468">
        <f>((R66*24)+(R65*18)+(R64*12))*6*1034</f>
        <v>0</v>
      </c>
      <c r="T77" s="467">
        <v>0</v>
      </c>
      <c r="U77" s="466">
        <v>0</v>
      </c>
      <c r="V77" s="467">
        <v>0</v>
      </c>
      <c r="W77" s="466">
        <v>0</v>
      </c>
      <c r="X77" s="467">
        <v>0</v>
      </c>
      <c r="Y77" s="466">
        <v>0</v>
      </c>
      <c r="Z77" s="467">
        <v>0</v>
      </c>
      <c r="AA77" s="468">
        <f>((Z66*24)+(Z65*18)+(Z64*12))*6*1034</f>
        <v>0</v>
      </c>
      <c r="AB77" s="440">
        <f t="shared" si="113"/>
        <v>0</v>
      </c>
    </row>
    <row r="78" spans="1:28" ht="14.4">
      <c r="A78" s="1"/>
      <c r="B78" s="469" t="s">
        <v>284</v>
      </c>
      <c r="C78" s="470"/>
      <c r="D78" s="471"/>
      <c r="E78" s="472">
        <f>SUM(E61:E77)</f>
        <v>1015000</v>
      </c>
      <c r="F78" s="473"/>
      <c r="G78" s="472">
        <f>SUM(G61:G77)</f>
        <v>11555625</v>
      </c>
      <c r="H78" s="473"/>
      <c r="I78" s="472">
        <f>SUM(I61:I77)</f>
        <v>4896875</v>
      </c>
      <c r="J78" s="473"/>
      <c r="K78" s="472">
        <f>SUM(K61:K77)</f>
        <v>9385625</v>
      </c>
      <c r="L78" s="473"/>
      <c r="M78" s="472">
        <f>SUM(M61:M77)</f>
        <v>4484375</v>
      </c>
      <c r="N78" s="471"/>
      <c r="O78" s="472">
        <f>SUM(O61:O77)</f>
        <v>5465000</v>
      </c>
      <c r="P78" s="473"/>
      <c r="Q78" s="472">
        <f>SUM(Q61:Q77)</f>
        <v>1672500</v>
      </c>
      <c r="R78" s="473"/>
      <c r="S78" s="472">
        <f>SUM(S61:S77)</f>
        <v>5124375</v>
      </c>
      <c r="T78" s="473"/>
      <c r="U78" s="472">
        <f>SUM(U61:U77)</f>
        <v>19618750</v>
      </c>
      <c r="V78" s="473"/>
      <c r="W78" s="472">
        <f>SUM(W61:W77)</f>
        <v>13442500</v>
      </c>
      <c r="X78" s="473"/>
      <c r="Y78" s="472">
        <f>SUM(Y61:Y77)</f>
        <v>9017500</v>
      </c>
      <c r="Z78" s="473"/>
      <c r="AA78" s="474">
        <f>SUM(AA64:AA77)</f>
        <v>2080000</v>
      </c>
      <c r="AB78" s="475">
        <f>SUM(E78:AA78)</f>
        <v>87758125</v>
      </c>
    </row>
    <row r="79" spans="1:28" ht="14.4">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4.4">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4.4">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4.4">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4.4">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4.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4.4">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4.4">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4.4">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4.4">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4.4">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4.4">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4.4">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4.4">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4.4">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4.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4.4">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4.4">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4.4">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4.4">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4.4">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4.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4.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4.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4.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4.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4.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4.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4.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4.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4.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4.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4.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4.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4.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4.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4.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4.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4.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4.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4.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4.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4.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4.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4.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4.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4.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4.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4.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4.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4.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4.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4.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4.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4.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4.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4.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4.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4.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4.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4.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4.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4.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4.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4.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4.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4.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4.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4.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4.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4.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4.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4.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4.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4.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4.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4.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4.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4.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4.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4.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4.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4.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4.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4.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4.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4.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4.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4.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4.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4.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4.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4.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4.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4.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4.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4.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4.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4.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4.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4.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4.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4.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4.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4.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4.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4.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4.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4.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4.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4.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4.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4.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4.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4.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4.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4.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4.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4.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4.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4.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4.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4.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4.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4.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4.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4.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4.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4.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4.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4.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4.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4.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4.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4.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4.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4.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4.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4.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4.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4.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4.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4.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4.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4.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4.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4.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4.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4.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4.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4.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4.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4.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4.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4.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4.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4.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4.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4.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4.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4.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4.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4.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4.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4.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4.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4.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4.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4.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4.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4.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4.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4.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4.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4.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4.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4.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4.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4.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4.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4.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4.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4.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4.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4.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4.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4.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4.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4.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4.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4.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4.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4.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4.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4.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4.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4.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4.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sheetData>
  <mergeCells count="54">
    <mergeCell ref="X59:Y59"/>
    <mergeCell ref="AB59:AB60"/>
    <mergeCell ref="N59:O59"/>
    <mergeCell ref="P59:Q59"/>
    <mergeCell ref="R59:S59"/>
    <mergeCell ref="T59:U59"/>
    <mergeCell ref="V59:W59"/>
    <mergeCell ref="B4:D4"/>
    <mergeCell ref="H4:J4"/>
    <mergeCell ref="H8:J8"/>
    <mergeCell ref="B12:AB12"/>
    <mergeCell ref="B13:C13"/>
    <mergeCell ref="D13:E13"/>
    <mergeCell ref="F13:G13"/>
    <mergeCell ref="A44:A53"/>
    <mergeCell ref="A61:A66"/>
    <mergeCell ref="A67:A76"/>
    <mergeCell ref="R36:S36"/>
    <mergeCell ref="T36:U36"/>
    <mergeCell ref="A38:A43"/>
    <mergeCell ref="B58:AB58"/>
    <mergeCell ref="B59:C59"/>
    <mergeCell ref="D59:E59"/>
    <mergeCell ref="Z59:AA59"/>
    <mergeCell ref="V36:W36"/>
    <mergeCell ref="X36:Y36"/>
    <mergeCell ref="F59:G59"/>
    <mergeCell ref="H59:I59"/>
    <mergeCell ref="J59:K59"/>
    <mergeCell ref="L59:M59"/>
    <mergeCell ref="A15:A20"/>
    <mergeCell ref="A21:A30"/>
    <mergeCell ref="B35:AB35"/>
    <mergeCell ref="B36:C36"/>
    <mergeCell ref="D36:E36"/>
    <mergeCell ref="Z36:AA36"/>
    <mergeCell ref="V13:W13"/>
    <mergeCell ref="X13:Y13"/>
    <mergeCell ref="Z13:AA13"/>
    <mergeCell ref="AB13:AB14"/>
    <mergeCell ref="F36:G36"/>
    <mergeCell ref="H36:I36"/>
    <mergeCell ref="J36:K36"/>
    <mergeCell ref="L36:M36"/>
    <mergeCell ref="N36:O36"/>
    <mergeCell ref="P36:Q36"/>
    <mergeCell ref="AB36:AB37"/>
    <mergeCell ref="H13:I13"/>
    <mergeCell ref="J13:K13"/>
    <mergeCell ref="L13:M13"/>
    <mergeCell ref="N13:O13"/>
    <mergeCell ref="P13:Q13"/>
    <mergeCell ref="R13:S13"/>
    <mergeCell ref="T13:U13"/>
  </mergeCells>
  <pageMargins left="0.7" right="0.7" top="0.75" bottom="0.75" header="0" footer="0"/>
  <pageSetup orientation="portrait"/>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399"/>
  <sheetViews>
    <sheetView workbookViewId="0">
      <pane ySplit="1" topLeftCell="A2" activePane="bottomLeft" state="frozen"/>
      <selection pane="bottomLeft" activeCell="B3" sqref="B3"/>
    </sheetView>
  </sheetViews>
  <sheetFormatPr baseColWidth="10" defaultColWidth="12.59765625" defaultRowHeight="15" customHeight="1"/>
  <cols>
    <col min="1" max="1" width="10" customWidth="1"/>
    <col min="2" max="2" width="40.59765625" customWidth="1"/>
    <col min="3" max="3" width="31.5" customWidth="1"/>
    <col min="4" max="4" width="13.8984375" customWidth="1"/>
    <col min="5" max="5" width="72.3984375" customWidth="1"/>
    <col min="6" max="6" width="12.59765625" customWidth="1"/>
    <col min="7" max="7" width="11.3984375" customWidth="1"/>
    <col min="8" max="8" width="35.3984375" customWidth="1"/>
    <col min="9" max="9" width="13.8984375" customWidth="1"/>
    <col min="10" max="10" width="14" customWidth="1"/>
    <col min="11" max="11" width="12" customWidth="1"/>
    <col min="12" max="12" width="17.5" customWidth="1"/>
    <col min="13" max="13" width="10.5" customWidth="1"/>
    <col min="14" max="14" width="12.59765625" customWidth="1"/>
    <col min="15" max="15" width="8.3984375" customWidth="1"/>
    <col min="16" max="16" width="12.59765625" customWidth="1"/>
    <col min="17" max="17" width="8.3984375" customWidth="1"/>
    <col min="18" max="18" width="12.59765625" customWidth="1"/>
    <col min="19" max="19" width="10.59765625" customWidth="1"/>
    <col min="20" max="20" width="12.59765625" customWidth="1"/>
    <col min="21" max="21" width="8.3984375" customWidth="1"/>
    <col min="22" max="22" width="12.59765625" customWidth="1"/>
    <col min="23" max="23" width="10.19921875" customWidth="1"/>
    <col min="24" max="24" width="12.59765625" customWidth="1"/>
    <col min="25" max="25" width="14.5" customWidth="1"/>
    <col min="26" max="26" width="12.59765625" customWidth="1"/>
    <col min="27" max="27" width="14.09765625" customWidth="1"/>
    <col min="28" max="28" width="10" customWidth="1"/>
    <col min="29" max="29" width="10.8984375" customWidth="1"/>
    <col min="30" max="31" width="10" customWidth="1"/>
  </cols>
  <sheetData>
    <row r="1" spans="1:31" ht="15" customHeight="1">
      <c r="A1" s="10"/>
      <c r="B1" s="10"/>
      <c r="C1" s="10"/>
      <c r="D1" s="10"/>
      <c r="E1" s="218" t="s">
        <v>8</v>
      </c>
      <c r="F1" s="488"/>
      <c r="G1" s="488"/>
      <c r="H1" s="10"/>
      <c r="I1" s="10"/>
      <c r="J1" s="10"/>
      <c r="K1" s="10"/>
      <c r="L1" s="10"/>
      <c r="M1" s="10"/>
      <c r="N1" s="10"/>
      <c r="O1" s="10"/>
      <c r="P1" s="10"/>
      <c r="Q1" s="10"/>
      <c r="R1" s="10"/>
      <c r="S1" s="10"/>
      <c r="T1" s="10"/>
      <c r="U1" s="10"/>
      <c r="V1" s="10"/>
      <c r="W1" s="10"/>
      <c r="X1" s="10"/>
      <c r="Y1" s="10"/>
      <c r="Z1" s="10"/>
      <c r="AA1" s="10"/>
      <c r="AB1" s="10"/>
      <c r="AC1" s="10"/>
      <c r="AD1" s="10"/>
      <c r="AE1" s="10"/>
    </row>
    <row r="2" spans="1:31" ht="1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1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row>
    <row r="4" spans="1:31" ht="15" customHeight="1">
      <c r="A4" s="1"/>
      <c r="B4" s="798" t="s">
        <v>51</v>
      </c>
      <c r="C4" s="799"/>
      <c r="D4" s="800"/>
      <c r="E4" s="28"/>
      <c r="F4" s="1"/>
      <c r="G4" s="1"/>
      <c r="H4" s="798" t="s">
        <v>287</v>
      </c>
      <c r="I4" s="799"/>
      <c r="J4" s="800"/>
      <c r="K4" s="1"/>
      <c r="L4" s="1"/>
      <c r="M4" s="1"/>
      <c r="N4" s="1"/>
      <c r="O4" s="1"/>
      <c r="P4" s="1"/>
      <c r="Q4" s="1"/>
      <c r="R4" s="1"/>
      <c r="S4" s="1"/>
      <c r="T4" s="1"/>
      <c r="U4" s="1"/>
      <c r="V4" s="1"/>
      <c r="W4" s="1"/>
      <c r="X4" s="1"/>
      <c r="Y4" s="1"/>
      <c r="Z4" s="1"/>
      <c r="AA4" s="1"/>
      <c r="AB4" s="1"/>
      <c r="AC4" s="1"/>
      <c r="AD4" s="1"/>
      <c r="AE4" s="1"/>
    </row>
    <row r="5" spans="1:31" ht="15" customHeight="1">
      <c r="A5" s="1"/>
      <c r="B5" s="69">
        <v>2026</v>
      </c>
      <c r="C5" s="70">
        <v>2027</v>
      </c>
      <c r="D5" s="71">
        <v>2028</v>
      </c>
      <c r="E5" s="290"/>
      <c r="F5" s="1"/>
      <c r="G5" s="1"/>
      <c r="H5" s="69">
        <v>2026</v>
      </c>
      <c r="I5" s="70">
        <v>2027</v>
      </c>
      <c r="J5" s="71">
        <v>2028</v>
      </c>
      <c r="K5" s="1"/>
      <c r="L5" s="1"/>
      <c r="M5" s="1"/>
      <c r="N5" s="1"/>
      <c r="O5" s="1"/>
      <c r="P5" s="1"/>
      <c r="Q5" s="1"/>
      <c r="R5" s="1"/>
      <c r="S5" s="1"/>
      <c r="T5" s="1"/>
      <c r="U5" s="1"/>
      <c r="V5" s="1"/>
      <c r="W5" s="1"/>
      <c r="X5" s="1"/>
      <c r="Y5" s="1"/>
      <c r="Z5" s="1"/>
      <c r="AA5" s="1"/>
      <c r="AB5" s="1"/>
      <c r="AC5" s="1"/>
      <c r="AD5" s="1"/>
      <c r="AE5" s="1"/>
    </row>
    <row r="6" spans="1:31" ht="15" customHeight="1">
      <c r="A6" s="1"/>
      <c r="B6" s="74">
        <f>Hipótesis!C24</f>
        <v>0.02</v>
      </c>
      <c r="C6" s="74">
        <f>Hipótesis!C25</f>
        <v>0.06</v>
      </c>
      <c r="D6" s="74">
        <f>Hipótesis!C26</f>
        <v>0.1</v>
      </c>
      <c r="E6" s="415"/>
      <c r="F6" s="1"/>
      <c r="G6" s="1"/>
      <c r="H6" s="76">
        <f>$AA$134</f>
        <v>77670013.524999991</v>
      </c>
      <c r="I6" s="77">
        <f>$AA$195</f>
        <v>149731451.31999999</v>
      </c>
      <c r="J6" s="78">
        <f>$AA$256</f>
        <v>221914893.39499998</v>
      </c>
      <c r="K6" s="1"/>
      <c r="L6" s="1"/>
      <c r="M6" s="1"/>
      <c r="N6" s="1"/>
      <c r="O6" s="1"/>
      <c r="P6" s="1"/>
      <c r="Q6" s="1"/>
      <c r="R6" s="1"/>
      <c r="S6" s="1"/>
      <c r="T6" s="1"/>
      <c r="U6" s="1"/>
      <c r="V6" s="1"/>
      <c r="W6" s="1"/>
      <c r="X6" s="1"/>
      <c r="Y6" s="1"/>
      <c r="Z6" s="1"/>
      <c r="AA6" s="1"/>
      <c r="AB6" s="1"/>
      <c r="AC6" s="1"/>
      <c r="AD6" s="1"/>
      <c r="AE6" s="1"/>
    </row>
    <row r="7" spans="1:31" ht="15" customHeight="1">
      <c r="A7" s="1"/>
      <c r="B7" s="337">
        <f>Hipótesis!D24</f>
        <v>102480000</v>
      </c>
      <c r="C7" s="337">
        <f>Hipótesis!D25</f>
        <v>307440000</v>
      </c>
      <c r="D7" s="337">
        <f>Hipótesis!D26</f>
        <v>512400000</v>
      </c>
      <c r="E7" s="369"/>
      <c r="F7" s="1"/>
      <c r="G7" s="1"/>
      <c r="H7" s="1"/>
      <c r="I7" s="1"/>
      <c r="J7" s="1"/>
      <c r="K7" s="1"/>
      <c r="L7" s="1"/>
      <c r="M7" s="1"/>
      <c r="N7" s="1"/>
      <c r="O7" s="1"/>
      <c r="P7" s="1"/>
      <c r="Q7" s="1"/>
      <c r="R7" s="1"/>
      <c r="S7" s="1"/>
      <c r="T7" s="1"/>
      <c r="U7" s="1"/>
      <c r="V7" s="1"/>
      <c r="W7" s="1"/>
      <c r="X7" s="1"/>
      <c r="Y7" s="1"/>
      <c r="Z7" s="1"/>
      <c r="AA7" s="1"/>
      <c r="AB7" s="1"/>
      <c r="AC7" s="1"/>
      <c r="AD7" s="1"/>
      <c r="AE7" s="1"/>
    </row>
    <row r="8" spans="1:31" ht="1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row>
    <row r="9" spans="1:31" ht="15" customHeight="1">
      <c r="A9" s="1"/>
      <c r="B9" s="489" t="s">
        <v>288</v>
      </c>
      <c r="C9" s="4"/>
      <c r="D9" s="1"/>
      <c r="E9" s="1"/>
      <c r="F9" s="1"/>
      <c r="G9" s="1"/>
      <c r="H9" s="1"/>
      <c r="I9" s="1"/>
      <c r="J9" s="1"/>
      <c r="K9" s="1"/>
      <c r="L9" s="1"/>
      <c r="M9" s="1"/>
      <c r="N9" s="1"/>
      <c r="O9" s="1"/>
      <c r="P9" s="1"/>
      <c r="Q9" s="1"/>
      <c r="R9" s="1"/>
      <c r="S9" s="1"/>
      <c r="T9" s="1"/>
      <c r="U9" s="1"/>
      <c r="V9" s="1"/>
      <c r="W9" s="1"/>
      <c r="X9" s="1"/>
      <c r="Y9" s="1"/>
      <c r="Z9" s="1"/>
      <c r="AA9" s="1"/>
      <c r="AB9" s="1"/>
      <c r="AC9" s="1"/>
      <c r="AD9" s="1"/>
      <c r="AE9" s="1"/>
    </row>
    <row r="10" spans="1:31" ht="15" customHeight="1">
      <c r="A10" s="1"/>
      <c r="B10" s="490" t="s">
        <v>289</v>
      </c>
      <c r="C10" s="4"/>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row>
    <row r="11" spans="1:31" ht="1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row>
    <row r="12" spans="1:31" ht="1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row>
    <row r="13" spans="1:31" ht="15" customHeight="1">
      <c r="A13" s="1"/>
      <c r="B13" s="798" t="s">
        <v>290</v>
      </c>
      <c r="C13" s="799"/>
      <c r="D13" s="799"/>
      <c r="E13" s="799"/>
      <c r="F13" s="799"/>
      <c r="G13" s="799"/>
      <c r="H13" s="799"/>
      <c r="I13" s="799"/>
      <c r="J13" s="799"/>
      <c r="K13" s="799"/>
      <c r="L13" s="800"/>
      <c r="M13" s="1"/>
      <c r="N13" s="1"/>
      <c r="O13" s="1"/>
      <c r="P13" s="1"/>
      <c r="Q13" s="1"/>
      <c r="R13" s="1"/>
      <c r="S13" s="1"/>
      <c r="T13" s="1"/>
      <c r="U13" s="1"/>
      <c r="V13" s="1"/>
      <c r="W13" s="1"/>
      <c r="X13" s="1"/>
      <c r="Y13" s="1"/>
      <c r="Z13" s="1"/>
      <c r="AA13" s="1"/>
      <c r="AB13" s="1"/>
      <c r="AC13" s="1"/>
      <c r="AD13" s="1"/>
      <c r="AE13" s="1"/>
    </row>
    <row r="14" spans="1:31" ht="15" customHeight="1">
      <c r="A14" s="1"/>
      <c r="B14" s="974" t="s">
        <v>291</v>
      </c>
      <c r="C14" s="970" t="s">
        <v>292</v>
      </c>
      <c r="D14" s="972" t="s">
        <v>293</v>
      </c>
      <c r="E14" s="491" t="s">
        <v>294</v>
      </c>
      <c r="F14" s="492" t="s">
        <v>295</v>
      </c>
      <c r="G14" s="492" t="s">
        <v>296</v>
      </c>
      <c r="H14" s="492" t="s">
        <v>297</v>
      </c>
      <c r="I14" s="493" t="s">
        <v>298</v>
      </c>
      <c r="J14" s="494" t="s">
        <v>299</v>
      </c>
      <c r="K14" s="973" t="s">
        <v>300</v>
      </c>
      <c r="L14" s="973" t="s">
        <v>301</v>
      </c>
      <c r="M14" s="1"/>
      <c r="N14" s="1"/>
      <c r="O14" s="1"/>
      <c r="P14" s="1"/>
      <c r="Q14" s="1"/>
      <c r="R14" s="1"/>
      <c r="S14" s="1"/>
      <c r="T14" s="1"/>
      <c r="U14" s="1"/>
      <c r="V14" s="1"/>
      <c r="W14" s="1"/>
      <c r="X14" s="1"/>
      <c r="Y14" s="1"/>
      <c r="Z14" s="1"/>
      <c r="AA14" s="1"/>
      <c r="AB14" s="1"/>
      <c r="AC14" s="1"/>
      <c r="AD14" s="1"/>
      <c r="AE14" s="1"/>
    </row>
    <row r="15" spans="1:31" ht="15" customHeight="1">
      <c r="A15" s="1"/>
      <c r="B15" s="839"/>
      <c r="C15" s="971"/>
      <c r="D15" s="841"/>
      <c r="E15" s="495">
        <v>0.1047</v>
      </c>
      <c r="F15" s="496">
        <v>1.54E-2</v>
      </c>
      <c r="G15" s="497">
        <v>0.06</v>
      </c>
      <c r="H15" s="496">
        <v>9.1999999999999998E-3</v>
      </c>
      <c r="I15" s="497" t="s">
        <v>302</v>
      </c>
      <c r="J15" s="498">
        <v>0.03</v>
      </c>
      <c r="K15" s="958"/>
      <c r="L15" s="958"/>
      <c r="M15" s="1"/>
      <c r="N15" s="1"/>
      <c r="O15" s="1"/>
      <c r="P15" s="1"/>
      <c r="Q15" s="1"/>
      <c r="R15" s="1"/>
      <c r="S15" s="1"/>
      <c r="T15" s="1"/>
      <c r="U15" s="1"/>
      <c r="V15" s="1"/>
      <c r="W15" s="1"/>
      <c r="X15" s="1"/>
      <c r="Y15" s="1"/>
      <c r="Z15" s="1"/>
      <c r="AA15" s="1"/>
      <c r="AB15" s="1"/>
      <c r="AC15" s="1"/>
      <c r="AD15" s="1"/>
      <c r="AE15" s="1"/>
    </row>
    <row r="16" spans="1:31" ht="15" customHeight="1">
      <c r="A16" s="1"/>
      <c r="B16" s="499" t="s">
        <v>303</v>
      </c>
      <c r="C16" s="500" t="s">
        <v>304</v>
      </c>
      <c r="D16" s="501">
        <v>2400000</v>
      </c>
      <c r="E16" s="502">
        <f t="shared" ref="E16:H16" si="0">$D$16*E15</f>
        <v>251280</v>
      </c>
      <c r="F16" s="503">
        <f t="shared" si="0"/>
        <v>36960</v>
      </c>
      <c r="G16" s="503">
        <f t="shared" si="0"/>
        <v>144000</v>
      </c>
      <c r="H16" s="503">
        <f t="shared" si="0"/>
        <v>22080</v>
      </c>
      <c r="I16" s="503">
        <v>18.57</v>
      </c>
      <c r="J16" s="504">
        <f>$D$16*J15</f>
        <v>72000</v>
      </c>
      <c r="K16" s="505">
        <f t="shared" ref="K16:K71" si="1">SUM(E16:J16)</f>
        <v>526338.57000000007</v>
      </c>
      <c r="L16" s="506">
        <f t="shared" ref="L16:L71" si="2">D16+K16</f>
        <v>2926338.5700000003</v>
      </c>
      <c r="M16" s="1"/>
      <c r="N16" s="1"/>
      <c r="O16" s="1"/>
      <c r="P16" s="1"/>
      <c r="Q16" s="1"/>
      <c r="R16" s="1"/>
      <c r="S16" s="1"/>
      <c r="T16" s="1"/>
      <c r="U16" s="1"/>
      <c r="V16" s="1"/>
      <c r="W16" s="1"/>
      <c r="X16" s="1"/>
      <c r="Y16" s="1"/>
      <c r="Z16" s="1"/>
      <c r="AA16" s="1"/>
      <c r="AB16" s="1"/>
      <c r="AC16" s="1"/>
      <c r="AD16" s="1"/>
      <c r="AE16" s="1"/>
    </row>
    <row r="17" spans="1:31" ht="15" customHeight="1">
      <c r="A17" s="13"/>
      <c r="B17" s="975" t="s">
        <v>305</v>
      </c>
      <c r="C17" s="507" t="s">
        <v>80</v>
      </c>
      <c r="D17" s="508">
        <v>2000000</v>
      </c>
      <c r="E17" s="509">
        <f t="shared" ref="E17:E71" si="3">$D17*$E$15</f>
        <v>209400</v>
      </c>
      <c r="F17" s="509">
        <f t="shared" ref="F17:H17" si="4">$D17*F$15</f>
        <v>30800</v>
      </c>
      <c r="G17" s="509">
        <f t="shared" si="4"/>
        <v>120000</v>
      </c>
      <c r="H17" s="509">
        <f t="shared" si="4"/>
        <v>18400</v>
      </c>
      <c r="I17" s="509">
        <v>18.57</v>
      </c>
      <c r="J17" s="509">
        <f t="shared" ref="J17:J71" si="5">$D17*J$15</f>
        <v>60000</v>
      </c>
      <c r="K17" s="509">
        <f t="shared" si="1"/>
        <v>438618.57</v>
      </c>
      <c r="L17" s="510">
        <f t="shared" si="2"/>
        <v>2438618.5699999998</v>
      </c>
      <c r="M17" s="175"/>
      <c r="N17" s="1"/>
      <c r="O17" s="1"/>
      <c r="P17" s="1"/>
      <c r="Q17" s="1"/>
      <c r="R17" s="1"/>
      <c r="S17" s="1"/>
      <c r="T17" s="1"/>
      <c r="U17" s="1"/>
      <c r="V17" s="1"/>
      <c r="W17" s="1"/>
      <c r="X17" s="1"/>
      <c r="Y17" s="1"/>
      <c r="Z17" s="1"/>
      <c r="AA17" s="1"/>
      <c r="AB17" s="1"/>
      <c r="AC17" s="1"/>
      <c r="AD17" s="1"/>
      <c r="AE17" s="1"/>
    </row>
    <row r="18" spans="1:31" ht="15" customHeight="1">
      <c r="A18" s="13"/>
      <c r="B18" s="976"/>
      <c r="C18" s="489" t="s">
        <v>306</v>
      </c>
      <c r="D18" s="511">
        <v>1900000</v>
      </c>
      <c r="E18" s="512">
        <f t="shared" si="3"/>
        <v>198930</v>
      </c>
      <c r="F18" s="512">
        <f t="shared" ref="F18:H18" si="6">$D18*F$15</f>
        <v>29260</v>
      </c>
      <c r="G18" s="512">
        <f t="shared" si="6"/>
        <v>114000</v>
      </c>
      <c r="H18" s="512">
        <f t="shared" si="6"/>
        <v>17480</v>
      </c>
      <c r="I18" s="512">
        <v>18.57</v>
      </c>
      <c r="J18" s="512">
        <f t="shared" si="5"/>
        <v>57000</v>
      </c>
      <c r="K18" s="512">
        <f t="shared" si="1"/>
        <v>416688.57</v>
      </c>
      <c r="L18" s="513">
        <f t="shared" si="2"/>
        <v>2316688.5699999998</v>
      </c>
      <c r="M18" s="175"/>
      <c r="N18" s="1"/>
      <c r="O18" s="1"/>
      <c r="P18" s="1"/>
      <c r="Q18" s="1"/>
      <c r="R18" s="1"/>
      <c r="S18" s="1"/>
      <c r="T18" s="1"/>
      <c r="U18" s="1"/>
      <c r="V18" s="1"/>
      <c r="W18" s="1"/>
      <c r="X18" s="1"/>
      <c r="Y18" s="1"/>
      <c r="Z18" s="1"/>
      <c r="AA18" s="1"/>
      <c r="AB18" s="1"/>
      <c r="AC18" s="1"/>
      <c r="AD18" s="1"/>
      <c r="AE18" s="1"/>
    </row>
    <row r="19" spans="1:31" ht="15" customHeight="1">
      <c r="A19" s="13"/>
      <c r="B19" s="976"/>
      <c r="C19" s="489" t="s">
        <v>307</v>
      </c>
      <c r="D19" s="511">
        <v>1900000</v>
      </c>
      <c r="E19" s="512">
        <f t="shared" si="3"/>
        <v>198930</v>
      </c>
      <c r="F19" s="512">
        <f t="shared" ref="F19:H19" si="7">$D19*F$15</f>
        <v>29260</v>
      </c>
      <c r="G19" s="512">
        <f t="shared" si="7"/>
        <v>114000</v>
      </c>
      <c r="H19" s="512">
        <f t="shared" si="7"/>
        <v>17480</v>
      </c>
      <c r="I19" s="512">
        <v>18.57</v>
      </c>
      <c r="J19" s="512">
        <f t="shared" si="5"/>
        <v>57000</v>
      </c>
      <c r="K19" s="512">
        <f t="shared" si="1"/>
        <v>416688.57</v>
      </c>
      <c r="L19" s="513">
        <f t="shared" si="2"/>
        <v>2316688.5699999998</v>
      </c>
      <c r="M19" s="175"/>
      <c r="N19" s="1"/>
      <c r="O19" s="1"/>
      <c r="P19" s="1"/>
      <c r="Q19" s="1"/>
      <c r="R19" s="1"/>
      <c r="S19" s="1"/>
      <c r="T19" s="1"/>
      <c r="U19" s="1"/>
      <c r="V19" s="1"/>
      <c r="W19" s="1"/>
      <c r="X19" s="1"/>
      <c r="Y19" s="1"/>
      <c r="Z19" s="1"/>
      <c r="AA19" s="1"/>
      <c r="AB19" s="1"/>
      <c r="AC19" s="1"/>
      <c r="AD19" s="1"/>
      <c r="AE19" s="1"/>
    </row>
    <row r="20" spans="1:31" ht="15" customHeight="1">
      <c r="A20" s="13"/>
      <c r="B20" s="976"/>
      <c r="C20" s="489" t="s">
        <v>308</v>
      </c>
      <c r="D20" s="511">
        <v>1900000</v>
      </c>
      <c r="E20" s="512">
        <f t="shared" si="3"/>
        <v>198930</v>
      </c>
      <c r="F20" s="512">
        <f t="shared" ref="F20:H20" si="8">$D20*F$15</f>
        <v>29260</v>
      </c>
      <c r="G20" s="512">
        <f t="shared" si="8"/>
        <v>114000</v>
      </c>
      <c r="H20" s="512">
        <f t="shared" si="8"/>
        <v>17480</v>
      </c>
      <c r="I20" s="512">
        <v>18.57</v>
      </c>
      <c r="J20" s="512">
        <f t="shared" si="5"/>
        <v>57000</v>
      </c>
      <c r="K20" s="512">
        <f t="shared" si="1"/>
        <v>416688.57</v>
      </c>
      <c r="L20" s="513">
        <f t="shared" si="2"/>
        <v>2316688.5699999998</v>
      </c>
      <c r="M20" s="175"/>
      <c r="N20" s="1"/>
      <c r="O20" s="1"/>
      <c r="P20" s="1"/>
      <c r="Q20" s="1"/>
      <c r="R20" s="1"/>
      <c r="S20" s="1"/>
      <c r="T20" s="1"/>
      <c r="U20" s="1"/>
      <c r="V20" s="1"/>
      <c r="W20" s="1"/>
      <c r="X20" s="1"/>
      <c r="Y20" s="1"/>
      <c r="Z20" s="1"/>
      <c r="AA20" s="1"/>
      <c r="AB20" s="1"/>
      <c r="AC20" s="1"/>
      <c r="AD20" s="1"/>
      <c r="AE20" s="1"/>
    </row>
    <row r="21" spans="1:31" ht="15" customHeight="1">
      <c r="A21" s="13"/>
      <c r="B21" s="976"/>
      <c r="C21" s="490" t="s">
        <v>309</v>
      </c>
      <c r="D21" s="511">
        <v>1700000</v>
      </c>
      <c r="E21" s="512">
        <f t="shared" si="3"/>
        <v>177990</v>
      </c>
      <c r="F21" s="512">
        <f t="shared" ref="F21:H21" si="9">$D21*F$15</f>
        <v>26180</v>
      </c>
      <c r="G21" s="512">
        <f t="shared" si="9"/>
        <v>102000</v>
      </c>
      <c r="H21" s="512">
        <f t="shared" si="9"/>
        <v>15640</v>
      </c>
      <c r="I21" s="512">
        <v>18.57</v>
      </c>
      <c r="J21" s="512">
        <f t="shared" si="5"/>
        <v>51000</v>
      </c>
      <c r="K21" s="512">
        <f t="shared" si="1"/>
        <v>372828.57</v>
      </c>
      <c r="L21" s="513">
        <f t="shared" si="2"/>
        <v>2072828.57</v>
      </c>
      <c r="M21" s="175"/>
      <c r="N21" s="1"/>
      <c r="O21" s="1"/>
      <c r="P21" s="1"/>
      <c r="Q21" s="1"/>
      <c r="R21" s="1"/>
      <c r="S21" s="1"/>
      <c r="T21" s="1"/>
      <c r="U21" s="1"/>
      <c r="V21" s="1"/>
      <c r="W21" s="1"/>
      <c r="X21" s="1"/>
      <c r="Y21" s="1"/>
      <c r="Z21" s="1"/>
      <c r="AA21" s="1"/>
      <c r="AB21" s="1"/>
      <c r="AC21" s="1"/>
      <c r="AD21" s="1"/>
      <c r="AE21" s="1"/>
    </row>
    <row r="22" spans="1:31" ht="15" customHeight="1">
      <c r="A22" s="13"/>
      <c r="B22" s="976"/>
      <c r="C22" s="489" t="s">
        <v>310</v>
      </c>
      <c r="D22" s="511">
        <v>1600000</v>
      </c>
      <c r="E22" s="512">
        <f t="shared" si="3"/>
        <v>167520</v>
      </c>
      <c r="F22" s="512">
        <f t="shared" ref="F22:H22" si="10">$D22*F$15</f>
        <v>24640</v>
      </c>
      <c r="G22" s="512">
        <f t="shared" si="10"/>
        <v>96000</v>
      </c>
      <c r="H22" s="512">
        <f t="shared" si="10"/>
        <v>14720</v>
      </c>
      <c r="I22" s="512">
        <v>18.57</v>
      </c>
      <c r="J22" s="512">
        <f t="shared" si="5"/>
        <v>48000</v>
      </c>
      <c r="K22" s="512">
        <f t="shared" si="1"/>
        <v>350898.57</v>
      </c>
      <c r="L22" s="513">
        <f t="shared" si="2"/>
        <v>1950898.57</v>
      </c>
      <c r="M22" s="175"/>
      <c r="N22" s="1"/>
      <c r="O22" s="1"/>
      <c r="P22" s="1"/>
      <c r="Q22" s="1"/>
      <c r="R22" s="1"/>
      <c r="S22" s="1"/>
      <c r="T22" s="1"/>
      <c r="U22" s="1"/>
      <c r="V22" s="1"/>
      <c r="W22" s="1"/>
      <c r="X22" s="1"/>
      <c r="Y22" s="1"/>
      <c r="Z22" s="1"/>
      <c r="AA22" s="1"/>
      <c r="AB22" s="1"/>
      <c r="AC22" s="1"/>
      <c r="AD22" s="1"/>
      <c r="AE22" s="1"/>
    </row>
    <row r="23" spans="1:31" ht="15" customHeight="1">
      <c r="A23" s="13"/>
      <c r="B23" s="976"/>
      <c r="C23" s="490" t="s">
        <v>311</v>
      </c>
      <c r="D23" s="511">
        <v>1300000</v>
      </c>
      <c r="E23" s="512">
        <f t="shared" si="3"/>
        <v>136110</v>
      </c>
      <c r="F23" s="512">
        <f t="shared" ref="F23:H23" si="11">$D23*F$15</f>
        <v>20020</v>
      </c>
      <c r="G23" s="512">
        <f t="shared" si="11"/>
        <v>78000</v>
      </c>
      <c r="H23" s="512">
        <f t="shared" si="11"/>
        <v>11960</v>
      </c>
      <c r="I23" s="512">
        <v>18.57</v>
      </c>
      <c r="J23" s="512">
        <f t="shared" si="5"/>
        <v>39000</v>
      </c>
      <c r="K23" s="512">
        <f t="shared" si="1"/>
        <v>285108.57</v>
      </c>
      <c r="L23" s="513">
        <f t="shared" si="2"/>
        <v>1585108.57</v>
      </c>
      <c r="M23" s="175"/>
      <c r="N23" s="1"/>
      <c r="O23" s="1"/>
      <c r="P23" s="1"/>
      <c r="Q23" s="1"/>
      <c r="R23" s="1"/>
      <c r="S23" s="1"/>
      <c r="T23" s="1"/>
      <c r="U23" s="1"/>
      <c r="V23" s="1"/>
      <c r="W23" s="1"/>
      <c r="X23" s="1"/>
      <c r="Y23" s="1"/>
      <c r="Z23" s="1"/>
      <c r="AA23" s="1"/>
      <c r="AB23" s="1"/>
      <c r="AC23" s="1"/>
      <c r="AD23" s="1"/>
      <c r="AE23" s="1"/>
    </row>
    <row r="24" spans="1:31" ht="15" customHeight="1">
      <c r="A24" s="13"/>
      <c r="B24" s="976"/>
      <c r="C24" s="489" t="s">
        <v>312</v>
      </c>
      <c r="D24" s="511">
        <v>1300000</v>
      </c>
      <c r="E24" s="512">
        <f t="shared" si="3"/>
        <v>136110</v>
      </c>
      <c r="F24" s="512">
        <f t="shared" ref="F24:H24" si="12">$D24*F$15</f>
        <v>20020</v>
      </c>
      <c r="G24" s="512">
        <f t="shared" si="12"/>
        <v>78000</v>
      </c>
      <c r="H24" s="512">
        <f t="shared" si="12"/>
        <v>11960</v>
      </c>
      <c r="I24" s="512">
        <v>18.57</v>
      </c>
      <c r="J24" s="512">
        <f t="shared" si="5"/>
        <v>39000</v>
      </c>
      <c r="K24" s="512">
        <f t="shared" si="1"/>
        <v>285108.57</v>
      </c>
      <c r="L24" s="513">
        <f t="shared" si="2"/>
        <v>1585108.57</v>
      </c>
      <c r="M24" s="175"/>
      <c r="N24" s="1"/>
      <c r="O24" s="1"/>
      <c r="P24" s="1"/>
      <c r="Q24" s="1"/>
      <c r="R24" s="1"/>
      <c r="S24" s="1"/>
      <c r="T24" s="1"/>
      <c r="U24" s="1"/>
      <c r="V24" s="1"/>
      <c r="W24" s="1"/>
      <c r="X24" s="1"/>
      <c r="Y24" s="1"/>
      <c r="Z24" s="1"/>
      <c r="AA24" s="1"/>
      <c r="AB24" s="1"/>
      <c r="AC24" s="1"/>
      <c r="AD24" s="1"/>
      <c r="AE24" s="1"/>
    </row>
    <row r="25" spans="1:31" ht="15" customHeight="1">
      <c r="A25" s="13"/>
      <c r="B25" s="976"/>
      <c r="C25" s="489" t="s">
        <v>313</v>
      </c>
      <c r="D25" s="511">
        <v>1200000</v>
      </c>
      <c r="E25" s="512">
        <f t="shared" si="3"/>
        <v>125640</v>
      </c>
      <c r="F25" s="512">
        <f t="shared" ref="F25:H25" si="13">$D25*F$15</f>
        <v>18480</v>
      </c>
      <c r="G25" s="512">
        <f t="shared" si="13"/>
        <v>72000</v>
      </c>
      <c r="H25" s="512">
        <f t="shared" si="13"/>
        <v>11040</v>
      </c>
      <c r="I25" s="512">
        <v>18.57</v>
      </c>
      <c r="J25" s="512">
        <f t="shared" si="5"/>
        <v>36000</v>
      </c>
      <c r="K25" s="512">
        <f t="shared" si="1"/>
        <v>263178.57</v>
      </c>
      <c r="L25" s="513">
        <f t="shared" si="2"/>
        <v>1463178.57</v>
      </c>
      <c r="M25" s="175"/>
      <c r="N25" s="1"/>
      <c r="O25" s="1"/>
      <c r="P25" s="1"/>
      <c r="Q25" s="1"/>
      <c r="R25" s="1"/>
      <c r="S25" s="1"/>
      <c r="T25" s="1"/>
      <c r="U25" s="1"/>
      <c r="V25" s="1"/>
      <c r="W25" s="1"/>
      <c r="X25" s="1"/>
      <c r="Y25" s="1"/>
      <c r="Z25" s="1"/>
      <c r="AA25" s="1"/>
      <c r="AB25" s="1"/>
      <c r="AC25" s="1"/>
      <c r="AD25" s="1"/>
      <c r="AE25" s="1"/>
    </row>
    <row r="26" spans="1:31" ht="15" customHeight="1">
      <c r="A26" s="13"/>
      <c r="B26" s="976"/>
      <c r="C26" s="490" t="s">
        <v>314</v>
      </c>
      <c r="D26" s="511">
        <v>1200000</v>
      </c>
      <c r="E26" s="512">
        <f t="shared" si="3"/>
        <v>125640</v>
      </c>
      <c r="F26" s="512">
        <f t="shared" ref="F26:H26" si="14">$D26*F$15</f>
        <v>18480</v>
      </c>
      <c r="G26" s="512">
        <f t="shared" si="14"/>
        <v>72000</v>
      </c>
      <c r="H26" s="512">
        <f t="shared" si="14"/>
        <v>11040</v>
      </c>
      <c r="I26" s="512">
        <v>18.57</v>
      </c>
      <c r="J26" s="512">
        <f t="shared" si="5"/>
        <v>36000</v>
      </c>
      <c r="K26" s="512">
        <f t="shared" si="1"/>
        <v>263178.57</v>
      </c>
      <c r="L26" s="513">
        <f t="shared" si="2"/>
        <v>1463178.57</v>
      </c>
      <c r="M26" s="175"/>
      <c r="N26" s="1"/>
      <c r="O26" s="1"/>
      <c r="P26" s="1"/>
      <c r="Q26" s="1"/>
      <c r="R26" s="1"/>
      <c r="S26" s="1"/>
      <c r="T26" s="1"/>
      <c r="U26" s="1"/>
      <c r="V26" s="1"/>
      <c r="W26" s="1"/>
      <c r="X26" s="1"/>
      <c r="Y26" s="1"/>
      <c r="Z26" s="1"/>
      <c r="AA26" s="1"/>
      <c r="AB26" s="1"/>
      <c r="AC26" s="1"/>
      <c r="AD26" s="1"/>
      <c r="AE26" s="1"/>
    </row>
    <row r="27" spans="1:31" ht="15" customHeight="1">
      <c r="A27" s="13"/>
      <c r="B27" s="976"/>
      <c r="C27" s="489" t="s">
        <v>315</v>
      </c>
      <c r="D27" s="511">
        <v>1200000</v>
      </c>
      <c r="E27" s="512">
        <f t="shared" si="3"/>
        <v>125640</v>
      </c>
      <c r="F27" s="512">
        <f t="shared" ref="F27:H27" si="15">$D27*F$15</f>
        <v>18480</v>
      </c>
      <c r="G27" s="512">
        <f t="shared" si="15"/>
        <v>72000</v>
      </c>
      <c r="H27" s="512">
        <f t="shared" si="15"/>
        <v>11040</v>
      </c>
      <c r="I27" s="512">
        <v>18.57</v>
      </c>
      <c r="J27" s="512">
        <f t="shared" si="5"/>
        <v>36000</v>
      </c>
      <c r="K27" s="512">
        <f t="shared" si="1"/>
        <v>263178.57</v>
      </c>
      <c r="L27" s="513">
        <f t="shared" si="2"/>
        <v>1463178.57</v>
      </c>
      <c r="M27" s="175"/>
      <c r="N27" s="1"/>
      <c r="O27" s="1"/>
      <c r="P27" s="1"/>
      <c r="Q27" s="1"/>
      <c r="R27" s="1"/>
      <c r="S27" s="1"/>
      <c r="T27" s="1"/>
      <c r="U27" s="1"/>
      <c r="V27" s="1"/>
      <c r="W27" s="1"/>
      <c r="X27" s="1"/>
      <c r="Y27" s="1"/>
      <c r="Z27" s="1"/>
      <c r="AA27" s="1"/>
      <c r="AB27" s="1"/>
      <c r="AC27" s="1"/>
      <c r="AD27" s="1"/>
      <c r="AE27" s="1"/>
    </row>
    <row r="28" spans="1:31" ht="15" customHeight="1">
      <c r="A28" s="13"/>
      <c r="B28" s="976"/>
      <c r="C28" s="489" t="s">
        <v>316</v>
      </c>
      <c r="D28" s="511">
        <v>1100000</v>
      </c>
      <c r="E28" s="512">
        <f t="shared" si="3"/>
        <v>115170</v>
      </c>
      <c r="F28" s="512">
        <f t="shared" ref="F28:H28" si="16">$D28*F$15</f>
        <v>16940</v>
      </c>
      <c r="G28" s="512">
        <f t="shared" si="16"/>
        <v>66000</v>
      </c>
      <c r="H28" s="512">
        <f t="shared" si="16"/>
        <v>10120</v>
      </c>
      <c r="I28" s="512">
        <v>18.57</v>
      </c>
      <c r="J28" s="512">
        <f t="shared" si="5"/>
        <v>33000</v>
      </c>
      <c r="K28" s="512">
        <f t="shared" si="1"/>
        <v>241248.57</v>
      </c>
      <c r="L28" s="513">
        <f t="shared" si="2"/>
        <v>1341248.57</v>
      </c>
      <c r="M28" s="175"/>
      <c r="N28" s="1"/>
      <c r="O28" s="1"/>
      <c r="P28" s="1"/>
      <c r="Q28" s="1"/>
      <c r="R28" s="1"/>
      <c r="S28" s="1"/>
      <c r="T28" s="1"/>
      <c r="U28" s="1"/>
      <c r="V28" s="1"/>
      <c r="W28" s="1"/>
      <c r="X28" s="1"/>
      <c r="Y28" s="1"/>
      <c r="Z28" s="1"/>
      <c r="AA28" s="1"/>
      <c r="AB28" s="1"/>
      <c r="AC28" s="1"/>
      <c r="AD28" s="1"/>
      <c r="AE28" s="1"/>
    </row>
    <row r="29" spans="1:31" ht="14.4">
      <c r="A29" s="13"/>
      <c r="B29" s="976"/>
      <c r="C29" s="490" t="s">
        <v>317</v>
      </c>
      <c r="D29" s="511">
        <v>1100000</v>
      </c>
      <c r="E29" s="512">
        <f t="shared" si="3"/>
        <v>115170</v>
      </c>
      <c r="F29" s="512">
        <f t="shared" ref="F29:H29" si="17">$D29*F$15</f>
        <v>16940</v>
      </c>
      <c r="G29" s="512">
        <f t="shared" si="17"/>
        <v>66000</v>
      </c>
      <c r="H29" s="512">
        <f t="shared" si="17"/>
        <v>10120</v>
      </c>
      <c r="I29" s="512">
        <v>18.57</v>
      </c>
      <c r="J29" s="512">
        <f t="shared" si="5"/>
        <v>33000</v>
      </c>
      <c r="K29" s="512">
        <f t="shared" si="1"/>
        <v>241248.57</v>
      </c>
      <c r="L29" s="513">
        <f t="shared" si="2"/>
        <v>1341248.57</v>
      </c>
      <c r="M29" s="175"/>
      <c r="N29" s="1"/>
      <c r="O29" s="1"/>
      <c r="P29" s="1"/>
      <c r="Q29" s="1"/>
      <c r="R29" s="1"/>
      <c r="S29" s="1"/>
      <c r="T29" s="1"/>
      <c r="U29" s="1"/>
      <c r="V29" s="1"/>
      <c r="W29" s="1"/>
      <c r="X29" s="1"/>
      <c r="Y29" s="1"/>
      <c r="Z29" s="1"/>
      <c r="AA29" s="1"/>
      <c r="AB29" s="1"/>
      <c r="AC29" s="1"/>
      <c r="AD29" s="1"/>
      <c r="AE29" s="1"/>
    </row>
    <row r="30" spans="1:31" ht="14.4">
      <c r="A30" s="13"/>
      <c r="B30" s="976"/>
      <c r="C30" s="490" t="s">
        <v>318</v>
      </c>
      <c r="D30" s="511">
        <v>1100000</v>
      </c>
      <c r="E30" s="512">
        <f t="shared" si="3"/>
        <v>115170</v>
      </c>
      <c r="F30" s="512">
        <f t="shared" ref="F30:H30" si="18">$D30*F$15</f>
        <v>16940</v>
      </c>
      <c r="G30" s="512">
        <f t="shared" si="18"/>
        <v>66000</v>
      </c>
      <c r="H30" s="512">
        <f t="shared" si="18"/>
        <v>10120</v>
      </c>
      <c r="I30" s="512">
        <v>18.57</v>
      </c>
      <c r="J30" s="512">
        <f t="shared" si="5"/>
        <v>33000</v>
      </c>
      <c r="K30" s="512">
        <f t="shared" si="1"/>
        <v>241248.57</v>
      </c>
      <c r="L30" s="513">
        <f t="shared" si="2"/>
        <v>1341248.57</v>
      </c>
      <c r="M30" s="175"/>
      <c r="N30" s="1"/>
      <c r="O30" s="1"/>
      <c r="P30" s="1"/>
      <c r="Q30" s="1"/>
      <c r="R30" s="1"/>
      <c r="S30" s="1"/>
      <c r="T30" s="1"/>
      <c r="U30" s="1"/>
      <c r="V30" s="1"/>
      <c r="W30" s="1"/>
      <c r="X30" s="1"/>
      <c r="Y30" s="1"/>
      <c r="Z30" s="1"/>
      <c r="AA30" s="1"/>
      <c r="AB30" s="1"/>
      <c r="AC30" s="1"/>
      <c r="AD30" s="1"/>
      <c r="AE30" s="1"/>
    </row>
    <row r="31" spans="1:31" ht="14.4">
      <c r="A31" s="13"/>
      <c r="B31" s="977"/>
      <c r="C31" s="514" t="s">
        <v>319</v>
      </c>
      <c r="D31" s="515">
        <v>950000</v>
      </c>
      <c r="E31" s="516">
        <f t="shared" si="3"/>
        <v>99465</v>
      </c>
      <c r="F31" s="516">
        <f t="shared" ref="F31:H31" si="19">$D31*F$15</f>
        <v>14630</v>
      </c>
      <c r="G31" s="516">
        <f t="shared" si="19"/>
        <v>57000</v>
      </c>
      <c r="H31" s="516">
        <f t="shared" si="19"/>
        <v>8740</v>
      </c>
      <c r="I31" s="516">
        <v>18.57</v>
      </c>
      <c r="J31" s="516">
        <f t="shared" si="5"/>
        <v>28500</v>
      </c>
      <c r="K31" s="516">
        <f t="shared" si="1"/>
        <v>208353.57</v>
      </c>
      <c r="L31" s="517">
        <f t="shared" si="2"/>
        <v>1158353.57</v>
      </c>
      <c r="M31" s="175"/>
      <c r="N31" s="1"/>
      <c r="O31" s="1"/>
      <c r="P31" s="1"/>
      <c r="Q31" s="1"/>
      <c r="R31" s="1"/>
      <c r="S31" s="1"/>
      <c r="T31" s="1"/>
      <c r="U31" s="1"/>
      <c r="V31" s="1"/>
      <c r="W31" s="1"/>
      <c r="X31" s="1"/>
      <c r="Y31" s="1"/>
      <c r="Z31" s="1"/>
      <c r="AA31" s="1"/>
      <c r="AB31" s="1"/>
      <c r="AC31" s="1"/>
      <c r="AD31" s="1"/>
      <c r="AE31" s="1"/>
    </row>
    <row r="32" spans="1:31" ht="14.4">
      <c r="A32" s="13"/>
      <c r="B32" s="975" t="s">
        <v>320</v>
      </c>
      <c r="C32" s="518" t="s">
        <v>83</v>
      </c>
      <c r="D32" s="519">
        <v>2000000</v>
      </c>
      <c r="E32" s="509">
        <f t="shared" si="3"/>
        <v>209400</v>
      </c>
      <c r="F32" s="509">
        <f t="shared" ref="F32:H32" si="20">$D32*F$15</f>
        <v>30800</v>
      </c>
      <c r="G32" s="509">
        <f t="shared" si="20"/>
        <v>120000</v>
      </c>
      <c r="H32" s="509">
        <f t="shared" si="20"/>
        <v>18400</v>
      </c>
      <c r="I32" s="509">
        <v>18.57</v>
      </c>
      <c r="J32" s="509">
        <f t="shared" si="5"/>
        <v>60000</v>
      </c>
      <c r="K32" s="509">
        <f t="shared" si="1"/>
        <v>438618.57</v>
      </c>
      <c r="L32" s="510">
        <f t="shared" si="2"/>
        <v>2438618.5699999998</v>
      </c>
      <c r="M32" s="175"/>
      <c r="N32" s="1"/>
      <c r="O32" s="1"/>
      <c r="P32" s="1"/>
      <c r="Q32" s="1"/>
      <c r="R32" s="1"/>
      <c r="S32" s="1"/>
      <c r="T32" s="1"/>
      <c r="U32" s="1"/>
      <c r="V32" s="1"/>
      <c r="W32" s="1"/>
      <c r="X32" s="1"/>
      <c r="Y32" s="1"/>
      <c r="Z32" s="1"/>
      <c r="AA32" s="1"/>
      <c r="AB32" s="1"/>
      <c r="AC32" s="1"/>
      <c r="AD32" s="1"/>
      <c r="AE32" s="1"/>
    </row>
    <row r="33" spans="1:31" ht="14.4">
      <c r="A33" s="13"/>
      <c r="B33" s="976"/>
      <c r="C33" s="489" t="s">
        <v>321</v>
      </c>
      <c r="D33" s="520">
        <v>2000000</v>
      </c>
      <c r="E33" s="512">
        <f t="shared" si="3"/>
        <v>209400</v>
      </c>
      <c r="F33" s="512">
        <f t="shared" ref="F33:H33" si="21">$D33*F$15</f>
        <v>30800</v>
      </c>
      <c r="G33" s="512">
        <f t="shared" si="21"/>
        <v>120000</v>
      </c>
      <c r="H33" s="512">
        <f t="shared" si="21"/>
        <v>18400</v>
      </c>
      <c r="I33" s="512">
        <v>18.57</v>
      </c>
      <c r="J33" s="512">
        <f t="shared" si="5"/>
        <v>60000</v>
      </c>
      <c r="K33" s="512">
        <f t="shared" si="1"/>
        <v>438618.57</v>
      </c>
      <c r="L33" s="513">
        <f t="shared" si="2"/>
        <v>2438618.5699999998</v>
      </c>
      <c r="M33" s="175"/>
      <c r="N33" s="1"/>
      <c r="O33" s="1"/>
      <c r="P33" s="1"/>
      <c r="Q33" s="1"/>
      <c r="R33" s="1"/>
      <c r="S33" s="1"/>
      <c r="T33" s="1"/>
      <c r="U33" s="1"/>
      <c r="V33" s="1"/>
      <c r="W33" s="1"/>
      <c r="X33" s="1"/>
      <c r="Y33" s="1"/>
      <c r="Z33" s="1"/>
      <c r="AA33" s="1"/>
      <c r="AB33" s="1"/>
      <c r="AC33" s="1"/>
      <c r="AD33" s="1"/>
      <c r="AE33" s="1"/>
    </row>
    <row r="34" spans="1:31" ht="14.4">
      <c r="A34" s="13"/>
      <c r="B34" s="976"/>
      <c r="C34" s="489" t="s">
        <v>322</v>
      </c>
      <c r="D34" s="520">
        <v>1800000</v>
      </c>
      <c r="E34" s="512">
        <f t="shared" si="3"/>
        <v>188460</v>
      </c>
      <c r="F34" s="512">
        <f t="shared" ref="F34:H34" si="22">$D34*F$15</f>
        <v>27720</v>
      </c>
      <c r="G34" s="512">
        <f t="shared" si="22"/>
        <v>108000</v>
      </c>
      <c r="H34" s="512">
        <f t="shared" si="22"/>
        <v>16560</v>
      </c>
      <c r="I34" s="512">
        <v>18.57</v>
      </c>
      <c r="J34" s="512">
        <f t="shared" si="5"/>
        <v>54000</v>
      </c>
      <c r="K34" s="512">
        <f t="shared" si="1"/>
        <v>394758.57</v>
      </c>
      <c r="L34" s="513">
        <f t="shared" si="2"/>
        <v>2194758.5699999998</v>
      </c>
      <c r="M34" s="175"/>
      <c r="N34" s="1"/>
      <c r="O34" s="1"/>
      <c r="P34" s="1"/>
      <c r="Q34" s="1"/>
      <c r="R34" s="1"/>
      <c r="S34" s="1"/>
      <c r="T34" s="1"/>
      <c r="U34" s="1"/>
      <c r="V34" s="1"/>
      <c r="W34" s="1"/>
      <c r="X34" s="1"/>
      <c r="Y34" s="1"/>
      <c r="Z34" s="1"/>
      <c r="AA34" s="1"/>
      <c r="AB34" s="1"/>
      <c r="AC34" s="1"/>
      <c r="AD34" s="1"/>
      <c r="AE34" s="1"/>
    </row>
    <row r="35" spans="1:31" ht="14.4">
      <c r="A35" s="13"/>
      <c r="B35" s="976"/>
      <c r="C35" s="489" t="s">
        <v>323</v>
      </c>
      <c r="D35" s="520">
        <v>1500000</v>
      </c>
      <c r="E35" s="512">
        <f t="shared" si="3"/>
        <v>157050</v>
      </c>
      <c r="F35" s="512">
        <f t="shared" ref="F35:H35" si="23">$D35*F$15</f>
        <v>23100</v>
      </c>
      <c r="G35" s="512">
        <f t="shared" si="23"/>
        <v>90000</v>
      </c>
      <c r="H35" s="512">
        <f t="shared" si="23"/>
        <v>13800</v>
      </c>
      <c r="I35" s="512">
        <v>18.57</v>
      </c>
      <c r="J35" s="512">
        <f t="shared" si="5"/>
        <v>45000</v>
      </c>
      <c r="K35" s="512">
        <f t="shared" si="1"/>
        <v>328968.57</v>
      </c>
      <c r="L35" s="513">
        <f t="shared" si="2"/>
        <v>1828968.57</v>
      </c>
      <c r="M35" s="175"/>
      <c r="N35" s="1"/>
      <c r="O35" s="1"/>
      <c r="P35" s="1"/>
      <c r="Q35" s="1"/>
      <c r="R35" s="1"/>
      <c r="S35" s="1"/>
      <c r="T35" s="1"/>
      <c r="U35" s="1"/>
      <c r="V35" s="1"/>
      <c r="W35" s="1"/>
      <c r="X35" s="1"/>
      <c r="Y35" s="1"/>
      <c r="Z35" s="1"/>
      <c r="AA35" s="1"/>
      <c r="AB35" s="1"/>
      <c r="AC35" s="1"/>
      <c r="AD35" s="1"/>
      <c r="AE35" s="1"/>
    </row>
    <row r="36" spans="1:31" ht="14.4">
      <c r="A36" s="13"/>
      <c r="B36" s="976"/>
      <c r="C36" s="489" t="s">
        <v>324</v>
      </c>
      <c r="D36" s="520">
        <v>1500000</v>
      </c>
      <c r="E36" s="512">
        <f t="shared" si="3"/>
        <v>157050</v>
      </c>
      <c r="F36" s="512">
        <f t="shared" ref="F36:H36" si="24">$D36*F$15</f>
        <v>23100</v>
      </c>
      <c r="G36" s="512">
        <f t="shared" si="24"/>
        <v>90000</v>
      </c>
      <c r="H36" s="512">
        <f t="shared" si="24"/>
        <v>13800</v>
      </c>
      <c r="I36" s="512">
        <v>18.57</v>
      </c>
      <c r="J36" s="512">
        <f t="shared" si="5"/>
        <v>45000</v>
      </c>
      <c r="K36" s="512">
        <f t="shared" si="1"/>
        <v>328968.57</v>
      </c>
      <c r="L36" s="513">
        <f t="shared" si="2"/>
        <v>1828968.57</v>
      </c>
      <c r="M36" s="175"/>
      <c r="N36" s="1"/>
      <c r="O36" s="1"/>
      <c r="P36" s="1"/>
      <c r="Q36" s="1"/>
      <c r="R36" s="1"/>
      <c r="S36" s="1"/>
      <c r="T36" s="1"/>
      <c r="U36" s="1"/>
      <c r="V36" s="1"/>
      <c r="W36" s="1"/>
      <c r="X36" s="1"/>
      <c r="Y36" s="1"/>
      <c r="Z36" s="1"/>
      <c r="AA36" s="1"/>
      <c r="AB36" s="1"/>
      <c r="AC36" s="1"/>
      <c r="AD36" s="1"/>
      <c r="AE36" s="1"/>
    </row>
    <row r="37" spans="1:31" ht="14.4">
      <c r="A37" s="13"/>
      <c r="B37" s="976"/>
      <c r="C37" s="489" t="s">
        <v>325</v>
      </c>
      <c r="D37" s="520">
        <v>1500000</v>
      </c>
      <c r="E37" s="512">
        <f t="shared" si="3"/>
        <v>157050</v>
      </c>
      <c r="F37" s="512">
        <f t="shared" ref="F37:H37" si="25">$D37*F$15</f>
        <v>23100</v>
      </c>
      <c r="G37" s="512">
        <f t="shared" si="25"/>
        <v>90000</v>
      </c>
      <c r="H37" s="512">
        <f t="shared" si="25"/>
        <v>13800</v>
      </c>
      <c r="I37" s="512">
        <v>18.57</v>
      </c>
      <c r="J37" s="512">
        <f t="shared" si="5"/>
        <v>45000</v>
      </c>
      <c r="K37" s="512">
        <f t="shared" si="1"/>
        <v>328968.57</v>
      </c>
      <c r="L37" s="513">
        <f t="shared" si="2"/>
        <v>1828968.57</v>
      </c>
      <c r="M37" s="175"/>
      <c r="N37" s="1"/>
      <c r="O37" s="1"/>
      <c r="P37" s="1"/>
      <c r="Q37" s="1"/>
      <c r="R37" s="1"/>
      <c r="S37" s="1"/>
      <c r="T37" s="1"/>
      <c r="U37" s="1"/>
      <c r="V37" s="1"/>
      <c r="W37" s="1"/>
      <c r="X37" s="1"/>
      <c r="Y37" s="1"/>
      <c r="Z37" s="1"/>
      <c r="AA37" s="1"/>
      <c r="AB37" s="1"/>
      <c r="AC37" s="1"/>
      <c r="AD37" s="1"/>
      <c r="AE37" s="1"/>
    </row>
    <row r="38" spans="1:31" ht="14.4">
      <c r="A38" s="13"/>
      <c r="B38" s="976"/>
      <c r="C38" s="489" t="s">
        <v>326</v>
      </c>
      <c r="D38" s="520">
        <v>1300000</v>
      </c>
      <c r="E38" s="512">
        <f t="shared" si="3"/>
        <v>136110</v>
      </c>
      <c r="F38" s="512">
        <f t="shared" ref="F38:H38" si="26">$D38*F$15</f>
        <v>20020</v>
      </c>
      <c r="G38" s="512">
        <f t="shared" si="26"/>
        <v>78000</v>
      </c>
      <c r="H38" s="512">
        <f t="shared" si="26"/>
        <v>11960</v>
      </c>
      <c r="I38" s="512">
        <v>18.57</v>
      </c>
      <c r="J38" s="512">
        <f t="shared" si="5"/>
        <v>39000</v>
      </c>
      <c r="K38" s="512">
        <f t="shared" si="1"/>
        <v>285108.57</v>
      </c>
      <c r="L38" s="513">
        <f t="shared" si="2"/>
        <v>1585108.57</v>
      </c>
      <c r="M38" s="175"/>
      <c r="N38" s="1"/>
      <c r="O38" s="1"/>
      <c r="P38" s="1"/>
      <c r="Q38" s="1"/>
      <c r="R38" s="1"/>
      <c r="S38" s="1"/>
      <c r="T38" s="1"/>
      <c r="U38" s="1"/>
      <c r="V38" s="1"/>
      <c r="W38" s="1"/>
      <c r="X38" s="1"/>
      <c r="Y38" s="1"/>
      <c r="Z38" s="1"/>
      <c r="AA38" s="1"/>
      <c r="AB38" s="1"/>
      <c r="AC38" s="1"/>
      <c r="AD38" s="1"/>
      <c r="AE38" s="1"/>
    </row>
    <row r="39" spans="1:31" ht="14.4">
      <c r="A39" s="13"/>
      <c r="B39" s="976"/>
      <c r="C39" s="489" t="s">
        <v>327</v>
      </c>
      <c r="D39" s="520">
        <v>1200000</v>
      </c>
      <c r="E39" s="512">
        <f t="shared" si="3"/>
        <v>125640</v>
      </c>
      <c r="F39" s="512">
        <f t="shared" ref="F39:H39" si="27">$D39*F$15</f>
        <v>18480</v>
      </c>
      <c r="G39" s="512">
        <f t="shared" si="27"/>
        <v>72000</v>
      </c>
      <c r="H39" s="512">
        <f t="shared" si="27"/>
        <v>11040</v>
      </c>
      <c r="I39" s="512">
        <v>18.57</v>
      </c>
      <c r="J39" s="512">
        <f t="shared" si="5"/>
        <v>36000</v>
      </c>
      <c r="K39" s="512">
        <f t="shared" si="1"/>
        <v>263178.57</v>
      </c>
      <c r="L39" s="513">
        <f t="shared" si="2"/>
        <v>1463178.57</v>
      </c>
      <c r="M39" s="175"/>
      <c r="N39" s="1"/>
      <c r="O39" s="1"/>
      <c r="P39" s="1"/>
      <c r="Q39" s="1"/>
      <c r="R39" s="1"/>
      <c r="S39" s="1"/>
      <c r="T39" s="1"/>
      <c r="U39" s="1"/>
      <c r="V39" s="1"/>
      <c r="W39" s="1"/>
      <c r="X39" s="1"/>
      <c r="Y39" s="1"/>
      <c r="Z39" s="1"/>
      <c r="AA39" s="1"/>
      <c r="AB39" s="1"/>
      <c r="AC39" s="1"/>
      <c r="AD39" s="1"/>
      <c r="AE39" s="1"/>
    </row>
    <row r="40" spans="1:31" ht="14.4">
      <c r="A40" s="13"/>
      <c r="B40" s="976"/>
      <c r="C40" s="489" t="s">
        <v>328</v>
      </c>
      <c r="D40" s="520">
        <v>1200000</v>
      </c>
      <c r="E40" s="512">
        <f t="shared" si="3"/>
        <v>125640</v>
      </c>
      <c r="F40" s="512">
        <f t="shared" ref="F40:H40" si="28">$D40*F$15</f>
        <v>18480</v>
      </c>
      <c r="G40" s="512">
        <f t="shared" si="28"/>
        <v>72000</v>
      </c>
      <c r="H40" s="512">
        <f t="shared" si="28"/>
        <v>11040</v>
      </c>
      <c r="I40" s="512">
        <v>18.57</v>
      </c>
      <c r="J40" s="512">
        <f t="shared" si="5"/>
        <v>36000</v>
      </c>
      <c r="K40" s="512">
        <f t="shared" si="1"/>
        <v>263178.57</v>
      </c>
      <c r="L40" s="513">
        <f t="shared" si="2"/>
        <v>1463178.57</v>
      </c>
      <c r="M40" s="175"/>
      <c r="N40" s="1"/>
      <c r="O40" s="1"/>
      <c r="P40" s="1"/>
      <c r="Q40" s="1"/>
      <c r="R40" s="1"/>
      <c r="S40" s="1"/>
      <c r="T40" s="1"/>
      <c r="U40" s="1"/>
      <c r="V40" s="1"/>
      <c r="W40" s="1"/>
      <c r="X40" s="1"/>
      <c r="Y40" s="1"/>
      <c r="Z40" s="1"/>
      <c r="AA40" s="1"/>
      <c r="AB40" s="1"/>
      <c r="AC40" s="1"/>
      <c r="AD40" s="1"/>
      <c r="AE40" s="1"/>
    </row>
    <row r="41" spans="1:31" ht="14.4">
      <c r="A41" s="13"/>
      <c r="B41" s="977"/>
      <c r="C41" s="521" t="s">
        <v>329</v>
      </c>
      <c r="D41" s="522">
        <v>950000</v>
      </c>
      <c r="E41" s="397">
        <f t="shared" si="3"/>
        <v>99465</v>
      </c>
      <c r="F41" s="397">
        <f t="shared" ref="F41:H41" si="29">$D41*F$15</f>
        <v>14630</v>
      </c>
      <c r="G41" s="397">
        <f t="shared" si="29"/>
        <v>57000</v>
      </c>
      <c r="H41" s="397">
        <f t="shared" si="29"/>
        <v>8740</v>
      </c>
      <c r="I41" s="397">
        <v>18.57</v>
      </c>
      <c r="J41" s="397">
        <f t="shared" si="5"/>
        <v>28500</v>
      </c>
      <c r="K41" s="397">
        <f t="shared" si="1"/>
        <v>208353.57</v>
      </c>
      <c r="L41" s="523">
        <f t="shared" si="2"/>
        <v>1158353.57</v>
      </c>
      <c r="M41" s="175"/>
      <c r="N41" s="1"/>
      <c r="O41" s="1"/>
      <c r="P41" s="1"/>
      <c r="Q41" s="1"/>
      <c r="R41" s="1"/>
      <c r="S41" s="1"/>
      <c r="T41" s="1"/>
      <c r="U41" s="1"/>
      <c r="V41" s="1"/>
      <c r="W41" s="1"/>
      <c r="X41" s="1"/>
      <c r="Y41" s="1"/>
      <c r="Z41" s="1"/>
      <c r="AA41" s="1"/>
      <c r="AB41" s="1"/>
      <c r="AC41" s="1"/>
      <c r="AD41" s="1"/>
      <c r="AE41" s="1"/>
    </row>
    <row r="42" spans="1:31" ht="14.4">
      <c r="A42" s="13"/>
      <c r="B42" s="975" t="s">
        <v>330</v>
      </c>
      <c r="C42" s="507" t="s">
        <v>84</v>
      </c>
      <c r="D42" s="508">
        <v>2200000</v>
      </c>
      <c r="E42" s="509">
        <f t="shared" si="3"/>
        <v>230340</v>
      </c>
      <c r="F42" s="509">
        <f t="shared" ref="F42:H42" si="30">$D42*F$15</f>
        <v>33880</v>
      </c>
      <c r="G42" s="509">
        <f t="shared" si="30"/>
        <v>132000</v>
      </c>
      <c r="H42" s="509">
        <f t="shared" si="30"/>
        <v>20240</v>
      </c>
      <c r="I42" s="509">
        <v>18.57</v>
      </c>
      <c r="J42" s="509">
        <f t="shared" si="5"/>
        <v>66000</v>
      </c>
      <c r="K42" s="509">
        <f t="shared" si="1"/>
        <v>482478.57</v>
      </c>
      <c r="L42" s="510">
        <f t="shared" si="2"/>
        <v>2682478.5699999998</v>
      </c>
      <c r="M42" s="175"/>
      <c r="N42" s="1"/>
      <c r="O42" s="1"/>
      <c r="P42" s="1"/>
      <c r="Q42" s="1"/>
      <c r="R42" s="1"/>
      <c r="S42" s="1"/>
      <c r="T42" s="1"/>
      <c r="U42" s="1"/>
      <c r="V42" s="1"/>
      <c r="W42" s="1"/>
      <c r="X42" s="1"/>
      <c r="Y42" s="1"/>
      <c r="Z42" s="1"/>
      <c r="AA42" s="1"/>
      <c r="AB42" s="1"/>
      <c r="AC42" s="1"/>
      <c r="AD42" s="1"/>
      <c r="AE42" s="1"/>
    </row>
    <row r="43" spans="1:31" ht="14.4">
      <c r="A43" s="13"/>
      <c r="B43" s="976"/>
      <c r="C43" s="489" t="s">
        <v>331</v>
      </c>
      <c r="D43" s="511">
        <v>2200000</v>
      </c>
      <c r="E43" s="512">
        <f t="shared" si="3"/>
        <v>230340</v>
      </c>
      <c r="F43" s="512">
        <f t="shared" ref="F43:H43" si="31">$D43*F$15</f>
        <v>33880</v>
      </c>
      <c r="G43" s="512">
        <f t="shared" si="31"/>
        <v>132000</v>
      </c>
      <c r="H43" s="512">
        <f t="shared" si="31"/>
        <v>20240</v>
      </c>
      <c r="I43" s="512">
        <v>18.57</v>
      </c>
      <c r="J43" s="512">
        <f t="shared" si="5"/>
        <v>66000</v>
      </c>
      <c r="K43" s="512">
        <f t="shared" si="1"/>
        <v>482478.57</v>
      </c>
      <c r="L43" s="513">
        <f t="shared" si="2"/>
        <v>2682478.5699999998</v>
      </c>
      <c r="M43" s="175"/>
      <c r="N43" s="1"/>
      <c r="O43" s="1"/>
      <c r="P43" s="1"/>
      <c r="Q43" s="1"/>
      <c r="R43" s="1"/>
      <c r="S43" s="1"/>
      <c r="T43" s="1"/>
      <c r="U43" s="1"/>
      <c r="V43" s="1"/>
      <c r="W43" s="1"/>
      <c r="X43" s="1"/>
      <c r="Y43" s="1"/>
      <c r="Z43" s="1"/>
      <c r="AA43" s="1"/>
      <c r="AB43" s="1"/>
      <c r="AC43" s="1"/>
      <c r="AD43" s="1"/>
      <c r="AE43" s="1"/>
    </row>
    <row r="44" spans="1:31" ht="14.4">
      <c r="A44" s="13"/>
      <c r="B44" s="976"/>
      <c r="C44" s="489" t="s">
        <v>332</v>
      </c>
      <c r="D44" s="511">
        <v>2100000</v>
      </c>
      <c r="E44" s="512">
        <f t="shared" si="3"/>
        <v>219870</v>
      </c>
      <c r="F44" s="512">
        <f t="shared" ref="F44:H44" si="32">$D44*F$15</f>
        <v>32340</v>
      </c>
      <c r="G44" s="512">
        <f t="shared" si="32"/>
        <v>126000</v>
      </c>
      <c r="H44" s="512">
        <f t="shared" si="32"/>
        <v>19320</v>
      </c>
      <c r="I44" s="512">
        <v>18.57</v>
      </c>
      <c r="J44" s="512">
        <f t="shared" si="5"/>
        <v>63000</v>
      </c>
      <c r="K44" s="512">
        <f t="shared" si="1"/>
        <v>460548.57</v>
      </c>
      <c r="L44" s="513">
        <f t="shared" si="2"/>
        <v>2560548.5699999998</v>
      </c>
      <c r="M44" s="175"/>
      <c r="N44" s="1"/>
      <c r="O44" s="1"/>
      <c r="P44" s="1"/>
      <c r="Q44" s="1"/>
      <c r="R44" s="1"/>
      <c r="S44" s="1"/>
      <c r="T44" s="1"/>
      <c r="U44" s="1"/>
      <c r="V44" s="1"/>
      <c r="W44" s="1"/>
      <c r="X44" s="1"/>
      <c r="Y44" s="1"/>
      <c r="Z44" s="1"/>
      <c r="AA44" s="1"/>
      <c r="AB44" s="1"/>
      <c r="AC44" s="1"/>
      <c r="AD44" s="1"/>
      <c r="AE44" s="1"/>
    </row>
    <row r="45" spans="1:31" ht="14.4">
      <c r="A45" s="13"/>
      <c r="B45" s="976"/>
      <c r="C45" s="489" t="s">
        <v>333</v>
      </c>
      <c r="D45" s="511">
        <v>2000000</v>
      </c>
      <c r="E45" s="512">
        <f t="shared" si="3"/>
        <v>209400</v>
      </c>
      <c r="F45" s="512">
        <f t="shared" ref="F45:H45" si="33">$D45*F$15</f>
        <v>30800</v>
      </c>
      <c r="G45" s="512">
        <f t="shared" si="33"/>
        <v>120000</v>
      </c>
      <c r="H45" s="512">
        <f t="shared" si="33"/>
        <v>18400</v>
      </c>
      <c r="I45" s="512">
        <v>18.57</v>
      </c>
      <c r="J45" s="512">
        <f t="shared" si="5"/>
        <v>60000</v>
      </c>
      <c r="K45" s="512">
        <f t="shared" si="1"/>
        <v>438618.57</v>
      </c>
      <c r="L45" s="513">
        <f t="shared" si="2"/>
        <v>2438618.5699999998</v>
      </c>
      <c r="M45" s="175"/>
      <c r="N45" s="1"/>
      <c r="O45" s="1"/>
      <c r="P45" s="1"/>
      <c r="Q45" s="1"/>
      <c r="R45" s="1"/>
      <c r="S45" s="1"/>
      <c r="T45" s="1"/>
      <c r="U45" s="1"/>
      <c r="V45" s="1"/>
      <c r="W45" s="1"/>
      <c r="X45" s="1"/>
      <c r="Y45" s="1"/>
      <c r="Z45" s="1"/>
      <c r="AA45" s="1"/>
      <c r="AB45" s="1"/>
      <c r="AC45" s="1"/>
      <c r="AD45" s="1"/>
      <c r="AE45" s="1"/>
    </row>
    <row r="46" spans="1:31" ht="14.4">
      <c r="A46" s="13"/>
      <c r="B46" s="976"/>
      <c r="C46" s="489" t="s">
        <v>334</v>
      </c>
      <c r="D46" s="511">
        <v>2100000</v>
      </c>
      <c r="E46" s="512">
        <f t="shared" si="3"/>
        <v>219870</v>
      </c>
      <c r="F46" s="512">
        <f t="shared" ref="F46:H46" si="34">$D46*F$15</f>
        <v>32340</v>
      </c>
      <c r="G46" s="512">
        <f t="shared" si="34"/>
        <v>126000</v>
      </c>
      <c r="H46" s="512">
        <f t="shared" si="34"/>
        <v>19320</v>
      </c>
      <c r="I46" s="512">
        <v>18.57</v>
      </c>
      <c r="J46" s="512">
        <f t="shared" si="5"/>
        <v>63000</v>
      </c>
      <c r="K46" s="512">
        <f t="shared" si="1"/>
        <v>460548.57</v>
      </c>
      <c r="L46" s="513">
        <f t="shared" si="2"/>
        <v>2560548.5699999998</v>
      </c>
      <c r="M46" s="175"/>
      <c r="N46" s="1"/>
      <c r="O46" s="1"/>
      <c r="P46" s="1"/>
      <c r="Q46" s="1"/>
      <c r="R46" s="1"/>
      <c r="S46" s="1"/>
      <c r="T46" s="1"/>
      <c r="U46" s="1"/>
      <c r="V46" s="1"/>
      <c r="W46" s="1"/>
      <c r="X46" s="1"/>
      <c r="Y46" s="1"/>
      <c r="Z46" s="1"/>
      <c r="AA46" s="1"/>
      <c r="AB46" s="1"/>
      <c r="AC46" s="1"/>
      <c r="AD46" s="1"/>
      <c r="AE46" s="1"/>
    </row>
    <row r="47" spans="1:31" ht="14.4">
      <c r="A47" s="13"/>
      <c r="B47" s="976"/>
      <c r="C47" s="489" t="s">
        <v>335</v>
      </c>
      <c r="D47" s="511">
        <v>1900000</v>
      </c>
      <c r="E47" s="512">
        <f t="shared" si="3"/>
        <v>198930</v>
      </c>
      <c r="F47" s="512">
        <f t="shared" ref="F47:H47" si="35">$D47*F$15</f>
        <v>29260</v>
      </c>
      <c r="G47" s="512">
        <f t="shared" si="35"/>
        <v>114000</v>
      </c>
      <c r="H47" s="512">
        <f t="shared" si="35"/>
        <v>17480</v>
      </c>
      <c r="I47" s="512">
        <v>18.57</v>
      </c>
      <c r="J47" s="512">
        <f t="shared" si="5"/>
        <v>57000</v>
      </c>
      <c r="K47" s="512">
        <f t="shared" si="1"/>
        <v>416688.57</v>
      </c>
      <c r="L47" s="513">
        <f t="shared" si="2"/>
        <v>2316688.5699999998</v>
      </c>
      <c r="M47" s="175"/>
      <c r="N47" s="1"/>
      <c r="O47" s="1"/>
      <c r="P47" s="1"/>
      <c r="Q47" s="1"/>
      <c r="R47" s="1"/>
      <c r="S47" s="1"/>
      <c r="T47" s="1"/>
      <c r="U47" s="1"/>
      <c r="V47" s="1"/>
      <c r="W47" s="1"/>
      <c r="X47" s="1"/>
      <c r="Y47" s="1"/>
      <c r="Z47" s="1"/>
      <c r="AA47" s="1"/>
      <c r="AB47" s="1"/>
      <c r="AC47" s="1"/>
      <c r="AD47" s="1"/>
      <c r="AE47" s="1"/>
    </row>
    <row r="48" spans="1:31" ht="14.4">
      <c r="A48" s="13"/>
      <c r="B48" s="976"/>
      <c r="C48" s="489" t="s">
        <v>336</v>
      </c>
      <c r="D48" s="511">
        <v>1900000</v>
      </c>
      <c r="E48" s="512">
        <f t="shared" si="3"/>
        <v>198930</v>
      </c>
      <c r="F48" s="512">
        <f t="shared" ref="F48:H48" si="36">$D48*F$15</f>
        <v>29260</v>
      </c>
      <c r="G48" s="512">
        <f t="shared" si="36"/>
        <v>114000</v>
      </c>
      <c r="H48" s="512">
        <f t="shared" si="36"/>
        <v>17480</v>
      </c>
      <c r="I48" s="512">
        <v>18.57</v>
      </c>
      <c r="J48" s="512">
        <f t="shared" si="5"/>
        <v>57000</v>
      </c>
      <c r="K48" s="512">
        <f t="shared" si="1"/>
        <v>416688.57</v>
      </c>
      <c r="L48" s="513">
        <f t="shared" si="2"/>
        <v>2316688.5699999998</v>
      </c>
      <c r="M48" s="175"/>
      <c r="N48" s="1"/>
      <c r="O48" s="1"/>
      <c r="P48" s="1"/>
      <c r="Q48" s="1"/>
      <c r="R48" s="1"/>
      <c r="S48" s="1"/>
      <c r="T48" s="1"/>
      <c r="U48" s="1"/>
      <c r="V48" s="1"/>
      <c r="W48" s="1"/>
      <c r="X48" s="1"/>
      <c r="Y48" s="1"/>
      <c r="Z48" s="1"/>
      <c r="AA48" s="1"/>
      <c r="AB48" s="1"/>
      <c r="AC48" s="1"/>
      <c r="AD48" s="1"/>
      <c r="AE48" s="1"/>
    </row>
    <row r="49" spans="1:31" ht="14.4">
      <c r="A49" s="13"/>
      <c r="B49" s="976"/>
      <c r="C49" s="489" t="s">
        <v>337</v>
      </c>
      <c r="D49" s="511">
        <v>1800000</v>
      </c>
      <c r="E49" s="512">
        <f t="shared" si="3"/>
        <v>188460</v>
      </c>
      <c r="F49" s="512">
        <f t="shared" ref="F49:H49" si="37">$D49*F$15</f>
        <v>27720</v>
      </c>
      <c r="G49" s="512">
        <f t="shared" si="37"/>
        <v>108000</v>
      </c>
      <c r="H49" s="512">
        <f t="shared" si="37"/>
        <v>16560</v>
      </c>
      <c r="I49" s="512">
        <v>18.57</v>
      </c>
      <c r="J49" s="512">
        <f t="shared" si="5"/>
        <v>54000</v>
      </c>
      <c r="K49" s="512">
        <f t="shared" si="1"/>
        <v>394758.57</v>
      </c>
      <c r="L49" s="513">
        <f t="shared" si="2"/>
        <v>2194758.5699999998</v>
      </c>
      <c r="M49" s="175"/>
      <c r="N49" s="1"/>
      <c r="O49" s="1"/>
      <c r="P49" s="1"/>
      <c r="Q49" s="1"/>
      <c r="R49" s="1"/>
      <c r="S49" s="1"/>
      <c r="T49" s="1"/>
      <c r="U49" s="1"/>
      <c r="V49" s="1"/>
      <c r="W49" s="1"/>
      <c r="X49" s="1"/>
      <c r="Y49" s="1"/>
      <c r="Z49" s="1"/>
      <c r="AA49" s="1"/>
      <c r="AB49" s="1"/>
      <c r="AC49" s="1"/>
      <c r="AD49" s="1"/>
      <c r="AE49" s="1"/>
    </row>
    <row r="50" spans="1:31" ht="14.4">
      <c r="A50" s="13"/>
      <c r="B50" s="976"/>
      <c r="C50" s="490" t="s">
        <v>338</v>
      </c>
      <c r="D50" s="511">
        <v>1600000</v>
      </c>
      <c r="E50" s="512">
        <f t="shared" si="3"/>
        <v>167520</v>
      </c>
      <c r="F50" s="512">
        <f t="shared" ref="F50:H50" si="38">$D50*F$15</f>
        <v>24640</v>
      </c>
      <c r="G50" s="512">
        <f t="shared" si="38"/>
        <v>96000</v>
      </c>
      <c r="H50" s="512">
        <f t="shared" si="38"/>
        <v>14720</v>
      </c>
      <c r="I50" s="512">
        <v>18.57</v>
      </c>
      <c r="J50" s="512">
        <f t="shared" si="5"/>
        <v>48000</v>
      </c>
      <c r="K50" s="512">
        <f t="shared" si="1"/>
        <v>350898.57</v>
      </c>
      <c r="L50" s="513">
        <f t="shared" si="2"/>
        <v>1950898.57</v>
      </c>
      <c r="M50" s="175"/>
      <c r="N50" s="1"/>
      <c r="O50" s="1"/>
      <c r="P50" s="1"/>
      <c r="Q50" s="1"/>
      <c r="R50" s="1"/>
      <c r="S50" s="1"/>
      <c r="T50" s="1"/>
      <c r="U50" s="1"/>
      <c r="V50" s="1"/>
      <c r="W50" s="1"/>
      <c r="X50" s="1"/>
      <c r="Y50" s="1"/>
      <c r="Z50" s="1"/>
      <c r="AA50" s="1"/>
      <c r="AB50" s="1"/>
      <c r="AC50" s="1"/>
      <c r="AD50" s="1"/>
      <c r="AE50" s="1"/>
    </row>
    <row r="51" spans="1:31" ht="14.4">
      <c r="A51" s="13"/>
      <c r="B51" s="976"/>
      <c r="C51" s="489" t="s">
        <v>339</v>
      </c>
      <c r="D51" s="511">
        <v>1600000</v>
      </c>
      <c r="E51" s="512">
        <f t="shared" si="3"/>
        <v>167520</v>
      </c>
      <c r="F51" s="512">
        <f t="shared" ref="F51:H51" si="39">$D51*F$15</f>
        <v>24640</v>
      </c>
      <c r="G51" s="512">
        <f t="shared" si="39"/>
        <v>96000</v>
      </c>
      <c r="H51" s="512">
        <f t="shared" si="39"/>
        <v>14720</v>
      </c>
      <c r="I51" s="512">
        <v>18.57</v>
      </c>
      <c r="J51" s="512">
        <f t="shared" si="5"/>
        <v>48000</v>
      </c>
      <c r="K51" s="512">
        <f t="shared" si="1"/>
        <v>350898.57</v>
      </c>
      <c r="L51" s="513">
        <f t="shared" si="2"/>
        <v>1950898.57</v>
      </c>
      <c r="M51" s="175"/>
      <c r="N51" s="1"/>
      <c r="O51" s="1"/>
      <c r="P51" s="1"/>
      <c r="Q51" s="1"/>
      <c r="R51" s="1"/>
      <c r="S51" s="1"/>
      <c r="T51" s="1"/>
      <c r="U51" s="1"/>
      <c r="V51" s="1"/>
      <c r="W51" s="1"/>
      <c r="X51" s="1"/>
      <c r="Y51" s="1"/>
      <c r="Z51" s="1"/>
      <c r="AA51" s="1"/>
      <c r="AB51" s="1"/>
      <c r="AC51" s="1"/>
      <c r="AD51" s="1"/>
      <c r="AE51" s="1"/>
    </row>
    <row r="52" spans="1:31" ht="14.4">
      <c r="A52" s="13"/>
      <c r="B52" s="976"/>
      <c r="C52" s="489" t="s">
        <v>340</v>
      </c>
      <c r="D52" s="511">
        <v>1000000</v>
      </c>
      <c r="E52" s="512">
        <f t="shared" si="3"/>
        <v>104700</v>
      </c>
      <c r="F52" s="512">
        <f t="shared" ref="F52:H52" si="40">$D52*F$15</f>
        <v>15400</v>
      </c>
      <c r="G52" s="512">
        <f t="shared" si="40"/>
        <v>60000</v>
      </c>
      <c r="H52" s="512">
        <f t="shared" si="40"/>
        <v>9200</v>
      </c>
      <c r="I52" s="512">
        <v>18.57</v>
      </c>
      <c r="J52" s="512">
        <f t="shared" si="5"/>
        <v>30000</v>
      </c>
      <c r="K52" s="512">
        <f t="shared" si="1"/>
        <v>219318.57</v>
      </c>
      <c r="L52" s="513">
        <f t="shared" si="2"/>
        <v>1219318.57</v>
      </c>
      <c r="M52" s="175"/>
      <c r="N52" s="1"/>
      <c r="O52" s="1"/>
      <c r="P52" s="1"/>
      <c r="Q52" s="1"/>
      <c r="R52" s="1"/>
      <c r="S52" s="1"/>
      <c r="T52" s="1"/>
      <c r="U52" s="1"/>
      <c r="V52" s="1"/>
      <c r="W52" s="1"/>
      <c r="X52" s="1"/>
      <c r="Y52" s="1"/>
      <c r="Z52" s="1"/>
      <c r="AA52" s="1"/>
      <c r="AB52" s="1"/>
      <c r="AC52" s="1"/>
      <c r="AD52" s="1"/>
      <c r="AE52" s="1"/>
    </row>
    <row r="53" spans="1:31" ht="14.4">
      <c r="A53" s="13"/>
      <c r="B53" s="977"/>
      <c r="C53" s="524" t="s">
        <v>341</v>
      </c>
      <c r="D53" s="525">
        <v>950000</v>
      </c>
      <c r="E53" s="516">
        <f t="shared" si="3"/>
        <v>99465</v>
      </c>
      <c r="F53" s="516">
        <f t="shared" ref="F53:H53" si="41">$D53*F$15</f>
        <v>14630</v>
      </c>
      <c r="G53" s="516">
        <f t="shared" si="41"/>
        <v>57000</v>
      </c>
      <c r="H53" s="516">
        <f t="shared" si="41"/>
        <v>8740</v>
      </c>
      <c r="I53" s="516">
        <v>18.57</v>
      </c>
      <c r="J53" s="516">
        <f t="shared" si="5"/>
        <v>28500</v>
      </c>
      <c r="K53" s="516">
        <f t="shared" si="1"/>
        <v>208353.57</v>
      </c>
      <c r="L53" s="517">
        <f t="shared" si="2"/>
        <v>1158353.57</v>
      </c>
      <c r="M53" s="175"/>
      <c r="N53" s="1"/>
      <c r="O53" s="1"/>
      <c r="P53" s="1"/>
      <c r="Q53" s="1"/>
      <c r="R53" s="1"/>
      <c r="S53" s="1"/>
      <c r="T53" s="1"/>
      <c r="U53" s="1"/>
      <c r="V53" s="1"/>
      <c r="W53" s="1"/>
      <c r="X53" s="1"/>
      <c r="Y53" s="1"/>
      <c r="Z53" s="1"/>
      <c r="AA53" s="1"/>
      <c r="AB53" s="1"/>
      <c r="AC53" s="1"/>
      <c r="AD53" s="1"/>
      <c r="AE53" s="1"/>
    </row>
    <row r="54" spans="1:31" ht="14.4">
      <c r="A54" s="13"/>
      <c r="B54" s="975" t="s">
        <v>251</v>
      </c>
      <c r="C54" s="526" t="s">
        <v>342</v>
      </c>
      <c r="D54" s="519">
        <v>1950000</v>
      </c>
      <c r="E54" s="509">
        <f t="shared" si="3"/>
        <v>204165</v>
      </c>
      <c r="F54" s="509">
        <f t="shared" ref="F54:H54" si="42">$D54*F$15</f>
        <v>30030</v>
      </c>
      <c r="G54" s="509">
        <f t="shared" si="42"/>
        <v>117000</v>
      </c>
      <c r="H54" s="509">
        <f t="shared" si="42"/>
        <v>17940</v>
      </c>
      <c r="I54" s="509">
        <v>18.57</v>
      </c>
      <c r="J54" s="509">
        <f t="shared" si="5"/>
        <v>58500</v>
      </c>
      <c r="K54" s="509">
        <f t="shared" si="1"/>
        <v>427653.57</v>
      </c>
      <c r="L54" s="510">
        <f t="shared" si="2"/>
        <v>2377653.5699999998</v>
      </c>
      <c r="M54" s="175"/>
      <c r="N54" s="1"/>
      <c r="O54" s="1"/>
      <c r="P54" s="1"/>
      <c r="Q54" s="1"/>
      <c r="R54" s="1"/>
      <c r="S54" s="1"/>
      <c r="T54" s="1"/>
      <c r="U54" s="1"/>
      <c r="V54" s="1"/>
      <c r="W54" s="1"/>
      <c r="X54" s="1"/>
      <c r="Y54" s="1"/>
      <c r="Z54" s="1"/>
      <c r="AA54" s="1"/>
      <c r="AB54" s="1"/>
      <c r="AC54" s="1"/>
      <c r="AD54" s="1"/>
      <c r="AE54" s="1"/>
    </row>
    <row r="55" spans="1:31" ht="14.4">
      <c r="A55" s="13"/>
      <c r="B55" s="976"/>
      <c r="C55" s="489" t="s">
        <v>336</v>
      </c>
      <c r="D55" s="520">
        <v>1900000</v>
      </c>
      <c r="E55" s="512">
        <f t="shared" si="3"/>
        <v>198930</v>
      </c>
      <c r="F55" s="512">
        <f t="shared" ref="F55:H55" si="43">$D55*F$15</f>
        <v>29260</v>
      </c>
      <c r="G55" s="512">
        <f t="shared" si="43"/>
        <v>114000</v>
      </c>
      <c r="H55" s="512">
        <f t="shared" si="43"/>
        <v>17480</v>
      </c>
      <c r="I55" s="512">
        <v>18.57</v>
      </c>
      <c r="J55" s="512">
        <f t="shared" si="5"/>
        <v>57000</v>
      </c>
      <c r="K55" s="512">
        <f t="shared" si="1"/>
        <v>416688.57</v>
      </c>
      <c r="L55" s="513">
        <f t="shared" si="2"/>
        <v>2316688.5699999998</v>
      </c>
      <c r="M55" s="175"/>
      <c r="N55" s="1"/>
      <c r="O55" s="1"/>
      <c r="P55" s="1"/>
      <c r="Q55" s="1"/>
      <c r="R55" s="1"/>
      <c r="S55" s="1"/>
      <c r="T55" s="1"/>
      <c r="U55" s="1"/>
      <c r="V55" s="1"/>
      <c r="W55" s="1"/>
      <c r="X55" s="1"/>
      <c r="Y55" s="1"/>
      <c r="Z55" s="1"/>
      <c r="AA55" s="1"/>
      <c r="AB55" s="1"/>
      <c r="AC55" s="1"/>
      <c r="AD55" s="1"/>
      <c r="AE55" s="1"/>
    </row>
    <row r="56" spans="1:31" ht="14.4">
      <c r="A56" s="13"/>
      <c r="B56" s="976"/>
      <c r="C56" s="489" t="s">
        <v>343</v>
      </c>
      <c r="D56" s="520">
        <v>1650000</v>
      </c>
      <c r="E56" s="512">
        <f t="shared" si="3"/>
        <v>172755</v>
      </c>
      <c r="F56" s="512">
        <f t="shared" ref="F56:H56" si="44">$D56*F$15</f>
        <v>25410</v>
      </c>
      <c r="G56" s="512">
        <f t="shared" si="44"/>
        <v>99000</v>
      </c>
      <c r="H56" s="512">
        <f t="shared" si="44"/>
        <v>15180</v>
      </c>
      <c r="I56" s="512">
        <v>18.57</v>
      </c>
      <c r="J56" s="512">
        <f t="shared" si="5"/>
        <v>49500</v>
      </c>
      <c r="K56" s="512">
        <f t="shared" si="1"/>
        <v>361863.57</v>
      </c>
      <c r="L56" s="513">
        <f t="shared" si="2"/>
        <v>2011863.57</v>
      </c>
      <c r="M56" s="175"/>
      <c r="N56" s="1"/>
      <c r="O56" s="1"/>
      <c r="P56" s="1"/>
      <c r="Q56" s="1"/>
      <c r="R56" s="1"/>
      <c r="S56" s="1"/>
      <c r="T56" s="1"/>
      <c r="U56" s="1"/>
      <c r="V56" s="1"/>
      <c r="W56" s="1"/>
      <c r="X56" s="1"/>
      <c r="Y56" s="1"/>
      <c r="Z56" s="1"/>
      <c r="AA56" s="1"/>
      <c r="AB56" s="1"/>
      <c r="AC56" s="1"/>
      <c r="AD56" s="1"/>
      <c r="AE56" s="1"/>
    </row>
    <row r="57" spans="1:31" ht="14.4">
      <c r="A57" s="13"/>
      <c r="B57" s="976"/>
      <c r="C57" s="490" t="s">
        <v>344</v>
      </c>
      <c r="D57" s="520">
        <v>1600000</v>
      </c>
      <c r="E57" s="512">
        <f t="shared" si="3"/>
        <v>167520</v>
      </c>
      <c r="F57" s="512">
        <f t="shared" ref="F57:H57" si="45">$D57*F$15</f>
        <v>24640</v>
      </c>
      <c r="G57" s="512">
        <f t="shared" si="45"/>
        <v>96000</v>
      </c>
      <c r="H57" s="512">
        <f t="shared" si="45"/>
        <v>14720</v>
      </c>
      <c r="I57" s="512">
        <v>18.57</v>
      </c>
      <c r="J57" s="512">
        <f t="shared" si="5"/>
        <v>48000</v>
      </c>
      <c r="K57" s="512">
        <f t="shared" si="1"/>
        <v>350898.57</v>
      </c>
      <c r="L57" s="513">
        <f t="shared" si="2"/>
        <v>1950898.57</v>
      </c>
      <c r="M57" s="175"/>
      <c r="N57" s="1"/>
      <c r="O57" s="1"/>
      <c r="P57" s="1"/>
      <c r="Q57" s="1"/>
      <c r="R57" s="1"/>
      <c r="S57" s="1"/>
      <c r="T57" s="1"/>
      <c r="U57" s="1"/>
      <c r="V57" s="1"/>
      <c r="W57" s="1"/>
      <c r="X57" s="1"/>
      <c r="Y57" s="1"/>
      <c r="Z57" s="1"/>
      <c r="AA57" s="1"/>
      <c r="AB57" s="1"/>
      <c r="AC57" s="1"/>
      <c r="AD57" s="1"/>
      <c r="AE57" s="1"/>
    </row>
    <row r="58" spans="1:31" ht="14.4">
      <c r="A58" s="13"/>
      <c r="B58" s="976"/>
      <c r="C58" s="527" t="s">
        <v>86</v>
      </c>
      <c r="D58" s="520">
        <v>1400000</v>
      </c>
      <c r="E58" s="512">
        <f t="shared" si="3"/>
        <v>146580</v>
      </c>
      <c r="F58" s="512">
        <f t="shared" ref="F58:H58" si="46">$D58*F$15</f>
        <v>21560</v>
      </c>
      <c r="G58" s="512">
        <f t="shared" si="46"/>
        <v>84000</v>
      </c>
      <c r="H58" s="512">
        <f t="shared" si="46"/>
        <v>12880</v>
      </c>
      <c r="I58" s="512">
        <v>18.57</v>
      </c>
      <c r="J58" s="512">
        <f t="shared" si="5"/>
        <v>42000</v>
      </c>
      <c r="K58" s="512">
        <f t="shared" si="1"/>
        <v>307038.57</v>
      </c>
      <c r="L58" s="513">
        <f t="shared" si="2"/>
        <v>1707038.57</v>
      </c>
      <c r="M58" s="175"/>
      <c r="N58" s="1"/>
      <c r="O58" s="1"/>
      <c r="P58" s="1"/>
      <c r="Q58" s="1"/>
      <c r="R58" s="1"/>
      <c r="S58" s="1"/>
      <c r="T58" s="1"/>
      <c r="U58" s="1"/>
      <c r="V58" s="1"/>
      <c r="W58" s="1"/>
      <c r="X58" s="1"/>
      <c r="Y58" s="1"/>
      <c r="Z58" s="1"/>
      <c r="AA58" s="1"/>
      <c r="AB58" s="1"/>
      <c r="AC58" s="1"/>
      <c r="AD58" s="1"/>
      <c r="AE58" s="1"/>
    </row>
    <row r="59" spans="1:31" ht="14.4">
      <c r="A59" s="13"/>
      <c r="B59" s="976"/>
      <c r="C59" s="489" t="s">
        <v>345</v>
      </c>
      <c r="D59" s="511">
        <v>1400000</v>
      </c>
      <c r="E59" s="512">
        <f t="shared" si="3"/>
        <v>146580</v>
      </c>
      <c r="F59" s="512">
        <f t="shared" ref="F59:H59" si="47">$D59*F$15</f>
        <v>21560</v>
      </c>
      <c r="G59" s="512">
        <f t="shared" si="47"/>
        <v>84000</v>
      </c>
      <c r="H59" s="512">
        <f t="shared" si="47"/>
        <v>12880</v>
      </c>
      <c r="I59" s="512">
        <v>18.57</v>
      </c>
      <c r="J59" s="512">
        <f t="shared" si="5"/>
        <v>42000</v>
      </c>
      <c r="K59" s="512">
        <f t="shared" si="1"/>
        <v>307038.57</v>
      </c>
      <c r="L59" s="513">
        <f t="shared" si="2"/>
        <v>1707038.57</v>
      </c>
      <c r="M59" s="175"/>
      <c r="N59" s="1"/>
      <c r="O59" s="1"/>
      <c r="P59" s="1"/>
      <c r="Q59" s="1"/>
      <c r="R59" s="1"/>
      <c r="S59" s="1"/>
      <c r="T59" s="1"/>
      <c r="U59" s="1"/>
      <c r="V59" s="1"/>
      <c r="W59" s="1"/>
      <c r="X59" s="1"/>
      <c r="Y59" s="1"/>
      <c r="Z59" s="1"/>
      <c r="AA59" s="1"/>
      <c r="AB59" s="1"/>
      <c r="AC59" s="1"/>
      <c r="AD59" s="1"/>
      <c r="AE59" s="1"/>
    </row>
    <row r="60" spans="1:31" ht="14.4">
      <c r="A60" s="13"/>
      <c r="B60" s="976"/>
      <c r="C60" s="489" t="s">
        <v>346</v>
      </c>
      <c r="D60" s="511">
        <v>1200000</v>
      </c>
      <c r="E60" s="512">
        <f t="shared" si="3"/>
        <v>125640</v>
      </c>
      <c r="F60" s="512">
        <f t="shared" ref="F60:H60" si="48">$D60*F$15</f>
        <v>18480</v>
      </c>
      <c r="G60" s="512">
        <f t="shared" si="48"/>
        <v>72000</v>
      </c>
      <c r="H60" s="512">
        <f t="shared" si="48"/>
        <v>11040</v>
      </c>
      <c r="I60" s="512">
        <v>18.57</v>
      </c>
      <c r="J60" s="512">
        <f t="shared" si="5"/>
        <v>36000</v>
      </c>
      <c r="K60" s="512">
        <f t="shared" si="1"/>
        <v>263178.57</v>
      </c>
      <c r="L60" s="513">
        <f t="shared" si="2"/>
        <v>1463178.57</v>
      </c>
      <c r="M60" s="175"/>
      <c r="N60" s="1"/>
      <c r="O60" s="1"/>
      <c r="P60" s="1"/>
      <c r="Q60" s="1"/>
      <c r="R60" s="1"/>
      <c r="S60" s="1"/>
      <c r="T60" s="1"/>
      <c r="U60" s="1"/>
      <c r="V60" s="1"/>
      <c r="W60" s="1"/>
      <c r="X60" s="1"/>
      <c r="Y60" s="1"/>
      <c r="Z60" s="1"/>
      <c r="AA60" s="1"/>
      <c r="AB60" s="1"/>
      <c r="AC60" s="1"/>
      <c r="AD60" s="1"/>
      <c r="AE60" s="1"/>
    </row>
    <row r="61" spans="1:31" ht="14.4">
      <c r="A61" s="13"/>
      <c r="B61" s="976"/>
      <c r="C61" s="489" t="s">
        <v>347</v>
      </c>
      <c r="D61" s="511">
        <v>1100000</v>
      </c>
      <c r="E61" s="512">
        <f t="shared" si="3"/>
        <v>115170</v>
      </c>
      <c r="F61" s="512">
        <f t="shared" ref="F61:H61" si="49">$D61*F$15</f>
        <v>16940</v>
      </c>
      <c r="G61" s="512">
        <f t="shared" si="49"/>
        <v>66000</v>
      </c>
      <c r="H61" s="512">
        <f t="shared" si="49"/>
        <v>10120</v>
      </c>
      <c r="I61" s="512">
        <v>18.57</v>
      </c>
      <c r="J61" s="512">
        <f t="shared" si="5"/>
        <v>33000</v>
      </c>
      <c r="K61" s="512">
        <f t="shared" si="1"/>
        <v>241248.57</v>
      </c>
      <c r="L61" s="513">
        <f t="shared" si="2"/>
        <v>1341248.57</v>
      </c>
      <c r="M61" s="175"/>
      <c r="N61" s="1"/>
      <c r="O61" s="1"/>
      <c r="P61" s="1"/>
      <c r="Q61" s="1"/>
      <c r="R61" s="1"/>
      <c r="S61" s="1"/>
      <c r="T61" s="1"/>
      <c r="U61" s="1"/>
      <c r="V61" s="1"/>
      <c r="W61" s="1"/>
      <c r="X61" s="1"/>
      <c r="Y61" s="1"/>
      <c r="Z61" s="1"/>
      <c r="AA61" s="1"/>
      <c r="AB61" s="1"/>
      <c r="AC61" s="1"/>
      <c r="AD61" s="1"/>
      <c r="AE61" s="1"/>
    </row>
    <row r="62" spans="1:31" ht="14.4">
      <c r="A62" s="13"/>
      <c r="B62" s="976"/>
      <c r="C62" s="527" t="s">
        <v>88</v>
      </c>
      <c r="D62" s="511">
        <v>1000000</v>
      </c>
      <c r="E62" s="512">
        <f t="shared" si="3"/>
        <v>104700</v>
      </c>
      <c r="F62" s="512">
        <f t="shared" ref="F62:H62" si="50">$D62*F$15</f>
        <v>15400</v>
      </c>
      <c r="G62" s="512">
        <f t="shared" si="50"/>
        <v>60000</v>
      </c>
      <c r="H62" s="512">
        <f t="shared" si="50"/>
        <v>9200</v>
      </c>
      <c r="I62" s="512">
        <v>18.57</v>
      </c>
      <c r="J62" s="512">
        <f t="shared" si="5"/>
        <v>30000</v>
      </c>
      <c r="K62" s="512">
        <f t="shared" si="1"/>
        <v>219318.57</v>
      </c>
      <c r="L62" s="513">
        <f t="shared" si="2"/>
        <v>1219318.57</v>
      </c>
      <c r="M62" s="175"/>
      <c r="N62" s="1"/>
      <c r="O62" s="1"/>
      <c r="P62" s="1"/>
      <c r="Q62" s="1"/>
      <c r="R62" s="1"/>
      <c r="S62" s="1"/>
      <c r="T62" s="1"/>
      <c r="U62" s="1"/>
      <c r="V62" s="1"/>
      <c r="W62" s="1"/>
      <c r="X62" s="1"/>
      <c r="Y62" s="1"/>
      <c r="Z62" s="1"/>
      <c r="AA62" s="1"/>
      <c r="AB62" s="1"/>
      <c r="AC62" s="1"/>
      <c r="AD62" s="1"/>
      <c r="AE62" s="1"/>
    </row>
    <row r="63" spans="1:31" ht="14.4">
      <c r="A63" s="13"/>
      <c r="B63" s="976"/>
      <c r="C63" s="489" t="s">
        <v>348</v>
      </c>
      <c r="D63" s="511">
        <v>1000000</v>
      </c>
      <c r="E63" s="512">
        <f t="shared" si="3"/>
        <v>104700</v>
      </c>
      <c r="F63" s="512">
        <f t="shared" ref="F63:H63" si="51">$D63*F$15</f>
        <v>15400</v>
      </c>
      <c r="G63" s="512">
        <f t="shared" si="51"/>
        <v>60000</v>
      </c>
      <c r="H63" s="512">
        <f t="shared" si="51"/>
        <v>9200</v>
      </c>
      <c r="I63" s="512">
        <v>18.57</v>
      </c>
      <c r="J63" s="512">
        <f t="shared" si="5"/>
        <v>30000</v>
      </c>
      <c r="K63" s="512">
        <f t="shared" si="1"/>
        <v>219318.57</v>
      </c>
      <c r="L63" s="513">
        <f t="shared" si="2"/>
        <v>1219318.57</v>
      </c>
      <c r="M63" s="175"/>
      <c r="N63" s="1"/>
      <c r="O63" s="1"/>
      <c r="P63" s="1"/>
      <c r="Q63" s="1"/>
      <c r="R63" s="1"/>
      <c r="S63" s="1"/>
      <c r="T63" s="1"/>
      <c r="U63" s="1"/>
      <c r="V63" s="1"/>
      <c r="W63" s="1"/>
      <c r="X63" s="1"/>
      <c r="Y63" s="1"/>
      <c r="Z63" s="1"/>
      <c r="AA63" s="1"/>
      <c r="AB63" s="1"/>
      <c r="AC63" s="1"/>
      <c r="AD63" s="1"/>
      <c r="AE63" s="1"/>
    </row>
    <row r="64" spans="1:31" ht="14.4">
      <c r="A64" s="13"/>
      <c r="B64" s="976"/>
      <c r="C64" s="490" t="s">
        <v>349</v>
      </c>
      <c r="D64" s="511">
        <v>1000000</v>
      </c>
      <c r="E64" s="512">
        <f t="shared" si="3"/>
        <v>104700</v>
      </c>
      <c r="F64" s="512">
        <f t="shared" ref="F64:H64" si="52">$D64*F$15</f>
        <v>15400</v>
      </c>
      <c r="G64" s="512">
        <f t="shared" si="52"/>
        <v>60000</v>
      </c>
      <c r="H64" s="512">
        <f t="shared" si="52"/>
        <v>9200</v>
      </c>
      <c r="I64" s="512">
        <v>18.57</v>
      </c>
      <c r="J64" s="512">
        <f t="shared" si="5"/>
        <v>30000</v>
      </c>
      <c r="K64" s="512">
        <f t="shared" si="1"/>
        <v>219318.57</v>
      </c>
      <c r="L64" s="513">
        <f t="shared" si="2"/>
        <v>1219318.57</v>
      </c>
      <c r="M64" s="175"/>
      <c r="N64" s="1"/>
      <c r="O64" s="1"/>
      <c r="P64" s="1"/>
      <c r="Q64" s="1"/>
      <c r="R64" s="1"/>
      <c r="S64" s="1"/>
      <c r="T64" s="1"/>
      <c r="U64" s="1"/>
      <c r="V64" s="1"/>
      <c r="W64" s="1"/>
      <c r="X64" s="1"/>
      <c r="Y64" s="1"/>
      <c r="Z64" s="1"/>
      <c r="AA64" s="1"/>
      <c r="AB64" s="1"/>
      <c r="AC64" s="1"/>
      <c r="AD64" s="1"/>
      <c r="AE64" s="1"/>
    </row>
    <row r="65" spans="1:31" ht="14.4">
      <c r="A65" s="13"/>
      <c r="B65" s="976"/>
      <c r="C65" s="489" t="s">
        <v>319</v>
      </c>
      <c r="D65" s="511">
        <v>950000</v>
      </c>
      <c r="E65" s="512">
        <f t="shared" si="3"/>
        <v>99465</v>
      </c>
      <c r="F65" s="512">
        <f t="shared" ref="F65:H65" si="53">$D65*F$15</f>
        <v>14630</v>
      </c>
      <c r="G65" s="512">
        <f t="shared" si="53"/>
        <v>57000</v>
      </c>
      <c r="H65" s="512">
        <f t="shared" si="53"/>
        <v>8740</v>
      </c>
      <c r="I65" s="512">
        <v>18.57</v>
      </c>
      <c r="J65" s="512">
        <f t="shared" si="5"/>
        <v>28500</v>
      </c>
      <c r="K65" s="512">
        <f t="shared" si="1"/>
        <v>208353.57</v>
      </c>
      <c r="L65" s="513">
        <f t="shared" si="2"/>
        <v>1158353.57</v>
      </c>
      <c r="M65" s="175"/>
      <c r="N65" s="1"/>
      <c r="O65" s="1"/>
      <c r="P65" s="1"/>
      <c r="Q65" s="1"/>
      <c r="R65" s="1"/>
      <c r="S65" s="1"/>
      <c r="T65" s="1"/>
      <c r="U65" s="1"/>
      <c r="V65" s="1"/>
      <c r="W65" s="1"/>
      <c r="X65" s="1"/>
      <c r="Y65" s="1"/>
      <c r="Z65" s="1"/>
      <c r="AA65" s="1"/>
      <c r="AB65" s="1"/>
      <c r="AC65" s="1"/>
      <c r="AD65" s="1"/>
      <c r="AE65" s="1"/>
    </row>
    <row r="66" spans="1:31" ht="14.4">
      <c r="A66" s="13"/>
      <c r="B66" s="976"/>
      <c r="C66" s="489" t="s">
        <v>350</v>
      </c>
      <c r="D66" s="511">
        <v>950000</v>
      </c>
      <c r="E66" s="512">
        <f t="shared" si="3"/>
        <v>99465</v>
      </c>
      <c r="F66" s="512">
        <f t="shared" ref="F66:H66" si="54">$D66*F$15</f>
        <v>14630</v>
      </c>
      <c r="G66" s="512">
        <f t="shared" si="54"/>
        <v>57000</v>
      </c>
      <c r="H66" s="512">
        <f t="shared" si="54"/>
        <v>8740</v>
      </c>
      <c r="I66" s="512">
        <v>18.57</v>
      </c>
      <c r="J66" s="512">
        <f t="shared" si="5"/>
        <v>28500</v>
      </c>
      <c r="K66" s="512">
        <f t="shared" si="1"/>
        <v>208353.57</v>
      </c>
      <c r="L66" s="513">
        <f t="shared" si="2"/>
        <v>1158353.57</v>
      </c>
      <c r="M66" s="175"/>
      <c r="N66" s="1"/>
      <c r="O66" s="1"/>
      <c r="P66" s="1"/>
      <c r="Q66" s="1"/>
      <c r="R66" s="1"/>
      <c r="S66" s="1"/>
      <c r="T66" s="1"/>
      <c r="U66" s="1"/>
      <c r="V66" s="1"/>
      <c r="W66" s="1"/>
      <c r="X66" s="1"/>
      <c r="Y66" s="1"/>
      <c r="Z66" s="1"/>
      <c r="AA66" s="1"/>
      <c r="AB66" s="1"/>
      <c r="AC66" s="1"/>
      <c r="AD66" s="1"/>
      <c r="AE66" s="1"/>
    </row>
    <row r="67" spans="1:31" ht="14.4">
      <c r="A67" s="13"/>
      <c r="B67" s="977"/>
      <c r="C67" s="521" t="s">
        <v>351</v>
      </c>
      <c r="D67" s="522">
        <v>950000</v>
      </c>
      <c r="E67" s="397">
        <f t="shared" si="3"/>
        <v>99465</v>
      </c>
      <c r="F67" s="397">
        <f t="shared" ref="F67:H67" si="55">$D67*F$15</f>
        <v>14630</v>
      </c>
      <c r="G67" s="397">
        <f t="shared" si="55"/>
        <v>57000</v>
      </c>
      <c r="H67" s="397">
        <f t="shared" si="55"/>
        <v>8740</v>
      </c>
      <c r="I67" s="397">
        <v>18.57</v>
      </c>
      <c r="J67" s="397">
        <f t="shared" si="5"/>
        <v>28500</v>
      </c>
      <c r="K67" s="397">
        <f t="shared" si="1"/>
        <v>208353.57</v>
      </c>
      <c r="L67" s="523">
        <f t="shared" si="2"/>
        <v>1158353.57</v>
      </c>
      <c r="M67" s="175"/>
      <c r="N67" s="1"/>
      <c r="O67" s="1"/>
      <c r="P67" s="1"/>
      <c r="Q67" s="1"/>
      <c r="R67" s="1"/>
      <c r="S67" s="1"/>
      <c r="T67" s="1"/>
      <c r="U67" s="1"/>
      <c r="V67" s="1"/>
      <c r="W67" s="1"/>
      <c r="X67" s="1"/>
      <c r="Y67" s="1"/>
      <c r="Z67" s="1"/>
      <c r="AA67" s="1"/>
      <c r="AB67" s="1"/>
      <c r="AC67" s="1"/>
      <c r="AD67" s="1"/>
      <c r="AE67" s="1"/>
    </row>
    <row r="68" spans="1:31" ht="14.4">
      <c r="A68" s="13"/>
      <c r="B68" s="975" t="s">
        <v>352</v>
      </c>
      <c r="C68" s="507" t="s">
        <v>90</v>
      </c>
      <c r="D68" s="508">
        <v>1900000</v>
      </c>
      <c r="E68" s="509">
        <f t="shared" si="3"/>
        <v>198930</v>
      </c>
      <c r="F68" s="509">
        <f t="shared" ref="F68:H68" si="56">$D68*F$15</f>
        <v>29260</v>
      </c>
      <c r="G68" s="509">
        <f t="shared" si="56"/>
        <v>114000</v>
      </c>
      <c r="H68" s="509">
        <f t="shared" si="56"/>
        <v>17480</v>
      </c>
      <c r="I68" s="509">
        <v>18.57</v>
      </c>
      <c r="J68" s="509">
        <f t="shared" si="5"/>
        <v>57000</v>
      </c>
      <c r="K68" s="509">
        <f t="shared" si="1"/>
        <v>416688.57</v>
      </c>
      <c r="L68" s="510">
        <f t="shared" si="2"/>
        <v>2316688.5699999998</v>
      </c>
      <c r="M68" s="175"/>
      <c r="N68" s="1"/>
      <c r="O68" s="1"/>
      <c r="P68" s="1"/>
      <c r="Q68" s="1"/>
      <c r="R68" s="1"/>
      <c r="S68" s="1"/>
      <c r="T68" s="1"/>
      <c r="U68" s="1"/>
      <c r="V68" s="1"/>
      <c r="W68" s="1"/>
      <c r="X68" s="1"/>
      <c r="Y68" s="1"/>
      <c r="Z68" s="1"/>
      <c r="AA68" s="1"/>
      <c r="AB68" s="1"/>
      <c r="AC68" s="1"/>
      <c r="AD68" s="1"/>
      <c r="AE68" s="1"/>
    </row>
    <row r="69" spans="1:31" ht="14.4">
      <c r="A69" s="13"/>
      <c r="B69" s="976"/>
      <c r="C69" s="489" t="s">
        <v>353</v>
      </c>
      <c r="D69" s="511">
        <v>1600000</v>
      </c>
      <c r="E69" s="512">
        <f t="shared" si="3"/>
        <v>167520</v>
      </c>
      <c r="F69" s="512">
        <f t="shared" ref="F69:H69" si="57">$D69*F$15</f>
        <v>24640</v>
      </c>
      <c r="G69" s="512">
        <f t="shared" si="57"/>
        <v>96000</v>
      </c>
      <c r="H69" s="512">
        <f t="shared" si="57"/>
        <v>14720</v>
      </c>
      <c r="I69" s="512">
        <v>18.57</v>
      </c>
      <c r="J69" s="512">
        <f t="shared" si="5"/>
        <v>48000</v>
      </c>
      <c r="K69" s="512">
        <f t="shared" si="1"/>
        <v>350898.57</v>
      </c>
      <c r="L69" s="513">
        <f t="shared" si="2"/>
        <v>1950898.57</v>
      </c>
      <c r="M69" s="175"/>
      <c r="N69" s="1"/>
      <c r="O69" s="1"/>
      <c r="P69" s="1"/>
      <c r="Q69" s="1"/>
      <c r="R69" s="1"/>
      <c r="S69" s="1"/>
      <c r="T69" s="1"/>
      <c r="U69" s="1"/>
      <c r="V69" s="1"/>
      <c r="W69" s="1"/>
      <c r="X69" s="1"/>
      <c r="Y69" s="1"/>
      <c r="Z69" s="1"/>
      <c r="AA69" s="1"/>
      <c r="AB69" s="1"/>
      <c r="AC69" s="1"/>
      <c r="AD69" s="1"/>
      <c r="AE69" s="1"/>
    </row>
    <row r="70" spans="1:31" ht="14.4">
      <c r="A70" s="13"/>
      <c r="B70" s="976"/>
      <c r="C70" s="489" t="s">
        <v>354</v>
      </c>
      <c r="D70" s="511">
        <v>1200000</v>
      </c>
      <c r="E70" s="512">
        <f t="shared" si="3"/>
        <v>125640</v>
      </c>
      <c r="F70" s="512">
        <f t="shared" ref="F70:H70" si="58">$D70*F$15</f>
        <v>18480</v>
      </c>
      <c r="G70" s="512">
        <f t="shared" si="58"/>
        <v>72000</v>
      </c>
      <c r="H70" s="512">
        <f t="shared" si="58"/>
        <v>11040</v>
      </c>
      <c r="I70" s="512">
        <v>18.57</v>
      </c>
      <c r="J70" s="512">
        <f t="shared" si="5"/>
        <v>36000</v>
      </c>
      <c r="K70" s="512">
        <f t="shared" si="1"/>
        <v>263178.57</v>
      </c>
      <c r="L70" s="513">
        <f t="shared" si="2"/>
        <v>1463178.57</v>
      </c>
      <c r="M70" s="175"/>
      <c r="N70" s="1"/>
      <c r="O70" s="1"/>
      <c r="P70" s="1"/>
      <c r="Q70" s="1"/>
      <c r="R70" s="1"/>
      <c r="S70" s="1"/>
      <c r="T70" s="1"/>
      <c r="U70" s="1"/>
      <c r="V70" s="1"/>
      <c r="W70" s="1"/>
      <c r="X70" s="1"/>
      <c r="Y70" s="1"/>
      <c r="Z70" s="1"/>
      <c r="AA70" s="1"/>
      <c r="AB70" s="1"/>
      <c r="AC70" s="1"/>
      <c r="AD70" s="1"/>
      <c r="AE70" s="1"/>
    </row>
    <row r="71" spans="1:31" ht="14.4">
      <c r="A71" s="13"/>
      <c r="B71" s="977"/>
      <c r="C71" s="528" t="s">
        <v>355</v>
      </c>
      <c r="D71" s="522">
        <v>1000000</v>
      </c>
      <c r="E71" s="397">
        <f t="shared" si="3"/>
        <v>104700</v>
      </c>
      <c r="F71" s="397">
        <f t="shared" ref="F71:H71" si="59">$D71*F$15</f>
        <v>15400</v>
      </c>
      <c r="G71" s="397">
        <f t="shared" si="59"/>
        <v>60000</v>
      </c>
      <c r="H71" s="397">
        <f t="shared" si="59"/>
        <v>9200</v>
      </c>
      <c r="I71" s="397">
        <v>18.57</v>
      </c>
      <c r="J71" s="397">
        <f t="shared" si="5"/>
        <v>30000</v>
      </c>
      <c r="K71" s="397">
        <f t="shared" si="1"/>
        <v>219318.57</v>
      </c>
      <c r="L71" s="523">
        <f t="shared" si="2"/>
        <v>1219318.57</v>
      </c>
      <c r="M71" s="175"/>
      <c r="N71" s="1"/>
      <c r="O71" s="1"/>
      <c r="P71" s="1"/>
      <c r="Q71" s="1"/>
      <c r="R71" s="1"/>
      <c r="S71" s="1"/>
      <c r="T71" s="1"/>
      <c r="U71" s="1"/>
      <c r="V71" s="1"/>
      <c r="W71" s="1"/>
      <c r="X71" s="1"/>
      <c r="Y71" s="1"/>
      <c r="Z71" s="1"/>
      <c r="AA71" s="1"/>
      <c r="AB71" s="1"/>
      <c r="AC71" s="1"/>
      <c r="AD71" s="1"/>
      <c r="AE71" s="1"/>
    </row>
    <row r="72" spans="1:31" ht="14.4">
      <c r="A72" s="1"/>
      <c r="B72" s="15"/>
      <c r="C72" s="15"/>
      <c r="D72" s="15"/>
      <c r="E72" s="15"/>
      <c r="F72" s="15"/>
      <c r="G72" s="15"/>
      <c r="H72" s="15"/>
      <c r="I72" s="15"/>
      <c r="J72" s="15"/>
      <c r="K72" s="15"/>
      <c r="L72" s="15"/>
      <c r="M72" s="1"/>
      <c r="N72" s="1"/>
      <c r="O72" s="1"/>
      <c r="P72" s="1"/>
      <c r="Q72" s="1"/>
      <c r="R72" s="1"/>
      <c r="S72" s="1"/>
      <c r="T72" s="1"/>
      <c r="U72" s="1"/>
      <c r="V72" s="1"/>
      <c r="W72" s="1"/>
      <c r="X72" s="1"/>
      <c r="Y72" s="1"/>
      <c r="Z72" s="1"/>
      <c r="AA72" s="1"/>
      <c r="AB72" s="1"/>
      <c r="AC72" s="1"/>
      <c r="AD72" s="1"/>
      <c r="AE72" s="1"/>
    </row>
    <row r="73" spans="1:31" ht="14.4">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4.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25.8">
      <c r="A75" s="1"/>
      <c r="B75" s="798" t="s">
        <v>356</v>
      </c>
      <c r="C75" s="799"/>
      <c r="D75" s="799"/>
      <c r="E75" s="799"/>
      <c r="F75" s="799"/>
      <c r="G75" s="799"/>
      <c r="H75" s="799"/>
      <c r="I75" s="799"/>
      <c r="J75" s="799"/>
      <c r="K75" s="799"/>
      <c r="L75" s="799"/>
      <c r="M75" s="799"/>
      <c r="N75" s="799"/>
      <c r="O75" s="799"/>
      <c r="P75" s="799"/>
      <c r="Q75" s="799"/>
      <c r="R75" s="799"/>
      <c r="S75" s="799"/>
      <c r="T75" s="799"/>
      <c r="U75" s="799"/>
      <c r="V75" s="799"/>
      <c r="W75" s="799"/>
      <c r="X75" s="799"/>
      <c r="Y75" s="799"/>
      <c r="Z75" s="799"/>
      <c r="AA75" s="800"/>
      <c r="AB75" s="1"/>
      <c r="AC75" s="1"/>
      <c r="AD75" s="1"/>
      <c r="AE75" s="1"/>
    </row>
    <row r="76" spans="1:31" ht="15.6">
      <c r="A76" s="1"/>
      <c r="B76" s="968" t="s">
        <v>292</v>
      </c>
      <c r="C76" s="965" t="s">
        <v>58</v>
      </c>
      <c r="D76" s="806"/>
      <c r="E76" s="965" t="s">
        <v>59</v>
      </c>
      <c r="F76" s="806"/>
      <c r="G76" s="965" t="s">
        <v>60</v>
      </c>
      <c r="H76" s="806"/>
      <c r="I76" s="965" t="s">
        <v>61</v>
      </c>
      <c r="J76" s="806"/>
      <c r="K76" s="965" t="s">
        <v>62</v>
      </c>
      <c r="L76" s="806"/>
      <c r="M76" s="965" t="s">
        <v>357</v>
      </c>
      <c r="N76" s="806"/>
      <c r="O76" s="965" t="s">
        <v>64</v>
      </c>
      <c r="P76" s="806"/>
      <c r="Q76" s="965" t="s">
        <v>65</v>
      </c>
      <c r="R76" s="806"/>
      <c r="S76" s="965" t="s">
        <v>66</v>
      </c>
      <c r="T76" s="806"/>
      <c r="U76" s="965" t="s">
        <v>67</v>
      </c>
      <c r="V76" s="806"/>
      <c r="W76" s="965" t="s">
        <v>68</v>
      </c>
      <c r="X76" s="806"/>
      <c r="Y76" s="965" t="s">
        <v>358</v>
      </c>
      <c r="Z76" s="806"/>
      <c r="AA76" s="966" t="s">
        <v>249</v>
      </c>
      <c r="AB76" s="1"/>
      <c r="AC76" s="1"/>
      <c r="AD76" s="1"/>
      <c r="AE76" s="1"/>
    </row>
    <row r="77" spans="1:31" ht="15.6">
      <c r="A77" s="1"/>
      <c r="B77" s="969"/>
      <c r="C77" s="529" t="s">
        <v>26</v>
      </c>
      <c r="D77" s="529" t="s">
        <v>278</v>
      </c>
      <c r="E77" s="529" t="s">
        <v>26</v>
      </c>
      <c r="F77" s="529" t="s">
        <v>278</v>
      </c>
      <c r="G77" s="529" t="s">
        <v>26</v>
      </c>
      <c r="H77" s="529" t="s">
        <v>278</v>
      </c>
      <c r="I77" s="529" t="s">
        <v>26</v>
      </c>
      <c r="J77" s="529" t="s">
        <v>278</v>
      </c>
      <c r="K77" s="529" t="s">
        <v>26</v>
      </c>
      <c r="L77" s="529" t="s">
        <v>278</v>
      </c>
      <c r="M77" s="529" t="s">
        <v>26</v>
      </c>
      <c r="N77" s="529" t="s">
        <v>278</v>
      </c>
      <c r="O77" s="529" t="s">
        <v>26</v>
      </c>
      <c r="P77" s="529" t="s">
        <v>278</v>
      </c>
      <c r="Q77" s="529" t="s">
        <v>26</v>
      </c>
      <c r="R77" s="529" t="s">
        <v>278</v>
      </c>
      <c r="S77" s="529" t="s">
        <v>26</v>
      </c>
      <c r="T77" s="529" t="s">
        <v>278</v>
      </c>
      <c r="U77" s="529" t="s">
        <v>26</v>
      </c>
      <c r="V77" s="529" t="s">
        <v>278</v>
      </c>
      <c r="W77" s="529" t="s">
        <v>26</v>
      </c>
      <c r="X77" s="529" t="s">
        <v>278</v>
      </c>
      <c r="Y77" s="529" t="s">
        <v>26</v>
      </c>
      <c r="Z77" s="529" t="s">
        <v>278</v>
      </c>
      <c r="AA77" s="967"/>
      <c r="AB77" s="1"/>
      <c r="AC77" s="1"/>
      <c r="AD77" s="1"/>
      <c r="AE77" s="1"/>
    </row>
    <row r="78" spans="1:31" ht="14.4">
      <c r="A78" s="1"/>
      <c r="B78" s="530" t="str">
        <f>C$16</f>
        <v>Gerente general</v>
      </c>
      <c r="C78" s="531">
        <v>0</v>
      </c>
      <c r="D78" s="532">
        <f t="shared" ref="D78:D133" si="60">C78*$L16</f>
        <v>0</v>
      </c>
      <c r="E78" s="533">
        <v>0</v>
      </c>
      <c r="F78" s="532">
        <f t="shared" ref="F78:F133" si="61">E78*$L16</f>
        <v>0</v>
      </c>
      <c r="G78" s="533">
        <v>0</v>
      </c>
      <c r="H78" s="532">
        <f t="shared" ref="H78:H133" si="62">G78*$L16</f>
        <v>0</v>
      </c>
      <c r="I78" s="533">
        <v>0</v>
      </c>
      <c r="J78" s="532">
        <f t="shared" ref="J78:J133" si="63">I78*$L16</f>
        <v>0</v>
      </c>
      <c r="K78" s="533">
        <v>0</v>
      </c>
      <c r="L78" s="532">
        <f t="shared" ref="L78:L133" si="64">K78*$L16</f>
        <v>0</v>
      </c>
      <c r="M78" s="533">
        <v>0</v>
      </c>
      <c r="N78" s="532">
        <f t="shared" ref="N78:N133" si="65">M78*$L16*1.5</f>
        <v>0</v>
      </c>
      <c r="O78" s="533">
        <v>0</v>
      </c>
      <c r="P78" s="532">
        <f t="shared" ref="P78:P133" si="66">O78*$L16</f>
        <v>0</v>
      </c>
      <c r="Q78" s="533">
        <v>0</v>
      </c>
      <c r="R78" s="532">
        <f t="shared" ref="R78:R133" si="67">Q78*$L16</f>
        <v>0</v>
      </c>
      <c r="S78" s="533">
        <v>0</v>
      </c>
      <c r="T78" s="532">
        <f t="shared" ref="T78:T133" si="68">S78*$L16</f>
        <v>0</v>
      </c>
      <c r="U78" s="533">
        <v>0</v>
      </c>
      <c r="V78" s="532">
        <f t="shared" ref="V78:V133" si="69">U78*$L16</f>
        <v>0</v>
      </c>
      <c r="W78" s="533">
        <v>0</v>
      </c>
      <c r="X78" s="532">
        <f t="shared" ref="X78:X133" si="70">W78*$L16</f>
        <v>0</v>
      </c>
      <c r="Y78" s="533">
        <v>0</v>
      </c>
      <c r="Z78" s="532">
        <f t="shared" ref="Z78:Z133" si="71">Y78*$L16*1.5</f>
        <v>0</v>
      </c>
      <c r="AA78" s="534">
        <f t="shared" ref="AA78:AA133" si="72">D78+F78+H78+J78+L78+N78+P78+R78+T78+V78+X78+Z78</f>
        <v>0</v>
      </c>
      <c r="AB78" s="1"/>
      <c r="AC78" s="1"/>
      <c r="AD78" s="1"/>
      <c r="AE78" s="1"/>
    </row>
    <row r="79" spans="1:31" ht="14.4">
      <c r="A79" s="1"/>
      <c r="B79" s="530" t="str">
        <f>C$17</f>
        <v>Gerente de administración</v>
      </c>
      <c r="C79" s="535">
        <v>1</v>
      </c>
      <c r="D79" s="532">
        <f t="shared" si="60"/>
        <v>2438618.5699999998</v>
      </c>
      <c r="E79" s="531">
        <v>1</v>
      </c>
      <c r="F79" s="532">
        <f t="shared" si="61"/>
        <v>2438618.5699999998</v>
      </c>
      <c r="G79" s="531">
        <v>1</v>
      </c>
      <c r="H79" s="532">
        <f t="shared" si="62"/>
        <v>2438618.5699999998</v>
      </c>
      <c r="I79" s="531">
        <v>1</v>
      </c>
      <c r="J79" s="532">
        <f t="shared" si="63"/>
        <v>2438618.5699999998</v>
      </c>
      <c r="K79" s="531">
        <v>1</v>
      </c>
      <c r="L79" s="532">
        <f t="shared" si="64"/>
        <v>2438618.5699999998</v>
      </c>
      <c r="M79" s="531">
        <v>1</v>
      </c>
      <c r="N79" s="532">
        <f t="shared" si="65"/>
        <v>3657927.8549999995</v>
      </c>
      <c r="O79" s="531">
        <v>1</v>
      </c>
      <c r="P79" s="532">
        <f t="shared" si="66"/>
        <v>2438618.5699999998</v>
      </c>
      <c r="Q79" s="531">
        <v>1</v>
      </c>
      <c r="R79" s="532">
        <f t="shared" si="67"/>
        <v>2438618.5699999998</v>
      </c>
      <c r="S79" s="531">
        <v>1</v>
      </c>
      <c r="T79" s="532">
        <f t="shared" si="68"/>
        <v>2438618.5699999998</v>
      </c>
      <c r="U79" s="531">
        <v>1</v>
      </c>
      <c r="V79" s="532">
        <f t="shared" si="69"/>
        <v>2438618.5699999998</v>
      </c>
      <c r="W79" s="531">
        <v>1</v>
      </c>
      <c r="X79" s="532">
        <f t="shared" si="70"/>
        <v>2438618.5699999998</v>
      </c>
      <c r="Y79" s="531">
        <v>1</v>
      </c>
      <c r="Z79" s="532">
        <f t="shared" si="71"/>
        <v>3657927.8549999995</v>
      </c>
      <c r="AA79" s="534">
        <f t="shared" si="72"/>
        <v>31702041.41</v>
      </c>
      <c r="AB79" s="1"/>
      <c r="AC79" s="1"/>
      <c r="AD79" s="1"/>
      <c r="AE79" s="1"/>
    </row>
    <row r="80" spans="1:31" ht="14.4">
      <c r="A80" s="1"/>
      <c r="B80" s="530" t="str">
        <f>C$18</f>
        <v>Jefe de compras</v>
      </c>
      <c r="C80" s="533">
        <v>0</v>
      </c>
      <c r="D80" s="532">
        <f t="shared" si="60"/>
        <v>0</v>
      </c>
      <c r="E80" s="533">
        <v>0</v>
      </c>
      <c r="F80" s="532">
        <f t="shared" si="61"/>
        <v>0</v>
      </c>
      <c r="G80" s="533">
        <v>0</v>
      </c>
      <c r="H80" s="532">
        <f t="shared" si="62"/>
        <v>0</v>
      </c>
      <c r="I80" s="533">
        <v>0</v>
      </c>
      <c r="J80" s="532">
        <f t="shared" si="63"/>
        <v>0</v>
      </c>
      <c r="K80" s="533">
        <v>0</v>
      </c>
      <c r="L80" s="532">
        <f t="shared" si="64"/>
        <v>0</v>
      </c>
      <c r="M80" s="533">
        <v>0</v>
      </c>
      <c r="N80" s="532">
        <f t="shared" si="65"/>
        <v>0</v>
      </c>
      <c r="O80" s="533">
        <v>0</v>
      </c>
      <c r="P80" s="532">
        <f t="shared" si="66"/>
        <v>0</v>
      </c>
      <c r="Q80" s="533">
        <v>0</v>
      </c>
      <c r="R80" s="532">
        <f t="shared" si="67"/>
        <v>0</v>
      </c>
      <c r="S80" s="533">
        <v>0</v>
      </c>
      <c r="T80" s="532">
        <f t="shared" si="68"/>
        <v>0</v>
      </c>
      <c r="U80" s="533">
        <v>0</v>
      </c>
      <c r="V80" s="532">
        <f t="shared" si="69"/>
        <v>0</v>
      </c>
      <c r="W80" s="533">
        <v>0</v>
      </c>
      <c r="X80" s="532">
        <f t="shared" si="70"/>
        <v>0</v>
      </c>
      <c r="Y80" s="533">
        <v>0</v>
      </c>
      <c r="Z80" s="532">
        <f t="shared" si="71"/>
        <v>0</v>
      </c>
      <c r="AA80" s="534">
        <f t="shared" si="72"/>
        <v>0</v>
      </c>
      <c r="AB80" s="1"/>
      <c r="AC80" s="1"/>
      <c r="AD80" s="1"/>
      <c r="AE80" s="1"/>
    </row>
    <row r="81" spans="1:31" ht="14.4">
      <c r="A81" s="1"/>
      <c r="B81" s="530" t="str">
        <f>C$19</f>
        <v>Jefe de finanzas</v>
      </c>
      <c r="C81" s="533">
        <v>0</v>
      </c>
      <c r="D81" s="532">
        <f t="shared" si="60"/>
        <v>0</v>
      </c>
      <c r="E81" s="533">
        <v>0</v>
      </c>
      <c r="F81" s="532">
        <f t="shared" si="61"/>
        <v>0</v>
      </c>
      <c r="G81" s="533">
        <v>0</v>
      </c>
      <c r="H81" s="532">
        <f t="shared" si="62"/>
        <v>0</v>
      </c>
      <c r="I81" s="533">
        <v>0</v>
      </c>
      <c r="J81" s="532">
        <f t="shared" si="63"/>
        <v>0</v>
      </c>
      <c r="K81" s="533">
        <v>0</v>
      </c>
      <c r="L81" s="532">
        <f t="shared" si="64"/>
        <v>0</v>
      </c>
      <c r="M81" s="533">
        <v>0</v>
      </c>
      <c r="N81" s="532">
        <f t="shared" si="65"/>
        <v>0</v>
      </c>
      <c r="O81" s="533">
        <v>0</v>
      </c>
      <c r="P81" s="532">
        <f t="shared" si="66"/>
        <v>0</v>
      </c>
      <c r="Q81" s="533">
        <v>0</v>
      </c>
      <c r="R81" s="532">
        <f t="shared" si="67"/>
        <v>0</v>
      </c>
      <c r="S81" s="533">
        <v>0</v>
      </c>
      <c r="T81" s="532">
        <f t="shared" si="68"/>
        <v>0</v>
      </c>
      <c r="U81" s="533">
        <v>0</v>
      </c>
      <c r="V81" s="532">
        <f t="shared" si="69"/>
        <v>0</v>
      </c>
      <c r="W81" s="533">
        <v>0</v>
      </c>
      <c r="X81" s="532">
        <f t="shared" si="70"/>
        <v>0</v>
      </c>
      <c r="Y81" s="533">
        <v>0</v>
      </c>
      <c r="Z81" s="532">
        <f t="shared" si="71"/>
        <v>0</v>
      </c>
      <c r="AA81" s="534">
        <f t="shared" si="72"/>
        <v>0</v>
      </c>
      <c r="AB81" s="1"/>
      <c r="AC81" s="1"/>
      <c r="AD81" s="1"/>
      <c r="AE81" s="1"/>
    </row>
    <row r="82" spans="1:31" ht="14.4">
      <c r="A82" s="1"/>
      <c r="B82" s="530" t="str">
        <f t="shared" ref="B82:B102" si="73">C20</f>
        <v>Jefe de ventas</v>
      </c>
      <c r="C82" s="533">
        <v>0</v>
      </c>
      <c r="D82" s="532">
        <f t="shared" si="60"/>
        <v>0</v>
      </c>
      <c r="E82" s="533">
        <v>0</v>
      </c>
      <c r="F82" s="532">
        <f t="shared" si="61"/>
        <v>0</v>
      </c>
      <c r="G82" s="533">
        <v>0</v>
      </c>
      <c r="H82" s="532">
        <f t="shared" si="62"/>
        <v>0</v>
      </c>
      <c r="I82" s="533">
        <v>0</v>
      </c>
      <c r="J82" s="532">
        <f t="shared" si="63"/>
        <v>0</v>
      </c>
      <c r="K82" s="533">
        <v>0</v>
      </c>
      <c r="L82" s="532">
        <f t="shared" si="64"/>
        <v>0</v>
      </c>
      <c r="M82" s="533">
        <v>0</v>
      </c>
      <c r="N82" s="532">
        <f t="shared" si="65"/>
        <v>0</v>
      </c>
      <c r="O82" s="533">
        <v>0</v>
      </c>
      <c r="P82" s="532">
        <f t="shared" si="66"/>
        <v>0</v>
      </c>
      <c r="Q82" s="533">
        <v>0</v>
      </c>
      <c r="R82" s="532">
        <f t="shared" si="67"/>
        <v>0</v>
      </c>
      <c r="S82" s="533">
        <v>0</v>
      </c>
      <c r="T82" s="532">
        <f t="shared" si="68"/>
        <v>0</v>
      </c>
      <c r="U82" s="533">
        <v>0</v>
      </c>
      <c r="V82" s="532">
        <f t="shared" si="69"/>
        <v>0</v>
      </c>
      <c r="W82" s="533">
        <v>0</v>
      </c>
      <c r="X82" s="532">
        <f t="shared" si="70"/>
        <v>0</v>
      </c>
      <c r="Y82" s="533">
        <v>0</v>
      </c>
      <c r="Z82" s="532">
        <f t="shared" si="71"/>
        <v>0</v>
      </c>
      <c r="AA82" s="534">
        <f t="shared" si="72"/>
        <v>0</v>
      </c>
      <c r="AB82" s="1"/>
      <c r="AC82" s="1"/>
      <c r="AD82" s="1"/>
      <c r="AE82" s="1"/>
    </row>
    <row r="83" spans="1:31" ht="14.4">
      <c r="A83" s="1"/>
      <c r="B83" s="530" t="str">
        <f t="shared" si="73"/>
        <v>Jefe de RRHH</v>
      </c>
      <c r="C83" s="533">
        <v>0</v>
      </c>
      <c r="D83" s="532">
        <f t="shared" si="60"/>
        <v>0</v>
      </c>
      <c r="E83" s="533">
        <v>0</v>
      </c>
      <c r="F83" s="532">
        <f t="shared" si="61"/>
        <v>0</v>
      </c>
      <c r="G83" s="533">
        <v>0</v>
      </c>
      <c r="H83" s="532">
        <f t="shared" si="62"/>
        <v>0</v>
      </c>
      <c r="I83" s="533">
        <v>0</v>
      </c>
      <c r="J83" s="532">
        <f t="shared" si="63"/>
        <v>0</v>
      </c>
      <c r="K83" s="533">
        <v>0</v>
      </c>
      <c r="L83" s="532">
        <f t="shared" si="64"/>
        <v>0</v>
      </c>
      <c r="M83" s="533">
        <v>0</v>
      </c>
      <c r="N83" s="532">
        <f t="shared" si="65"/>
        <v>0</v>
      </c>
      <c r="O83" s="533">
        <v>0</v>
      </c>
      <c r="P83" s="532">
        <f t="shared" si="66"/>
        <v>0</v>
      </c>
      <c r="Q83" s="533">
        <v>0</v>
      </c>
      <c r="R83" s="532">
        <f t="shared" si="67"/>
        <v>0</v>
      </c>
      <c r="S83" s="533">
        <v>0</v>
      </c>
      <c r="T83" s="532">
        <f t="shared" si="68"/>
        <v>0</v>
      </c>
      <c r="U83" s="533">
        <v>0</v>
      </c>
      <c r="V83" s="532">
        <f t="shared" si="69"/>
        <v>0</v>
      </c>
      <c r="W83" s="533">
        <v>0</v>
      </c>
      <c r="X83" s="532">
        <f t="shared" si="70"/>
        <v>0</v>
      </c>
      <c r="Y83" s="533">
        <v>0</v>
      </c>
      <c r="Z83" s="532">
        <f t="shared" si="71"/>
        <v>0</v>
      </c>
      <c r="AA83" s="534">
        <f t="shared" si="72"/>
        <v>0</v>
      </c>
      <c r="AB83" s="1"/>
      <c r="AC83" s="1"/>
      <c r="AD83" s="1"/>
      <c r="AE83" s="1"/>
    </row>
    <row r="84" spans="1:31" ht="14.4">
      <c r="A84" s="1"/>
      <c r="B84" s="530" t="str">
        <f t="shared" si="73"/>
        <v>Subjefe de ventas</v>
      </c>
      <c r="C84" s="533">
        <v>0</v>
      </c>
      <c r="D84" s="532">
        <f t="shared" si="60"/>
        <v>0</v>
      </c>
      <c r="E84" s="533">
        <v>0</v>
      </c>
      <c r="F84" s="532">
        <f t="shared" si="61"/>
        <v>0</v>
      </c>
      <c r="G84" s="533">
        <v>0</v>
      </c>
      <c r="H84" s="532">
        <f t="shared" si="62"/>
        <v>0</v>
      </c>
      <c r="I84" s="533">
        <v>0</v>
      </c>
      <c r="J84" s="532">
        <f t="shared" si="63"/>
        <v>0</v>
      </c>
      <c r="K84" s="533">
        <v>0</v>
      </c>
      <c r="L84" s="532">
        <f t="shared" si="64"/>
        <v>0</v>
      </c>
      <c r="M84" s="533">
        <v>0</v>
      </c>
      <c r="N84" s="532">
        <f t="shared" si="65"/>
        <v>0</v>
      </c>
      <c r="O84" s="533">
        <v>0</v>
      </c>
      <c r="P84" s="532">
        <f t="shared" si="66"/>
        <v>0</v>
      </c>
      <c r="Q84" s="533">
        <v>0</v>
      </c>
      <c r="R84" s="532">
        <f t="shared" si="67"/>
        <v>0</v>
      </c>
      <c r="S84" s="533">
        <v>0</v>
      </c>
      <c r="T84" s="532">
        <f t="shared" si="68"/>
        <v>0</v>
      </c>
      <c r="U84" s="533">
        <v>0</v>
      </c>
      <c r="V84" s="532">
        <f t="shared" si="69"/>
        <v>0</v>
      </c>
      <c r="W84" s="533">
        <v>0</v>
      </c>
      <c r="X84" s="532">
        <f t="shared" si="70"/>
        <v>0</v>
      </c>
      <c r="Y84" s="533">
        <v>0</v>
      </c>
      <c r="Z84" s="532">
        <f t="shared" si="71"/>
        <v>0</v>
      </c>
      <c r="AA84" s="534">
        <f t="shared" si="72"/>
        <v>0</v>
      </c>
      <c r="AB84" s="1"/>
      <c r="AC84" s="1"/>
      <c r="AD84" s="1"/>
      <c r="AE84" s="1"/>
    </row>
    <row r="85" spans="1:31" ht="14.4">
      <c r="A85" s="1"/>
      <c r="B85" s="530" t="str">
        <f t="shared" si="73"/>
        <v>Analista contable</v>
      </c>
      <c r="C85" s="533">
        <v>0</v>
      </c>
      <c r="D85" s="532">
        <f t="shared" si="60"/>
        <v>0</v>
      </c>
      <c r="E85" s="533">
        <v>0</v>
      </c>
      <c r="F85" s="532">
        <f t="shared" si="61"/>
        <v>0</v>
      </c>
      <c r="G85" s="533">
        <v>0</v>
      </c>
      <c r="H85" s="532">
        <f t="shared" si="62"/>
        <v>0</v>
      </c>
      <c r="I85" s="533">
        <v>0</v>
      </c>
      <c r="J85" s="532">
        <f t="shared" si="63"/>
        <v>0</v>
      </c>
      <c r="K85" s="533">
        <v>0</v>
      </c>
      <c r="L85" s="532">
        <f t="shared" si="64"/>
        <v>0</v>
      </c>
      <c r="M85" s="533">
        <v>0</v>
      </c>
      <c r="N85" s="532">
        <f t="shared" si="65"/>
        <v>0</v>
      </c>
      <c r="O85" s="533">
        <v>0</v>
      </c>
      <c r="P85" s="532">
        <f t="shared" si="66"/>
        <v>0</v>
      </c>
      <c r="Q85" s="533">
        <v>0</v>
      </c>
      <c r="R85" s="532">
        <f t="shared" si="67"/>
        <v>0</v>
      </c>
      <c r="S85" s="533">
        <v>0</v>
      </c>
      <c r="T85" s="532">
        <f t="shared" si="68"/>
        <v>0</v>
      </c>
      <c r="U85" s="533">
        <v>0</v>
      </c>
      <c r="V85" s="532">
        <f t="shared" si="69"/>
        <v>0</v>
      </c>
      <c r="W85" s="533">
        <v>0</v>
      </c>
      <c r="X85" s="532">
        <f t="shared" si="70"/>
        <v>0</v>
      </c>
      <c r="Y85" s="533">
        <v>0</v>
      </c>
      <c r="Z85" s="532">
        <f t="shared" si="71"/>
        <v>0</v>
      </c>
      <c r="AA85" s="534">
        <f t="shared" si="72"/>
        <v>0</v>
      </c>
      <c r="AB85" s="1"/>
      <c r="AC85" s="1"/>
      <c r="AD85" s="1"/>
      <c r="AE85" s="1"/>
    </row>
    <row r="86" spans="1:31" ht="14.4">
      <c r="A86" s="1"/>
      <c r="B86" s="530" t="str">
        <f t="shared" si="73"/>
        <v>Analista de compras</v>
      </c>
      <c r="C86" s="533">
        <v>0</v>
      </c>
      <c r="D86" s="532">
        <f t="shared" si="60"/>
        <v>0</v>
      </c>
      <c r="E86" s="533">
        <v>0</v>
      </c>
      <c r="F86" s="532">
        <f t="shared" si="61"/>
        <v>0</v>
      </c>
      <c r="G86" s="533">
        <v>0</v>
      </c>
      <c r="H86" s="532">
        <f t="shared" si="62"/>
        <v>0</v>
      </c>
      <c r="I86" s="533">
        <v>0</v>
      </c>
      <c r="J86" s="532">
        <f t="shared" si="63"/>
        <v>0</v>
      </c>
      <c r="K86" s="533">
        <v>0</v>
      </c>
      <c r="L86" s="532">
        <f t="shared" si="64"/>
        <v>0</v>
      </c>
      <c r="M86" s="533">
        <v>0</v>
      </c>
      <c r="N86" s="532">
        <f t="shared" si="65"/>
        <v>0</v>
      </c>
      <c r="O86" s="533">
        <v>0</v>
      </c>
      <c r="P86" s="532">
        <f t="shared" si="66"/>
        <v>0</v>
      </c>
      <c r="Q86" s="533">
        <v>0</v>
      </c>
      <c r="R86" s="532">
        <f t="shared" si="67"/>
        <v>0</v>
      </c>
      <c r="S86" s="533">
        <v>0</v>
      </c>
      <c r="T86" s="532">
        <f t="shared" si="68"/>
        <v>0</v>
      </c>
      <c r="U86" s="533">
        <v>0</v>
      </c>
      <c r="V86" s="532">
        <f t="shared" si="69"/>
        <v>0</v>
      </c>
      <c r="W86" s="533">
        <v>0</v>
      </c>
      <c r="X86" s="532">
        <f t="shared" si="70"/>
        <v>0</v>
      </c>
      <c r="Y86" s="533">
        <v>0</v>
      </c>
      <c r="Z86" s="532">
        <f t="shared" si="71"/>
        <v>0</v>
      </c>
      <c r="AA86" s="534">
        <f t="shared" si="72"/>
        <v>0</v>
      </c>
      <c r="AB86" s="1"/>
      <c r="AC86" s="1"/>
      <c r="AD86" s="1"/>
      <c r="AE86" s="1"/>
    </row>
    <row r="87" spans="1:31" ht="14.4">
      <c r="A87" s="1"/>
      <c r="B87" s="530" t="str">
        <f t="shared" si="73"/>
        <v>Administrativo de ventas</v>
      </c>
      <c r="C87" s="533">
        <v>0</v>
      </c>
      <c r="D87" s="532">
        <f t="shared" si="60"/>
        <v>0</v>
      </c>
      <c r="E87" s="533">
        <v>0</v>
      </c>
      <c r="F87" s="532">
        <f t="shared" si="61"/>
        <v>0</v>
      </c>
      <c r="G87" s="533">
        <v>0</v>
      </c>
      <c r="H87" s="532">
        <f t="shared" si="62"/>
        <v>0</v>
      </c>
      <c r="I87" s="533">
        <v>0</v>
      </c>
      <c r="J87" s="532">
        <f t="shared" si="63"/>
        <v>0</v>
      </c>
      <c r="K87" s="533">
        <v>0</v>
      </c>
      <c r="L87" s="532">
        <f t="shared" si="64"/>
        <v>0</v>
      </c>
      <c r="M87" s="533">
        <v>0</v>
      </c>
      <c r="N87" s="532">
        <f t="shared" si="65"/>
        <v>0</v>
      </c>
      <c r="O87" s="533">
        <v>0</v>
      </c>
      <c r="P87" s="532">
        <f t="shared" si="66"/>
        <v>0</v>
      </c>
      <c r="Q87" s="533">
        <v>0</v>
      </c>
      <c r="R87" s="532">
        <f t="shared" si="67"/>
        <v>0</v>
      </c>
      <c r="S87" s="533">
        <v>0</v>
      </c>
      <c r="T87" s="532">
        <f t="shared" si="68"/>
        <v>0</v>
      </c>
      <c r="U87" s="533">
        <v>0</v>
      </c>
      <c r="V87" s="532">
        <f t="shared" si="69"/>
        <v>0</v>
      </c>
      <c r="W87" s="533">
        <v>0</v>
      </c>
      <c r="X87" s="532">
        <f t="shared" si="70"/>
        <v>0</v>
      </c>
      <c r="Y87" s="533">
        <v>0</v>
      </c>
      <c r="Z87" s="532">
        <f t="shared" si="71"/>
        <v>0</v>
      </c>
      <c r="AA87" s="534">
        <f t="shared" si="72"/>
        <v>0</v>
      </c>
      <c r="AB87" s="1"/>
      <c r="AC87" s="1"/>
      <c r="AD87" s="1"/>
      <c r="AE87" s="1"/>
    </row>
    <row r="88" spans="1:31" ht="14.4">
      <c r="A88" s="1"/>
      <c r="B88" s="530" t="str">
        <f t="shared" si="73"/>
        <v>Administrativo contable</v>
      </c>
      <c r="C88" s="533">
        <v>0</v>
      </c>
      <c r="D88" s="532">
        <f t="shared" si="60"/>
        <v>0</v>
      </c>
      <c r="E88" s="533">
        <v>0</v>
      </c>
      <c r="F88" s="532">
        <f t="shared" si="61"/>
        <v>0</v>
      </c>
      <c r="G88" s="533">
        <v>0</v>
      </c>
      <c r="H88" s="532">
        <f t="shared" si="62"/>
        <v>0</v>
      </c>
      <c r="I88" s="533">
        <v>0</v>
      </c>
      <c r="J88" s="532">
        <f t="shared" si="63"/>
        <v>0</v>
      </c>
      <c r="K88" s="533">
        <v>0</v>
      </c>
      <c r="L88" s="532">
        <f t="shared" si="64"/>
        <v>0</v>
      </c>
      <c r="M88" s="533">
        <v>0</v>
      </c>
      <c r="N88" s="532">
        <f t="shared" si="65"/>
        <v>0</v>
      </c>
      <c r="O88" s="533">
        <v>0</v>
      </c>
      <c r="P88" s="532">
        <f t="shared" si="66"/>
        <v>0</v>
      </c>
      <c r="Q88" s="533">
        <v>0</v>
      </c>
      <c r="R88" s="532">
        <f t="shared" si="67"/>
        <v>0</v>
      </c>
      <c r="S88" s="533">
        <v>0</v>
      </c>
      <c r="T88" s="532">
        <f t="shared" si="68"/>
        <v>0</v>
      </c>
      <c r="U88" s="533">
        <v>0</v>
      </c>
      <c r="V88" s="532">
        <f t="shared" si="69"/>
        <v>0</v>
      </c>
      <c r="W88" s="533">
        <v>0</v>
      </c>
      <c r="X88" s="532">
        <f t="shared" si="70"/>
        <v>0</v>
      </c>
      <c r="Y88" s="533">
        <v>0</v>
      </c>
      <c r="Z88" s="532">
        <f t="shared" si="71"/>
        <v>0</v>
      </c>
      <c r="AA88" s="534">
        <f t="shared" si="72"/>
        <v>0</v>
      </c>
      <c r="AB88" s="1"/>
      <c r="AC88" s="1"/>
      <c r="AD88" s="1"/>
      <c r="AE88" s="1"/>
    </row>
    <row r="89" spans="1:31" ht="14.4">
      <c r="A89" s="1"/>
      <c r="B89" s="530" t="str">
        <f t="shared" si="73"/>
        <v>Administrativo de cobranzas</v>
      </c>
      <c r="C89" s="533">
        <v>0</v>
      </c>
      <c r="D89" s="532">
        <f t="shared" si="60"/>
        <v>0</v>
      </c>
      <c r="E89" s="533">
        <v>0</v>
      </c>
      <c r="F89" s="532">
        <f t="shared" si="61"/>
        <v>0</v>
      </c>
      <c r="G89" s="533">
        <v>0</v>
      </c>
      <c r="H89" s="532">
        <f t="shared" si="62"/>
        <v>0</v>
      </c>
      <c r="I89" s="533">
        <v>0</v>
      </c>
      <c r="J89" s="532">
        <f t="shared" si="63"/>
        <v>0</v>
      </c>
      <c r="K89" s="533">
        <v>0</v>
      </c>
      <c r="L89" s="532">
        <f t="shared" si="64"/>
        <v>0</v>
      </c>
      <c r="M89" s="533">
        <v>0</v>
      </c>
      <c r="N89" s="532">
        <f t="shared" si="65"/>
        <v>0</v>
      </c>
      <c r="O89" s="533">
        <v>0</v>
      </c>
      <c r="P89" s="532">
        <f t="shared" si="66"/>
        <v>0</v>
      </c>
      <c r="Q89" s="533">
        <v>0</v>
      </c>
      <c r="R89" s="532">
        <f t="shared" si="67"/>
        <v>0</v>
      </c>
      <c r="S89" s="533">
        <v>0</v>
      </c>
      <c r="T89" s="532">
        <f t="shared" si="68"/>
        <v>0</v>
      </c>
      <c r="U89" s="533">
        <v>0</v>
      </c>
      <c r="V89" s="532">
        <f t="shared" si="69"/>
        <v>0</v>
      </c>
      <c r="W89" s="533">
        <v>0</v>
      </c>
      <c r="X89" s="532">
        <f t="shared" si="70"/>
        <v>0</v>
      </c>
      <c r="Y89" s="533">
        <v>0</v>
      </c>
      <c r="Z89" s="532">
        <f t="shared" si="71"/>
        <v>0</v>
      </c>
      <c r="AA89" s="534">
        <f t="shared" si="72"/>
        <v>0</v>
      </c>
      <c r="AB89" s="1"/>
      <c r="AC89" s="1"/>
      <c r="AD89" s="1"/>
      <c r="AE89" s="1"/>
    </row>
    <row r="90" spans="1:31" ht="14.4">
      <c r="A90" s="1"/>
      <c r="B90" s="530" t="str">
        <f t="shared" si="73"/>
        <v>Administrativo de compras</v>
      </c>
      <c r="C90" s="533">
        <v>0</v>
      </c>
      <c r="D90" s="532">
        <f t="shared" si="60"/>
        <v>0</v>
      </c>
      <c r="E90" s="533">
        <v>0</v>
      </c>
      <c r="F90" s="532">
        <f t="shared" si="61"/>
        <v>0</v>
      </c>
      <c r="G90" s="533">
        <v>0</v>
      </c>
      <c r="H90" s="532">
        <f t="shared" si="62"/>
        <v>0</v>
      </c>
      <c r="I90" s="533">
        <v>0</v>
      </c>
      <c r="J90" s="532">
        <f t="shared" si="63"/>
        <v>0</v>
      </c>
      <c r="K90" s="533">
        <v>0</v>
      </c>
      <c r="L90" s="532">
        <f t="shared" si="64"/>
        <v>0</v>
      </c>
      <c r="M90" s="533">
        <v>0</v>
      </c>
      <c r="N90" s="532">
        <f t="shared" si="65"/>
        <v>0</v>
      </c>
      <c r="O90" s="533">
        <v>0</v>
      </c>
      <c r="P90" s="532">
        <f t="shared" si="66"/>
        <v>0</v>
      </c>
      <c r="Q90" s="533">
        <v>0</v>
      </c>
      <c r="R90" s="532">
        <f t="shared" si="67"/>
        <v>0</v>
      </c>
      <c r="S90" s="533">
        <v>0</v>
      </c>
      <c r="T90" s="532">
        <f t="shared" si="68"/>
        <v>0</v>
      </c>
      <c r="U90" s="533">
        <v>0</v>
      </c>
      <c r="V90" s="532">
        <f t="shared" si="69"/>
        <v>0</v>
      </c>
      <c r="W90" s="533">
        <v>0</v>
      </c>
      <c r="X90" s="532">
        <f t="shared" si="70"/>
        <v>0</v>
      </c>
      <c r="Y90" s="533">
        <v>0</v>
      </c>
      <c r="Z90" s="532">
        <f t="shared" si="71"/>
        <v>0</v>
      </c>
      <c r="AA90" s="534">
        <f t="shared" si="72"/>
        <v>0</v>
      </c>
      <c r="AB90" s="1"/>
      <c r="AC90" s="1"/>
      <c r="AD90" s="1"/>
      <c r="AE90" s="1"/>
    </row>
    <row r="91" spans="1:31" ht="14.4">
      <c r="A91" s="1"/>
      <c r="B91" s="530" t="str">
        <f t="shared" si="73"/>
        <v>Administrativo de pagos</v>
      </c>
      <c r="C91" s="533">
        <v>0</v>
      </c>
      <c r="D91" s="532">
        <f t="shared" si="60"/>
        <v>0</v>
      </c>
      <c r="E91" s="533">
        <v>0</v>
      </c>
      <c r="F91" s="532">
        <f t="shared" si="61"/>
        <v>0</v>
      </c>
      <c r="G91" s="533">
        <v>0</v>
      </c>
      <c r="H91" s="532">
        <f t="shared" si="62"/>
        <v>0</v>
      </c>
      <c r="I91" s="533">
        <v>0</v>
      </c>
      <c r="J91" s="532">
        <f t="shared" si="63"/>
        <v>0</v>
      </c>
      <c r="K91" s="533">
        <v>0</v>
      </c>
      <c r="L91" s="532">
        <f t="shared" si="64"/>
        <v>0</v>
      </c>
      <c r="M91" s="533">
        <v>0</v>
      </c>
      <c r="N91" s="532">
        <f t="shared" si="65"/>
        <v>0</v>
      </c>
      <c r="O91" s="533">
        <v>0</v>
      </c>
      <c r="P91" s="532">
        <f t="shared" si="66"/>
        <v>0</v>
      </c>
      <c r="Q91" s="533">
        <v>0</v>
      </c>
      <c r="R91" s="532">
        <f t="shared" si="67"/>
        <v>0</v>
      </c>
      <c r="S91" s="533">
        <v>0</v>
      </c>
      <c r="T91" s="532">
        <f t="shared" si="68"/>
        <v>0</v>
      </c>
      <c r="U91" s="533">
        <v>0</v>
      </c>
      <c r="V91" s="532">
        <f t="shared" si="69"/>
        <v>0</v>
      </c>
      <c r="W91" s="533">
        <v>0</v>
      </c>
      <c r="X91" s="532">
        <f t="shared" si="70"/>
        <v>0</v>
      </c>
      <c r="Y91" s="533">
        <v>0</v>
      </c>
      <c r="Z91" s="532">
        <f t="shared" si="71"/>
        <v>0</v>
      </c>
      <c r="AA91" s="534">
        <f t="shared" si="72"/>
        <v>0</v>
      </c>
      <c r="AB91" s="1"/>
      <c r="AC91" s="1"/>
      <c r="AD91" s="1"/>
      <c r="AE91" s="1"/>
    </row>
    <row r="92" spans="1:31" ht="14.4">
      <c r="A92" s="1"/>
      <c r="B92" s="530" t="str">
        <f t="shared" si="73"/>
        <v>Administrativo de RRHH</v>
      </c>
      <c r="C92" s="533">
        <v>0</v>
      </c>
      <c r="D92" s="532">
        <f t="shared" si="60"/>
        <v>0</v>
      </c>
      <c r="E92" s="533">
        <v>0</v>
      </c>
      <c r="F92" s="532">
        <f t="shared" si="61"/>
        <v>0</v>
      </c>
      <c r="G92" s="533">
        <v>0</v>
      </c>
      <c r="H92" s="532">
        <f t="shared" si="62"/>
        <v>0</v>
      </c>
      <c r="I92" s="533">
        <v>0</v>
      </c>
      <c r="J92" s="532">
        <f t="shared" si="63"/>
        <v>0</v>
      </c>
      <c r="K92" s="533">
        <v>0</v>
      </c>
      <c r="L92" s="532">
        <f t="shared" si="64"/>
        <v>0</v>
      </c>
      <c r="M92" s="533">
        <v>0</v>
      </c>
      <c r="N92" s="532">
        <f t="shared" si="65"/>
        <v>0</v>
      </c>
      <c r="O92" s="533">
        <v>0</v>
      </c>
      <c r="P92" s="532">
        <f t="shared" si="66"/>
        <v>0</v>
      </c>
      <c r="Q92" s="533">
        <v>0</v>
      </c>
      <c r="R92" s="532">
        <f t="shared" si="67"/>
        <v>0</v>
      </c>
      <c r="S92" s="533">
        <v>0</v>
      </c>
      <c r="T92" s="532">
        <f t="shared" si="68"/>
        <v>0</v>
      </c>
      <c r="U92" s="533">
        <v>0</v>
      </c>
      <c r="V92" s="532">
        <f t="shared" si="69"/>
        <v>0</v>
      </c>
      <c r="W92" s="533">
        <v>0</v>
      </c>
      <c r="X92" s="532">
        <f t="shared" si="70"/>
        <v>0</v>
      </c>
      <c r="Y92" s="533">
        <v>0</v>
      </c>
      <c r="Z92" s="532">
        <f t="shared" si="71"/>
        <v>0</v>
      </c>
      <c r="AA92" s="534">
        <f t="shared" si="72"/>
        <v>0</v>
      </c>
      <c r="AB92" s="1"/>
      <c r="AC92" s="1"/>
      <c r="AD92" s="1"/>
      <c r="AE92" s="1"/>
    </row>
    <row r="93" spans="1:31" ht="14.4">
      <c r="A93" s="1"/>
      <c r="B93" s="530" t="str">
        <f t="shared" si="73"/>
        <v>Auxiliar administrativo</v>
      </c>
      <c r="C93" s="531">
        <v>0</v>
      </c>
      <c r="D93" s="532">
        <f t="shared" si="60"/>
        <v>0</v>
      </c>
      <c r="E93" s="533">
        <v>0</v>
      </c>
      <c r="F93" s="532">
        <f t="shared" si="61"/>
        <v>0</v>
      </c>
      <c r="G93" s="533">
        <v>0</v>
      </c>
      <c r="H93" s="532">
        <f t="shared" si="62"/>
        <v>0</v>
      </c>
      <c r="I93" s="533">
        <v>0</v>
      </c>
      <c r="J93" s="532">
        <f t="shared" si="63"/>
        <v>0</v>
      </c>
      <c r="K93" s="533">
        <v>0</v>
      </c>
      <c r="L93" s="532">
        <f t="shared" si="64"/>
        <v>0</v>
      </c>
      <c r="M93" s="533">
        <v>0</v>
      </c>
      <c r="N93" s="532">
        <f t="shared" si="65"/>
        <v>0</v>
      </c>
      <c r="O93" s="533">
        <v>0</v>
      </c>
      <c r="P93" s="532">
        <f t="shared" si="66"/>
        <v>0</v>
      </c>
      <c r="Q93" s="533">
        <v>0</v>
      </c>
      <c r="R93" s="532">
        <f t="shared" si="67"/>
        <v>0</v>
      </c>
      <c r="S93" s="533">
        <v>0</v>
      </c>
      <c r="T93" s="532">
        <f t="shared" si="68"/>
        <v>0</v>
      </c>
      <c r="U93" s="533">
        <v>0</v>
      </c>
      <c r="V93" s="532">
        <f t="shared" si="69"/>
        <v>0</v>
      </c>
      <c r="W93" s="533">
        <v>0</v>
      </c>
      <c r="X93" s="532">
        <f t="shared" si="70"/>
        <v>0</v>
      </c>
      <c r="Y93" s="533">
        <v>0</v>
      </c>
      <c r="Z93" s="532">
        <f t="shared" si="71"/>
        <v>0</v>
      </c>
      <c r="AA93" s="534">
        <f t="shared" si="72"/>
        <v>0</v>
      </c>
      <c r="AB93" s="1"/>
      <c r="AC93" s="1"/>
      <c r="AD93" s="1"/>
      <c r="AE93" s="1"/>
    </row>
    <row r="94" spans="1:31" ht="14.4">
      <c r="A94" s="1"/>
      <c r="B94" s="530" t="str">
        <f t="shared" si="73"/>
        <v>Gerente de marketing</v>
      </c>
      <c r="C94" s="533">
        <v>0</v>
      </c>
      <c r="D94" s="532">
        <f t="shared" si="60"/>
        <v>0</v>
      </c>
      <c r="E94" s="533">
        <v>0</v>
      </c>
      <c r="F94" s="532">
        <f t="shared" si="61"/>
        <v>0</v>
      </c>
      <c r="G94" s="533">
        <v>0</v>
      </c>
      <c r="H94" s="532">
        <f t="shared" si="62"/>
        <v>0</v>
      </c>
      <c r="I94" s="533">
        <v>0</v>
      </c>
      <c r="J94" s="532">
        <f t="shared" si="63"/>
        <v>0</v>
      </c>
      <c r="K94" s="533">
        <v>0</v>
      </c>
      <c r="L94" s="532">
        <f t="shared" si="64"/>
        <v>0</v>
      </c>
      <c r="M94" s="533">
        <v>0</v>
      </c>
      <c r="N94" s="532">
        <f t="shared" si="65"/>
        <v>0</v>
      </c>
      <c r="O94" s="533">
        <v>0</v>
      </c>
      <c r="P94" s="532">
        <f t="shared" si="66"/>
        <v>0</v>
      </c>
      <c r="Q94" s="533">
        <v>0</v>
      </c>
      <c r="R94" s="532">
        <f t="shared" si="67"/>
        <v>0</v>
      </c>
      <c r="S94" s="533">
        <v>0</v>
      </c>
      <c r="T94" s="532">
        <f t="shared" si="68"/>
        <v>0</v>
      </c>
      <c r="U94" s="533">
        <v>0</v>
      </c>
      <c r="V94" s="532">
        <f t="shared" si="69"/>
        <v>0</v>
      </c>
      <c r="W94" s="533">
        <v>0</v>
      </c>
      <c r="X94" s="532">
        <f t="shared" si="70"/>
        <v>0</v>
      </c>
      <c r="Y94" s="533">
        <v>0</v>
      </c>
      <c r="Z94" s="532">
        <f t="shared" si="71"/>
        <v>0</v>
      </c>
      <c r="AA94" s="534">
        <f t="shared" si="72"/>
        <v>0</v>
      </c>
      <c r="AB94" s="1"/>
      <c r="AC94" s="1"/>
      <c r="AD94" s="1"/>
      <c r="AE94" s="1"/>
    </row>
    <row r="95" spans="1:31" ht="14.4">
      <c r="A95" s="1"/>
      <c r="B95" s="530" t="str">
        <f t="shared" si="73"/>
        <v>Lider de finanzas</v>
      </c>
      <c r="C95" s="533">
        <v>0</v>
      </c>
      <c r="D95" s="532">
        <f t="shared" si="60"/>
        <v>0</v>
      </c>
      <c r="E95" s="533">
        <v>0</v>
      </c>
      <c r="F95" s="532">
        <f t="shared" si="61"/>
        <v>0</v>
      </c>
      <c r="G95" s="533">
        <v>0</v>
      </c>
      <c r="H95" s="532">
        <f t="shared" si="62"/>
        <v>0</v>
      </c>
      <c r="I95" s="533">
        <v>0</v>
      </c>
      <c r="J95" s="532">
        <f t="shared" si="63"/>
        <v>0</v>
      </c>
      <c r="K95" s="533">
        <v>0</v>
      </c>
      <c r="L95" s="532">
        <f t="shared" si="64"/>
        <v>0</v>
      </c>
      <c r="M95" s="533">
        <v>0</v>
      </c>
      <c r="N95" s="532">
        <f t="shared" si="65"/>
        <v>0</v>
      </c>
      <c r="O95" s="533">
        <v>0</v>
      </c>
      <c r="P95" s="532">
        <f t="shared" si="66"/>
        <v>0</v>
      </c>
      <c r="Q95" s="533">
        <v>0</v>
      </c>
      <c r="R95" s="532">
        <f t="shared" si="67"/>
        <v>0</v>
      </c>
      <c r="S95" s="533">
        <v>0</v>
      </c>
      <c r="T95" s="532">
        <f t="shared" si="68"/>
        <v>0</v>
      </c>
      <c r="U95" s="533">
        <v>0</v>
      </c>
      <c r="V95" s="532">
        <f t="shared" si="69"/>
        <v>0</v>
      </c>
      <c r="W95" s="533">
        <v>0</v>
      </c>
      <c r="X95" s="532">
        <f t="shared" si="70"/>
        <v>0</v>
      </c>
      <c r="Y95" s="533">
        <v>0</v>
      </c>
      <c r="Z95" s="532">
        <f t="shared" si="71"/>
        <v>0</v>
      </c>
      <c r="AA95" s="534">
        <f t="shared" si="72"/>
        <v>0</v>
      </c>
      <c r="AB95" s="1"/>
      <c r="AC95" s="1"/>
      <c r="AD95" s="1"/>
      <c r="AE95" s="1"/>
    </row>
    <row r="96" spans="1:31" ht="14.4">
      <c r="A96" s="1"/>
      <c r="B96" s="530" t="str">
        <f t="shared" si="73"/>
        <v>Lider de operaciones comerciales</v>
      </c>
      <c r="C96" s="533">
        <v>0</v>
      </c>
      <c r="D96" s="532">
        <f t="shared" si="60"/>
        <v>0</v>
      </c>
      <c r="E96" s="533">
        <v>0</v>
      </c>
      <c r="F96" s="532">
        <f t="shared" si="61"/>
        <v>0</v>
      </c>
      <c r="G96" s="533">
        <v>0</v>
      </c>
      <c r="H96" s="532">
        <f t="shared" si="62"/>
        <v>0</v>
      </c>
      <c r="I96" s="533">
        <v>0</v>
      </c>
      <c r="J96" s="532">
        <f t="shared" si="63"/>
        <v>0</v>
      </c>
      <c r="K96" s="533">
        <v>0</v>
      </c>
      <c r="L96" s="532">
        <f t="shared" si="64"/>
        <v>0</v>
      </c>
      <c r="M96" s="533">
        <v>0</v>
      </c>
      <c r="N96" s="532">
        <f t="shared" si="65"/>
        <v>0</v>
      </c>
      <c r="O96" s="533">
        <v>0</v>
      </c>
      <c r="P96" s="532">
        <f t="shared" si="66"/>
        <v>0</v>
      </c>
      <c r="Q96" s="533">
        <v>0</v>
      </c>
      <c r="R96" s="532">
        <f t="shared" si="67"/>
        <v>0</v>
      </c>
      <c r="S96" s="533">
        <v>0</v>
      </c>
      <c r="T96" s="532">
        <f t="shared" si="68"/>
        <v>0</v>
      </c>
      <c r="U96" s="533">
        <v>0</v>
      </c>
      <c r="V96" s="532">
        <f t="shared" si="69"/>
        <v>0</v>
      </c>
      <c r="W96" s="533">
        <v>0</v>
      </c>
      <c r="X96" s="532">
        <f t="shared" si="70"/>
        <v>0</v>
      </c>
      <c r="Y96" s="533">
        <v>0</v>
      </c>
      <c r="Z96" s="532">
        <f t="shared" si="71"/>
        <v>0</v>
      </c>
      <c r="AA96" s="534">
        <f t="shared" si="72"/>
        <v>0</v>
      </c>
      <c r="AB96" s="1"/>
      <c r="AC96" s="1"/>
      <c r="AD96" s="1"/>
      <c r="AE96" s="1"/>
    </row>
    <row r="97" spans="1:31" ht="14.4">
      <c r="A97" s="1"/>
      <c r="B97" s="530" t="str">
        <f t="shared" si="73"/>
        <v>Coordinador de instalaciones</v>
      </c>
      <c r="C97" s="533">
        <v>0</v>
      </c>
      <c r="D97" s="532">
        <f t="shared" si="60"/>
        <v>0</v>
      </c>
      <c r="E97" s="533">
        <v>0</v>
      </c>
      <c r="F97" s="532">
        <f t="shared" si="61"/>
        <v>0</v>
      </c>
      <c r="G97" s="533">
        <v>0</v>
      </c>
      <c r="H97" s="532">
        <f t="shared" si="62"/>
        <v>0</v>
      </c>
      <c r="I97" s="533">
        <v>0</v>
      </c>
      <c r="J97" s="532">
        <f t="shared" si="63"/>
        <v>0</v>
      </c>
      <c r="K97" s="533">
        <v>0</v>
      </c>
      <c r="L97" s="532">
        <f t="shared" si="64"/>
        <v>0</v>
      </c>
      <c r="M97" s="533">
        <v>0</v>
      </c>
      <c r="N97" s="532">
        <f t="shared" si="65"/>
        <v>0</v>
      </c>
      <c r="O97" s="533">
        <v>0</v>
      </c>
      <c r="P97" s="532">
        <f t="shared" si="66"/>
        <v>0</v>
      </c>
      <c r="Q97" s="533">
        <v>0</v>
      </c>
      <c r="R97" s="532">
        <f t="shared" si="67"/>
        <v>0</v>
      </c>
      <c r="S97" s="533">
        <v>0</v>
      </c>
      <c r="T97" s="532">
        <f t="shared" si="68"/>
        <v>0</v>
      </c>
      <c r="U97" s="533">
        <v>0</v>
      </c>
      <c r="V97" s="532">
        <f t="shared" si="69"/>
        <v>0</v>
      </c>
      <c r="W97" s="533">
        <v>0</v>
      </c>
      <c r="X97" s="532">
        <f t="shared" si="70"/>
        <v>0</v>
      </c>
      <c r="Y97" s="533">
        <v>0</v>
      </c>
      <c r="Z97" s="532">
        <f t="shared" si="71"/>
        <v>0</v>
      </c>
      <c r="AA97" s="534">
        <f t="shared" si="72"/>
        <v>0</v>
      </c>
      <c r="AB97" s="1"/>
      <c r="AC97" s="1"/>
      <c r="AD97" s="1"/>
      <c r="AE97" s="1"/>
    </row>
    <row r="98" spans="1:31" ht="14.4">
      <c r="A98" s="1"/>
      <c r="B98" s="530" t="str">
        <f t="shared" si="73"/>
        <v>Analista de producto</v>
      </c>
      <c r="C98" s="533">
        <v>0</v>
      </c>
      <c r="D98" s="532">
        <f t="shared" si="60"/>
        <v>0</v>
      </c>
      <c r="E98" s="533">
        <v>0</v>
      </c>
      <c r="F98" s="532">
        <f t="shared" si="61"/>
        <v>0</v>
      </c>
      <c r="G98" s="533">
        <v>0</v>
      </c>
      <c r="H98" s="532">
        <f t="shared" si="62"/>
        <v>0</v>
      </c>
      <c r="I98" s="533">
        <v>0</v>
      </c>
      <c r="J98" s="532">
        <f t="shared" si="63"/>
        <v>0</v>
      </c>
      <c r="K98" s="533">
        <v>0</v>
      </c>
      <c r="L98" s="532">
        <f t="shared" si="64"/>
        <v>0</v>
      </c>
      <c r="M98" s="533">
        <v>0</v>
      </c>
      <c r="N98" s="532">
        <f t="shared" si="65"/>
        <v>0</v>
      </c>
      <c r="O98" s="533">
        <v>0</v>
      </c>
      <c r="P98" s="532">
        <f t="shared" si="66"/>
        <v>0</v>
      </c>
      <c r="Q98" s="533">
        <v>0</v>
      </c>
      <c r="R98" s="532">
        <f t="shared" si="67"/>
        <v>0</v>
      </c>
      <c r="S98" s="533">
        <v>0</v>
      </c>
      <c r="T98" s="532">
        <f t="shared" si="68"/>
        <v>0</v>
      </c>
      <c r="U98" s="533">
        <v>0</v>
      </c>
      <c r="V98" s="532">
        <f t="shared" si="69"/>
        <v>0</v>
      </c>
      <c r="W98" s="533">
        <v>0</v>
      </c>
      <c r="X98" s="532">
        <f t="shared" si="70"/>
        <v>0</v>
      </c>
      <c r="Y98" s="533">
        <v>0</v>
      </c>
      <c r="Z98" s="532">
        <f t="shared" si="71"/>
        <v>0</v>
      </c>
      <c r="AA98" s="534">
        <f t="shared" si="72"/>
        <v>0</v>
      </c>
      <c r="AB98" s="1"/>
      <c r="AC98" s="1"/>
      <c r="AD98" s="1"/>
      <c r="AE98" s="1"/>
    </row>
    <row r="99" spans="1:31" ht="14.4">
      <c r="A99" s="1"/>
      <c r="B99" s="530" t="str">
        <f t="shared" si="73"/>
        <v>Ejecutivo comercial</v>
      </c>
      <c r="C99" s="533">
        <v>0</v>
      </c>
      <c r="D99" s="532">
        <f t="shared" si="60"/>
        <v>0</v>
      </c>
      <c r="E99" s="533">
        <v>0</v>
      </c>
      <c r="F99" s="532">
        <f t="shared" si="61"/>
        <v>0</v>
      </c>
      <c r="G99" s="533">
        <v>0</v>
      </c>
      <c r="H99" s="532">
        <f t="shared" si="62"/>
        <v>0</v>
      </c>
      <c r="I99" s="533">
        <v>0</v>
      </c>
      <c r="J99" s="532">
        <f t="shared" si="63"/>
        <v>0</v>
      </c>
      <c r="K99" s="533">
        <v>0</v>
      </c>
      <c r="L99" s="532">
        <f t="shared" si="64"/>
        <v>0</v>
      </c>
      <c r="M99" s="533">
        <v>0</v>
      </c>
      <c r="N99" s="532">
        <f t="shared" si="65"/>
        <v>0</v>
      </c>
      <c r="O99" s="533">
        <v>0</v>
      </c>
      <c r="P99" s="532">
        <f t="shared" si="66"/>
        <v>0</v>
      </c>
      <c r="Q99" s="533">
        <v>0</v>
      </c>
      <c r="R99" s="532">
        <f t="shared" si="67"/>
        <v>0</v>
      </c>
      <c r="S99" s="533">
        <v>0</v>
      </c>
      <c r="T99" s="532">
        <f t="shared" si="68"/>
        <v>0</v>
      </c>
      <c r="U99" s="533">
        <v>0</v>
      </c>
      <c r="V99" s="532">
        <f t="shared" si="69"/>
        <v>0</v>
      </c>
      <c r="W99" s="533">
        <v>0</v>
      </c>
      <c r="X99" s="532">
        <f t="shared" si="70"/>
        <v>0</v>
      </c>
      <c r="Y99" s="533">
        <v>0</v>
      </c>
      <c r="Z99" s="532">
        <f t="shared" si="71"/>
        <v>0</v>
      </c>
      <c r="AA99" s="534">
        <f t="shared" si="72"/>
        <v>0</v>
      </c>
      <c r="AB99" s="1"/>
      <c r="AC99" s="1"/>
      <c r="AD99" s="1"/>
      <c r="AE99" s="1"/>
    </row>
    <row r="100" spans="1:31" ht="14.4">
      <c r="A100" s="1"/>
      <c r="B100" s="530" t="str">
        <f t="shared" si="73"/>
        <v>Analista de logística</v>
      </c>
      <c r="C100" s="533">
        <v>0</v>
      </c>
      <c r="D100" s="532">
        <f t="shared" si="60"/>
        <v>0</v>
      </c>
      <c r="E100" s="533">
        <v>0</v>
      </c>
      <c r="F100" s="532">
        <f t="shared" si="61"/>
        <v>0</v>
      </c>
      <c r="G100" s="533">
        <v>0</v>
      </c>
      <c r="H100" s="532">
        <f t="shared" si="62"/>
        <v>0</v>
      </c>
      <c r="I100" s="533">
        <v>0</v>
      </c>
      <c r="J100" s="532">
        <f t="shared" si="63"/>
        <v>0</v>
      </c>
      <c r="K100" s="533">
        <v>0</v>
      </c>
      <c r="L100" s="532">
        <f t="shared" si="64"/>
        <v>0</v>
      </c>
      <c r="M100" s="533">
        <v>0</v>
      </c>
      <c r="N100" s="532">
        <f t="shared" si="65"/>
        <v>0</v>
      </c>
      <c r="O100" s="533">
        <v>0</v>
      </c>
      <c r="P100" s="532">
        <f t="shared" si="66"/>
        <v>0</v>
      </c>
      <c r="Q100" s="533">
        <v>0</v>
      </c>
      <c r="R100" s="532">
        <f t="shared" si="67"/>
        <v>0</v>
      </c>
      <c r="S100" s="533">
        <v>0</v>
      </c>
      <c r="T100" s="532">
        <f t="shared" si="68"/>
        <v>0</v>
      </c>
      <c r="U100" s="533">
        <v>0</v>
      </c>
      <c r="V100" s="532">
        <f t="shared" si="69"/>
        <v>0</v>
      </c>
      <c r="W100" s="533">
        <v>0</v>
      </c>
      <c r="X100" s="532">
        <f t="shared" si="70"/>
        <v>0</v>
      </c>
      <c r="Y100" s="533">
        <v>0</v>
      </c>
      <c r="Z100" s="532">
        <f t="shared" si="71"/>
        <v>0</v>
      </c>
      <c r="AA100" s="534">
        <f t="shared" si="72"/>
        <v>0</v>
      </c>
      <c r="AB100" s="1"/>
      <c r="AC100" s="1"/>
      <c r="AD100" s="1"/>
      <c r="AE100" s="1"/>
    </row>
    <row r="101" spans="1:31" ht="14.4">
      <c r="A101" s="1"/>
      <c r="B101" s="530" t="str">
        <f t="shared" si="73"/>
        <v>Analista de marketing</v>
      </c>
      <c r="C101" s="533">
        <v>0</v>
      </c>
      <c r="D101" s="532">
        <f t="shared" si="60"/>
        <v>0</v>
      </c>
      <c r="E101" s="533">
        <v>0</v>
      </c>
      <c r="F101" s="532">
        <f t="shared" si="61"/>
        <v>0</v>
      </c>
      <c r="G101" s="533">
        <v>0</v>
      </c>
      <c r="H101" s="532">
        <f t="shared" si="62"/>
        <v>0</v>
      </c>
      <c r="I101" s="533">
        <v>0</v>
      </c>
      <c r="J101" s="532">
        <f t="shared" si="63"/>
        <v>0</v>
      </c>
      <c r="K101" s="533">
        <v>0</v>
      </c>
      <c r="L101" s="532">
        <f t="shared" si="64"/>
        <v>0</v>
      </c>
      <c r="M101" s="533">
        <v>0</v>
      </c>
      <c r="N101" s="532">
        <f t="shared" si="65"/>
        <v>0</v>
      </c>
      <c r="O101" s="533">
        <v>0</v>
      </c>
      <c r="P101" s="532">
        <f t="shared" si="66"/>
        <v>0</v>
      </c>
      <c r="Q101" s="533">
        <v>0</v>
      </c>
      <c r="R101" s="532">
        <f t="shared" si="67"/>
        <v>0</v>
      </c>
      <c r="S101" s="533">
        <v>0</v>
      </c>
      <c r="T101" s="532">
        <f t="shared" si="68"/>
        <v>0</v>
      </c>
      <c r="U101" s="533">
        <v>0</v>
      </c>
      <c r="V101" s="532">
        <f t="shared" si="69"/>
        <v>0</v>
      </c>
      <c r="W101" s="533">
        <v>0</v>
      </c>
      <c r="X101" s="532">
        <f t="shared" si="70"/>
        <v>0</v>
      </c>
      <c r="Y101" s="533">
        <v>0</v>
      </c>
      <c r="Z101" s="532">
        <f t="shared" si="71"/>
        <v>0</v>
      </c>
      <c r="AA101" s="534">
        <f t="shared" si="72"/>
        <v>0</v>
      </c>
      <c r="AB101" s="1"/>
      <c r="AC101" s="1"/>
      <c r="AD101" s="1"/>
      <c r="AE101" s="1"/>
    </row>
    <row r="102" spans="1:31" ht="14.4">
      <c r="A102" s="1"/>
      <c r="B102" s="530" t="str">
        <f t="shared" si="73"/>
        <v>Diseñador de contenido</v>
      </c>
      <c r="C102" s="533">
        <v>0</v>
      </c>
      <c r="D102" s="532">
        <f t="shared" si="60"/>
        <v>0</v>
      </c>
      <c r="E102" s="533">
        <v>0</v>
      </c>
      <c r="F102" s="532">
        <f t="shared" si="61"/>
        <v>0</v>
      </c>
      <c r="G102" s="533">
        <v>0</v>
      </c>
      <c r="H102" s="532">
        <f t="shared" si="62"/>
        <v>0</v>
      </c>
      <c r="I102" s="533">
        <v>0</v>
      </c>
      <c r="J102" s="532">
        <f t="shared" si="63"/>
        <v>0</v>
      </c>
      <c r="K102" s="533">
        <v>0</v>
      </c>
      <c r="L102" s="532">
        <f t="shared" si="64"/>
        <v>0</v>
      </c>
      <c r="M102" s="533">
        <v>0</v>
      </c>
      <c r="N102" s="532">
        <f t="shared" si="65"/>
        <v>0</v>
      </c>
      <c r="O102" s="533">
        <v>0</v>
      </c>
      <c r="P102" s="532">
        <f t="shared" si="66"/>
        <v>0</v>
      </c>
      <c r="Q102" s="533">
        <v>0</v>
      </c>
      <c r="R102" s="532">
        <f t="shared" si="67"/>
        <v>0</v>
      </c>
      <c r="S102" s="533">
        <v>0</v>
      </c>
      <c r="T102" s="532">
        <f t="shared" si="68"/>
        <v>0</v>
      </c>
      <c r="U102" s="533">
        <v>0</v>
      </c>
      <c r="V102" s="532">
        <f t="shared" si="69"/>
        <v>0</v>
      </c>
      <c r="W102" s="533">
        <v>0</v>
      </c>
      <c r="X102" s="532">
        <f t="shared" si="70"/>
        <v>0</v>
      </c>
      <c r="Y102" s="533">
        <v>0</v>
      </c>
      <c r="Z102" s="532">
        <f t="shared" si="71"/>
        <v>0</v>
      </c>
      <c r="AA102" s="534">
        <f t="shared" si="72"/>
        <v>0</v>
      </c>
      <c r="AB102" s="1"/>
      <c r="AC102" s="1"/>
      <c r="AD102" s="1"/>
      <c r="AE102" s="1"/>
    </row>
    <row r="103" spans="1:31" ht="14.4">
      <c r="A103" s="1"/>
      <c r="B103" s="530" t="str">
        <f>C$41</f>
        <v>Asistente de marketing</v>
      </c>
      <c r="C103" s="533">
        <v>0</v>
      </c>
      <c r="D103" s="532">
        <f t="shared" si="60"/>
        <v>0</v>
      </c>
      <c r="E103" s="533">
        <v>0</v>
      </c>
      <c r="F103" s="532">
        <f t="shared" si="61"/>
        <v>0</v>
      </c>
      <c r="G103" s="533">
        <v>0</v>
      </c>
      <c r="H103" s="532">
        <f t="shared" si="62"/>
        <v>0</v>
      </c>
      <c r="I103" s="533">
        <v>0</v>
      </c>
      <c r="J103" s="532">
        <f t="shared" si="63"/>
        <v>0</v>
      </c>
      <c r="K103" s="533">
        <v>0</v>
      </c>
      <c r="L103" s="532">
        <f t="shared" si="64"/>
        <v>0</v>
      </c>
      <c r="M103" s="533">
        <v>0</v>
      </c>
      <c r="N103" s="532">
        <f t="shared" si="65"/>
        <v>0</v>
      </c>
      <c r="O103" s="533">
        <v>0</v>
      </c>
      <c r="P103" s="532">
        <f t="shared" si="66"/>
        <v>0</v>
      </c>
      <c r="Q103" s="533">
        <v>0</v>
      </c>
      <c r="R103" s="532">
        <f t="shared" si="67"/>
        <v>0</v>
      </c>
      <c r="S103" s="533">
        <v>0</v>
      </c>
      <c r="T103" s="532">
        <f t="shared" si="68"/>
        <v>0</v>
      </c>
      <c r="U103" s="533">
        <v>0</v>
      </c>
      <c r="V103" s="532">
        <f t="shared" si="69"/>
        <v>0</v>
      </c>
      <c r="W103" s="533">
        <v>0</v>
      </c>
      <c r="X103" s="532">
        <f t="shared" si="70"/>
        <v>0</v>
      </c>
      <c r="Y103" s="533">
        <v>0</v>
      </c>
      <c r="Z103" s="532">
        <f t="shared" si="71"/>
        <v>0</v>
      </c>
      <c r="AA103" s="534">
        <f t="shared" si="72"/>
        <v>0</v>
      </c>
      <c r="AB103" s="1"/>
      <c r="AC103" s="1"/>
      <c r="AD103" s="1"/>
      <c r="AE103" s="1"/>
    </row>
    <row r="104" spans="1:31" ht="14.4">
      <c r="A104" s="1"/>
      <c r="B104" s="530" t="str">
        <f>C$42</f>
        <v>Gerente de sistemas</v>
      </c>
      <c r="C104" s="535">
        <v>1</v>
      </c>
      <c r="D104" s="532">
        <f t="shared" si="60"/>
        <v>2682478.5699999998</v>
      </c>
      <c r="E104" s="531">
        <v>1</v>
      </c>
      <c r="F104" s="532">
        <f t="shared" si="61"/>
        <v>2682478.5699999998</v>
      </c>
      <c r="G104" s="531">
        <v>1</v>
      </c>
      <c r="H104" s="532">
        <f t="shared" si="62"/>
        <v>2682478.5699999998</v>
      </c>
      <c r="I104" s="531">
        <v>1</v>
      </c>
      <c r="J104" s="532">
        <f t="shared" si="63"/>
        <v>2682478.5699999998</v>
      </c>
      <c r="K104" s="531">
        <v>1</v>
      </c>
      <c r="L104" s="532">
        <f t="shared" si="64"/>
        <v>2682478.5699999998</v>
      </c>
      <c r="M104" s="531">
        <v>1</v>
      </c>
      <c r="N104" s="532">
        <f t="shared" si="65"/>
        <v>4023717.8549999995</v>
      </c>
      <c r="O104" s="531">
        <v>1</v>
      </c>
      <c r="P104" s="532">
        <f t="shared" si="66"/>
        <v>2682478.5699999998</v>
      </c>
      <c r="Q104" s="531">
        <v>1</v>
      </c>
      <c r="R104" s="532">
        <f t="shared" si="67"/>
        <v>2682478.5699999998</v>
      </c>
      <c r="S104" s="531">
        <v>1</v>
      </c>
      <c r="T104" s="532">
        <f t="shared" si="68"/>
        <v>2682478.5699999998</v>
      </c>
      <c r="U104" s="531">
        <v>1</v>
      </c>
      <c r="V104" s="532">
        <f t="shared" si="69"/>
        <v>2682478.5699999998</v>
      </c>
      <c r="W104" s="531">
        <v>1</v>
      </c>
      <c r="X104" s="532">
        <f t="shared" si="70"/>
        <v>2682478.5699999998</v>
      </c>
      <c r="Y104" s="531">
        <v>1</v>
      </c>
      <c r="Z104" s="532">
        <f t="shared" si="71"/>
        <v>4023717.8549999995</v>
      </c>
      <c r="AA104" s="534">
        <f t="shared" si="72"/>
        <v>34872221.409999996</v>
      </c>
      <c r="AB104" s="1"/>
      <c r="AC104" s="1"/>
      <c r="AD104" s="1"/>
      <c r="AE104" s="1"/>
    </row>
    <row r="105" spans="1:31" ht="14.4">
      <c r="A105" s="1"/>
      <c r="B105" s="530" t="str">
        <f>C$43</f>
        <v>DevOps</v>
      </c>
      <c r="C105" s="533">
        <v>0</v>
      </c>
      <c r="D105" s="532">
        <f t="shared" si="60"/>
        <v>0</v>
      </c>
      <c r="E105" s="533">
        <v>0</v>
      </c>
      <c r="F105" s="532">
        <f t="shared" si="61"/>
        <v>0</v>
      </c>
      <c r="G105" s="533">
        <v>0</v>
      </c>
      <c r="H105" s="532">
        <f t="shared" si="62"/>
        <v>0</v>
      </c>
      <c r="I105" s="533">
        <v>0</v>
      </c>
      <c r="J105" s="532">
        <f t="shared" si="63"/>
        <v>0</v>
      </c>
      <c r="K105" s="533">
        <v>0</v>
      </c>
      <c r="L105" s="532">
        <f t="shared" si="64"/>
        <v>0</v>
      </c>
      <c r="M105" s="533">
        <v>0</v>
      </c>
      <c r="N105" s="532">
        <f t="shared" si="65"/>
        <v>0</v>
      </c>
      <c r="O105" s="533">
        <v>0</v>
      </c>
      <c r="P105" s="532">
        <f t="shared" si="66"/>
        <v>0</v>
      </c>
      <c r="Q105" s="533">
        <v>0</v>
      </c>
      <c r="R105" s="532">
        <f t="shared" si="67"/>
        <v>0</v>
      </c>
      <c r="S105" s="533">
        <v>0</v>
      </c>
      <c r="T105" s="532">
        <f t="shared" si="68"/>
        <v>0</v>
      </c>
      <c r="U105" s="533">
        <v>0</v>
      </c>
      <c r="V105" s="532">
        <f t="shared" si="69"/>
        <v>0</v>
      </c>
      <c r="W105" s="533">
        <v>0</v>
      </c>
      <c r="X105" s="532">
        <f t="shared" si="70"/>
        <v>0</v>
      </c>
      <c r="Y105" s="533">
        <v>0</v>
      </c>
      <c r="Z105" s="532">
        <f t="shared" si="71"/>
        <v>0</v>
      </c>
      <c r="AA105" s="534">
        <f t="shared" si="72"/>
        <v>0</v>
      </c>
      <c r="AB105" s="1"/>
      <c r="AC105" s="1"/>
      <c r="AD105" s="1"/>
      <c r="AE105" s="1"/>
    </row>
    <row r="106" spans="1:31" ht="14.4">
      <c r="A106" s="1"/>
      <c r="B106" s="530" t="str">
        <f>C$44</f>
        <v>Arquitecto cloud</v>
      </c>
      <c r="C106" s="533">
        <v>0</v>
      </c>
      <c r="D106" s="532">
        <f t="shared" si="60"/>
        <v>0</v>
      </c>
      <c r="E106" s="533">
        <v>0</v>
      </c>
      <c r="F106" s="532">
        <f t="shared" si="61"/>
        <v>0</v>
      </c>
      <c r="G106" s="533">
        <v>0</v>
      </c>
      <c r="H106" s="532">
        <f t="shared" si="62"/>
        <v>0</v>
      </c>
      <c r="I106" s="533">
        <v>0</v>
      </c>
      <c r="J106" s="532">
        <f t="shared" si="63"/>
        <v>0</v>
      </c>
      <c r="K106" s="533">
        <v>0</v>
      </c>
      <c r="L106" s="532">
        <f t="shared" si="64"/>
        <v>0</v>
      </c>
      <c r="M106" s="533">
        <v>0</v>
      </c>
      <c r="N106" s="532">
        <f t="shared" si="65"/>
        <v>0</v>
      </c>
      <c r="O106" s="533">
        <v>0</v>
      </c>
      <c r="P106" s="532">
        <f t="shared" si="66"/>
        <v>0</v>
      </c>
      <c r="Q106" s="533">
        <v>0</v>
      </c>
      <c r="R106" s="532">
        <f t="shared" si="67"/>
        <v>0</v>
      </c>
      <c r="S106" s="533">
        <v>0</v>
      </c>
      <c r="T106" s="532">
        <f t="shared" si="68"/>
        <v>0</v>
      </c>
      <c r="U106" s="533">
        <v>0</v>
      </c>
      <c r="V106" s="532">
        <f t="shared" si="69"/>
        <v>0</v>
      </c>
      <c r="W106" s="533">
        <v>0</v>
      </c>
      <c r="X106" s="532">
        <f t="shared" si="70"/>
        <v>0</v>
      </c>
      <c r="Y106" s="533">
        <v>0</v>
      </c>
      <c r="Z106" s="532">
        <f t="shared" si="71"/>
        <v>0</v>
      </c>
      <c r="AA106" s="534">
        <f t="shared" si="72"/>
        <v>0</v>
      </c>
      <c r="AB106" s="1"/>
      <c r="AC106" s="1"/>
      <c r="AD106" s="1"/>
      <c r="AE106" s="1"/>
    </row>
    <row r="107" spans="1:31" ht="14.4">
      <c r="A107" s="1"/>
      <c r="B107" s="530" t="str">
        <f>C$45</f>
        <v>Especialista en hardware</v>
      </c>
      <c r="C107" s="533">
        <v>0</v>
      </c>
      <c r="D107" s="532">
        <f t="shared" si="60"/>
        <v>0</v>
      </c>
      <c r="E107" s="533">
        <v>0</v>
      </c>
      <c r="F107" s="532">
        <f t="shared" si="61"/>
        <v>0</v>
      </c>
      <c r="G107" s="533">
        <v>0</v>
      </c>
      <c r="H107" s="532">
        <f t="shared" si="62"/>
        <v>0</v>
      </c>
      <c r="I107" s="533">
        <v>0</v>
      </c>
      <c r="J107" s="532">
        <f t="shared" si="63"/>
        <v>0</v>
      </c>
      <c r="K107" s="533">
        <v>0</v>
      </c>
      <c r="L107" s="532">
        <f t="shared" si="64"/>
        <v>0</v>
      </c>
      <c r="M107" s="533">
        <v>0</v>
      </c>
      <c r="N107" s="532">
        <f t="shared" si="65"/>
        <v>0</v>
      </c>
      <c r="O107" s="533">
        <v>0</v>
      </c>
      <c r="P107" s="532">
        <f t="shared" si="66"/>
        <v>0</v>
      </c>
      <c r="Q107" s="533">
        <v>0</v>
      </c>
      <c r="R107" s="532">
        <f t="shared" si="67"/>
        <v>0</v>
      </c>
      <c r="S107" s="533">
        <v>0</v>
      </c>
      <c r="T107" s="532">
        <f t="shared" si="68"/>
        <v>0</v>
      </c>
      <c r="U107" s="533">
        <v>0</v>
      </c>
      <c r="V107" s="532">
        <f t="shared" si="69"/>
        <v>0</v>
      </c>
      <c r="W107" s="533">
        <v>0</v>
      </c>
      <c r="X107" s="532">
        <f t="shared" si="70"/>
        <v>0</v>
      </c>
      <c r="Y107" s="533">
        <v>0</v>
      </c>
      <c r="Z107" s="532">
        <f t="shared" si="71"/>
        <v>0</v>
      </c>
      <c r="AA107" s="534">
        <f t="shared" si="72"/>
        <v>0</v>
      </c>
      <c r="AB107" s="1"/>
      <c r="AC107" s="1"/>
      <c r="AD107" s="1"/>
      <c r="AE107" s="1"/>
    </row>
    <row r="108" spans="1:31" ht="14.4">
      <c r="A108" s="1"/>
      <c r="B108" s="530" t="str">
        <f>C$46</f>
        <v>Desarrollador backend SR</v>
      </c>
      <c r="C108" s="533">
        <v>0</v>
      </c>
      <c r="D108" s="532">
        <f t="shared" si="60"/>
        <v>0</v>
      </c>
      <c r="E108" s="533">
        <v>0</v>
      </c>
      <c r="F108" s="532">
        <f t="shared" si="61"/>
        <v>0</v>
      </c>
      <c r="G108" s="533">
        <v>0</v>
      </c>
      <c r="H108" s="532">
        <f t="shared" si="62"/>
        <v>0</v>
      </c>
      <c r="I108" s="533">
        <v>0</v>
      </c>
      <c r="J108" s="532">
        <f t="shared" si="63"/>
        <v>0</v>
      </c>
      <c r="K108" s="533">
        <v>0</v>
      </c>
      <c r="L108" s="532">
        <f t="shared" si="64"/>
        <v>0</v>
      </c>
      <c r="M108" s="533">
        <v>0</v>
      </c>
      <c r="N108" s="532">
        <f t="shared" si="65"/>
        <v>0</v>
      </c>
      <c r="O108" s="533">
        <v>0</v>
      </c>
      <c r="P108" s="532">
        <f t="shared" si="66"/>
        <v>0</v>
      </c>
      <c r="Q108" s="533">
        <v>0</v>
      </c>
      <c r="R108" s="532">
        <f t="shared" si="67"/>
        <v>0</v>
      </c>
      <c r="S108" s="533">
        <v>0</v>
      </c>
      <c r="T108" s="532">
        <f t="shared" si="68"/>
        <v>0</v>
      </c>
      <c r="U108" s="533">
        <v>0</v>
      </c>
      <c r="V108" s="532">
        <f t="shared" si="69"/>
        <v>0</v>
      </c>
      <c r="W108" s="533">
        <v>0</v>
      </c>
      <c r="X108" s="532">
        <f t="shared" si="70"/>
        <v>0</v>
      </c>
      <c r="Y108" s="533">
        <v>0</v>
      </c>
      <c r="Z108" s="532">
        <f t="shared" si="71"/>
        <v>0</v>
      </c>
      <c r="AA108" s="534">
        <f t="shared" si="72"/>
        <v>0</v>
      </c>
      <c r="AB108" s="1"/>
      <c r="AC108" s="1"/>
      <c r="AD108" s="1"/>
      <c r="AE108" s="1"/>
    </row>
    <row r="109" spans="1:31" ht="14.4">
      <c r="A109" s="1"/>
      <c r="B109" s="530" t="str">
        <f t="shared" ref="B109:B133" si="74">C47</f>
        <v>Desarrollador frontend SR</v>
      </c>
      <c r="C109" s="533">
        <v>0</v>
      </c>
      <c r="D109" s="532">
        <f t="shared" si="60"/>
        <v>0</v>
      </c>
      <c r="E109" s="533">
        <v>0</v>
      </c>
      <c r="F109" s="532">
        <f t="shared" si="61"/>
        <v>0</v>
      </c>
      <c r="G109" s="533">
        <v>0</v>
      </c>
      <c r="H109" s="532">
        <f t="shared" si="62"/>
        <v>0</v>
      </c>
      <c r="I109" s="533">
        <v>0</v>
      </c>
      <c r="J109" s="532">
        <f t="shared" si="63"/>
        <v>0</v>
      </c>
      <c r="K109" s="533">
        <v>0</v>
      </c>
      <c r="L109" s="532">
        <f t="shared" si="64"/>
        <v>0</v>
      </c>
      <c r="M109" s="533">
        <v>0</v>
      </c>
      <c r="N109" s="532">
        <f t="shared" si="65"/>
        <v>0</v>
      </c>
      <c r="O109" s="533">
        <v>0</v>
      </c>
      <c r="P109" s="532">
        <f t="shared" si="66"/>
        <v>0</v>
      </c>
      <c r="Q109" s="533">
        <v>0</v>
      </c>
      <c r="R109" s="532">
        <f t="shared" si="67"/>
        <v>0</v>
      </c>
      <c r="S109" s="533">
        <v>0</v>
      </c>
      <c r="T109" s="532">
        <f t="shared" si="68"/>
        <v>0</v>
      </c>
      <c r="U109" s="533">
        <v>0</v>
      </c>
      <c r="V109" s="532">
        <f t="shared" si="69"/>
        <v>0</v>
      </c>
      <c r="W109" s="533">
        <v>0</v>
      </c>
      <c r="X109" s="532">
        <f t="shared" si="70"/>
        <v>0</v>
      </c>
      <c r="Y109" s="533">
        <v>0</v>
      </c>
      <c r="Z109" s="532">
        <f t="shared" si="71"/>
        <v>0</v>
      </c>
      <c r="AA109" s="534">
        <f t="shared" si="72"/>
        <v>0</v>
      </c>
      <c r="AB109" s="1"/>
      <c r="AC109" s="1"/>
      <c r="AD109" s="1"/>
      <c r="AE109" s="1"/>
    </row>
    <row r="110" spans="1:31" ht="14.4">
      <c r="A110" s="1"/>
      <c r="B110" s="530" t="str">
        <f t="shared" si="74"/>
        <v>Coordinador tecnico</v>
      </c>
      <c r="C110" s="533">
        <v>0</v>
      </c>
      <c r="D110" s="532">
        <f t="shared" si="60"/>
        <v>0</v>
      </c>
      <c r="E110" s="533">
        <v>0</v>
      </c>
      <c r="F110" s="532">
        <f t="shared" si="61"/>
        <v>0</v>
      </c>
      <c r="G110" s="533">
        <v>0</v>
      </c>
      <c r="H110" s="532">
        <f t="shared" si="62"/>
        <v>0</v>
      </c>
      <c r="I110" s="533">
        <v>0</v>
      </c>
      <c r="J110" s="532">
        <f t="shared" si="63"/>
        <v>0</v>
      </c>
      <c r="K110" s="533">
        <v>0</v>
      </c>
      <c r="L110" s="532">
        <f t="shared" si="64"/>
        <v>0</v>
      </c>
      <c r="M110" s="533">
        <v>0</v>
      </c>
      <c r="N110" s="532">
        <f t="shared" si="65"/>
        <v>0</v>
      </c>
      <c r="O110" s="533">
        <v>0</v>
      </c>
      <c r="P110" s="532">
        <f t="shared" si="66"/>
        <v>0</v>
      </c>
      <c r="Q110" s="533">
        <v>0</v>
      </c>
      <c r="R110" s="532">
        <f t="shared" si="67"/>
        <v>0</v>
      </c>
      <c r="S110" s="533">
        <v>0</v>
      </c>
      <c r="T110" s="532">
        <f t="shared" si="68"/>
        <v>0</v>
      </c>
      <c r="U110" s="533">
        <v>0</v>
      </c>
      <c r="V110" s="532">
        <f t="shared" si="69"/>
        <v>0</v>
      </c>
      <c r="W110" s="533">
        <v>0</v>
      </c>
      <c r="X110" s="532">
        <f t="shared" si="70"/>
        <v>0</v>
      </c>
      <c r="Y110" s="533">
        <v>0</v>
      </c>
      <c r="Z110" s="532">
        <f t="shared" si="71"/>
        <v>0</v>
      </c>
      <c r="AA110" s="534">
        <f t="shared" si="72"/>
        <v>0</v>
      </c>
      <c r="AB110" s="1"/>
      <c r="AC110" s="1"/>
      <c r="AD110" s="1"/>
      <c r="AE110" s="1"/>
    </row>
    <row r="111" spans="1:31" ht="14.4">
      <c r="A111" s="1"/>
      <c r="B111" s="530" t="str">
        <f t="shared" si="74"/>
        <v>Especialista en redes</v>
      </c>
      <c r="C111" s="533">
        <v>0</v>
      </c>
      <c r="D111" s="532">
        <f t="shared" si="60"/>
        <v>0</v>
      </c>
      <c r="E111" s="533">
        <v>0</v>
      </c>
      <c r="F111" s="532">
        <f t="shared" si="61"/>
        <v>0</v>
      </c>
      <c r="G111" s="533">
        <v>0</v>
      </c>
      <c r="H111" s="532">
        <f t="shared" si="62"/>
        <v>0</v>
      </c>
      <c r="I111" s="533">
        <v>0</v>
      </c>
      <c r="J111" s="532">
        <f t="shared" si="63"/>
        <v>0</v>
      </c>
      <c r="K111" s="533">
        <v>0</v>
      </c>
      <c r="L111" s="532">
        <f t="shared" si="64"/>
        <v>0</v>
      </c>
      <c r="M111" s="533">
        <v>0</v>
      </c>
      <c r="N111" s="532">
        <f t="shared" si="65"/>
        <v>0</v>
      </c>
      <c r="O111" s="533">
        <v>0</v>
      </c>
      <c r="P111" s="532">
        <f t="shared" si="66"/>
        <v>0</v>
      </c>
      <c r="Q111" s="533">
        <v>0</v>
      </c>
      <c r="R111" s="532">
        <f t="shared" si="67"/>
        <v>0</v>
      </c>
      <c r="S111" s="533">
        <v>0</v>
      </c>
      <c r="T111" s="532">
        <f t="shared" si="68"/>
        <v>0</v>
      </c>
      <c r="U111" s="533">
        <v>0</v>
      </c>
      <c r="V111" s="532">
        <f t="shared" si="69"/>
        <v>0</v>
      </c>
      <c r="W111" s="533">
        <v>0</v>
      </c>
      <c r="X111" s="532">
        <f t="shared" si="70"/>
        <v>0</v>
      </c>
      <c r="Y111" s="533">
        <v>0</v>
      </c>
      <c r="Z111" s="532">
        <f t="shared" si="71"/>
        <v>0</v>
      </c>
      <c r="AA111" s="534">
        <f t="shared" si="72"/>
        <v>0</v>
      </c>
      <c r="AB111" s="1"/>
      <c r="AC111" s="1"/>
      <c r="AD111" s="1"/>
      <c r="AE111" s="1"/>
    </row>
    <row r="112" spans="1:31" ht="14.4">
      <c r="A112" s="1"/>
      <c r="B112" s="530" t="str">
        <f t="shared" si="74"/>
        <v>Tecnico instalador tecnología</v>
      </c>
      <c r="C112" s="533">
        <v>0</v>
      </c>
      <c r="D112" s="532">
        <f t="shared" si="60"/>
        <v>0</v>
      </c>
      <c r="E112" s="533">
        <v>0</v>
      </c>
      <c r="F112" s="532">
        <f t="shared" si="61"/>
        <v>0</v>
      </c>
      <c r="G112" s="533">
        <v>0</v>
      </c>
      <c r="H112" s="532">
        <f t="shared" si="62"/>
        <v>0</v>
      </c>
      <c r="I112" s="533">
        <v>0</v>
      </c>
      <c r="J112" s="532">
        <f t="shared" si="63"/>
        <v>0</v>
      </c>
      <c r="K112" s="533">
        <v>0</v>
      </c>
      <c r="L112" s="532">
        <f t="shared" si="64"/>
        <v>0</v>
      </c>
      <c r="M112" s="533">
        <v>0</v>
      </c>
      <c r="N112" s="532">
        <f t="shared" si="65"/>
        <v>0</v>
      </c>
      <c r="O112" s="533">
        <v>0</v>
      </c>
      <c r="P112" s="532">
        <f t="shared" si="66"/>
        <v>0</v>
      </c>
      <c r="Q112" s="533">
        <v>0</v>
      </c>
      <c r="R112" s="532">
        <f t="shared" si="67"/>
        <v>0</v>
      </c>
      <c r="S112" s="533">
        <v>0</v>
      </c>
      <c r="T112" s="532">
        <f t="shared" si="68"/>
        <v>0</v>
      </c>
      <c r="U112" s="533">
        <v>0</v>
      </c>
      <c r="V112" s="532">
        <f t="shared" si="69"/>
        <v>0</v>
      </c>
      <c r="W112" s="533">
        <v>0</v>
      </c>
      <c r="X112" s="532">
        <f t="shared" si="70"/>
        <v>0</v>
      </c>
      <c r="Y112" s="533">
        <v>0</v>
      </c>
      <c r="Z112" s="532">
        <f t="shared" si="71"/>
        <v>0</v>
      </c>
      <c r="AA112" s="534">
        <f t="shared" si="72"/>
        <v>0</v>
      </c>
      <c r="AB112" s="1"/>
      <c r="AC112" s="1"/>
      <c r="AD112" s="1"/>
      <c r="AE112" s="1"/>
    </row>
    <row r="113" spans="1:31" ht="14.4">
      <c r="A113" s="1"/>
      <c r="B113" s="530" t="str">
        <f t="shared" si="74"/>
        <v>Soporte tecnico</v>
      </c>
      <c r="C113" s="533">
        <v>0</v>
      </c>
      <c r="D113" s="532">
        <f t="shared" si="60"/>
        <v>0</v>
      </c>
      <c r="E113" s="533">
        <v>0</v>
      </c>
      <c r="F113" s="532">
        <f t="shared" si="61"/>
        <v>0</v>
      </c>
      <c r="G113" s="533">
        <v>0</v>
      </c>
      <c r="H113" s="532">
        <f t="shared" si="62"/>
        <v>0</v>
      </c>
      <c r="I113" s="533">
        <v>0</v>
      </c>
      <c r="J113" s="532">
        <f t="shared" si="63"/>
        <v>0</v>
      </c>
      <c r="K113" s="533">
        <v>0</v>
      </c>
      <c r="L113" s="532">
        <f t="shared" si="64"/>
        <v>0</v>
      </c>
      <c r="M113" s="533">
        <v>0</v>
      </c>
      <c r="N113" s="532">
        <f t="shared" si="65"/>
        <v>0</v>
      </c>
      <c r="O113" s="533">
        <v>0</v>
      </c>
      <c r="P113" s="532">
        <f t="shared" si="66"/>
        <v>0</v>
      </c>
      <c r="Q113" s="533">
        <v>0</v>
      </c>
      <c r="R113" s="532">
        <f t="shared" si="67"/>
        <v>0</v>
      </c>
      <c r="S113" s="533">
        <v>0</v>
      </c>
      <c r="T113" s="532">
        <f t="shared" si="68"/>
        <v>0</v>
      </c>
      <c r="U113" s="533">
        <v>0</v>
      </c>
      <c r="V113" s="532">
        <f t="shared" si="69"/>
        <v>0</v>
      </c>
      <c r="W113" s="533">
        <v>0</v>
      </c>
      <c r="X113" s="532">
        <f t="shared" si="70"/>
        <v>0</v>
      </c>
      <c r="Y113" s="533">
        <v>0</v>
      </c>
      <c r="Z113" s="532">
        <f t="shared" si="71"/>
        <v>0</v>
      </c>
      <c r="AA113" s="534">
        <f t="shared" si="72"/>
        <v>0</v>
      </c>
      <c r="AB113" s="1"/>
      <c r="AC113" s="1"/>
      <c r="AD113" s="1"/>
      <c r="AE113" s="1"/>
    </row>
    <row r="114" spans="1:31" ht="14.4">
      <c r="A114" s="1"/>
      <c r="B114" s="530" t="str">
        <f t="shared" si="74"/>
        <v>QA</v>
      </c>
      <c r="C114" s="533">
        <v>0</v>
      </c>
      <c r="D114" s="532">
        <f t="shared" si="60"/>
        <v>0</v>
      </c>
      <c r="E114" s="533">
        <v>0</v>
      </c>
      <c r="F114" s="532">
        <f t="shared" si="61"/>
        <v>0</v>
      </c>
      <c r="G114" s="533">
        <v>0</v>
      </c>
      <c r="H114" s="532">
        <f t="shared" si="62"/>
        <v>0</v>
      </c>
      <c r="I114" s="533">
        <v>0</v>
      </c>
      <c r="J114" s="532">
        <f t="shared" si="63"/>
        <v>0</v>
      </c>
      <c r="K114" s="533">
        <v>0</v>
      </c>
      <c r="L114" s="532">
        <f t="shared" si="64"/>
        <v>0</v>
      </c>
      <c r="M114" s="533">
        <v>0</v>
      </c>
      <c r="N114" s="532">
        <f t="shared" si="65"/>
        <v>0</v>
      </c>
      <c r="O114" s="533">
        <v>0</v>
      </c>
      <c r="P114" s="532">
        <f t="shared" si="66"/>
        <v>0</v>
      </c>
      <c r="Q114" s="533">
        <v>0</v>
      </c>
      <c r="R114" s="532">
        <f t="shared" si="67"/>
        <v>0</v>
      </c>
      <c r="S114" s="533">
        <v>0</v>
      </c>
      <c r="T114" s="532">
        <f t="shared" si="68"/>
        <v>0</v>
      </c>
      <c r="U114" s="533">
        <v>0</v>
      </c>
      <c r="V114" s="532">
        <f t="shared" si="69"/>
        <v>0</v>
      </c>
      <c r="W114" s="533">
        <v>0</v>
      </c>
      <c r="X114" s="532">
        <f t="shared" si="70"/>
        <v>0</v>
      </c>
      <c r="Y114" s="533">
        <v>0</v>
      </c>
      <c r="Z114" s="532">
        <f t="shared" si="71"/>
        <v>0</v>
      </c>
      <c r="AA114" s="534">
        <f t="shared" si="72"/>
        <v>0</v>
      </c>
      <c r="AB114" s="1"/>
      <c r="AC114" s="1"/>
      <c r="AD114" s="1"/>
      <c r="AE114" s="1"/>
    </row>
    <row r="115" spans="1:31" ht="14.4">
      <c r="A115" s="1"/>
      <c r="B115" s="530" t="str">
        <f t="shared" si="74"/>
        <v>Auxiliar tecnico</v>
      </c>
      <c r="C115" s="533">
        <v>0</v>
      </c>
      <c r="D115" s="532">
        <f t="shared" si="60"/>
        <v>0</v>
      </c>
      <c r="E115" s="533">
        <v>0</v>
      </c>
      <c r="F115" s="532">
        <f t="shared" si="61"/>
        <v>0</v>
      </c>
      <c r="G115" s="533">
        <v>0</v>
      </c>
      <c r="H115" s="532">
        <f t="shared" si="62"/>
        <v>0</v>
      </c>
      <c r="I115" s="533">
        <v>0</v>
      </c>
      <c r="J115" s="532">
        <f t="shared" si="63"/>
        <v>0</v>
      </c>
      <c r="K115" s="533">
        <v>0</v>
      </c>
      <c r="L115" s="532">
        <f t="shared" si="64"/>
        <v>0</v>
      </c>
      <c r="M115" s="533">
        <v>0</v>
      </c>
      <c r="N115" s="532">
        <f t="shared" si="65"/>
        <v>0</v>
      </c>
      <c r="O115" s="533">
        <v>0</v>
      </c>
      <c r="P115" s="532">
        <f t="shared" si="66"/>
        <v>0</v>
      </c>
      <c r="Q115" s="533">
        <v>0</v>
      </c>
      <c r="R115" s="532">
        <f t="shared" si="67"/>
        <v>0</v>
      </c>
      <c r="S115" s="533">
        <v>0</v>
      </c>
      <c r="T115" s="532">
        <f t="shared" si="68"/>
        <v>0</v>
      </c>
      <c r="U115" s="533">
        <v>0</v>
      </c>
      <c r="V115" s="532">
        <f t="shared" si="69"/>
        <v>0</v>
      </c>
      <c r="W115" s="533">
        <v>0</v>
      </c>
      <c r="X115" s="532">
        <f t="shared" si="70"/>
        <v>0</v>
      </c>
      <c r="Y115" s="533">
        <v>0</v>
      </c>
      <c r="Z115" s="532">
        <f t="shared" si="71"/>
        <v>0</v>
      </c>
      <c r="AA115" s="534">
        <f t="shared" si="72"/>
        <v>0</v>
      </c>
      <c r="AB115" s="1"/>
      <c r="AC115" s="1"/>
      <c r="AD115" s="1"/>
      <c r="AE115" s="1"/>
    </row>
    <row r="116" spans="1:31" ht="14.4">
      <c r="A116" s="1"/>
      <c r="B116" s="530" t="str">
        <f t="shared" si="74"/>
        <v>Gerente de servicio tecnico</v>
      </c>
      <c r="C116" s="533">
        <v>0</v>
      </c>
      <c r="D116" s="532">
        <f t="shared" si="60"/>
        <v>0</v>
      </c>
      <c r="E116" s="533">
        <v>0</v>
      </c>
      <c r="F116" s="532">
        <f t="shared" si="61"/>
        <v>0</v>
      </c>
      <c r="G116" s="533">
        <v>0</v>
      </c>
      <c r="H116" s="532">
        <f t="shared" si="62"/>
        <v>0</v>
      </c>
      <c r="I116" s="533">
        <v>0</v>
      </c>
      <c r="J116" s="532">
        <f t="shared" si="63"/>
        <v>0</v>
      </c>
      <c r="K116" s="533">
        <v>0</v>
      </c>
      <c r="L116" s="532">
        <f t="shared" si="64"/>
        <v>0</v>
      </c>
      <c r="M116" s="533">
        <v>0</v>
      </c>
      <c r="N116" s="532">
        <f t="shared" si="65"/>
        <v>0</v>
      </c>
      <c r="O116" s="533">
        <v>0</v>
      </c>
      <c r="P116" s="532">
        <f t="shared" si="66"/>
        <v>0</v>
      </c>
      <c r="Q116" s="533">
        <v>0</v>
      </c>
      <c r="R116" s="532">
        <f t="shared" si="67"/>
        <v>0</v>
      </c>
      <c r="S116" s="533">
        <v>0</v>
      </c>
      <c r="T116" s="532">
        <f t="shared" si="68"/>
        <v>0</v>
      </c>
      <c r="U116" s="533">
        <v>0</v>
      </c>
      <c r="V116" s="532">
        <f t="shared" si="69"/>
        <v>0</v>
      </c>
      <c r="W116" s="533">
        <v>0</v>
      </c>
      <c r="X116" s="532">
        <f t="shared" si="70"/>
        <v>0</v>
      </c>
      <c r="Y116" s="533">
        <v>0</v>
      </c>
      <c r="Z116" s="532">
        <f t="shared" si="71"/>
        <v>0</v>
      </c>
      <c r="AA116" s="534">
        <f t="shared" si="72"/>
        <v>0</v>
      </c>
      <c r="AB116" s="1"/>
      <c r="AC116" s="1"/>
      <c r="AD116" s="1"/>
      <c r="AE116" s="1"/>
    </row>
    <row r="117" spans="1:31" ht="14.4">
      <c r="A117" s="1"/>
      <c r="B117" s="530" t="str">
        <f t="shared" si="74"/>
        <v>Coordinador tecnico</v>
      </c>
      <c r="C117" s="533">
        <v>0</v>
      </c>
      <c r="D117" s="532">
        <f t="shared" si="60"/>
        <v>0</v>
      </c>
      <c r="E117" s="533">
        <v>0</v>
      </c>
      <c r="F117" s="532">
        <f t="shared" si="61"/>
        <v>0</v>
      </c>
      <c r="G117" s="533">
        <v>0</v>
      </c>
      <c r="H117" s="532">
        <f t="shared" si="62"/>
        <v>0</v>
      </c>
      <c r="I117" s="533">
        <v>0</v>
      </c>
      <c r="J117" s="532">
        <f t="shared" si="63"/>
        <v>0</v>
      </c>
      <c r="K117" s="533">
        <v>0</v>
      </c>
      <c r="L117" s="532">
        <f t="shared" si="64"/>
        <v>0</v>
      </c>
      <c r="M117" s="533">
        <v>0</v>
      </c>
      <c r="N117" s="532">
        <f t="shared" si="65"/>
        <v>0</v>
      </c>
      <c r="O117" s="533">
        <v>0</v>
      </c>
      <c r="P117" s="532">
        <f t="shared" si="66"/>
        <v>0</v>
      </c>
      <c r="Q117" s="533">
        <v>0</v>
      </c>
      <c r="R117" s="532">
        <f t="shared" si="67"/>
        <v>0</v>
      </c>
      <c r="S117" s="533">
        <v>0</v>
      </c>
      <c r="T117" s="532">
        <f t="shared" si="68"/>
        <v>0</v>
      </c>
      <c r="U117" s="533">
        <v>0</v>
      </c>
      <c r="V117" s="532">
        <f t="shared" si="69"/>
        <v>0</v>
      </c>
      <c r="W117" s="533">
        <v>0</v>
      </c>
      <c r="X117" s="532">
        <f t="shared" si="70"/>
        <v>0</v>
      </c>
      <c r="Y117" s="533">
        <v>0</v>
      </c>
      <c r="Z117" s="532">
        <f t="shared" si="71"/>
        <v>0</v>
      </c>
      <c r="AA117" s="534">
        <f t="shared" si="72"/>
        <v>0</v>
      </c>
      <c r="AB117" s="1"/>
      <c r="AC117" s="1"/>
      <c r="AD117" s="1"/>
      <c r="AE117" s="1"/>
    </row>
    <row r="118" spans="1:31" ht="14.4">
      <c r="A118" s="1"/>
      <c r="B118" s="530" t="str">
        <f t="shared" si="74"/>
        <v>Coordinador de operaciones</v>
      </c>
      <c r="C118" s="533">
        <v>0</v>
      </c>
      <c r="D118" s="532">
        <f t="shared" si="60"/>
        <v>0</v>
      </c>
      <c r="E118" s="533">
        <v>0</v>
      </c>
      <c r="F118" s="532">
        <f t="shared" si="61"/>
        <v>0</v>
      </c>
      <c r="G118" s="533">
        <v>0</v>
      </c>
      <c r="H118" s="532">
        <f t="shared" si="62"/>
        <v>0</v>
      </c>
      <c r="I118" s="533">
        <v>0</v>
      </c>
      <c r="J118" s="532">
        <f t="shared" si="63"/>
        <v>0</v>
      </c>
      <c r="K118" s="533">
        <v>0</v>
      </c>
      <c r="L118" s="532">
        <f t="shared" si="64"/>
        <v>0</v>
      </c>
      <c r="M118" s="533">
        <v>0</v>
      </c>
      <c r="N118" s="532">
        <f t="shared" si="65"/>
        <v>0</v>
      </c>
      <c r="O118" s="533">
        <v>0</v>
      </c>
      <c r="P118" s="532">
        <f t="shared" si="66"/>
        <v>0</v>
      </c>
      <c r="Q118" s="533">
        <v>0</v>
      </c>
      <c r="R118" s="532">
        <f t="shared" si="67"/>
        <v>0</v>
      </c>
      <c r="S118" s="533">
        <v>0</v>
      </c>
      <c r="T118" s="532">
        <f t="shared" si="68"/>
        <v>0</v>
      </c>
      <c r="U118" s="533">
        <v>0</v>
      </c>
      <c r="V118" s="532">
        <f t="shared" si="69"/>
        <v>0</v>
      </c>
      <c r="W118" s="533">
        <v>0</v>
      </c>
      <c r="X118" s="532">
        <f t="shared" si="70"/>
        <v>0</v>
      </c>
      <c r="Y118" s="533">
        <v>0</v>
      </c>
      <c r="Z118" s="532">
        <f t="shared" si="71"/>
        <v>0</v>
      </c>
      <c r="AA118" s="534">
        <f t="shared" si="72"/>
        <v>0</v>
      </c>
      <c r="AB118" s="1"/>
      <c r="AC118" s="1"/>
      <c r="AD118" s="1"/>
      <c r="AE118" s="1"/>
    </row>
    <row r="119" spans="1:31" ht="14.4">
      <c r="A119" s="1"/>
      <c r="B119" s="530" t="str">
        <f t="shared" si="74"/>
        <v>Tecnico instalador servicios</v>
      </c>
      <c r="C119" s="533">
        <v>0</v>
      </c>
      <c r="D119" s="532">
        <f t="shared" si="60"/>
        <v>0</v>
      </c>
      <c r="E119" s="533">
        <v>0</v>
      </c>
      <c r="F119" s="532">
        <f t="shared" si="61"/>
        <v>0</v>
      </c>
      <c r="G119" s="533">
        <v>0</v>
      </c>
      <c r="H119" s="532">
        <f t="shared" si="62"/>
        <v>0</v>
      </c>
      <c r="I119" s="533">
        <v>0</v>
      </c>
      <c r="J119" s="532">
        <f t="shared" si="63"/>
        <v>0</v>
      </c>
      <c r="K119" s="533">
        <v>0</v>
      </c>
      <c r="L119" s="532">
        <f t="shared" si="64"/>
        <v>0</v>
      </c>
      <c r="M119" s="533">
        <v>0</v>
      </c>
      <c r="N119" s="532">
        <f t="shared" si="65"/>
        <v>0</v>
      </c>
      <c r="O119" s="533">
        <v>0</v>
      </c>
      <c r="P119" s="532">
        <f t="shared" si="66"/>
        <v>0</v>
      </c>
      <c r="Q119" s="533">
        <v>0</v>
      </c>
      <c r="R119" s="532">
        <f t="shared" si="67"/>
        <v>0</v>
      </c>
      <c r="S119" s="533">
        <v>0</v>
      </c>
      <c r="T119" s="532">
        <f t="shared" si="68"/>
        <v>0</v>
      </c>
      <c r="U119" s="533">
        <v>0</v>
      </c>
      <c r="V119" s="532">
        <f t="shared" si="69"/>
        <v>0</v>
      </c>
      <c r="W119" s="533">
        <v>0</v>
      </c>
      <c r="X119" s="532">
        <f t="shared" si="70"/>
        <v>0</v>
      </c>
      <c r="Y119" s="533">
        <v>0</v>
      </c>
      <c r="Z119" s="532">
        <f t="shared" si="71"/>
        <v>0</v>
      </c>
      <c r="AA119" s="534">
        <f t="shared" si="72"/>
        <v>0</v>
      </c>
      <c r="AB119" s="1"/>
      <c r="AC119" s="1"/>
      <c r="AD119" s="1"/>
      <c r="AE119" s="1"/>
    </row>
    <row r="120" spans="1:31" ht="14.4">
      <c r="A120" s="1"/>
      <c r="B120" s="530" t="str">
        <f t="shared" si="74"/>
        <v>Coordinador de soporte</v>
      </c>
      <c r="C120" s="533">
        <v>0</v>
      </c>
      <c r="D120" s="532">
        <f t="shared" si="60"/>
        <v>0</v>
      </c>
      <c r="E120" s="533">
        <v>0</v>
      </c>
      <c r="F120" s="532">
        <f t="shared" si="61"/>
        <v>0</v>
      </c>
      <c r="G120" s="533">
        <v>0</v>
      </c>
      <c r="H120" s="532">
        <f t="shared" si="62"/>
        <v>0</v>
      </c>
      <c r="I120" s="533">
        <v>0</v>
      </c>
      <c r="J120" s="532">
        <f t="shared" si="63"/>
        <v>0</v>
      </c>
      <c r="K120" s="533">
        <v>0</v>
      </c>
      <c r="L120" s="532">
        <f t="shared" si="64"/>
        <v>0</v>
      </c>
      <c r="M120" s="533">
        <v>0</v>
      </c>
      <c r="N120" s="532">
        <f t="shared" si="65"/>
        <v>0</v>
      </c>
      <c r="O120" s="535">
        <v>1</v>
      </c>
      <c r="P120" s="532">
        <f t="shared" si="66"/>
        <v>1707038.57</v>
      </c>
      <c r="Q120" s="531">
        <v>1</v>
      </c>
      <c r="R120" s="532">
        <f t="shared" si="67"/>
        <v>1707038.57</v>
      </c>
      <c r="S120" s="531">
        <v>1</v>
      </c>
      <c r="T120" s="532">
        <f t="shared" si="68"/>
        <v>1707038.57</v>
      </c>
      <c r="U120" s="531">
        <v>1</v>
      </c>
      <c r="V120" s="532">
        <f t="shared" si="69"/>
        <v>1707038.57</v>
      </c>
      <c r="W120" s="531">
        <v>1</v>
      </c>
      <c r="X120" s="532">
        <f t="shared" si="70"/>
        <v>1707038.57</v>
      </c>
      <c r="Y120" s="531">
        <v>1</v>
      </c>
      <c r="Z120" s="532">
        <f t="shared" si="71"/>
        <v>2560557.855</v>
      </c>
      <c r="AA120" s="534">
        <f t="shared" si="72"/>
        <v>11095750.705</v>
      </c>
      <c r="AB120" s="1"/>
      <c r="AC120" s="1"/>
      <c r="AD120" s="1"/>
      <c r="AE120" s="1"/>
    </row>
    <row r="121" spans="1:31" ht="14.4">
      <c r="A121" s="1"/>
      <c r="B121" s="530" t="str">
        <f t="shared" si="74"/>
        <v>Tecnico de plataforma</v>
      </c>
      <c r="C121" s="533">
        <v>0</v>
      </c>
      <c r="D121" s="532">
        <f t="shared" si="60"/>
        <v>0</v>
      </c>
      <c r="E121" s="533">
        <v>0</v>
      </c>
      <c r="F121" s="532">
        <f t="shared" si="61"/>
        <v>0</v>
      </c>
      <c r="G121" s="533">
        <v>0</v>
      </c>
      <c r="H121" s="532">
        <f t="shared" si="62"/>
        <v>0</v>
      </c>
      <c r="I121" s="533">
        <v>0</v>
      </c>
      <c r="J121" s="532">
        <f t="shared" si="63"/>
        <v>0</v>
      </c>
      <c r="K121" s="533">
        <v>0</v>
      </c>
      <c r="L121" s="532">
        <f t="shared" si="64"/>
        <v>0</v>
      </c>
      <c r="M121" s="533">
        <v>0</v>
      </c>
      <c r="N121" s="532">
        <f t="shared" si="65"/>
        <v>0</v>
      </c>
      <c r="O121" s="533">
        <v>0</v>
      </c>
      <c r="P121" s="532">
        <f t="shared" si="66"/>
        <v>0</v>
      </c>
      <c r="Q121" s="533">
        <v>0</v>
      </c>
      <c r="R121" s="532">
        <f t="shared" si="67"/>
        <v>0</v>
      </c>
      <c r="S121" s="533">
        <v>0</v>
      </c>
      <c r="T121" s="532">
        <f t="shared" si="68"/>
        <v>0</v>
      </c>
      <c r="U121" s="533">
        <v>0</v>
      </c>
      <c r="V121" s="532">
        <f t="shared" si="69"/>
        <v>0</v>
      </c>
      <c r="W121" s="533">
        <v>0</v>
      </c>
      <c r="X121" s="532">
        <f t="shared" si="70"/>
        <v>0</v>
      </c>
      <c r="Y121" s="533">
        <v>0</v>
      </c>
      <c r="Z121" s="532">
        <f t="shared" si="71"/>
        <v>0</v>
      </c>
      <c r="AA121" s="534">
        <f t="shared" si="72"/>
        <v>0</v>
      </c>
      <c r="AB121" s="1"/>
      <c r="AC121" s="1"/>
      <c r="AD121" s="1"/>
      <c r="AE121" s="1"/>
    </row>
    <row r="122" spans="1:31" ht="14.4">
      <c r="A122" s="1"/>
      <c r="B122" s="530" t="str">
        <f t="shared" si="74"/>
        <v>Operador de monitoreo</v>
      </c>
      <c r="C122" s="533">
        <v>0</v>
      </c>
      <c r="D122" s="532">
        <f t="shared" si="60"/>
        <v>0</v>
      </c>
      <c r="E122" s="533">
        <v>0</v>
      </c>
      <c r="F122" s="532">
        <f t="shared" si="61"/>
        <v>0</v>
      </c>
      <c r="G122" s="533">
        <v>0</v>
      </c>
      <c r="H122" s="532">
        <f t="shared" si="62"/>
        <v>0</v>
      </c>
      <c r="I122" s="533">
        <v>0</v>
      </c>
      <c r="J122" s="532">
        <f t="shared" si="63"/>
        <v>0</v>
      </c>
      <c r="K122" s="533">
        <v>0</v>
      </c>
      <c r="L122" s="532">
        <f t="shared" si="64"/>
        <v>0</v>
      </c>
      <c r="M122" s="533">
        <v>0</v>
      </c>
      <c r="N122" s="532">
        <f t="shared" si="65"/>
        <v>0</v>
      </c>
      <c r="O122" s="533">
        <v>0</v>
      </c>
      <c r="P122" s="532">
        <f t="shared" si="66"/>
        <v>0</v>
      </c>
      <c r="Q122" s="533">
        <v>0</v>
      </c>
      <c r="R122" s="532">
        <f t="shared" si="67"/>
        <v>0</v>
      </c>
      <c r="S122" s="533">
        <v>0</v>
      </c>
      <c r="T122" s="532">
        <f t="shared" si="68"/>
        <v>0</v>
      </c>
      <c r="U122" s="533">
        <v>0</v>
      </c>
      <c r="V122" s="532">
        <f t="shared" si="69"/>
        <v>0</v>
      </c>
      <c r="W122" s="533">
        <v>0</v>
      </c>
      <c r="X122" s="532">
        <f t="shared" si="70"/>
        <v>0</v>
      </c>
      <c r="Y122" s="533">
        <v>0</v>
      </c>
      <c r="Z122" s="532">
        <f t="shared" si="71"/>
        <v>0</v>
      </c>
      <c r="AA122" s="534">
        <f t="shared" si="72"/>
        <v>0</v>
      </c>
      <c r="AB122" s="1"/>
      <c r="AC122" s="1"/>
      <c r="AD122" s="1"/>
      <c r="AE122" s="1"/>
    </row>
    <row r="123" spans="1:31" ht="14.4">
      <c r="A123" s="1"/>
      <c r="B123" s="530" t="str">
        <f t="shared" si="74"/>
        <v>Tecnico de soporte</v>
      </c>
      <c r="C123" s="533">
        <v>0</v>
      </c>
      <c r="D123" s="532">
        <f t="shared" si="60"/>
        <v>0</v>
      </c>
      <c r="E123" s="533">
        <v>0</v>
      </c>
      <c r="F123" s="532">
        <f t="shared" si="61"/>
        <v>0</v>
      </c>
      <c r="G123" s="533">
        <v>0</v>
      </c>
      <c r="H123" s="532">
        <f t="shared" si="62"/>
        <v>0</v>
      </c>
      <c r="I123" s="533">
        <v>0</v>
      </c>
      <c r="J123" s="532">
        <f t="shared" si="63"/>
        <v>0</v>
      </c>
      <c r="K123" s="533">
        <v>0</v>
      </c>
      <c r="L123" s="532">
        <f t="shared" si="64"/>
        <v>0</v>
      </c>
      <c r="M123" s="533">
        <v>0</v>
      </c>
      <c r="N123" s="532">
        <f t="shared" si="65"/>
        <v>0</v>
      </c>
      <c r="O123" s="533">
        <v>0</v>
      </c>
      <c r="P123" s="532">
        <f t="shared" si="66"/>
        <v>0</v>
      </c>
      <c r="Q123" s="533">
        <v>0</v>
      </c>
      <c r="R123" s="532">
        <f t="shared" si="67"/>
        <v>0</v>
      </c>
      <c r="S123" s="533">
        <v>0</v>
      </c>
      <c r="T123" s="532">
        <f t="shared" si="68"/>
        <v>0</v>
      </c>
      <c r="U123" s="533">
        <v>0</v>
      </c>
      <c r="V123" s="532">
        <f t="shared" si="69"/>
        <v>0</v>
      </c>
      <c r="W123" s="533">
        <v>0</v>
      </c>
      <c r="X123" s="532">
        <f t="shared" si="70"/>
        <v>0</v>
      </c>
      <c r="Y123" s="533">
        <v>0</v>
      </c>
      <c r="Z123" s="532">
        <f t="shared" si="71"/>
        <v>0</v>
      </c>
      <c r="AA123" s="534">
        <f t="shared" si="72"/>
        <v>0</v>
      </c>
      <c r="AB123" s="1"/>
      <c r="AC123" s="1"/>
      <c r="AD123" s="1"/>
      <c r="AE123" s="1"/>
    </row>
    <row r="124" spans="1:31" ht="14.4">
      <c r="A124" s="1"/>
      <c r="B124" s="530" t="str">
        <f t="shared" si="74"/>
        <v>Soporte de nivel 1</v>
      </c>
      <c r="C124" s="533">
        <v>0</v>
      </c>
      <c r="D124" s="532">
        <f t="shared" si="60"/>
        <v>0</v>
      </c>
      <c r="E124" s="533">
        <v>0</v>
      </c>
      <c r="F124" s="532">
        <f t="shared" si="61"/>
        <v>0</v>
      </c>
      <c r="G124" s="533">
        <v>0</v>
      </c>
      <c r="H124" s="532">
        <f t="shared" si="62"/>
        <v>0</v>
      </c>
      <c r="I124" s="533">
        <v>0</v>
      </c>
      <c r="J124" s="532">
        <f t="shared" si="63"/>
        <v>0</v>
      </c>
      <c r="K124" s="533">
        <v>0</v>
      </c>
      <c r="L124" s="532">
        <f t="shared" si="64"/>
        <v>0</v>
      </c>
      <c r="M124" s="533">
        <v>0</v>
      </c>
      <c r="N124" s="532">
        <f t="shared" si="65"/>
        <v>0</v>
      </c>
      <c r="O124" s="533">
        <v>0</v>
      </c>
      <c r="P124" s="532">
        <f t="shared" si="66"/>
        <v>0</v>
      </c>
      <c r="Q124" s="533">
        <v>0</v>
      </c>
      <c r="R124" s="532">
        <f t="shared" si="67"/>
        <v>0</v>
      </c>
      <c r="S124" s="533">
        <v>0</v>
      </c>
      <c r="T124" s="532">
        <f t="shared" si="68"/>
        <v>0</v>
      </c>
      <c r="U124" s="533">
        <v>0</v>
      </c>
      <c r="V124" s="532">
        <f t="shared" si="69"/>
        <v>0</v>
      </c>
      <c r="W124" s="533">
        <v>0</v>
      </c>
      <c r="X124" s="532">
        <f t="shared" si="70"/>
        <v>0</v>
      </c>
      <c r="Y124" s="533">
        <v>0</v>
      </c>
      <c r="Z124" s="532">
        <f t="shared" si="71"/>
        <v>0</v>
      </c>
      <c r="AA124" s="534">
        <f t="shared" si="72"/>
        <v>0</v>
      </c>
      <c r="AB124" s="1"/>
      <c r="AC124" s="1"/>
      <c r="AD124" s="1"/>
      <c r="AE124" s="1"/>
    </row>
    <row r="125" spans="1:31" ht="14.4">
      <c r="A125" s="1"/>
      <c r="B125" s="530" t="str">
        <f t="shared" si="74"/>
        <v>Tecnico de inventario</v>
      </c>
      <c r="C125" s="533">
        <v>0</v>
      </c>
      <c r="D125" s="532">
        <f t="shared" si="60"/>
        <v>0</v>
      </c>
      <c r="E125" s="533">
        <v>0</v>
      </c>
      <c r="F125" s="532">
        <f t="shared" si="61"/>
        <v>0</v>
      </c>
      <c r="G125" s="533">
        <v>0</v>
      </c>
      <c r="H125" s="532">
        <f t="shared" si="62"/>
        <v>0</v>
      </c>
      <c r="I125" s="533">
        <v>0</v>
      </c>
      <c r="J125" s="532">
        <f t="shared" si="63"/>
        <v>0</v>
      </c>
      <c r="K125" s="533">
        <v>0</v>
      </c>
      <c r="L125" s="532">
        <f t="shared" si="64"/>
        <v>0</v>
      </c>
      <c r="M125" s="533">
        <v>0</v>
      </c>
      <c r="N125" s="532">
        <f t="shared" si="65"/>
        <v>0</v>
      </c>
      <c r="O125" s="533">
        <v>0</v>
      </c>
      <c r="P125" s="532">
        <f t="shared" si="66"/>
        <v>0</v>
      </c>
      <c r="Q125" s="533">
        <v>0</v>
      </c>
      <c r="R125" s="532">
        <f t="shared" si="67"/>
        <v>0</v>
      </c>
      <c r="S125" s="533">
        <v>0</v>
      </c>
      <c r="T125" s="532">
        <f t="shared" si="68"/>
        <v>0</v>
      </c>
      <c r="U125" s="533">
        <v>0</v>
      </c>
      <c r="V125" s="532">
        <f t="shared" si="69"/>
        <v>0</v>
      </c>
      <c r="W125" s="533">
        <v>0</v>
      </c>
      <c r="X125" s="532">
        <f t="shared" si="70"/>
        <v>0</v>
      </c>
      <c r="Y125" s="533">
        <v>0</v>
      </c>
      <c r="Z125" s="532">
        <f t="shared" si="71"/>
        <v>0</v>
      </c>
      <c r="AA125" s="534">
        <f t="shared" si="72"/>
        <v>0</v>
      </c>
      <c r="AB125" s="1"/>
      <c r="AC125" s="1"/>
      <c r="AD125" s="1"/>
      <c r="AE125" s="1"/>
    </row>
    <row r="126" spans="1:31" ht="14.4">
      <c r="A126" s="1"/>
      <c r="B126" s="530" t="str">
        <f t="shared" si="74"/>
        <v>Tecnico de apoyo</v>
      </c>
      <c r="C126" s="533">
        <v>0</v>
      </c>
      <c r="D126" s="532">
        <f t="shared" si="60"/>
        <v>0</v>
      </c>
      <c r="E126" s="533">
        <v>0</v>
      </c>
      <c r="F126" s="532">
        <f t="shared" si="61"/>
        <v>0</v>
      </c>
      <c r="G126" s="533">
        <v>0</v>
      </c>
      <c r="H126" s="532">
        <f t="shared" si="62"/>
        <v>0</v>
      </c>
      <c r="I126" s="533">
        <v>0</v>
      </c>
      <c r="J126" s="532">
        <f t="shared" si="63"/>
        <v>0</v>
      </c>
      <c r="K126" s="533">
        <v>0</v>
      </c>
      <c r="L126" s="532">
        <f t="shared" si="64"/>
        <v>0</v>
      </c>
      <c r="M126" s="533">
        <v>0</v>
      </c>
      <c r="N126" s="532">
        <f t="shared" si="65"/>
        <v>0</v>
      </c>
      <c r="O126" s="533">
        <v>0</v>
      </c>
      <c r="P126" s="532">
        <f t="shared" si="66"/>
        <v>0</v>
      </c>
      <c r="Q126" s="533">
        <v>0</v>
      </c>
      <c r="R126" s="532">
        <f t="shared" si="67"/>
        <v>0</v>
      </c>
      <c r="S126" s="533">
        <v>0</v>
      </c>
      <c r="T126" s="532">
        <f t="shared" si="68"/>
        <v>0</v>
      </c>
      <c r="U126" s="533">
        <v>0</v>
      </c>
      <c r="V126" s="532">
        <f t="shared" si="69"/>
        <v>0</v>
      </c>
      <c r="W126" s="533">
        <v>0</v>
      </c>
      <c r="X126" s="532">
        <f t="shared" si="70"/>
        <v>0</v>
      </c>
      <c r="Y126" s="533">
        <v>0</v>
      </c>
      <c r="Z126" s="532">
        <f t="shared" si="71"/>
        <v>0</v>
      </c>
      <c r="AA126" s="534">
        <f t="shared" si="72"/>
        <v>0</v>
      </c>
      <c r="AB126" s="1"/>
      <c r="AC126" s="1"/>
      <c r="AD126" s="1"/>
      <c r="AE126" s="1"/>
    </row>
    <row r="127" spans="1:31" ht="14.4">
      <c r="A127" s="1"/>
      <c r="B127" s="530" t="str">
        <f t="shared" si="74"/>
        <v>Auxiliar administrativo</v>
      </c>
      <c r="C127" s="533">
        <v>0</v>
      </c>
      <c r="D127" s="532">
        <f t="shared" si="60"/>
        <v>0</v>
      </c>
      <c r="E127" s="533">
        <v>0</v>
      </c>
      <c r="F127" s="532">
        <f t="shared" si="61"/>
        <v>0</v>
      </c>
      <c r="G127" s="533">
        <v>0</v>
      </c>
      <c r="H127" s="532">
        <f t="shared" si="62"/>
        <v>0</v>
      </c>
      <c r="I127" s="533">
        <v>0</v>
      </c>
      <c r="J127" s="532">
        <f t="shared" si="63"/>
        <v>0</v>
      </c>
      <c r="K127" s="533">
        <v>0</v>
      </c>
      <c r="L127" s="532">
        <f t="shared" si="64"/>
        <v>0</v>
      </c>
      <c r="M127" s="533">
        <v>0</v>
      </c>
      <c r="N127" s="532">
        <f t="shared" si="65"/>
        <v>0</v>
      </c>
      <c r="O127" s="533">
        <v>0</v>
      </c>
      <c r="P127" s="532">
        <f t="shared" si="66"/>
        <v>0</v>
      </c>
      <c r="Q127" s="533">
        <v>0</v>
      </c>
      <c r="R127" s="532">
        <f t="shared" si="67"/>
        <v>0</v>
      </c>
      <c r="S127" s="533">
        <v>0</v>
      </c>
      <c r="T127" s="532">
        <f t="shared" si="68"/>
        <v>0</v>
      </c>
      <c r="U127" s="533">
        <v>0</v>
      </c>
      <c r="V127" s="532">
        <f t="shared" si="69"/>
        <v>0</v>
      </c>
      <c r="W127" s="533">
        <v>0</v>
      </c>
      <c r="X127" s="532">
        <f t="shared" si="70"/>
        <v>0</v>
      </c>
      <c r="Y127" s="533">
        <v>0</v>
      </c>
      <c r="Z127" s="532">
        <f t="shared" si="71"/>
        <v>0</v>
      </c>
      <c r="AA127" s="534">
        <f t="shared" si="72"/>
        <v>0</v>
      </c>
      <c r="AB127" s="1"/>
      <c r="AC127" s="1"/>
      <c r="AD127" s="1"/>
      <c r="AE127" s="1"/>
    </row>
    <row r="128" spans="1:31" ht="14.4">
      <c r="A128" s="1"/>
      <c r="B128" s="530" t="str">
        <f t="shared" si="74"/>
        <v>Auxiliar logístico</v>
      </c>
      <c r="C128" s="533">
        <v>0</v>
      </c>
      <c r="D128" s="532">
        <f t="shared" si="60"/>
        <v>0</v>
      </c>
      <c r="E128" s="533">
        <v>0</v>
      </c>
      <c r="F128" s="532">
        <f t="shared" si="61"/>
        <v>0</v>
      </c>
      <c r="G128" s="533">
        <v>0</v>
      </c>
      <c r="H128" s="532">
        <f t="shared" si="62"/>
        <v>0</v>
      </c>
      <c r="I128" s="533">
        <v>0</v>
      </c>
      <c r="J128" s="532">
        <f t="shared" si="63"/>
        <v>0</v>
      </c>
      <c r="K128" s="533">
        <v>0</v>
      </c>
      <c r="L128" s="532">
        <f t="shared" si="64"/>
        <v>0</v>
      </c>
      <c r="M128" s="533">
        <v>0</v>
      </c>
      <c r="N128" s="532">
        <f t="shared" si="65"/>
        <v>0</v>
      </c>
      <c r="O128" s="533">
        <v>0</v>
      </c>
      <c r="P128" s="532">
        <f t="shared" si="66"/>
        <v>0</v>
      </c>
      <c r="Q128" s="533">
        <v>0</v>
      </c>
      <c r="R128" s="532">
        <f t="shared" si="67"/>
        <v>0</v>
      </c>
      <c r="S128" s="533">
        <v>0</v>
      </c>
      <c r="T128" s="532">
        <f t="shared" si="68"/>
        <v>0</v>
      </c>
      <c r="U128" s="533">
        <v>0</v>
      </c>
      <c r="V128" s="532">
        <f t="shared" si="69"/>
        <v>0</v>
      </c>
      <c r="W128" s="533">
        <v>0</v>
      </c>
      <c r="X128" s="532">
        <f t="shared" si="70"/>
        <v>0</v>
      </c>
      <c r="Y128" s="533">
        <v>0</v>
      </c>
      <c r="Z128" s="532">
        <f t="shared" si="71"/>
        <v>0</v>
      </c>
      <c r="AA128" s="534">
        <f t="shared" si="72"/>
        <v>0</v>
      </c>
      <c r="AB128" s="1"/>
      <c r="AC128" s="1"/>
      <c r="AD128" s="1"/>
      <c r="AE128" s="1"/>
    </row>
    <row r="129" spans="1:31" ht="14.4">
      <c r="A129" s="1"/>
      <c r="B129" s="530" t="str">
        <f t="shared" si="74"/>
        <v>Auxiliar operativo</v>
      </c>
      <c r="C129" s="533">
        <v>0</v>
      </c>
      <c r="D129" s="532">
        <f t="shared" si="60"/>
        <v>0</v>
      </c>
      <c r="E129" s="533">
        <v>0</v>
      </c>
      <c r="F129" s="532">
        <f t="shared" si="61"/>
        <v>0</v>
      </c>
      <c r="G129" s="533">
        <v>0</v>
      </c>
      <c r="H129" s="532">
        <f t="shared" si="62"/>
        <v>0</v>
      </c>
      <c r="I129" s="533">
        <v>0</v>
      </c>
      <c r="J129" s="532">
        <f t="shared" si="63"/>
        <v>0</v>
      </c>
      <c r="K129" s="533">
        <v>0</v>
      </c>
      <c r="L129" s="532">
        <f t="shared" si="64"/>
        <v>0</v>
      </c>
      <c r="M129" s="533">
        <v>0</v>
      </c>
      <c r="N129" s="532">
        <f t="shared" si="65"/>
        <v>0</v>
      </c>
      <c r="O129" s="533">
        <v>0</v>
      </c>
      <c r="P129" s="532">
        <f t="shared" si="66"/>
        <v>0</v>
      </c>
      <c r="Q129" s="533">
        <v>0</v>
      </c>
      <c r="R129" s="532">
        <f t="shared" si="67"/>
        <v>0</v>
      </c>
      <c r="S129" s="533">
        <v>0</v>
      </c>
      <c r="T129" s="532">
        <f t="shared" si="68"/>
        <v>0</v>
      </c>
      <c r="U129" s="533">
        <v>0</v>
      </c>
      <c r="V129" s="532">
        <f t="shared" si="69"/>
        <v>0</v>
      </c>
      <c r="W129" s="533">
        <v>0</v>
      </c>
      <c r="X129" s="532">
        <f t="shared" si="70"/>
        <v>0</v>
      </c>
      <c r="Y129" s="533">
        <v>0</v>
      </c>
      <c r="Z129" s="532">
        <f t="shared" si="71"/>
        <v>0</v>
      </c>
      <c r="AA129" s="534">
        <f t="shared" si="72"/>
        <v>0</v>
      </c>
      <c r="AB129" s="1"/>
      <c r="AC129" s="1"/>
      <c r="AD129" s="1"/>
      <c r="AE129" s="1"/>
    </row>
    <row r="130" spans="1:31" ht="14.4">
      <c r="A130" s="13"/>
      <c r="B130" s="530" t="str">
        <f t="shared" si="74"/>
        <v>Gerente comercial</v>
      </c>
      <c r="C130" s="533">
        <v>0</v>
      </c>
      <c r="D130" s="532">
        <f t="shared" si="60"/>
        <v>0</v>
      </c>
      <c r="E130" s="533">
        <v>0</v>
      </c>
      <c r="F130" s="532">
        <f t="shared" si="61"/>
        <v>0</v>
      </c>
      <c r="G130" s="533">
        <v>0</v>
      </c>
      <c r="H130" s="532">
        <f t="shared" si="62"/>
        <v>0</v>
      </c>
      <c r="I130" s="533">
        <v>0</v>
      </c>
      <c r="J130" s="532">
        <f t="shared" si="63"/>
        <v>0</v>
      </c>
      <c r="K130" s="533">
        <v>0</v>
      </c>
      <c r="L130" s="532">
        <f t="shared" si="64"/>
        <v>0</v>
      </c>
      <c r="M130" s="533">
        <v>0</v>
      </c>
      <c r="N130" s="532">
        <f t="shared" si="65"/>
        <v>0</v>
      </c>
      <c r="O130" s="533">
        <v>0</v>
      </c>
      <c r="P130" s="532">
        <f t="shared" si="66"/>
        <v>0</v>
      </c>
      <c r="Q130" s="533">
        <v>0</v>
      </c>
      <c r="R130" s="532">
        <f t="shared" si="67"/>
        <v>0</v>
      </c>
      <c r="S130" s="533">
        <v>0</v>
      </c>
      <c r="T130" s="532">
        <f t="shared" si="68"/>
        <v>0</v>
      </c>
      <c r="U130" s="533">
        <v>0</v>
      </c>
      <c r="V130" s="532">
        <f t="shared" si="69"/>
        <v>0</v>
      </c>
      <c r="W130" s="533">
        <v>0</v>
      </c>
      <c r="X130" s="532">
        <f t="shared" si="70"/>
        <v>0</v>
      </c>
      <c r="Y130" s="533">
        <v>0</v>
      </c>
      <c r="Z130" s="532">
        <f t="shared" si="71"/>
        <v>0</v>
      </c>
      <c r="AA130" s="534">
        <f t="shared" si="72"/>
        <v>0</v>
      </c>
      <c r="AB130" s="1"/>
      <c r="AC130" s="1"/>
      <c r="AD130" s="1"/>
      <c r="AE130" s="1"/>
    </row>
    <row r="131" spans="1:31" ht="14.4">
      <c r="A131" s="13"/>
      <c r="B131" s="530" t="str">
        <f t="shared" si="74"/>
        <v>Ejecutivo de cuentas</v>
      </c>
      <c r="C131" s="533">
        <v>0</v>
      </c>
      <c r="D131" s="532">
        <f t="shared" si="60"/>
        <v>0</v>
      </c>
      <c r="E131" s="533">
        <v>0</v>
      </c>
      <c r="F131" s="532">
        <f t="shared" si="61"/>
        <v>0</v>
      </c>
      <c r="G131" s="533">
        <v>0</v>
      </c>
      <c r="H131" s="532">
        <f t="shared" si="62"/>
        <v>0</v>
      </c>
      <c r="I131" s="533">
        <v>0</v>
      </c>
      <c r="J131" s="532">
        <f t="shared" si="63"/>
        <v>0</v>
      </c>
      <c r="K131" s="533">
        <v>0</v>
      </c>
      <c r="L131" s="532">
        <f t="shared" si="64"/>
        <v>0</v>
      </c>
      <c r="M131" s="533">
        <v>0</v>
      </c>
      <c r="N131" s="532">
        <f t="shared" si="65"/>
        <v>0</v>
      </c>
      <c r="O131" s="533">
        <v>0</v>
      </c>
      <c r="P131" s="532">
        <f t="shared" si="66"/>
        <v>0</v>
      </c>
      <c r="Q131" s="533">
        <v>0</v>
      </c>
      <c r="R131" s="532">
        <f t="shared" si="67"/>
        <v>0</v>
      </c>
      <c r="S131" s="533">
        <v>0</v>
      </c>
      <c r="T131" s="532">
        <f t="shared" si="68"/>
        <v>0</v>
      </c>
      <c r="U131" s="533">
        <v>0</v>
      </c>
      <c r="V131" s="532">
        <f t="shared" si="69"/>
        <v>0</v>
      </c>
      <c r="W131" s="533">
        <v>0</v>
      </c>
      <c r="X131" s="532">
        <f t="shared" si="70"/>
        <v>0</v>
      </c>
      <c r="Y131" s="533">
        <v>0</v>
      </c>
      <c r="Z131" s="532">
        <f t="shared" si="71"/>
        <v>0</v>
      </c>
      <c r="AA131" s="534">
        <f t="shared" si="72"/>
        <v>0</v>
      </c>
      <c r="AB131" s="1"/>
      <c r="AC131" s="1"/>
      <c r="AD131" s="1"/>
      <c r="AE131" s="1"/>
    </row>
    <row r="132" spans="1:31" ht="14.4">
      <c r="A132" s="13"/>
      <c r="B132" s="530" t="str">
        <f t="shared" si="74"/>
        <v>Representante de posventa</v>
      </c>
      <c r="C132" s="533">
        <v>0</v>
      </c>
      <c r="D132" s="532">
        <f t="shared" si="60"/>
        <v>0</v>
      </c>
      <c r="E132" s="533">
        <v>0</v>
      </c>
      <c r="F132" s="532">
        <f t="shared" si="61"/>
        <v>0</v>
      </c>
      <c r="G132" s="533">
        <v>0</v>
      </c>
      <c r="H132" s="532">
        <f t="shared" si="62"/>
        <v>0</v>
      </c>
      <c r="I132" s="533">
        <v>0</v>
      </c>
      <c r="J132" s="532">
        <f t="shared" si="63"/>
        <v>0</v>
      </c>
      <c r="K132" s="533">
        <v>0</v>
      </c>
      <c r="L132" s="532">
        <f t="shared" si="64"/>
        <v>0</v>
      </c>
      <c r="M132" s="533">
        <v>0</v>
      </c>
      <c r="N132" s="532">
        <f t="shared" si="65"/>
        <v>0</v>
      </c>
      <c r="O132" s="533">
        <v>0</v>
      </c>
      <c r="P132" s="532">
        <f t="shared" si="66"/>
        <v>0</v>
      </c>
      <c r="Q132" s="533">
        <v>0</v>
      </c>
      <c r="R132" s="532">
        <f t="shared" si="67"/>
        <v>0</v>
      </c>
      <c r="S132" s="533">
        <v>0</v>
      </c>
      <c r="T132" s="532">
        <f t="shared" si="68"/>
        <v>0</v>
      </c>
      <c r="U132" s="533">
        <v>0</v>
      </c>
      <c r="V132" s="532">
        <f t="shared" si="69"/>
        <v>0</v>
      </c>
      <c r="W132" s="533">
        <v>0</v>
      </c>
      <c r="X132" s="532">
        <f t="shared" si="70"/>
        <v>0</v>
      </c>
      <c r="Y132" s="533">
        <v>0</v>
      </c>
      <c r="Z132" s="532">
        <f t="shared" si="71"/>
        <v>0</v>
      </c>
      <c r="AA132" s="534">
        <f t="shared" si="72"/>
        <v>0</v>
      </c>
      <c r="AB132" s="1"/>
      <c r="AC132" s="1"/>
      <c r="AD132" s="1"/>
      <c r="AE132" s="1"/>
    </row>
    <row r="133" spans="1:31" ht="14.4">
      <c r="A133" s="13"/>
      <c r="B133" s="530" t="str">
        <f t="shared" si="74"/>
        <v>Asistente de ventas</v>
      </c>
      <c r="C133" s="533">
        <v>0</v>
      </c>
      <c r="D133" s="532">
        <f t="shared" si="60"/>
        <v>0</v>
      </c>
      <c r="E133" s="533">
        <v>0</v>
      </c>
      <c r="F133" s="532">
        <f t="shared" si="61"/>
        <v>0</v>
      </c>
      <c r="G133" s="533">
        <v>0</v>
      </c>
      <c r="H133" s="532">
        <f t="shared" si="62"/>
        <v>0</v>
      </c>
      <c r="I133" s="533">
        <v>0</v>
      </c>
      <c r="J133" s="532">
        <f t="shared" si="63"/>
        <v>0</v>
      </c>
      <c r="K133" s="533">
        <v>0</v>
      </c>
      <c r="L133" s="532">
        <f t="shared" si="64"/>
        <v>0</v>
      </c>
      <c r="M133" s="533">
        <v>0</v>
      </c>
      <c r="N133" s="532">
        <f t="shared" si="65"/>
        <v>0</v>
      </c>
      <c r="O133" s="533">
        <v>0</v>
      </c>
      <c r="P133" s="532">
        <f t="shared" si="66"/>
        <v>0</v>
      </c>
      <c r="Q133" s="533">
        <v>0</v>
      </c>
      <c r="R133" s="532">
        <f t="shared" si="67"/>
        <v>0</v>
      </c>
      <c r="S133" s="533">
        <v>0</v>
      </c>
      <c r="T133" s="532">
        <f t="shared" si="68"/>
        <v>0</v>
      </c>
      <c r="U133" s="533">
        <v>0</v>
      </c>
      <c r="V133" s="532">
        <f t="shared" si="69"/>
        <v>0</v>
      </c>
      <c r="W133" s="533">
        <v>0</v>
      </c>
      <c r="X133" s="532">
        <f t="shared" si="70"/>
        <v>0</v>
      </c>
      <c r="Y133" s="533">
        <v>0</v>
      </c>
      <c r="Z133" s="532">
        <f t="shared" si="71"/>
        <v>0</v>
      </c>
      <c r="AA133" s="534">
        <f t="shared" si="72"/>
        <v>0</v>
      </c>
      <c r="AB133" s="1"/>
      <c r="AC133" s="1"/>
      <c r="AD133" s="1"/>
      <c r="AE133" s="1"/>
    </row>
    <row r="134" spans="1:31" ht="15.6">
      <c r="A134" s="1"/>
      <c r="B134" s="536" t="s">
        <v>359</v>
      </c>
      <c r="C134" s="537">
        <f>SUM(C77:C133)</f>
        <v>2</v>
      </c>
      <c r="D134" s="538">
        <f>SUM(D78:D133)</f>
        <v>5121097.1399999997</v>
      </c>
      <c r="E134" s="537">
        <f>SUM(E77:E133)</f>
        <v>2</v>
      </c>
      <c r="F134" s="538">
        <f>SUM(F78:F133)</f>
        <v>5121097.1399999997</v>
      </c>
      <c r="G134" s="537">
        <f>SUM(G78:G125)</f>
        <v>2</v>
      </c>
      <c r="H134" s="538">
        <f>SUM(H78:H133)</f>
        <v>5121097.1399999997</v>
      </c>
      <c r="I134" s="537">
        <f>SUM(I77:I133)</f>
        <v>2</v>
      </c>
      <c r="J134" s="538">
        <f>SUM(J78:J133)</f>
        <v>5121097.1399999997</v>
      </c>
      <c r="K134" s="537">
        <f>SUM(K77:K133)</f>
        <v>2</v>
      </c>
      <c r="L134" s="538">
        <f>SUM(L78:L133)</f>
        <v>5121097.1399999997</v>
      </c>
      <c r="M134" s="537">
        <f>SUM(M77:M133)</f>
        <v>2</v>
      </c>
      <c r="N134" s="538">
        <f>SUM(N78:N133)</f>
        <v>7681645.709999999</v>
      </c>
      <c r="O134" s="537">
        <f>SUM(O77:O133)</f>
        <v>3</v>
      </c>
      <c r="P134" s="538">
        <f>SUM(P78:P133)</f>
        <v>6828135.71</v>
      </c>
      <c r="Q134" s="537">
        <f>SUM(Q77:Q133)</f>
        <v>3</v>
      </c>
      <c r="R134" s="538">
        <f>SUM(R78:R133)</f>
        <v>6828135.71</v>
      </c>
      <c r="S134" s="537">
        <f>SUM(S77:S133)</f>
        <v>3</v>
      </c>
      <c r="T134" s="538">
        <f>SUM(T78:T133)</f>
        <v>6828135.71</v>
      </c>
      <c r="U134" s="537">
        <f>SUM(U77:U133)</f>
        <v>3</v>
      </c>
      <c r="V134" s="538">
        <f>SUM(V78:V133)</f>
        <v>6828135.71</v>
      </c>
      <c r="W134" s="537">
        <f>SUM(W77:W133)</f>
        <v>3</v>
      </c>
      <c r="X134" s="538">
        <f>SUM(X78:X133)</f>
        <v>6828135.71</v>
      </c>
      <c r="Y134" s="537">
        <f>SUM(Y77:Y133)</f>
        <v>3</v>
      </c>
      <c r="Z134" s="538">
        <f t="shared" ref="Z134:AA134" si="75">SUM(Z78:Z133)</f>
        <v>10242203.564999999</v>
      </c>
      <c r="AA134" s="539">
        <f t="shared" si="75"/>
        <v>77670013.524999991</v>
      </c>
      <c r="AB134" s="1"/>
      <c r="AC134" s="1"/>
      <c r="AD134" s="1"/>
      <c r="AE134" s="1"/>
    </row>
    <row r="135" spans="1:31" ht="14.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25.8">
      <c r="A136" s="1"/>
      <c r="B136" s="798" t="s">
        <v>360</v>
      </c>
      <c r="C136" s="799"/>
      <c r="D136" s="799"/>
      <c r="E136" s="799"/>
      <c r="F136" s="799"/>
      <c r="G136" s="799"/>
      <c r="H136" s="799"/>
      <c r="I136" s="799"/>
      <c r="J136" s="799"/>
      <c r="K136" s="799"/>
      <c r="L136" s="799"/>
      <c r="M136" s="799"/>
      <c r="N136" s="799"/>
      <c r="O136" s="799"/>
      <c r="P136" s="799"/>
      <c r="Q136" s="799"/>
      <c r="R136" s="799"/>
      <c r="S136" s="799"/>
      <c r="T136" s="799"/>
      <c r="U136" s="799"/>
      <c r="V136" s="799"/>
      <c r="W136" s="799"/>
      <c r="X136" s="799"/>
      <c r="Y136" s="799"/>
      <c r="Z136" s="799"/>
      <c r="AA136" s="800"/>
      <c r="AB136" s="1"/>
      <c r="AC136" s="1"/>
      <c r="AD136" s="1"/>
      <c r="AE136" s="1"/>
    </row>
    <row r="137" spans="1:31" ht="15.6">
      <c r="A137" s="1"/>
      <c r="B137" s="968" t="s">
        <v>292</v>
      </c>
      <c r="C137" s="965" t="s">
        <v>58</v>
      </c>
      <c r="D137" s="806"/>
      <c r="E137" s="965" t="s">
        <v>59</v>
      </c>
      <c r="F137" s="806"/>
      <c r="G137" s="965" t="s">
        <v>60</v>
      </c>
      <c r="H137" s="806"/>
      <c r="I137" s="965" t="s">
        <v>61</v>
      </c>
      <c r="J137" s="806"/>
      <c r="K137" s="965" t="s">
        <v>62</v>
      </c>
      <c r="L137" s="806"/>
      <c r="M137" s="965" t="s">
        <v>357</v>
      </c>
      <c r="N137" s="806"/>
      <c r="O137" s="965" t="s">
        <v>64</v>
      </c>
      <c r="P137" s="806"/>
      <c r="Q137" s="965" t="s">
        <v>65</v>
      </c>
      <c r="R137" s="806"/>
      <c r="S137" s="965" t="s">
        <v>66</v>
      </c>
      <c r="T137" s="806"/>
      <c r="U137" s="965" t="s">
        <v>67</v>
      </c>
      <c r="V137" s="806"/>
      <c r="W137" s="965" t="s">
        <v>68</v>
      </c>
      <c r="X137" s="806"/>
      <c r="Y137" s="965" t="s">
        <v>358</v>
      </c>
      <c r="Z137" s="806"/>
      <c r="AA137" s="966" t="s">
        <v>249</v>
      </c>
      <c r="AB137" s="1"/>
      <c r="AC137" s="1"/>
      <c r="AD137" s="1"/>
      <c r="AE137" s="1"/>
    </row>
    <row r="138" spans="1:31" ht="15.6">
      <c r="A138" s="1"/>
      <c r="B138" s="969"/>
      <c r="C138" s="529" t="s">
        <v>26</v>
      </c>
      <c r="D138" s="529" t="s">
        <v>278</v>
      </c>
      <c r="E138" s="529" t="s">
        <v>26</v>
      </c>
      <c r="F138" s="529" t="s">
        <v>278</v>
      </c>
      <c r="G138" s="529" t="s">
        <v>26</v>
      </c>
      <c r="H138" s="529" t="s">
        <v>278</v>
      </c>
      <c r="I138" s="529" t="s">
        <v>26</v>
      </c>
      <c r="J138" s="529" t="s">
        <v>278</v>
      </c>
      <c r="K138" s="529" t="s">
        <v>26</v>
      </c>
      <c r="L138" s="529" t="s">
        <v>278</v>
      </c>
      <c r="M138" s="529" t="s">
        <v>26</v>
      </c>
      <c r="N138" s="529" t="s">
        <v>278</v>
      </c>
      <c r="O138" s="529" t="s">
        <v>26</v>
      </c>
      <c r="P138" s="529" t="s">
        <v>278</v>
      </c>
      <c r="Q138" s="529" t="s">
        <v>26</v>
      </c>
      <c r="R138" s="529" t="s">
        <v>278</v>
      </c>
      <c r="S138" s="529" t="s">
        <v>26</v>
      </c>
      <c r="T138" s="529" t="s">
        <v>278</v>
      </c>
      <c r="U138" s="529" t="s">
        <v>26</v>
      </c>
      <c r="V138" s="529" t="s">
        <v>278</v>
      </c>
      <c r="W138" s="529" t="s">
        <v>26</v>
      </c>
      <c r="X138" s="529" t="s">
        <v>278</v>
      </c>
      <c r="Y138" s="529" t="s">
        <v>26</v>
      </c>
      <c r="Z138" s="529" t="s">
        <v>278</v>
      </c>
      <c r="AA138" s="967"/>
      <c r="AB138" s="1"/>
      <c r="AC138" s="1"/>
      <c r="AD138" s="1"/>
      <c r="AE138" s="1"/>
    </row>
    <row r="139" spans="1:31" ht="14.4">
      <c r="A139" s="1"/>
      <c r="B139" s="530" t="str">
        <f t="shared" ref="B139:B194" si="76">C16</f>
        <v>Gerente general</v>
      </c>
      <c r="C139" s="531">
        <v>0</v>
      </c>
      <c r="D139" s="532">
        <f t="shared" ref="D139:D194" si="77">C139*$L16</f>
        <v>0</v>
      </c>
      <c r="E139" s="533">
        <v>0</v>
      </c>
      <c r="F139" s="532">
        <f t="shared" ref="F139:F194" si="78">E139*$L16</f>
        <v>0</v>
      </c>
      <c r="G139" s="533">
        <v>0</v>
      </c>
      <c r="H139" s="532">
        <f t="shared" ref="H139:H194" si="79">G139*$L16</f>
        <v>0</v>
      </c>
      <c r="I139" s="533">
        <v>0</v>
      </c>
      <c r="J139" s="532">
        <f t="shared" ref="J139:J194" si="80">I139*$L16</f>
        <v>0</v>
      </c>
      <c r="K139" s="533">
        <v>0</v>
      </c>
      <c r="L139" s="532">
        <f t="shared" ref="L139:L194" si="81">K139*$L16</f>
        <v>0</v>
      </c>
      <c r="M139" s="533">
        <v>0</v>
      </c>
      <c r="N139" s="532">
        <f t="shared" ref="N139:N194" si="82">M139*$L16*1.5</f>
        <v>0</v>
      </c>
      <c r="O139" s="533">
        <v>0</v>
      </c>
      <c r="P139" s="532">
        <f t="shared" ref="P139:P194" si="83">O139*$L16</f>
        <v>0</v>
      </c>
      <c r="Q139" s="533">
        <v>0</v>
      </c>
      <c r="R139" s="532">
        <f t="shared" ref="R139:R194" si="84">Q139*$L16</f>
        <v>0</v>
      </c>
      <c r="S139" s="533">
        <v>0</v>
      </c>
      <c r="T139" s="532">
        <f t="shared" ref="T139:T194" si="85">S139*$L16</f>
        <v>0</v>
      </c>
      <c r="U139" s="533">
        <v>0</v>
      </c>
      <c r="V139" s="532">
        <f t="shared" ref="V139:V194" si="86">U139*$L16</f>
        <v>0</v>
      </c>
      <c r="W139" s="533">
        <v>0</v>
      </c>
      <c r="X139" s="532">
        <f t="shared" ref="X139:X194" si="87">W139*$L16</f>
        <v>0</v>
      </c>
      <c r="Y139" s="533">
        <v>0</v>
      </c>
      <c r="Z139" s="532">
        <f t="shared" ref="Z139:Z194" si="88">Y139*$L16*1.5</f>
        <v>0</v>
      </c>
      <c r="AA139" s="534">
        <f t="shared" ref="AA139:AA194" si="89">D139+F139+H139+J139+L139+N139+P139+R139+T139+V139+X139+Z139</f>
        <v>0</v>
      </c>
      <c r="AB139" s="1"/>
      <c r="AC139" s="1"/>
      <c r="AD139" s="1"/>
      <c r="AE139" s="1"/>
    </row>
    <row r="140" spans="1:31" ht="14.4">
      <c r="A140" s="1"/>
      <c r="B140" s="530" t="str">
        <f t="shared" si="76"/>
        <v>Gerente de administración</v>
      </c>
      <c r="C140" s="531">
        <v>1</v>
      </c>
      <c r="D140" s="532">
        <f t="shared" si="77"/>
        <v>2438618.5699999998</v>
      </c>
      <c r="E140" s="531">
        <v>1</v>
      </c>
      <c r="F140" s="532">
        <f t="shared" si="78"/>
        <v>2438618.5699999998</v>
      </c>
      <c r="G140" s="531">
        <v>1</v>
      </c>
      <c r="H140" s="532">
        <f t="shared" si="79"/>
        <v>2438618.5699999998</v>
      </c>
      <c r="I140" s="531">
        <v>1</v>
      </c>
      <c r="J140" s="532">
        <f t="shared" si="80"/>
        <v>2438618.5699999998</v>
      </c>
      <c r="K140" s="531">
        <v>1</v>
      </c>
      <c r="L140" s="532">
        <f t="shared" si="81"/>
        <v>2438618.5699999998</v>
      </c>
      <c r="M140" s="531">
        <v>1</v>
      </c>
      <c r="N140" s="532">
        <f t="shared" si="82"/>
        <v>3657927.8549999995</v>
      </c>
      <c r="O140" s="531">
        <v>1</v>
      </c>
      <c r="P140" s="532">
        <f t="shared" si="83"/>
        <v>2438618.5699999998</v>
      </c>
      <c r="Q140" s="531">
        <v>1</v>
      </c>
      <c r="R140" s="532">
        <f t="shared" si="84"/>
        <v>2438618.5699999998</v>
      </c>
      <c r="S140" s="531">
        <v>1</v>
      </c>
      <c r="T140" s="532">
        <f t="shared" si="85"/>
        <v>2438618.5699999998</v>
      </c>
      <c r="U140" s="531">
        <v>1</v>
      </c>
      <c r="V140" s="532">
        <f t="shared" si="86"/>
        <v>2438618.5699999998</v>
      </c>
      <c r="W140" s="531">
        <v>1</v>
      </c>
      <c r="X140" s="532">
        <f t="shared" si="87"/>
        <v>2438618.5699999998</v>
      </c>
      <c r="Y140" s="531">
        <v>1</v>
      </c>
      <c r="Z140" s="532">
        <f t="shared" si="88"/>
        <v>3657927.8549999995</v>
      </c>
      <c r="AA140" s="534">
        <f t="shared" si="89"/>
        <v>31702041.41</v>
      </c>
      <c r="AB140" s="1"/>
      <c r="AC140" s="1"/>
      <c r="AD140" s="1"/>
      <c r="AE140" s="1"/>
    </row>
    <row r="141" spans="1:31" ht="14.4">
      <c r="A141" s="1"/>
      <c r="B141" s="530" t="str">
        <f t="shared" si="76"/>
        <v>Jefe de compras</v>
      </c>
      <c r="C141" s="533">
        <v>0</v>
      </c>
      <c r="D141" s="532">
        <f t="shared" si="77"/>
        <v>0</v>
      </c>
      <c r="E141" s="533">
        <v>0</v>
      </c>
      <c r="F141" s="532">
        <f t="shared" si="78"/>
        <v>0</v>
      </c>
      <c r="G141" s="533">
        <v>0</v>
      </c>
      <c r="H141" s="532">
        <f t="shared" si="79"/>
        <v>0</v>
      </c>
      <c r="I141" s="533">
        <v>0</v>
      </c>
      <c r="J141" s="532">
        <f t="shared" si="80"/>
        <v>0</v>
      </c>
      <c r="K141" s="533">
        <v>0</v>
      </c>
      <c r="L141" s="532">
        <f t="shared" si="81"/>
        <v>0</v>
      </c>
      <c r="M141" s="533">
        <v>0</v>
      </c>
      <c r="N141" s="532">
        <f t="shared" si="82"/>
        <v>0</v>
      </c>
      <c r="O141" s="533">
        <v>0</v>
      </c>
      <c r="P141" s="532">
        <f t="shared" si="83"/>
        <v>0</v>
      </c>
      <c r="Q141" s="533">
        <v>0</v>
      </c>
      <c r="R141" s="532">
        <f t="shared" si="84"/>
        <v>0</v>
      </c>
      <c r="S141" s="533">
        <v>0</v>
      </c>
      <c r="T141" s="532">
        <f t="shared" si="85"/>
        <v>0</v>
      </c>
      <c r="U141" s="533">
        <v>0</v>
      </c>
      <c r="V141" s="532">
        <f t="shared" si="86"/>
        <v>0</v>
      </c>
      <c r="W141" s="533">
        <v>0</v>
      </c>
      <c r="X141" s="532">
        <f t="shared" si="87"/>
        <v>0</v>
      </c>
      <c r="Y141" s="533">
        <v>0</v>
      </c>
      <c r="Z141" s="532">
        <f t="shared" si="88"/>
        <v>0</v>
      </c>
      <c r="AA141" s="534">
        <f t="shared" si="89"/>
        <v>0</v>
      </c>
      <c r="AB141" s="1"/>
      <c r="AC141" s="1"/>
      <c r="AD141" s="1"/>
      <c r="AE141" s="1"/>
    </row>
    <row r="142" spans="1:31" ht="14.4">
      <c r="A142" s="1"/>
      <c r="B142" s="530" t="str">
        <f t="shared" si="76"/>
        <v>Jefe de finanzas</v>
      </c>
      <c r="C142" s="533">
        <v>0</v>
      </c>
      <c r="D142" s="532">
        <f t="shared" si="77"/>
        <v>0</v>
      </c>
      <c r="E142" s="533">
        <v>0</v>
      </c>
      <c r="F142" s="532">
        <f t="shared" si="78"/>
        <v>0</v>
      </c>
      <c r="G142" s="533">
        <v>0</v>
      </c>
      <c r="H142" s="532">
        <f t="shared" si="79"/>
        <v>0</v>
      </c>
      <c r="I142" s="533">
        <v>0</v>
      </c>
      <c r="J142" s="532">
        <f t="shared" si="80"/>
        <v>0</v>
      </c>
      <c r="K142" s="533">
        <v>0</v>
      </c>
      <c r="L142" s="532">
        <f t="shared" si="81"/>
        <v>0</v>
      </c>
      <c r="M142" s="533">
        <v>0</v>
      </c>
      <c r="N142" s="532">
        <f t="shared" si="82"/>
        <v>0</v>
      </c>
      <c r="O142" s="533">
        <v>0</v>
      </c>
      <c r="P142" s="532">
        <f t="shared" si="83"/>
        <v>0</v>
      </c>
      <c r="Q142" s="533">
        <v>0</v>
      </c>
      <c r="R142" s="532">
        <f t="shared" si="84"/>
        <v>0</v>
      </c>
      <c r="S142" s="533">
        <v>0</v>
      </c>
      <c r="T142" s="532">
        <f t="shared" si="85"/>
        <v>0</v>
      </c>
      <c r="U142" s="533">
        <v>0</v>
      </c>
      <c r="V142" s="532">
        <f t="shared" si="86"/>
        <v>0</v>
      </c>
      <c r="W142" s="533">
        <v>0</v>
      </c>
      <c r="X142" s="532">
        <f t="shared" si="87"/>
        <v>0</v>
      </c>
      <c r="Y142" s="533">
        <v>0</v>
      </c>
      <c r="Z142" s="532">
        <f t="shared" si="88"/>
        <v>0</v>
      </c>
      <c r="AA142" s="534">
        <f t="shared" si="89"/>
        <v>0</v>
      </c>
      <c r="AB142" s="1"/>
      <c r="AC142" s="1"/>
      <c r="AD142" s="1"/>
      <c r="AE142" s="1"/>
    </row>
    <row r="143" spans="1:31" ht="14.4">
      <c r="A143" s="1"/>
      <c r="B143" s="530" t="str">
        <f t="shared" si="76"/>
        <v>Jefe de ventas</v>
      </c>
      <c r="C143" s="533">
        <v>0</v>
      </c>
      <c r="D143" s="532">
        <f t="shared" si="77"/>
        <v>0</v>
      </c>
      <c r="E143" s="533">
        <v>0</v>
      </c>
      <c r="F143" s="532">
        <f t="shared" si="78"/>
        <v>0</v>
      </c>
      <c r="G143" s="533">
        <v>0</v>
      </c>
      <c r="H143" s="532">
        <f t="shared" si="79"/>
        <v>0</v>
      </c>
      <c r="I143" s="533">
        <v>0</v>
      </c>
      <c r="J143" s="532">
        <f t="shared" si="80"/>
        <v>0</v>
      </c>
      <c r="K143" s="533">
        <v>0</v>
      </c>
      <c r="L143" s="532">
        <f t="shared" si="81"/>
        <v>0</v>
      </c>
      <c r="M143" s="533">
        <v>0</v>
      </c>
      <c r="N143" s="532">
        <f t="shared" si="82"/>
        <v>0</v>
      </c>
      <c r="O143" s="533">
        <v>0</v>
      </c>
      <c r="P143" s="532">
        <f t="shared" si="83"/>
        <v>0</v>
      </c>
      <c r="Q143" s="533">
        <v>0</v>
      </c>
      <c r="R143" s="532">
        <f t="shared" si="84"/>
        <v>0</v>
      </c>
      <c r="S143" s="533">
        <v>0</v>
      </c>
      <c r="T143" s="532">
        <f t="shared" si="85"/>
        <v>0</v>
      </c>
      <c r="U143" s="533">
        <v>0</v>
      </c>
      <c r="V143" s="532">
        <f t="shared" si="86"/>
        <v>0</v>
      </c>
      <c r="W143" s="533">
        <v>0</v>
      </c>
      <c r="X143" s="532">
        <f t="shared" si="87"/>
        <v>0</v>
      </c>
      <c r="Y143" s="533">
        <v>0</v>
      </c>
      <c r="Z143" s="532">
        <f t="shared" si="88"/>
        <v>0</v>
      </c>
      <c r="AA143" s="534">
        <f t="shared" si="89"/>
        <v>0</v>
      </c>
      <c r="AB143" s="1"/>
      <c r="AC143" s="1"/>
      <c r="AD143" s="1"/>
      <c r="AE143" s="1"/>
    </row>
    <row r="144" spans="1:31" ht="14.4">
      <c r="A144" s="1"/>
      <c r="B144" s="530" t="str">
        <f t="shared" si="76"/>
        <v>Jefe de RRHH</v>
      </c>
      <c r="C144" s="533">
        <v>0</v>
      </c>
      <c r="D144" s="532">
        <f t="shared" si="77"/>
        <v>0</v>
      </c>
      <c r="E144" s="533">
        <v>0</v>
      </c>
      <c r="F144" s="532">
        <f t="shared" si="78"/>
        <v>0</v>
      </c>
      <c r="G144" s="533">
        <v>0</v>
      </c>
      <c r="H144" s="532">
        <f t="shared" si="79"/>
        <v>0</v>
      </c>
      <c r="I144" s="533">
        <v>0</v>
      </c>
      <c r="J144" s="532">
        <f t="shared" si="80"/>
        <v>0</v>
      </c>
      <c r="K144" s="533">
        <v>0</v>
      </c>
      <c r="L144" s="532">
        <f t="shared" si="81"/>
        <v>0</v>
      </c>
      <c r="M144" s="533">
        <v>0</v>
      </c>
      <c r="N144" s="532">
        <f t="shared" si="82"/>
        <v>0</v>
      </c>
      <c r="O144" s="533">
        <v>0</v>
      </c>
      <c r="P144" s="532">
        <f t="shared" si="83"/>
        <v>0</v>
      </c>
      <c r="Q144" s="533">
        <v>0</v>
      </c>
      <c r="R144" s="532">
        <f t="shared" si="84"/>
        <v>0</v>
      </c>
      <c r="S144" s="533">
        <v>0</v>
      </c>
      <c r="T144" s="532">
        <f t="shared" si="85"/>
        <v>0</v>
      </c>
      <c r="U144" s="533">
        <v>0</v>
      </c>
      <c r="V144" s="532">
        <f t="shared" si="86"/>
        <v>0</v>
      </c>
      <c r="W144" s="533">
        <v>0</v>
      </c>
      <c r="X144" s="532">
        <f t="shared" si="87"/>
        <v>0</v>
      </c>
      <c r="Y144" s="533">
        <v>0</v>
      </c>
      <c r="Z144" s="532">
        <f t="shared" si="88"/>
        <v>0</v>
      </c>
      <c r="AA144" s="534">
        <f t="shared" si="89"/>
        <v>0</v>
      </c>
      <c r="AB144" s="1"/>
      <c r="AC144" s="1"/>
      <c r="AD144" s="1"/>
      <c r="AE144" s="1"/>
    </row>
    <row r="145" spans="1:31" ht="14.4">
      <c r="A145" s="1"/>
      <c r="B145" s="530" t="str">
        <f t="shared" si="76"/>
        <v>Subjefe de ventas</v>
      </c>
      <c r="C145" s="533">
        <v>0</v>
      </c>
      <c r="D145" s="532">
        <f t="shared" si="77"/>
        <v>0</v>
      </c>
      <c r="E145" s="533">
        <v>0</v>
      </c>
      <c r="F145" s="532">
        <f t="shared" si="78"/>
        <v>0</v>
      </c>
      <c r="G145" s="533">
        <v>0</v>
      </c>
      <c r="H145" s="532">
        <f t="shared" si="79"/>
        <v>0</v>
      </c>
      <c r="I145" s="533">
        <v>0</v>
      </c>
      <c r="J145" s="532">
        <f t="shared" si="80"/>
        <v>0</v>
      </c>
      <c r="K145" s="533">
        <v>0</v>
      </c>
      <c r="L145" s="532">
        <f t="shared" si="81"/>
        <v>0</v>
      </c>
      <c r="M145" s="533">
        <v>0</v>
      </c>
      <c r="N145" s="532">
        <f t="shared" si="82"/>
        <v>0</v>
      </c>
      <c r="O145" s="533">
        <v>0</v>
      </c>
      <c r="P145" s="532">
        <f t="shared" si="83"/>
        <v>0</v>
      </c>
      <c r="Q145" s="533">
        <v>0</v>
      </c>
      <c r="R145" s="532">
        <f t="shared" si="84"/>
        <v>0</v>
      </c>
      <c r="S145" s="533">
        <v>0</v>
      </c>
      <c r="T145" s="532">
        <f t="shared" si="85"/>
        <v>0</v>
      </c>
      <c r="U145" s="533">
        <v>0</v>
      </c>
      <c r="V145" s="532">
        <f t="shared" si="86"/>
        <v>0</v>
      </c>
      <c r="W145" s="533">
        <v>0</v>
      </c>
      <c r="X145" s="532">
        <f t="shared" si="87"/>
        <v>0</v>
      </c>
      <c r="Y145" s="533">
        <v>0</v>
      </c>
      <c r="Z145" s="532">
        <f t="shared" si="88"/>
        <v>0</v>
      </c>
      <c r="AA145" s="534">
        <f t="shared" si="89"/>
        <v>0</v>
      </c>
      <c r="AB145" s="1"/>
      <c r="AC145" s="1"/>
      <c r="AD145" s="1"/>
      <c r="AE145" s="1"/>
    </row>
    <row r="146" spans="1:31" ht="14.4">
      <c r="A146" s="1"/>
      <c r="B146" s="530" t="str">
        <f t="shared" si="76"/>
        <v>Analista contable</v>
      </c>
      <c r="C146" s="533">
        <v>0</v>
      </c>
      <c r="D146" s="532">
        <f t="shared" si="77"/>
        <v>0</v>
      </c>
      <c r="E146" s="533">
        <v>0</v>
      </c>
      <c r="F146" s="532">
        <f t="shared" si="78"/>
        <v>0</v>
      </c>
      <c r="G146" s="533">
        <v>0</v>
      </c>
      <c r="H146" s="532">
        <f t="shared" si="79"/>
        <v>0</v>
      </c>
      <c r="I146" s="533">
        <v>0</v>
      </c>
      <c r="J146" s="532">
        <f t="shared" si="80"/>
        <v>0</v>
      </c>
      <c r="K146" s="533">
        <v>0</v>
      </c>
      <c r="L146" s="532">
        <f t="shared" si="81"/>
        <v>0</v>
      </c>
      <c r="M146" s="533">
        <v>0</v>
      </c>
      <c r="N146" s="532">
        <f t="shared" si="82"/>
        <v>0</v>
      </c>
      <c r="O146" s="533">
        <v>0</v>
      </c>
      <c r="P146" s="532">
        <f t="shared" si="83"/>
        <v>0</v>
      </c>
      <c r="Q146" s="533">
        <v>0</v>
      </c>
      <c r="R146" s="532">
        <f t="shared" si="84"/>
        <v>0</v>
      </c>
      <c r="S146" s="533">
        <v>0</v>
      </c>
      <c r="T146" s="532">
        <f t="shared" si="85"/>
        <v>0</v>
      </c>
      <c r="U146" s="533">
        <v>0</v>
      </c>
      <c r="V146" s="532">
        <f t="shared" si="86"/>
        <v>0</v>
      </c>
      <c r="W146" s="533">
        <v>0</v>
      </c>
      <c r="X146" s="532">
        <f t="shared" si="87"/>
        <v>0</v>
      </c>
      <c r="Y146" s="533">
        <v>0</v>
      </c>
      <c r="Z146" s="532">
        <f t="shared" si="88"/>
        <v>0</v>
      </c>
      <c r="AA146" s="534">
        <f t="shared" si="89"/>
        <v>0</v>
      </c>
      <c r="AB146" s="1"/>
      <c r="AC146" s="1"/>
      <c r="AD146" s="1"/>
      <c r="AE146" s="1"/>
    </row>
    <row r="147" spans="1:31" ht="14.4">
      <c r="A147" s="1"/>
      <c r="B147" s="530" t="str">
        <f t="shared" si="76"/>
        <v>Analista de compras</v>
      </c>
      <c r="C147" s="533">
        <v>0</v>
      </c>
      <c r="D147" s="532">
        <f t="shared" si="77"/>
        <v>0</v>
      </c>
      <c r="E147" s="533">
        <v>0</v>
      </c>
      <c r="F147" s="532">
        <f t="shared" si="78"/>
        <v>0</v>
      </c>
      <c r="G147" s="533">
        <v>0</v>
      </c>
      <c r="H147" s="532">
        <f t="shared" si="79"/>
        <v>0</v>
      </c>
      <c r="I147" s="533">
        <v>0</v>
      </c>
      <c r="J147" s="532">
        <f t="shared" si="80"/>
        <v>0</v>
      </c>
      <c r="K147" s="533">
        <v>0</v>
      </c>
      <c r="L147" s="532">
        <f t="shared" si="81"/>
        <v>0</v>
      </c>
      <c r="M147" s="533">
        <v>0</v>
      </c>
      <c r="N147" s="532">
        <f t="shared" si="82"/>
        <v>0</v>
      </c>
      <c r="O147" s="533">
        <v>0</v>
      </c>
      <c r="P147" s="532">
        <f t="shared" si="83"/>
        <v>0</v>
      </c>
      <c r="Q147" s="533">
        <v>0</v>
      </c>
      <c r="R147" s="532">
        <f t="shared" si="84"/>
        <v>0</v>
      </c>
      <c r="S147" s="533">
        <v>0</v>
      </c>
      <c r="T147" s="532">
        <f t="shared" si="85"/>
        <v>0</v>
      </c>
      <c r="U147" s="533">
        <v>0</v>
      </c>
      <c r="V147" s="532">
        <f t="shared" si="86"/>
        <v>0</v>
      </c>
      <c r="W147" s="533">
        <v>0</v>
      </c>
      <c r="X147" s="532">
        <f t="shared" si="87"/>
        <v>0</v>
      </c>
      <c r="Y147" s="533">
        <v>0</v>
      </c>
      <c r="Z147" s="532">
        <f t="shared" si="88"/>
        <v>0</v>
      </c>
      <c r="AA147" s="534">
        <f t="shared" si="89"/>
        <v>0</v>
      </c>
      <c r="AB147" s="1"/>
      <c r="AC147" s="1"/>
      <c r="AD147" s="1"/>
      <c r="AE147" s="1"/>
    </row>
    <row r="148" spans="1:31" ht="14.4">
      <c r="A148" s="1"/>
      <c r="B148" s="530" t="str">
        <f t="shared" si="76"/>
        <v>Administrativo de ventas</v>
      </c>
      <c r="C148" s="533">
        <v>0</v>
      </c>
      <c r="D148" s="532">
        <f t="shared" si="77"/>
        <v>0</v>
      </c>
      <c r="E148" s="533">
        <v>0</v>
      </c>
      <c r="F148" s="532">
        <f t="shared" si="78"/>
        <v>0</v>
      </c>
      <c r="G148" s="533">
        <v>0</v>
      </c>
      <c r="H148" s="532">
        <f t="shared" si="79"/>
        <v>0</v>
      </c>
      <c r="I148" s="533">
        <v>0</v>
      </c>
      <c r="J148" s="532">
        <f t="shared" si="80"/>
        <v>0</v>
      </c>
      <c r="K148" s="533">
        <v>0</v>
      </c>
      <c r="L148" s="532">
        <f t="shared" si="81"/>
        <v>0</v>
      </c>
      <c r="M148" s="533">
        <v>0</v>
      </c>
      <c r="N148" s="532">
        <f t="shared" si="82"/>
        <v>0</v>
      </c>
      <c r="O148" s="533">
        <v>0</v>
      </c>
      <c r="P148" s="532">
        <f t="shared" si="83"/>
        <v>0</v>
      </c>
      <c r="Q148" s="533">
        <v>0</v>
      </c>
      <c r="R148" s="532">
        <f t="shared" si="84"/>
        <v>0</v>
      </c>
      <c r="S148" s="533">
        <v>0</v>
      </c>
      <c r="T148" s="532">
        <f t="shared" si="85"/>
        <v>0</v>
      </c>
      <c r="U148" s="533">
        <v>0</v>
      </c>
      <c r="V148" s="532">
        <f t="shared" si="86"/>
        <v>0</v>
      </c>
      <c r="W148" s="533">
        <v>0</v>
      </c>
      <c r="X148" s="532">
        <f t="shared" si="87"/>
        <v>0</v>
      </c>
      <c r="Y148" s="533">
        <v>0</v>
      </c>
      <c r="Z148" s="532">
        <f t="shared" si="88"/>
        <v>0</v>
      </c>
      <c r="AA148" s="534">
        <f t="shared" si="89"/>
        <v>0</v>
      </c>
      <c r="AB148" s="1"/>
      <c r="AC148" s="1"/>
      <c r="AD148" s="1"/>
      <c r="AE148" s="1"/>
    </row>
    <row r="149" spans="1:31" ht="14.4">
      <c r="A149" s="1"/>
      <c r="B149" s="530" t="str">
        <f t="shared" si="76"/>
        <v>Administrativo contable</v>
      </c>
      <c r="C149" s="533">
        <v>0</v>
      </c>
      <c r="D149" s="532">
        <f t="shared" si="77"/>
        <v>0</v>
      </c>
      <c r="E149" s="533">
        <v>0</v>
      </c>
      <c r="F149" s="532">
        <f t="shared" si="78"/>
        <v>0</v>
      </c>
      <c r="G149" s="533">
        <v>0</v>
      </c>
      <c r="H149" s="532">
        <f t="shared" si="79"/>
        <v>0</v>
      </c>
      <c r="I149" s="533">
        <v>0</v>
      </c>
      <c r="J149" s="532">
        <f t="shared" si="80"/>
        <v>0</v>
      </c>
      <c r="K149" s="533">
        <v>0</v>
      </c>
      <c r="L149" s="532">
        <f t="shared" si="81"/>
        <v>0</v>
      </c>
      <c r="M149" s="533">
        <v>0</v>
      </c>
      <c r="N149" s="532">
        <f t="shared" si="82"/>
        <v>0</v>
      </c>
      <c r="O149" s="533">
        <v>0</v>
      </c>
      <c r="P149" s="532">
        <f t="shared" si="83"/>
        <v>0</v>
      </c>
      <c r="Q149" s="533">
        <v>0</v>
      </c>
      <c r="R149" s="532">
        <f t="shared" si="84"/>
        <v>0</v>
      </c>
      <c r="S149" s="533">
        <v>0</v>
      </c>
      <c r="T149" s="532">
        <f t="shared" si="85"/>
        <v>0</v>
      </c>
      <c r="U149" s="533">
        <v>0</v>
      </c>
      <c r="V149" s="532">
        <f t="shared" si="86"/>
        <v>0</v>
      </c>
      <c r="W149" s="533">
        <v>0</v>
      </c>
      <c r="X149" s="532">
        <f t="shared" si="87"/>
        <v>0</v>
      </c>
      <c r="Y149" s="533">
        <v>0</v>
      </c>
      <c r="Z149" s="532">
        <f t="shared" si="88"/>
        <v>0</v>
      </c>
      <c r="AA149" s="534">
        <f t="shared" si="89"/>
        <v>0</v>
      </c>
      <c r="AB149" s="1"/>
      <c r="AC149" s="1"/>
      <c r="AD149" s="1"/>
      <c r="AE149" s="1"/>
    </row>
    <row r="150" spans="1:31" ht="14.4">
      <c r="A150" s="1"/>
      <c r="B150" s="530" t="str">
        <f t="shared" si="76"/>
        <v>Administrativo de cobranzas</v>
      </c>
      <c r="C150" s="533">
        <v>0</v>
      </c>
      <c r="D150" s="532">
        <f t="shared" si="77"/>
        <v>0</v>
      </c>
      <c r="E150" s="533">
        <v>0</v>
      </c>
      <c r="F150" s="532">
        <f t="shared" si="78"/>
        <v>0</v>
      </c>
      <c r="G150" s="533">
        <v>0</v>
      </c>
      <c r="H150" s="532">
        <f t="shared" si="79"/>
        <v>0</v>
      </c>
      <c r="I150" s="533">
        <v>0</v>
      </c>
      <c r="J150" s="532">
        <f t="shared" si="80"/>
        <v>0</v>
      </c>
      <c r="K150" s="533">
        <v>0</v>
      </c>
      <c r="L150" s="532">
        <f t="shared" si="81"/>
        <v>0</v>
      </c>
      <c r="M150" s="533">
        <v>0</v>
      </c>
      <c r="N150" s="532">
        <f t="shared" si="82"/>
        <v>0</v>
      </c>
      <c r="O150" s="533">
        <v>0</v>
      </c>
      <c r="P150" s="532">
        <f t="shared" si="83"/>
        <v>0</v>
      </c>
      <c r="Q150" s="533">
        <v>0</v>
      </c>
      <c r="R150" s="532">
        <f t="shared" si="84"/>
        <v>0</v>
      </c>
      <c r="S150" s="533">
        <v>0</v>
      </c>
      <c r="T150" s="532">
        <f t="shared" si="85"/>
        <v>0</v>
      </c>
      <c r="U150" s="533">
        <v>0</v>
      </c>
      <c r="V150" s="532">
        <f t="shared" si="86"/>
        <v>0</v>
      </c>
      <c r="W150" s="533">
        <v>0</v>
      </c>
      <c r="X150" s="532">
        <f t="shared" si="87"/>
        <v>0</v>
      </c>
      <c r="Y150" s="533">
        <v>0</v>
      </c>
      <c r="Z150" s="532">
        <f t="shared" si="88"/>
        <v>0</v>
      </c>
      <c r="AA150" s="534">
        <f t="shared" si="89"/>
        <v>0</v>
      </c>
      <c r="AB150" s="1"/>
      <c r="AC150" s="1"/>
      <c r="AD150" s="1"/>
      <c r="AE150" s="1"/>
    </row>
    <row r="151" spans="1:31" ht="14.4">
      <c r="A151" s="1"/>
      <c r="B151" s="530" t="str">
        <f t="shared" si="76"/>
        <v>Administrativo de compras</v>
      </c>
      <c r="C151" s="533">
        <v>0</v>
      </c>
      <c r="D151" s="532">
        <f t="shared" si="77"/>
        <v>0</v>
      </c>
      <c r="E151" s="533">
        <v>0</v>
      </c>
      <c r="F151" s="532">
        <f t="shared" si="78"/>
        <v>0</v>
      </c>
      <c r="G151" s="533">
        <v>0</v>
      </c>
      <c r="H151" s="532">
        <f t="shared" si="79"/>
        <v>0</v>
      </c>
      <c r="I151" s="533">
        <v>0</v>
      </c>
      <c r="J151" s="532">
        <f t="shared" si="80"/>
        <v>0</v>
      </c>
      <c r="K151" s="533">
        <v>0</v>
      </c>
      <c r="L151" s="532">
        <f t="shared" si="81"/>
        <v>0</v>
      </c>
      <c r="M151" s="533">
        <v>0</v>
      </c>
      <c r="N151" s="532">
        <f t="shared" si="82"/>
        <v>0</v>
      </c>
      <c r="O151" s="533">
        <v>0</v>
      </c>
      <c r="P151" s="532">
        <f t="shared" si="83"/>
        <v>0</v>
      </c>
      <c r="Q151" s="533">
        <v>0</v>
      </c>
      <c r="R151" s="532">
        <f t="shared" si="84"/>
        <v>0</v>
      </c>
      <c r="S151" s="533">
        <v>0</v>
      </c>
      <c r="T151" s="532">
        <f t="shared" si="85"/>
        <v>0</v>
      </c>
      <c r="U151" s="533">
        <v>0</v>
      </c>
      <c r="V151" s="532">
        <f t="shared" si="86"/>
        <v>0</v>
      </c>
      <c r="W151" s="533">
        <v>0</v>
      </c>
      <c r="X151" s="532">
        <f t="shared" si="87"/>
        <v>0</v>
      </c>
      <c r="Y151" s="533">
        <v>0</v>
      </c>
      <c r="Z151" s="532">
        <f t="shared" si="88"/>
        <v>0</v>
      </c>
      <c r="AA151" s="534">
        <f t="shared" si="89"/>
        <v>0</v>
      </c>
      <c r="AB151" s="1"/>
      <c r="AC151" s="1"/>
      <c r="AD151" s="1"/>
      <c r="AE151" s="1"/>
    </row>
    <row r="152" spans="1:31" ht="14.4">
      <c r="A152" s="1"/>
      <c r="B152" s="530" t="str">
        <f t="shared" si="76"/>
        <v>Administrativo de pagos</v>
      </c>
      <c r="C152" s="533">
        <v>0</v>
      </c>
      <c r="D152" s="532">
        <f t="shared" si="77"/>
        <v>0</v>
      </c>
      <c r="E152" s="533">
        <v>0</v>
      </c>
      <c r="F152" s="532">
        <f t="shared" si="78"/>
        <v>0</v>
      </c>
      <c r="G152" s="533">
        <v>0</v>
      </c>
      <c r="H152" s="532">
        <f t="shared" si="79"/>
        <v>0</v>
      </c>
      <c r="I152" s="533">
        <v>0</v>
      </c>
      <c r="J152" s="532">
        <f t="shared" si="80"/>
        <v>0</v>
      </c>
      <c r="K152" s="533">
        <v>0</v>
      </c>
      <c r="L152" s="532">
        <f t="shared" si="81"/>
        <v>0</v>
      </c>
      <c r="M152" s="533">
        <v>0</v>
      </c>
      <c r="N152" s="532">
        <f t="shared" si="82"/>
        <v>0</v>
      </c>
      <c r="O152" s="533">
        <v>0</v>
      </c>
      <c r="P152" s="532">
        <f t="shared" si="83"/>
        <v>0</v>
      </c>
      <c r="Q152" s="533">
        <v>0</v>
      </c>
      <c r="R152" s="532">
        <f t="shared" si="84"/>
        <v>0</v>
      </c>
      <c r="S152" s="533">
        <v>0</v>
      </c>
      <c r="T152" s="532">
        <f t="shared" si="85"/>
        <v>0</v>
      </c>
      <c r="U152" s="533">
        <v>0</v>
      </c>
      <c r="V152" s="532">
        <f t="shared" si="86"/>
        <v>0</v>
      </c>
      <c r="W152" s="533">
        <v>0</v>
      </c>
      <c r="X152" s="532">
        <f t="shared" si="87"/>
        <v>0</v>
      </c>
      <c r="Y152" s="533">
        <v>0</v>
      </c>
      <c r="Z152" s="532">
        <f t="shared" si="88"/>
        <v>0</v>
      </c>
      <c r="AA152" s="534">
        <f t="shared" si="89"/>
        <v>0</v>
      </c>
      <c r="AB152" s="1"/>
      <c r="AC152" s="1"/>
      <c r="AD152" s="1"/>
      <c r="AE152" s="1"/>
    </row>
    <row r="153" spans="1:31" ht="14.4">
      <c r="A153" s="1"/>
      <c r="B153" s="530" t="str">
        <f t="shared" si="76"/>
        <v>Administrativo de RRHH</v>
      </c>
      <c r="C153" s="533">
        <v>0</v>
      </c>
      <c r="D153" s="532">
        <f t="shared" si="77"/>
        <v>0</v>
      </c>
      <c r="E153" s="533">
        <v>0</v>
      </c>
      <c r="F153" s="532">
        <f t="shared" si="78"/>
        <v>0</v>
      </c>
      <c r="G153" s="533">
        <v>0</v>
      </c>
      <c r="H153" s="532">
        <f t="shared" si="79"/>
        <v>0</v>
      </c>
      <c r="I153" s="533">
        <v>0</v>
      </c>
      <c r="J153" s="532">
        <f t="shared" si="80"/>
        <v>0</v>
      </c>
      <c r="K153" s="533">
        <v>0</v>
      </c>
      <c r="L153" s="532">
        <f t="shared" si="81"/>
        <v>0</v>
      </c>
      <c r="M153" s="533">
        <v>0</v>
      </c>
      <c r="N153" s="532">
        <f t="shared" si="82"/>
        <v>0</v>
      </c>
      <c r="O153" s="533">
        <v>0</v>
      </c>
      <c r="P153" s="532">
        <f t="shared" si="83"/>
        <v>0</v>
      </c>
      <c r="Q153" s="533">
        <v>0</v>
      </c>
      <c r="R153" s="532">
        <f t="shared" si="84"/>
        <v>0</v>
      </c>
      <c r="S153" s="533">
        <v>0</v>
      </c>
      <c r="T153" s="532">
        <f t="shared" si="85"/>
        <v>0</v>
      </c>
      <c r="U153" s="533">
        <v>0</v>
      </c>
      <c r="V153" s="532">
        <f t="shared" si="86"/>
        <v>0</v>
      </c>
      <c r="W153" s="533">
        <v>0</v>
      </c>
      <c r="X153" s="532">
        <f t="shared" si="87"/>
        <v>0</v>
      </c>
      <c r="Y153" s="533">
        <v>0</v>
      </c>
      <c r="Z153" s="532">
        <f t="shared" si="88"/>
        <v>0</v>
      </c>
      <c r="AA153" s="534">
        <f t="shared" si="89"/>
        <v>0</v>
      </c>
      <c r="AB153" s="1"/>
      <c r="AC153" s="1"/>
      <c r="AD153" s="1"/>
      <c r="AE153" s="1"/>
    </row>
    <row r="154" spans="1:31" ht="14.4">
      <c r="A154" s="1"/>
      <c r="B154" s="530" t="str">
        <f t="shared" si="76"/>
        <v>Auxiliar administrativo</v>
      </c>
      <c r="C154" s="533">
        <v>0</v>
      </c>
      <c r="D154" s="532">
        <f t="shared" si="77"/>
        <v>0</v>
      </c>
      <c r="E154" s="533">
        <v>0</v>
      </c>
      <c r="F154" s="532">
        <f t="shared" si="78"/>
        <v>0</v>
      </c>
      <c r="G154" s="533">
        <v>0</v>
      </c>
      <c r="H154" s="532">
        <f t="shared" si="79"/>
        <v>0</v>
      </c>
      <c r="I154" s="533">
        <v>0</v>
      </c>
      <c r="J154" s="532">
        <f t="shared" si="80"/>
        <v>0</v>
      </c>
      <c r="K154" s="533">
        <v>0</v>
      </c>
      <c r="L154" s="532">
        <f t="shared" si="81"/>
        <v>0</v>
      </c>
      <c r="M154" s="533">
        <v>0</v>
      </c>
      <c r="N154" s="532">
        <f t="shared" si="82"/>
        <v>0</v>
      </c>
      <c r="O154" s="533">
        <v>0</v>
      </c>
      <c r="P154" s="532">
        <f t="shared" si="83"/>
        <v>0</v>
      </c>
      <c r="Q154" s="533">
        <v>0</v>
      </c>
      <c r="R154" s="532">
        <f t="shared" si="84"/>
        <v>0</v>
      </c>
      <c r="S154" s="533">
        <v>0</v>
      </c>
      <c r="T154" s="532">
        <f t="shared" si="85"/>
        <v>0</v>
      </c>
      <c r="U154" s="533">
        <v>0</v>
      </c>
      <c r="V154" s="532">
        <f t="shared" si="86"/>
        <v>0</v>
      </c>
      <c r="W154" s="533">
        <v>0</v>
      </c>
      <c r="X154" s="532">
        <f t="shared" si="87"/>
        <v>0</v>
      </c>
      <c r="Y154" s="533">
        <v>0</v>
      </c>
      <c r="Z154" s="532">
        <f t="shared" si="88"/>
        <v>0</v>
      </c>
      <c r="AA154" s="534">
        <f t="shared" si="89"/>
        <v>0</v>
      </c>
      <c r="AB154" s="1"/>
      <c r="AC154" s="1"/>
      <c r="AD154" s="1"/>
      <c r="AE154" s="1"/>
    </row>
    <row r="155" spans="1:31" ht="14.4">
      <c r="A155" s="1"/>
      <c r="B155" s="530" t="str">
        <f t="shared" si="76"/>
        <v>Gerente de marketing</v>
      </c>
      <c r="C155" s="535">
        <v>1</v>
      </c>
      <c r="D155" s="532">
        <f t="shared" si="77"/>
        <v>2438618.5699999998</v>
      </c>
      <c r="E155" s="531">
        <v>1</v>
      </c>
      <c r="F155" s="532">
        <f t="shared" si="78"/>
        <v>2438618.5699999998</v>
      </c>
      <c r="G155" s="531">
        <v>1</v>
      </c>
      <c r="H155" s="532">
        <f t="shared" si="79"/>
        <v>2438618.5699999998</v>
      </c>
      <c r="I155" s="531">
        <v>1</v>
      </c>
      <c r="J155" s="532">
        <f t="shared" si="80"/>
        <v>2438618.5699999998</v>
      </c>
      <c r="K155" s="531">
        <v>1</v>
      </c>
      <c r="L155" s="532">
        <f t="shared" si="81"/>
        <v>2438618.5699999998</v>
      </c>
      <c r="M155" s="531">
        <v>1</v>
      </c>
      <c r="N155" s="532">
        <f t="shared" si="82"/>
        <v>3657927.8549999995</v>
      </c>
      <c r="O155" s="531">
        <v>1</v>
      </c>
      <c r="P155" s="532">
        <f t="shared" si="83"/>
        <v>2438618.5699999998</v>
      </c>
      <c r="Q155" s="531">
        <v>1</v>
      </c>
      <c r="R155" s="532">
        <f t="shared" si="84"/>
        <v>2438618.5699999998</v>
      </c>
      <c r="S155" s="531">
        <v>1</v>
      </c>
      <c r="T155" s="532">
        <f t="shared" si="85"/>
        <v>2438618.5699999998</v>
      </c>
      <c r="U155" s="531">
        <v>1</v>
      </c>
      <c r="V155" s="532">
        <f t="shared" si="86"/>
        <v>2438618.5699999998</v>
      </c>
      <c r="W155" s="531">
        <v>1</v>
      </c>
      <c r="X155" s="532">
        <f t="shared" si="87"/>
        <v>2438618.5699999998</v>
      </c>
      <c r="Y155" s="531">
        <v>1</v>
      </c>
      <c r="Z155" s="532">
        <f t="shared" si="88"/>
        <v>3657927.8549999995</v>
      </c>
      <c r="AA155" s="534">
        <f t="shared" si="89"/>
        <v>31702041.41</v>
      </c>
      <c r="AB155" s="1"/>
      <c r="AC155" s="1"/>
      <c r="AD155" s="1"/>
      <c r="AE155" s="1"/>
    </row>
    <row r="156" spans="1:31" ht="14.4">
      <c r="A156" s="1"/>
      <c r="B156" s="530" t="str">
        <f t="shared" si="76"/>
        <v>Lider de finanzas</v>
      </c>
      <c r="C156" s="533">
        <v>0</v>
      </c>
      <c r="D156" s="532">
        <f t="shared" si="77"/>
        <v>0</v>
      </c>
      <c r="E156" s="533">
        <v>0</v>
      </c>
      <c r="F156" s="532">
        <f t="shared" si="78"/>
        <v>0</v>
      </c>
      <c r="G156" s="533">
        <v>0</v>
      </c>
      <c r="H156" s="532">
        <f t="shared" si="79"/>
        <v>0</v>
      </c>
      <c r="I156" s="533">
        <v>0</v>
      </c>
      <c r="J156" s="532">
        <f t="shared" si="80"/>
        <v>0</v>
      </c>
      <c r="K156" s="533">
        <v>0</v>
      </c>
      <c r="L156" s="532">
        <f t="shared" si="81"/>
        <v>0</v>
      </c>
      <c r="M156" s="533">
        <v>0</v>
      </c>
      <c r="N156" s="532">
        <f t="shared" si="82"/>
        <v>0</v>
      </c>
      <c r="O156" s="533">
        <v>0</v>
      </c>
      <c r="P156" s="532">
        <f t="shared" si="83"/>
        <v>0</v>
      </c>
      <c r="Q156" s="533">
        <v>0</v>
      </c>
      <c r="R156" s="532">
        <f t="shared" si="84"/>
        <v>0</v>
      </c>
      <c r="S156" s="533">
        <v>0</v>
      </c>
      <c r="T156" s="532">
        <f t="shared" si="85"/>
        <v>0</v>
      </c>
      <c r="U156" s="533">
        <v>0</v>
      </c>
      <c r="V156" s="532">
        <f t="shared" si="86"/>
        <v>0</v>
      </c>
      <c r="W156" s="533">
        <v>0</v>
      </c>
      <c r="X156" s="532">
        <f t="shared" si="87"/>
        <v>0</v>
      </c>
      <c r="Y156" s="533">
        <v>0</v>
      </c>
      <c r="Z156" s="532">
        <f t="shared" si="88"/>
        <v>0</v>
      </c>
      <c r="AA156" s="534">
        <f t="shared" si="89"/>
        <v>0</v>
      </c>
      <c r="AB156" s="1"/>
      <c r="AC156" s="1"/>
      <c r="AD156" s="1"/>
      <c r="AE156" s="1"/>
    </row>
    <row r="157" spans="1:31" ht="14.4">
      <c r="A157" s="1"/>
      <c r="B157" s="530" t="str">
        <f t="shared" si="76"/>
        <v>Lider de operaciones comerciales</v>
      </c>
      <c r="C157" s="533">
        <v>0</v>
      </c>
      <c r="D157" s="532">
        <f t="shared" si="77"/>
        <v>0</v>
      </c>
      <c r="E157" s="533">
        <v>0</v>
      </c>
      <c r="F157" s="532">
        <f t="shared" si="78"/>
        <v>0</v>
      </c>
      <c r="G157" s="533">
        <v>0</v>
      </c>
      <c r="H157" s="532">
        <f t="shared" si="79"/>
        <v>0</v>
      </c>
      <c r="I157" s="533">
        <v>0</v>
      </c>
      <c r="J157" s="532">
        <f t="shared" si="80"/>
        <v>0</v>
      </c>
      <c r="K157" s="533">
        <v>0</v>
      </c>
      <c r="L157" s="532">
        <f t="shared" si="81"/>
        <v>0</v>
      </c>
      <c r="M157" s="533">
        <v>0</v>
      </c>
      <c r="N157" s="532">
        <f t="shared" si="82"/>
        <v>0</v>
      </c>
      <c r="O157" s="533">
        <v>0</v>
      </c>
      <c r="P157" s="532">
        <f t="shared" si="83"/>
        <v>0</v>
      </c>
      <c r="Q157" s="533">
        <v>0</v>
      </c>
      <c r="R157" s="532">
        <f t="shared" si="84"/>
        <v>0</v>
      </c>
      <c r="S157" s="533">
        <v>0</v>
      </c>
      <c r="T157" s="532">
        <f t="shared" si="85"/>
        <v>0</v>
      </c>
      <c r="U157" s="533">
        <v>0</v>
      </c>
      <c r="V157" s="532">
        <f t="shared" si="86"/>
        <v>0</v>
      </c>
      <c r="W157" s="533">
        <v>0</v>
      </c>
      <c r="X157" s="532">
        <f t="shared" si="87"/>
        <v>0</v>
      </c>
      <c r="Y157" s="533">
        <v>0</v>
      </c>
      <c r="Z157" s="532">
        <f t="shared" si="88"/>
        <v>0</v>
      </c>
      <c r="AA157" s="534">
        <f t="shared" si="89"/>
        <v>0</v>
      </c>
      <c r="AB157" s="1"/>
      <c r="AC157" s="1"/>
      <c r="AD157" s="1"/>
      <c r="AE157" s="1"/>
    </row>
    <row r="158" spans="1:31" ht="14.4">
      <c r="A158" s="1"/>
      <c r="B158" s="530" t="str">
        <f t="shared" si="76"/>
        <v>Coordinador de instalaciones</v>
      </c>
      <c r="C158" s="533">
        <v>0</v>
      </c>
      <c r="D158" s="532">
        <f t="shared" si="77"/>
        <v>0</v>
      </c>
      <c r="E158" s="533">
        <v>0</v>
      </c>
      <c r="F158" s="532">
        <f t="shared" si="78"/>
        <v>0</v>
      </c>
      <c r="G158" s="533">
        <v>0</v>
      </c>
      <c r="H158" s="532">
        <f t="shared" si="79"/>
        <v>0</v>
      </c>
      <c r="I158" s="533">
        <v>0</v>
      </c>
      <c r="J158" s="532">
        <f t="shared" si="80"/>
        <v>0</v>
      </c>
      <c r="K158" s="533">
        <v>0</v>
      </c>
      <c r="L158" s="532">
        <f t="shared" si="81"/>
        <v>0</v>
      </c>
      <c r="M158" s="533">
        <v>0</v>
      </c>
      <c r="N158" s="532">
        <f t="shared" si="82"/>
        <v>0</v>
      </c>
      <c r="O158" s="533">
        <v>0</v>
      </c>
      <c r="P158" s="532">
        <f t="shared" si="83"/>
        <v>0</v>
      </c>
      <c r="Q158" s="533">
        <v>0</v>
      </c>
      <c r="R158" s="532">
        <f t="shared" si="84"/>
        <v>0</v>
      </c>
      <c r="S158" s="533">
        <v>0</v>
      </c>
      <c r="T158" s="532">
        <f t="shared" si="85"/>
        <v>0</v>
      </c>
      <c r="U158" s="533">
        <v>0</v>
      </c>
      <c r="V158" s="532">
        <f t="shared" si="86"/>
        <v>0</v>
      </c>
      <c r="W158" s="533">
        <v>0</v>
      </c>
      <c r="X158" s="532">
        <f t="shared" si="87"/>
        <v>0</v>
      </c>
      <c r="Y158" s="533">
        <v>0</v>
      </c>
      <c r="Z158" s="532">
        <f t="shared" si="88"/>
        <v>0</v>
      </c>
      <c r="AA158" s="534">
        <f t="shared" si="89"/>
        <v>0</v>
      </c>
      <c r="AB158" s="1"/>
      <c r="AC158" s="1"/>
      <c r="AD158" s="1"/>
      <c r="AE158" s="1"/>
    </row>
    <row r="159" spans="1:31" ht="14.4">
      <c r="A159" s="1"/>
      <c r="B159" s="530" t="str">
        <f t="shared" si="76"/>
        <v>Analista de producto</v>
      </c>
      <c r="C159" s="533">
        <v>0</v>
      </c>
      <c r="D159" s="532">
        <f t="shared" si="77"/>
        <v>0</v>
      </c>
      <c r="E159" s="533">
        <v>0</v>
      </c>
      <c r="F159" s="532">
        <f t="shared" si="78"/>
        <v>0</v>
      </c>
      <c r="G159" s="533">
        <v>0</v>
      </c>
      <c r="H159" s="532">
        <f t="shared" si="79"/>
        <v>0</v>
      </c>
      <c r="I159" s="533">
        <v>0</v>
      </c>
      <c r="J159" s="532">
        <f t="shared" si="80"/>
        <v>0</v>
      </c>
      <c r="K159" s="533">
        <v>0</v>
      </c>
      <c r="L159" s="532">
        <f t="shared" si="81"/>
        <v>0</v>
      </c>
      <c r="M159" s="533">
        <v>0</v>
      </c>
      <c r="N159" s="532">
        <f t="shared" si="82"/>
        <v>0</v>
      </c>
      <c r="O159" s="533">
        <v>0</v>
      </c>
      <c r="P159" s="532">
        <f t="shared" si="83"/>
        <v>0</v>
      </c>
      <c r="Q159" s="533">
        <v>0</v>
      </c>
      <c r="R159" s="532">
        <f t="shared" si="84"/>
        <v>0</v>
      </c>
      <c r="S159" s="533">
        <v>0</v>
      </c>
      <c r="T159" s="532">
        <f t="shared" si="85"/>
        <v>0</v>
      </c>
      <c r="U159" s="533">
        <v>0</v>
      </c>
      <c r="V159" s="532">
        <f t="shared" si="86"/>
        <v>0</v>
      </c>
      <c r="W159" s="533">
        <v>0</v>
      </c>
      <c r="X159" s="532">
        <f t="shared" si="87"/>
        <v>0</v>
      </c>
      <c r="Y159" s="533">
        <v>0</v>
      </c>
      <c r="Z159" s="532">
        <f t="shared" si="88"/>
        <v>0</v>
      </c>
      <c r="AA159" s="534">
        <f t="shared" si="89"/>
        <v>0</v>
      </c>
      <c r="AB159" s="1"/>
      <c r="AC159" s="1"/>
      <c r="AD159" s="1"/>
      <c r="AE159" s="1"/>
    </row>
    <row r="160" spans="1:31" ht="14.4">
      <c r="A160" s="1"/>
      <c r="B160" s="530" t="str">
        <f t="shared" si="76"/>
        <v>Ejecutivo comercial</v>
      </c>
      <c r="C160" s="533">
        <v>0</v>
      </c>
      <c r="D160" s="532">
        <f t="shared" si="77"/>
        <v>0</v>
      </c>
      <c r="E160" s="533">
        <v>0</v>
      </c>
      <c r="F160" s="532">
        <f t="shared" si="78"/>
        <v>0</v>
      </c>
      <c r="G160" s="533">
        <v>0</v>
      </c>
      <c r="H160" s="532">
        <f t="shared" si="79"/>
        <v>0</v>
      </c>
      <c r="I160" s="533">
        <v>0</v>
      </c>
      <c r="J160" s="532">
        <f t="shared" si="80"/>
        <v>0</v>
      </c>
      <c r="K160" s="533">
        <v>0</v>
      </c>
      <c r="L160" s="532">
        <f t="shared" si="81"/>
        <v>0</v>
      </c>
      <c r="M160" s="533">
        <v>0</v>
      </c>
      <c r="N160" s="532">
        <f t="shared" si="82"/>
        <v>0</v>
      </c>
      <c r="O160" s="533">
        <v>0</v>
      </c>
      <c r="P160" s="532">
        <f t="shared" si="83"/>
        <v>0</v>
      </c>
      <c r="Q160" s="533">
        <v>0</v>
      </c>
      <c r="R160" s="532">
        <f t="shared" si="84"/>
        <v>0</v>
      </c>
      <c r="S160" s="533">
        <v>0</v>
      </c>
      <c r="T160" s="532">
        <f t="shared" si="85"/>
        <v>0</v>
      </c>
      <c r="U160" s="533">
        <v>0</v>
      </c>
      <c r="V160" s="532">
        <f t="shared" si="86"/>
        <v>0</v>
      </c>
      <c r="W160" s="533">
        <v>0</v>
      </c>
      <c r="X160" s="532">
        <f t="shared" si="87"/>
        <v>0</v>
      </c>
      <c r="Y160" s="533">
        <v>0</v>
      </c>
      <c r="Z160" s="532">
        <f t="shared" si="88"/>
        <v>0</v>
      </c>
      <c r="AA160" s="534">
        <f t="shared" si="89"/>
        <v>0</v>
      </c>
      <c r="AB160" s="1"/>
      <c r="AC160" s="1"/>
      <c r="AD160" s="1"/>
      <c r="AE160" s="1"/>
    </row>
    <row r="161" spans="1:31" ht="14.4">
      <c r="A161" s="1"/>
      <c r="B161" s="530" t="str">
        <f t="shared" si="76"/>
        <v>Analista de logística</v>
      </c>
      <c r="C161" s="533">
        <v>0</v>
      </c>
      <c r="D161" s="532">
        <f t="shared" si="77"/>
        <v>0</v>
      </c>
      <c r="E161" s="533">
        <v>0</v>
      </c>
      <c r="F161" s="532">
        <f t="shared" si="78"/>
        <v>0</v>
      </c>
      <c r="G161" s="533">
        <v>0</v>
      </c>
      <c r="H161" s="532">
        <f t="shared" si="79"/>
        <v>0</v>
      </c>
      <c r="I161" s="533">
        <v>0</v>
      </c>
      <c r="J161" s="532">
        <f t="shared" si="80"/>
        <v>0</v>
      </c>
      <c r="K161" s="533">
        <v>0</v>
      </c>
      <c r="L161" s="532">
        <f t="shared" si="81"/>
        <v>0</v>
      </c>
      <c r="M161" s="533">
        <v>0</v>
      </c>
      <c r="N161" s="532">
        <f t="shared" si="82"/>
        <v>0</v>
      </c>
      <c r="O161" s="533">
        <v>0</v>
      </c>
      <c r="P161" s="532">
        <f t="shared" si="83"/>
        <v>0</v>
      </c>
      <c r="Q161" s="533">
        <v>0</v>
      </c>
      <c r="R161" s="532">
        <f t="shared" si="84"/>
        <v>0</v>
      </c>
      <c r="S161" s="533">
        <v>0</v>
      </c>
      <c r="T161" s="532">
        <f t="shared" si="85"/>
        <v>0</v>
      </c>
      <c r="U161" s="533">
        <v>0</v>
      </c>
      <c r="V161" s="532">
        <f t="shared" si="86"/>
        <v>0</v>
      </c>
      <c r="W161" s="533">
        <v>0</v>
      </c>
      <c r="X161" s="532">
        <f t="shared" si="87"/>
        <v>0</v>
      </c>
      <c r="Y161" s="533">
        <v>0</v>
      </c>
      <c r="Z161" s="532">
        <f t="shared" si="88"/>
        <v>0</v>
      </c>
      <c r="AA161" s="534">
        <f t="shared" si="89"/>
        <v>0</v>
      </c>
      <c r="AB161" s="1"/>
      <c r="AC161" s="1"/>
      <c r="AD161" s="1"/>
      <c r="AE161" s="1"/>
    </row>
    <row r="162" spans="1:31" ht="14.4">
      <c r="A162" s="1"/>
      <c r="B162" s="530" t="str">
        <f t="shared" si="76"/>
        <v>Analista de marketing</v>
      </c>
      <c r="C162" s="533">
        <v>0</v>
      </c>
      <c r="D162" s="532">
        <f t="shared" si="77"/>
        <v>0</v>
      </c>
      <c r="E162" s="533">
        <v>0</v>
      </c>
      <c r="F162" s="532">
        <f t="shared" si="78"/>
        <v>0</v>
      </c>
      <c r="G162" s="533">
        <v>0</v>
      </c>
      <c r="H162" s="532">
        <f t="shared" si="79"/>
        <v>0</v>
      </c>
      <c r="I162" s="533">
        <v>0</v>
      </c>
      <c r="J162" s="532">
        <f t="shared" si="80"/>
        <v>0</v>
      </c>
      <c r="K162" s="533">
        <v>0</v>
      </c>
      <c r="L162" s="532">
        <f t="shared" si="81"/>
        <v>0</v>
      </c>
      <c r="M162" s="533">
        <v>0</v>
      </c>
      <c r="N162" s="532">
        <f t="shared" si="82"/>
        <v>0</v>
      </c>
      <c r="O162" s="533">
        <v>0</v>
      </c>
      <c r="P162" s="532">
        <f t="shared" si="83"/>
        <v>0</v>
      </c>
      <c r="Q162" s="533">
        <v>0</v>
      </c>
      <c r="R162" s="532">
        <f t="shared" si="84"/>
        <v>0</v>
      </c>
      <c r="S162" s="533">
        <v>0</v>
      </c>
      <c r="T162" s="532">
        <f t="shared" si="85"/>
        <v>0</v>
      </c>
      <c r="U162" s="533">
        <v>0</v>
      </c>
      <c r="V162" s="532">
        <f t="shared" si="86"/>
        <v>0</v>
      </c>
      <c r="W162" s="533">
        <v>0</v>
      </c>
      <c r="X162" s="532">
        <f t="shared" si="87"/>
        <v>0</v>
      </c>
      <c r="Y162" s="533">
        <v>0</v>
      </c>
      <c r="Z162" s="532">
        <f t="shared" si="88"/>
        <v>0</v>
      </c>
      <c r="AA162" s="534">
        <f t="shared" si="89"/>
        <v>0</v>
      </c>
      <c r="AB162" s="1"/>
      <c r="AC162" s="1"/>
      <c r="AD162" s="1"/>
      <c r="AE162" s="1"/>
    </row>
    <row r="163" spans="1:31" ht="14.4">
      <c r="A163" s="1"/>
      <c r="B163" s="530" t="str">
        <f t="shared" si="76"/>
        <v>Diseñador de contenido</v>
      </c>
      <c r="C163" s="533">
        <v>0</v>
      </c>
      <c r="D163" s="532">
        <f t="shared" si="77"/>
        <v>0</v>
      </c>
      <c r="E163" s="533">
        <v>0</v>
      </c>
      <c r="F163" s="532">
        <f t="shared" si="78"/>
        <v>0</v>
      </c>
      <c r="G163" s="533">
        <v>0</v>
      </c>
      <c r="H163" s="532">
        <f t="shared" si="79"/>
        <v>0</v>
      </c>
      <c r="I163" s="533">
        <v>0</v>
      </c>
      <c r="J163" s="532">
        <f t="shared" si="80"/>
        <v>0</v>
      </c>
      <c r="K163" s="533">
        <v>0</v>
      </c>
      <c r="L163" s="532">
        <f t="shared" si="81"/>
        <v>0</v>
      </c>
      <c r="M163" s="533">
        <v>0</v>
      </c>
      <c r="N163" s="532">
        <f t="shared" si="82"/>
        <v>0</v>
      </c>
      <c r="O163" s="533">
        <v>0</v>
      </c>
      <c r="P163" s="532">
        <f t="shared" si="83"/>
        <v>0</v>
      </c>
      <c r="Q163" s="533">
        <v>0</v>
      </c>
      <c r="R163" s="532">
        <f t="shared" si="84"/>
        <v>0</v>
      </c>
      <c r="S163" s="533">
        <v>0</v>
      </c>
      <c r="T163" s="532">
        <f t="shared" si="85"/>
        <v>0</v>
      </c>
      <c r="U163" s="533">
        <v>0</v>
      </c>
      <c r="V163" s="532">
        <f t="shared" si="86"/>
        <v>0</v>
      </c>
      <c r="W163" s="533">
        <v>0</v>
      </c>
      <c r="X163" s="532">
        <f t="shared" si="87"/>
        <v>0</v>
      </c>
      <c r="Y163" s="533">
        <v>0</v>
      </c>
      <c r="Z163" s="532">
        <f t="shared" si="88"/>
        <v>0</v>
      </c>
      <c r="AA163" s="534">
        <f t="shared" si="89"/>
        <v>0</v>
      </c>
      <c r="AB163" s="1"/>
      <c r="AC163" s="1"/>
      <c r="AD163" s="1"/>
      <c r="AE163" s="1"/>
    </row>
    <row r="164" spans="1:31" ht="14.4">
      <c r="A164" s="1"/>
      <c r="B164" s="530" t="str">
        <f t="shared" si="76"/>
        <v>Asistente de marketing</v>
      </c>
      <c r="C164" s="533">
        <v>0</v>
      </c>
      <c r="D164" s="532">
        <f t="shared" si="77"/>
        <v>0</v>
      </c>
      <c r="E164" s="533">
        <v>0</v>
      </c>
      <c r="F164" s="532">
        <f t="shared" si="78"/>
        <v>0</v>
      </c>
      <c r="G164" s="533">
        <v>0</v>
      </c>
      <c r="H164" s="532">
        <f t="shared" si="79"/>
        <v>0</v>
      </c>
      <c r="I164" s="533">
        <v>0</v>
      </c>
      <c r="J164" s="532">
        <f t="shared" si="80"/>
        <v>0</v>
      </c>
      <c r="K164" s="533">
        <v>0</v>
      </c>
      <c r="L164" s="532">
        <f t="shared" si="81"/>
        <v>0</v>
      </c>
      <c r="M164" s="533">
        <v>0</v>
      </c>
      <c r="N164" s="532">
        <f t="shared" si="82"/>
        <v>0</v>
      </c>
      <c r="O164" s="533">
        <v>0</v>
      </c>
      <c r="P164" s="532">
        <f t="shared" si="83"/>
        <v>0</v>
      </c>
      <c r="Q164" s="533">
        <v>0</v>
      </c>
      <c r="R164" s="532">
        <f t="shared" si="84"/>
        <v>0</v>
      </c>
      <c r="S164" s="533">
        <v>0</v>
      </c>
      <c r="T164" s="532">
        <f t="shared" si="85"/>
        <v>0</v>
      </c>
      <c r="U164" s="533">
        <v>0</v>
      </c>
      <c r="V164" s="532">
        <f t="shared" si="86"/>
        <v>0</v>
      </c>
      <c r="W164" s="533">
        <v>0</v>
      </c>
      <c r="X164" s="532">
        <f t="shared" si="87"/>
        <v>0</v>
      </c>
      <c r="Y164" s="533">
        <v>0</v>
      </c>
      <c r="Z164" s="532">
        <f t="shared" si="88"/>
        <v>0</v>
      </c>
      <c r="AA164" s="534">
        <f t="shared" si="89"/>
        <v>0</v>
      </c>
      <c r="AB164" s="1"/>
      <c r="AC164" s="1"/>
      <c r="AD164" s="1"/>
      <c r="AE164" s="1"/>
    </row>
    <row r="165" spans="1:31" ht="14.4">
      <c r="A165" s="1"/>
      <c r="B165" s="530" t="str">
        <f t="shared" si="76"/>
        <v>Gerente de sistemas</v>
      </c>
      <c r="C165" s="531">
        <v>1</v>
      </c>
      <c r="D165" s="532">
        <f t="shared" si="77"/>
        <v>2682478.5699999998</v>
      </c>
      <c r="E165" s="531">
        <v>1</v>
      </c>
      <c r="F165" s="532">
        <f t="shared" si="78"/>
        <v>2682478.5699999998</v>
      </c>
      <c r="G165" s="531">
        <v>1</v>
      </c>
      <c r="H165" s="532">
        <f t="shared" si="79"/>
        <v>2682478.5699999998</v>
      </c>
      <c r="I165" s="531">
        <v>1</v>
      </c>
      <c r="J165" s="532">
        <f t="shared" si="80"/>
        <v>2682478.5699999998</v>
      </c>
      <c r="K165" s="531">
        <v>1</v>
      </c>
      <c r="L165" s="532">
        <f t="shared" si="81"/>
        <v>2682478.5699999998</v>
      </c>
      <c r="M165" s="531">
        <v>1</v>
      </c>
      <c r="N165" s="532">
        <f t="shared" si="82"/>
        <v>4023717.8549999995</v>
      </c>
      <c r="O165" s="531">
        <v>1</v>
      </c>
      <c r="P165" s="532">
        <f t="shared" si="83"/>
        <v>2682478.5699999998</v>
      </c>
      <c r="Q165" s="531">
        <v>1</v>
      </c>
      <c r="R165" s="532">
        <f t="shared" si="84"/>
        <v>2682478.5699999998</v>
      </c>
      <c r="S165" s="531">
        <v>1</v>
      </c>
      <c r="T165" s="532">
        <f t="shared" si="85"/>
        <v>2682478.5699999998</v>
      </c>
      <c r="U165" s="531">
        <v>1</v>
      </c>
      <c r="V165" s="532">
        <f t="shared" si="86"/>
        <v>2682478.5699999998</v>
      </c>
      <c r="W165" s="531">
        <v>1</v>
      </c>
      <c r="X165" s="532">
        <f t="shared" si="87"/>
        <v>2682478.5699999998</v>
      </c>
      <c r="Y165" s="531">
        <v>1</v>
      </c>
      <c r="Z165" s="532">
        <f t="shared" si="88"/>
        <v>4023717.8549999995</v>
      </c>
      <c r="AA165" s="534">
        <f t="shared" si="89"/>
        <v>34872221.409999996</v>
      </c>
      <c r="AB165" s="1"/>
      <c r="AC165" s="1"/>
      <c r="AD165" s="1"/>
      <c r="AE165" s="1"/>
    </row>
    <row r="166" spans="1:31" ht="14.4">
      <c r="A166" s="1"/>
      <c r="B166" s="530" t="str">
        <f t="shared" si="76"/>
        <v>DevOps</v>
      </c>
      <c r="C166" s="533">
        <v>0</v>
      </c>
      <c r="D166" s="532">
        <f t="shared" si="77"/>
        <v>0</v>
      </c>
      <c r="E166" s="533">
        <v>0</v>
      </c>
      <c r="F166" s="532">
        <f t="shared" si="78"/>
        <v>0</v>
      </c>
      <c r="G166" s="533">
        <v>0</v>
      </c>
      <c r="H166" s="532">
        <f t="shared" si="79"/>
        <v>0</v>
      </c>
      <c r="I166" s="533">
        <v>0</v>
      </c>
      <c r="J166" s="532">
        <f t="shared" si="80"/>
        <v>0</v>
      </c>
      <c r="K166" s="533">
        <v>0</v>
      </c>
      <c r="L166" s="532">
        <f t="shared" si="81"/>
        <v>0</v>
      </c>
      <c r="M166" s="533">
        <v>0</v>
      </c>
      <c r="N166" s="532">
        <f t="shared" si="82"/>
        <v>0</v>
      </c>
      <c r="O166" s="533">
        <v>0</v>
      </c>
      <c r="P166" s="532">
        <f t="shared" si="83"/>
        <v>0</v>
      </c>
      <c r="Q166" s="533">
        <v>0</v>
      </c>
      <c r="R166" s="532">
        <f t="shared" si="84"/>
        <v>0</v>
      </c>
      <c r="S166" s="533">
        <v>0</v>
      </c>
      <c r="T166" s="532">
        <f t="shared" si="85"/>
        <v>0</v>
      </c>
      <c r="U166" s="533">
        <v>0</v>
      </c>
      <c r="V166" s="532">
        <f t="shared" si="86"/>
        <v>0</v>
      </c>
      <c r="W166" s="533">
        <v>0</v>
      </c>
      <c r="X166" s="532">
        <f t="shared" si="87"/>
        <v>0</v>
      </c>
      <c r="Y166" s="533">
        <v>0</v>
      </c>
      <c r="Z166" s="532">
        <f t="shared" si="88"/>
        <v>0</v>
      </c>
      <c r="AA166" s="534">
        <f t="shared" si="89"/>
        <v>0</v>
      </c>
      <c r="AB166" s="1"/>
      <c r="AC166" s="1"/>
      <c r="AD166" s="1"/>
      <c r="AE166" s="1"/>
    </row>
    <row r="167" spans="1:31" ht="14.4">
      <c r="A167" s="1"/>
      <c r="B167" s="530" t="str">
        <f t="shared" si="76"/>
        <v>Arquitecto cloud</v>
      </c>
      <c r="C167" s="533">
        <v>0</v>
      </c>
      <c r="D167" s="532">
        <f t="shared" si="77"/>
        <v>0</v>
      </c>
      <c r="E167" s="533">
        <v>0</v>
      </c>
      <c r="F167" s="532">
        <f t="shared" si="78"/>
        <v>0</v>
      </c>
      <c r="G167" s="533">
        <v>0</v>
      </c>
      <c r="H167" s="532">
        <f t="shared" si="79"/>
        <v>0</v>
      </c>
      <c r="I167" s="533">
        <v>0</v>
      </c>
      <c r="J167" s="532">
        <f t="shared" si="80"/>
        <v>0</v>
      </c>
      <c r="K167" s="533">
        <v>0</v>
      </c>
      <c r="L167" s="532">
        <f t="shared" si="81"/>
        <v>0</v>
      </c>
      <c r="M167" s="533">
        <v>0</v>
      </c>
      <c r="N167" s="532">
        <f t="shared" si="82"/>
        <v>0</v>
      </c>
      <c r="O167" s="533">
        <v>0</v>
      </c>
      <c r="P167" s="532">
        <f t="shared" si="83"/>
        <v>0</v>
      </c>
      <c r="Q167" s="533">
        <v>0</v>
      </c>
      <c r="R167" s="532">
        <f t="shared" si="84"/>
        <v>0</v>
      </c>
      <c r="S167" s="533">
        <v>0</v>
      </c>
      <c r="T167" s="532">
        <f t="shared" si="85"/>
        <v>0</v>
      </c>
      <c r="U167" s="533">
        <v>0</v>
      </c>
      <c r="V167" s="532">
        <f t="shared" si="86"/>
        <v>0</v>
      </c>
      <c r="W167" s="533">
        <v>0</v>
      </c>
      <c r="X167" s="532">
        <f t="shared" si="87"/>
        <v>0</v>
      </c>
      <c r="Y167" s="533">
        <v>0</v>
      </c>
      <c r="Z167" s="532">
        <f t="shared" si="88"/>
        <v>0</v>
      </c>
      <c r="AA167" s="534">
        <f t="shared" si="89"/>
        <v>0</v>
      </c>
      <c r="AB167" s="1"/>
      <c r="AC167" s="1"/>
      <c r="AD167" s="1"/>
      <c r="AE167" s="1"/>
    </row>
    <row r="168" spans="1:31" ht="14.4">
      <c r="A168" s="1"/>
      <c r="B168" s="530" t="str">
        <f t="shared" si="76"/>
        <v>Especialista en hardware</v>
      </c>
      <c r="C168" s="533">
        <v>0</v>
      </c>
      <c r="D168" s="532">
        <f t="shared" si="77"/>
        <v>0</v>
      </c>
      <c r="E168" s="533">
        <v>0</v>
      </c>
      <c r="F168" s="532">
        <f t="shared" si="78"/>
        <v>0</v>
      </c>
      <c r="G168" s="533">
        <v>0</v>
      </c>
      <c r="H168" s="532">
        <f t="shared" si="79"/>
        <v>0</v>
      </c>
      <c r="I168" s="533">
        <v>0</v>
      </c>
      <c r="J168" s="532">
        <f t="shared" si="80"/>
        <v>0</v>
      </c>
      <c r="K168" s="533">
        <v>0</v>
      </c>
      <c r="L168" s="532">
        <f t="shared" si="81"/>
        <v>0</v>
      </c>
      <c r="M168" s="533">
        <v>0</v>
      </c>
      <c r="N168" s="532">
        <f t="shared" si="82"/>
        <v>0</v>
      </c>
      <c r="O168" s="533">
        <v>0</v>
      </c>
      <c r="P168" s="532">
        <f t="shared" si="83"/>
        <v>0</v>
      </c>
      <c r="Q168" s="533">
        <v>0</v>
      </c>
      <c r="R168" s="532">
        <f t="shared" si="84"/>
        <v>0</v>
      </c>
      <c r="S168" s="533">
        <v>0</v>
      </c>
      <c r="T168" s="532">
        <f t="shared" si="85"/>
        <v>0</v>
      </c>
      <c r="U168" s="533">
        <v>0</v>
      </c>
      <c r="V168" s="532">
        <f t="shared" si="86"/>
        <v>0</v>
      </c>
      <c r="W168" s="533">
        <v>0</v>
      </c>
      <c r="X168" s="532">
        <f t="shared" si="87"/>
        <v>0</v>
      </c>
      <c r="Y168" s="533">
        <v>0</v>
      </c>
      <c r="Z168" s="532">
        <f t="shared" si="88"/>
        <v>0</v>
      </c>
      <c r="AA168" s="534">
        <f t="shared" si="89"/>
        <v>0</v>
      </c>
      <c r="AB168" s="1"/>
      <c r="AC168" s="1"/>
      <c r="AD168" s="1"/>
      <c r="AE168" s="1"/>
    </row>
    <row r="169" spans="1:31" ht="14.4">
      <c r="A169" s="1"/>
      <c r="B169" s="530" t="str">
        <f t="shared" si="76"/>
        <v>Desarrollador backend SR</v>
      </c>
      <c r="C169" s="533">
        <v>0</v>
      </c>
      <c r="D169" s="532">
        <f t="shared" si="77"/>
        <v>0</v>
      </c>
      <c r="E169" s="533">
        <v>0</v>
      </c>
      <c r="F169" s="532">
        <f t="shared" si="78"/>
        <v>0</v>
      </c>
      <c r="G169" s="533">
        <v>0</v>
      </c>
      <c r="H169" s="532">
        <f t="shared" si="79"/>
        <v>0</v>
      </c>
      <c r="I169" s="533">
        <v>0</v>
      </c>
      <c r="J169" s="532">
        <f t="shared" si="80"/>
        <v>0</v>
      </c>
      <c r="K169" s="533">
        <v>0</v>
      </c>
      <c r="L169" s="532">
        <f t="shared" si="81"/>
        <v>0</v>
      </c>
      <c r="M169" s="533">
        <v>0</v>
      </c>
      <c r="N169" s="532">
        <f t="shared" si="82"/>
        <v>0</v>
      </c>
      <c r="O169" s="533">
        <v>0</v>
      </c>
      <c r="P169" s="532">
        <f t="shared" si="83"/>
        <v>0</v>
      </c>
      <c r="Q169" s="533">
        <v>0</v>
      </c>
      <c r="R169" s="532">
        <f t="shared" si="84"/>
        <v>0</v>
      </c>
      <c r="S169" s="533">
        <v>0</v>
      </c>
      <c r="T169" s="532">
        <f t="shared" si="85"/>
        <v>0</v>
      </c>
      <c r="U169" s="533">
        <v>0</v>
      </c>
      <c r="V169" s="532">
        <f t="shared" si="86"/>
        <v>0</v>
      </c>
      <c r="W169" s="533">
        <v>0</v>
      </c>
      <c r="X169" s="532">
        <f t="shared" si="87"/>
        <v>0</v>
      </c>
      <c r="Y169" s="533">
        <v>0</v>
      </c>
      <c r="Z169" s="532">
        <f t="shared" si="88"/>
        <v>0</v>
      </c>
      <c r="AA169" s="534">
        <f t="shared" si="89"/>
        <v>0</v>
      </c>
      <c r="AB169" s="1"/>
      <c r="AC169" s="1"/>
      <c r="AD169" s="1"/>
      <c r="AE169" s="1"/>
    </row>
    <row r="170" spans="1:31" ht="14.4">
      <c r="A170" s="1"/>
      <c r="B170" s="530" t="str">
        <f t="shared" si="76"/>
        <v>Desarrollador frontend SR</v>
      </c>
      <c r="C170" s="533">
        <v>0</v>
      </c>
      <c r="D170" s="532">
        <f t="shared" si="77"/>
        <v>0</v>
      </c>
      <c r="E170" s="533">
        <v>0</v>
      </c>
      <c r="F170" s="532">
        <f t="shared" si="78"/>
        <v>0</v>
      </c>
      <c r="G170" s="533">
        <v>0</v>
      </c>
      <c r="H170" s="532">
        <f t="shared" si="79"/>
        <v>0</v>
      </c>
      <c r="I170" s="533">
        <v>0</v>
      </c>
      <c r="J170" s="532">
        <f t="shared" si="80"/>
        <v>0</v>
      </c>
      <c r="K170" s="533">
        <v>0</v>
      </c>
      <c r="L170" s="532">
        <f t="shared" si="81"/>
        <v>0</v>
      </c>
      <c r="M170" s="533">
        <v>0</v>
      </c>
      <c r="N170" s="532">
        <f t="shared" si="82"/>
        <v>0</v>
      </c>
      <c r="O170" s="533">
        <v>0</v>
      </c>
      <c r="P170" s="532">
        <f t="shared" si="83"/>
        <v>0</v>
      </c>
      <c r="Q170" s="533">
        <v>0</v>
      </c>
      <c r="R170" s="532">
        <f t="shared" si="84"/>
        <v>0</v>
      </c>
      <c r="S170" s="533">
        <v>0</v>
      </c>
      <c r="T170" s="532">
        <f t="shared" si="85"/>
        <v>0</v>
      </c>
      <c r="U170" s="533">
        <v>0</v>
      </c>
      <c r="V170" s="532">
        <f t="shared" si="86"/>
        <v>0</v>
      </c>
      <c r="W170" s="533">
        <v>0</v>
      </c>
      <c r="X170" s="532">
        <f t="shared" si="87"/>
        <v>0</v>
      </c>
      <c r="Y170" s="533">
        <v>0</v>
      </c>
      <c r="Z170" s="532">
        <f t="shared" si="88"/>
        <v>0</v>
      </c>
      <c r="AA170" s="534">
        <f t="shared" si="89"/>
        <v>0</v>
      </c>
      <c r="AB170" s="1"/>
      <c r="AC170" s="1"/>
      <c r="AD170" s="1"/>
      <c r="AE170" s="1"/>
    </row>
    <row r="171" spans="1:31" ht="14.4">
      <c r="A171" s="1"/>
      <c r="B171" s="530" t="str">
        <f t="shared" si="76"/>
        <v>Coordinador tecnico</v>
      </c>
      <c r="C171" s="533">
        <v>0</v>
      </c>
      <c r="D171" s="532">
        <f t="shared" si="77"/>
        <v>0</v>
      </c>
      <c r="E171" s="533">
        <v>0</v>
      </c>
      <c r="F171" s="532">
        <f t="shared" si="78"/>
        <v>0</v>
      </c>
      <c r="G171" s="533">
        <v>0</v>
      </c>
      <c r="H171" s="532">
        <f t="shared" si="79"/>
        <v>0</v>
      </c>
      <c r="I171" s="533">
        <v>0</v>
      </c>
      <c r="J171" s="532">
        <f t="shared" si="80"/>
        <v>0</v>
      </c>
      <c r="K171" s="533">
        <v>0</v>
      </c>
      <c r="L171" s="532">
        <f t="shared" si="81"/>
        <v>0</v>
      </c>
      <c r="M171" s="533">
        <v>0</v>
      </c>
      <c r="N171" s="532">
        <f t="shared" si="82"/>
        <v>0</v>
      </c>
      <c r="O171" s="533">
        <v>0</v>
      </c>
      <c r="P171" s="532">
        <f t="shared" si="83"/>
        <v>0</v>
      </c>
      <c r="Q171" s="533">
        <v>0</v>
      </c>
      <c r="R171" s="532">
        <f t="shared" si="84"/>
        <v>0</v>
      </c>
      <c r="S171" s="533">
        <v>0</v>
      </c>
      <c r="T171" s="532">
        <f t="shared" si="85"/>
        <v>0</v>
      </c>
      <c r="U171" s="533">
        <v>0</v>
      </c>
      <c r="V171" s="532">
        <f t="shared" si="86"/>
        <v>0</v>
      </c>
      <c r="W171" s="533">
        <v>0</v>
      </c>
      <c r="X171" s="532">
        <f t="shared" si="87"/>
        <v>0</v>
      </c>
      <c r="Y171" s="533">
        <v>0</v>
      </c>
      <c r="Z171" s="532">
        <f t="shared" si="88"/>
        <v>0</v>
      </c>
      <c r="AA171" s="534">
        <f t="shared" si="89"/>
        <v>0</v>
      </c>
      <c r="AB171" s="1"/>
      <c r="AC171" s="1"/>
      <c r="AD171" s="1"/>
      <c r="AE171" s="1"/>
    </row>
    <row r="172" spans="1:31" ht="14.4">
      <c r="A172" s="1"/>
      <c r="B172" s="530" t="str">
        <f t="shared" si="76"/>
        <v>Especialista en redes</v>
      </c>
      <c r="C172" s="533">
        <v>0</v>
      </c>
      <c r="D172" s="532">
        <f t="shared" si="77"/>
        <v>0</v>
      </c>
      <c r="E172" s="533">
        <v>0</v>
      </c>
      <c r="F172" s="532">
        <f t="shared" si="78"/>
        <v>0</v>
      </c>
      <c r="G172" s="533">
        <v>0</v>
      </c>
      <c r="H172" s="532">
        <f t="shared" si="79"/>
        <v>0</v>
      </c>
      <c r="I172" s="533">
        <v>0</v>
      </c>
      <c r="J172" s="532">
        <f t="shared" si="80"/>
        <v>0</v>
      </c>
      <c r="K172" s="533">
        <v>0</v>
      </c>
      <c r="L172" s="532">
        <f t="shared" si="81"/>
        <v>0</v>
      </c>
      <c r="M172" s="533">
        <v>0</v>
      </c>
      <c r="N172" s="532">
        <f t="shared" si="82"/>
        <v>0</v>
      </c>
      <c r="O172" s="533">
        <v>0</v>
      </c>
      <c r="P172" s="532">
        <f t="shared" si="83"/>
        <v>0</v>
      </c>
      <c r="Q172" s="533">
        <v>0</v>
      </c>
      <c r="R172" s="532">
        <f t="shared" si="84"/>
        <v>0</v>
      </c>
      <c r="S172" s="533">
        <v>0</v>
      </c>
      <c r="T172" s="532">
        <f t="shared" si="85"/>
        <v>0</v>
      </c>
      <c r="U172" s="533">
        <v>0</v>
      </c>
      <c r="V172" s="532">
        <f t="shared" si="86"/>
        <v>0</v>
      </c>
      <c r="W172" s="533">
        <v>0</v>
      </c>
      <c r="X172" s="532">
        <f t="shared" si="87"/>
        <v>0</v>
      </c>
      <c r="Y172" s="533">
        <v>0</v>
      </c>
      <c r="Z172" s="532">
        <f t="shared" si="88"/>
        <v>0</v>
      </c>
      <c r="AA172" s="534">
        <f t="shared" si="89"/>
        <v>0</v>
      </c>
      <c r="AB172" s="1"/>
      <c r="AC172" s="1"/>
      <c r="AD172" s="1"/>
      <c r="AE172" s="1"/>
    </row>
    <row r="173" spans="1:31" ht="14.4">
      <c r="A173" s="1"/>
      <c r="B173" s="530" t="str">
        <f t="shared" si="76"/>
        <v>Tecnico instalador tecnología</v>
      </c>
      <c r="C173" s="533">
        <v>0</v>
      </c>
      <c r="D173" s="532">
        <f t="shared" si="77"/>
        <v>0</v>
      </c>
      <c r="E173" s="533">
        <v>0</v>
      </c>
      <c r="F173" s="532">
        <f t="shared" si="78"/>
        <v>0</v>
      </c>
      <c r="G173" s="533">
        <v>0</v>
      </c>
      <c r="H173" s="532">
        <f t="shared" si="79"/>
        <v>0</v>
      </c>
      <c r="I173" s="533">
        <v>0</v>
      </c>
      <c r="J173" s="532">
        <f t="shared" si="80"/>
        <v>0</v>
      </c>
      <c r="K173" s="533">
        <v>0</v>
      </c>
      <c r="L173" s="532">
        <f t="shared" si="81"/>
        <v>0</v>
      </c>
      <c r="M173" s="533">
        <v>0</v>
      </c>
      <c r="N173" s="532">
        <f t="shared" si="82"/>
        <v>0</v>
      </c>
      <c r="O173" s="533">
        <v>0</v>
      </c>
      <c r="P173" s="532">
        <f t="shared" si="83"/>
        <v>0</v>
      </c>
      <c r="Q173" s="533">
        <v>0</v>
      </c>
      <c r="R173" s="532">
        <f t="shared" si="84"/>
        <v>0</v>
      </c>
      <c r="S173" s="533">
        <v>0</v>
      </c>
      <c r="T173" s="532">
        <f t="shared" si="85"/>
        <v>0</v>
      </c>
      <c r="U173" s="533">
        <v>0</v>
      </c>
      <c r="V173" s="532">
        <f t="shared" si="86"/>
        <v>0</v>
      </c>
      <c r="W173" s="533">
        <v>0</v>
      </c>
      <c r="X173" s="532">
        <f t="shared" si="87"/>
        <v>0</v>
      </c>
      <c r="Y173" s="533">
        <v>0</v>
      </c>
      <c r="Z173" s="532">
        <f t="shared" si="88"/>
        <v>0</v>
      </c>
      <c r="AA173" s="534">
        <f t="shared" si="89"/>
        <v>0</v>
      </c>
      <c r="AB173" s="1"/>
      <c r="AC173" s="1"/>
      <c r="AD173" s="1"/>
      <c r="AE173" s="1"/>
    </row>
    <row r="174" spans="1:31" ht="14.4">
      <c r="A174" s="1"/>
      <c r="B174" s="530" t="str">
        <f t="shared" si="76"/>
        <v>Soporte tecnico</v>
      </c>
      <c r="C174" s="533">
        <v>0</v>
      </c>
      <c r="D174" s="532">
        <f t="shared" si="77"/>
        <v>0</v>
      </c>
      <c r="E174" s="533">
        <v>0</v>
      </c>
      <c r="F174" s="532">
        <f t="shared" si="78"/>
        <v>0</v>
      </c>
      <c r="G174" s="533">
        <v>0</v>
      </c>
      <c r="H174" s="532">
        <f t="shared" si="79"/>
        <v>0</v>
      </c>
      <c r="I174" s="533">
        <v>0</v>
      </c>
      <c r="J174" s="532">
        <f t="shared" si="80"/>
        <v>0</v>
      </c>
      <c r="K174" s="533">
        <v>0</v>
      </c>
      <c r="L174" s="532">
        <f t="shared" si="81"/>
        <v>0</v>
      </c>
      <c r="M174" s="533">
        <v>0</v>
      </c>
      <c r="N174" s="532">
        <f t="shared" si="82"/>
        <v>0</v>
      </c>
      <c r="O174" s="533">
        <v>0</v>
      </c>
      <c r="P174" s="532">
        <f t="shared" si="83"/>
        <v>0</v>
      </c>
      <c r="Q174" s="533">
        <v>0</v>
      </c>
      <c r="R174" s="532">
        <f t="shared" si="84"/>
        <v>0</v>
      </c>
      <c r="S174" s="533">
        <v>0</v>
      </c>
      <c r="T174" s="532">
        <f t="shared" si="85"/>
        <v>0</v>
      </c>
      <c r="U174" s="533">
        <v>0</v>
      </c>
      <c r="V174" s="532">
        <f t="shared" si="86"/>
        <v>0</v>
      </c>
      <c r="W174" s="533">
        <v>0</v>
      </c>
      <c r="X174" s="532">
        <f t="shared" si="87"/>
        <v>0</v>
      </c>
      <c r="Y174" s="533">
        <v>0</v>
      </c>
      <c r="Z174" s="532">
        <f t="shared" si="88"/>
        <v>0</v>
      </c>
      <c r="AA174" s="534">
        <f t="shared" si="89"/>
        <v>0</v>
      </c>
      <c r="AB174" s="1"/>
      <c r="AC174" s="1"/>
      <c r="AD174" s="1"/>
      <c r="AE174" s="1"/>
    </row>
    <row r="175" spans="1:31" ht="14.4">
      <c r="A175" s="1"/>
      <c r="B175" s="530" t="str">
        <f t="shared" si="76"/>
        <v>QA</v>
      </c>
      <c r="C175" s="533">
        <v>0</v>
      </c>
      <c r="D175" s="532">
        <f t="shared" si="77"/>
        <v>0</v>
      </c>
      <c r="E175" s="533">
        <v>0</v>
      </c>
      <c r="F175" s="532">
        <f t="shared" si="78"/>
        <v>0</v>
      </c>
      <c r="G175" s="533">
        <v>0</v>
      </c>
      <c r="H175" s="532">
        <f t="shared" si="79"/>
        <v>0</v>
      </c>
      <c r="I175" s="533">
        <v>0</v>
      </c>
      <c r="J175" s="532">
        <f t="shared" si="80"/>
        <v>0</v>
      </c>
      <c r="K175" s="533">
        <v>0</v>
      </c>
      <c r="L175" s="532">
        <f t="shared" si="81"/>
        <v>0</v>
      </c>
      <c r="M175" s="533">
        <v>0</v>
      </c>
      <c r="N175" s="532">
        <f t="shared" si="82"/>
        <v>0</v>
      </c>
      <c r="O175" s="533">
        <v>0</v>
      </c>
      <c r="P175" s="532">
        <f t="shared" si="83"/>
        <v>0</v>
      </c>
      <c r="Q175" s="533">
        <v>0</v>
      </c>
      <c r="R175" s="532">
        <f t="shared" si="84"/>
        <v>0</v>
      </c>
      <c r="S175" s="533">
        <v>0</v>
      </c>
      <c r="T175" s="532">
        <f t="shared" si="85"/>
        <v>0</v>
      </c>
      <c r="U175" s="533">
        <v>0</v>
      </c>
      <c r="V175" s="532">
        <f t="shared" si="86"/>
        <v>0</v>
      </c>
      <c r="W175" s="533">
        <v>0</v>
      </c>
      <c r="X175" s="532">
        <f t="shared" si="87"/>
        <v>0</v>
      </c>
      <c r="Y175" s="533">
        <v>0</v>
      </c>
      <c r="Z175" s="532">
        <f t="shared" si="88"/>
        <v>0</v>
      </c>
      <c r="AA175" s="534">
        <f t="shared" si="89"/>
        <v>0</v>
      </c>
      <c r="AB175" s="1"/>
      <c r="AC175" s="1"/>
      <c r="AD175" s="1"/>
      <c r="AE175" s="1"/>
    </row>
    <row r="176" spans="1:31" ht="14.4">
      <c r="A176" s="1"/>
      <c r="B176" s="530" t="str">
        <f t="shared" si="76"/>
        <v>Auxiliar tecnico</v>
      </c>
      <c r="C176" s="533">
        <v>0</v>
      </c>
      <c r="D176" s="532">
        <f t="shared" si="77"/>
        <v>0</v>
      </c>
      <c r="E176" s="533">
        <v>0</v>
      </c>
      <c r="F176" s="532">
        <f t="shared" si="78"/>
        <v>0</v>
      </c>
      <c r="G176" s="533">
        <v>0</v>
      </c>
      <c r="H176" s="532">
        <f t="shared" si="79"/>
        <v>0</v>
      </c>
      <c r="I176" s="533">
        <v>0</v>
      </c>
      <c r="J176" s="532">
        <f t="shared" si="80"/>
        <v>0</v>
      </c>
      <c r="K176" s="533">
        <v>0</v>
      </c>
      <c r="L176" s="532">
        <f t="shared" si="81"/>
        <v>0</v>
      </c>
      <c r="M176" s="533">
        <v>0</v>
      </c>
      <c r="N176" s="532">
        <f t="shared" si="82"/>
        <v>0</v>
      </c>
      <c r="O176" s="533">
        <v>0</v>
      </c>
      <c r="P176" s="532">
        <f t="shared" si="83"/>
        <v>0</v>
      </c>
      <c r="Q176" s="533">
        <v>0</v>
      </c>
      <c r="R176" s="532">
        <f t="shared" si="84"/>
        <v>0</v>
      </c>
      <c r="S176" s="533">
        <v>0</v>
      </c>
      <c r="T176" s="532">
        <f t="shared" si="85"/>
        <v>0</v>
      </c>
      <c r="U176" s="533">
        <v>0</v>
      </c>
      <c r="V176" s="532">
        <f t="shared" si="86"/>
        <v>0</v>
      </c>
      <c r="W176" s="533">
        <v>0</v>
      </c>
      <c r="X176" s="532">
        <f t="shared" si="87"/>
        <v>0</v>
      </c>
      <c r="Y176" s="533">
        <v>0</v>
      </c>
      <c r="Z176" s="532">
        <f t="shared" si="88"/>
        <v>0</v>
      </c>
      <c r="AA176" s="534">
        <f t="shared" si="89"/>
        <v>0</v>
      </c>
      <c r="AB176" s="1"/>
      <c r="AC176" s="1"/>
      <c r="AD176" s="1"/>
      <c r="AE176" s="1"/>
    </row>
    <row r="177" spans="1:31" ht="14.4">
      <c r="A177" s="1"/>
      <c r="B177" s="530" t="str">
        <f t="shared" si="76"/>
        <v>Gerente de servicio tecnico</v>
      </c>
      <c r="C177" s="533">
        <v>0</v>
      </c>
      <c r="D177" s="532">
        <f t="shared" si="77"/>
        <v>0</v>
      </c>
      <c r="E177" s="533">
        <v>0</v>
      </c>
      <c r="F177" s="532">
        <f t="shared" si="78"/>
        <v>0</v>
      </c>
      <c r="G177" s="533">
        <v>0</v>
      </c>
      <c r="H177" s="532">
        <f t="shared" si="79"/>
        <v>0</v>
      </c>
      <c r="I177" s="533">
        <v>0</v>
      </c>
      <c r="J177" s="532">
        <f t="shared" si="80"/>
        <v>0</v>
      </c>
      <c r="K177" s="533">
        <v>0</v>
      </c>
      <c r="L177" s="532">
        <f t="shared" si="81"/>
        <v>0</v>
      </c>
      <c r="M177" s="533">
        <v>0</v>
      </c>
      <c r="N177" s="532">
        <f t="shared" si="82"/>
        <v>0</v>
      </c>
      <c r="O177" s="533">
        <v>0</v>
      </c>
      <c r="P177" s="532">
        <f t="shared" si="83"/>
        <v>0</v>
      </c>
      <c r="Q177" s="533">
        <v>0</v>
      </c>
      <c r="R177" s="532">
        <f t="shared" si="84"/>
        <v>0</v>
      </c>
      <c r="S177" s="533">
        <v>0</v>
      </c>
      <c r="T177" s="532">
        <f t="shared" si="85"/>
        <v>0</v>
      </c>
      <c r="U177" s="533">
        <v>0</v>
      </c>
      <c r="V177" s="532">
        <f t="shared" si="86"/>
        <v>0</v>
      </c>
      <c r="W177" s="533">
        <v>0</v>
      </c>
      <c r="X177" s="532">
        <f t="shared" si="87"/>
        <v>0</v>
      </c>
      <c r="Y177" s="533">
        <v>0</v>
      </c>
      <c r="Z177" s="532">
        <f t="shared" si="88"/>
        <v>0</v>
      </c>
      <c r="AA177" s="534">
        <f t="shared" si="89"/>
        <v>0</v>
      </c>
      <c r="AB177" s="1"/>
      <c r="AC177" s="1"/>
      <c r="AD177" s="1"/>
      <c r="AE177" s="1"/>
    </row>
    <row r="178" spans="1:31" ht="14.4">
      <c r="A178" s="1"/>
      <c r="B178" s="530" t="str">
        <f t="shared" si="76"/>
        <v>Coordinador tecnico</v>
      </c>
      <c r="C178" s="533">
        <v>0</v>
      </c>
      <c r="D178" s="532">
        <f t="shared" si="77"/>
        <v>0</v>
      </c>
      <c r="E178" s="533">
        <v>0</v>
      </c>
      <c r="F178" s="532">
        <f t="shared" si="78"/>
        <v>0</v>
      </c>
      <c r="G178" s="533">
        <v>0</v>
      </c>
      <c r="H178" s="532">
        <f t="shared" si="79"/>
        <v>0</v>
      </c>
      <c r="I178" s="533">
        <v>0</v>
      </c>
      <c r="J178" s="532">
        <f t="shared" si="80"/>
        <v>0</v>
      </c>
      <c r="K178" s="533">
        <v>0</v>
      </c>
      <c r="L178" s="532">
        <f t="shared" si="81"/>
        <v>0</v>
      </c>
      <c r="M178" s="533">
        <v>0</v>
      </c>
      <c r="N178" s="532">
        <f t="shared" si="82"/>
        <v>0</v>
      </c>
      <c r="O178" s="533">
        <v>0</v>
      </c>
      <c r="P178" s="532">
        <f t="shared" si="83"/>
        <v>0</v>
      </c>
      <c r="Q178" s="533">
        <v>0</v>
      </c>
      <c r="R178" s="532">
        <f t="shared" si="84"/>
        <v>0</v>
      </c>
      <c r="S178" s="533">
        <v>0</v>
      </c>
      <c r="T178" s="532">
        <f t="shared" si="85"/>
        <v>0</v>
      </c>
      <c r="U178" s="533">
        <v>0</v>
      </c>
      <c r="V178" s="532">
        <f t="shared" si="86"/>
        <v>0</v>
      </c>
      <c r="W178" s="533">
        <v>0</v>
      </c>
      <c r="X178" s="532">
        <f t="shared" si="87"/>
        <v>0</v>
      </c>
      <c r="Y178" s="533">
        <v>0</v>
      </c>
      <c r="Z178" s="532">
        <f t="shared" si="88"/>
        <v>0</v>
      </c>
      <c r="AA178" s="534">
        <f t="shared" si="89"/>
        <v>0</v>
      </c>
      <c r="AB178" s="1"/>
      <c r="AC178" s="1"/>
      <c r="AD178" s="1"/>
      <c r="AE178" s="1"/>
    </row>
    <row r="179" spans="1:31" ht="14.4">
      <c r="A179" s="1"/>
      <c r="B179" s="530" t="str">
        <f t="shared" si="76"/>
        <v>Coordinador de operaciones</v>
      </c>
      <c r="C179" s="533">
        <v>0</v>
      </c>
      <c r="D179" s="532">
        <f t="shared" si="77"/>
        <v>0</v>
      </c>
      <c r="E179" s="533">
        <v>0</v>
      </c>
      <c r="F179" s="532">
        <f t="shared" si="78"/>
        <v>0</v>
      </c>
      <c r="G179" s="533">
        <v>0</v>
      </c>
      <c r="H179" s="532">
        <f t="shared" si="79"/>
        <v>0</v>
      </c>
      <c r="I179" s="533">
        <v>0</v>
      </c>
      <c r="J179" s="532">
        <f t="shared" si="80"/>
        <v>0</v>
      </c>
      <c r="K179" s="533">
        <v>0</v>
      </c>
      <c r="L179" s="532">
        <f t="shared" si="81"/>
        <v>0</v>
      </c>
      <c r="M179" s="533">
        <v>0</v>
      </c>
      <c r="N179" s="532">
        <f t="shared" si="82"/>
        <v>0</v>
      </c>
      <c r="O179" s="533">
        <v>0</v>
      </c>
      <c r="P179" s="532">
        <f t="shared" si="83"/>
        <v>0</v>
      </c>
      <c r="Q179" s="533">
        <v>0</v>
      </c>
      <c r="R179" s="532">
        <f t="shared" si="84"/>
        <v>0</v>
      </c>
      <c r="S179" s="533">
        <v>0</v>
      </c>
      <c r="T179" s="532">
        <f t="shared" si="85"/>
        <v>0</v>
      </c>
      <c r="U179" s="533">
        <v>0</v>
      </c>
      <c r="V179" s="532">
        <f t="shared" si="86"/>
        <v>0</v>
      </c>
      <c r="W179" s="533">
        <v>0</v>
      </c>
      <c r="X179" s="532">
        <f t="shared" si="87"/>
        <v>0</v>
      </c>
      <c r="Y179" s="533">
        <v>0</v>
      </c>
      <c r="Z179" s="532">
        <f t="shared" si="88"/>
        <v>0</v>
      </c>
      <c r="AA179" s="534">
        <f t="shared" si="89"/>
        <v>0</v>
      </c>
      <c r="AB179" s="1"/>
      <c r="AC179" s="1"/>
      <c r="AD179" s="1"/>
      <c r="AE179" s="1"/>
    </row>
    <row r="180" spans="1:31" ht="14.4">
      <c r="A180" s="1"/>
      <c r="B180" s="530" t="str">
        <f t="shared" si="76"/>
        <v>Tecnico instalador servicios</v>
      </c>
      <c r="C180" s="533">
        <v>0</v>
      </c>
      <c r="D180" s="532">
        <f t="shared" si="77"/>
        <v>0</v>
      </c>
      <c r="E180" s="533">
        <v>0</v>
      </c>
      <c r="F180" s="532">
        <f t="shared" si="78"/>
        <v>0</v>
      </c>
      <c r="G180" s="533">
        <v>0</v>
      </c>
      <c r="H180" s="532">
        <f t="shared" si="79"/>
        <v>0</v>
      </c>
      <c r="I180" s="533">
        <v>0</v>
      </c>
      <c r="J180" s="532">
        <f t="shared" si="80"/>
        <v>0</v>
      </c>
      <c r="K180" s="533">
        <v>0</v>
      </c>
      <c r="L180" s="532">
        <f t="shared" si="81"/>
        <v>0</v>
      </c>
      <c r="M180" s="533">
        <v>0</v>
      </c>
      <c r="N180" s="532">
        <f t="shared" si="82"/>
        <v>0</v>
      </c>
      <c r="O180" s="533">
        <v>0</v>
      </c>
      <c r="P180" s="532">
        <f t="shared" si="83"/>
        <v>0</v>
      </c>
      <c r="Q180" s="533">
        <v>0</v>
      </c>
      <c r="R180" s="532">
        <f t="shared" si="84"/>
        <v>0</v>
      </c>
      <c r="S180" s="533">
        <v>0</v>
      </c>
      <c r="T180" s="532">
        <f t="shared" si="85"/>
        <v>0</v>
      </c>
      <c r="U180" s="533">
        <v>0</v>
      </c>
      <c r="V180" s="532">
        <f t="shared" si="86"/>
        <v>0</v>
      </c>
      <c r="W180" s="533">
        <v>0</v>
      </c>
      <c r="X180" s="532">
        <f t="shared" si="87"/>
        <v>0</v>
      </c>
      <c r="Y180" s="533">
        <v>0</v>
      </c>
      <c r="Z180" s="532">
        <f t="shared" si="88"/>
        <v>0</v>
      </c>
      <c r="AA180" s="534">
        <f t="shared" si="89"/>
        <v>0</v>
      </c>
      <c r="AB180" s="1"/>
      <c r="AC180" s="1"/>
      <c r="AD180" s="1"/>
      <c r="AE180" s="1"/>
    </row>
    <row r="181" spans="1:31" ht="14.4">
      <c r="A181" s="1"/>
      <c r="B181" s="530" t="str">
        <f t="shared" si="76"/>
        <v>Coordinador de soporte</v>
      </c>
      <c r="C181" s="531">
        <v>1</v>
      </c>
      <c r="D181" s="532">
        <f t="shared" si="77"/>
        <v>1707038.57</v>
      </c>
      <c r="E181" s="531">
        <v>1</v>
      </c>
      <c r="F181" s="532">
        <f t="shared" si="78"/>
        <v>1707038.57</v>
      </c>
      <c r="G181" s="531">
        <v>1</v>
      </c>
      <c r="H181" s="532">
        <f t="shared" si="79"/>
        <v>1707038.57</v>
      </c>
      <c r="I181" s="531">
        <v>1</v>
      </c>
      <c r="J181" s="532">
        <f t="shared" si="80"/>
        <v>1707038.57</v>
      </c>
      <c r="K181" s="531">
        <v>1</v>
      </c>
      <c r="L181" s="532">
        <f t="shared" si="81"/>
        <v>1707038.57</v>
      </c>
      <c r="M181" s="531">
        <v>1</v>
      </c>
      <c r="N181" s="532">
        <f t="shared" si="82"/>
        <v>2560557.855</v>
      </c>
      <c r="O181" s="531">
        <v>1</v>
      </c>
      <c r="P181" s="532">
        <f t="shared" si="83"/>
        <v>1707038.57</v>
      </c>
      <c r="Q181" s="531">
        <v>1</v>
      </c>
      <c r="R181" s="532">
        <f t="shared" si="84"/>
        <v>1707038.57</v>
      </c>
      <c r="S181" s="531">
        <v>1</v>
      </c>
      <c r="T181" s="532">
        <f t="shared" si="85"/>
        <v>1707038.57</v>
      </c>
      <c r="U181" s="531">
        <v>1</v>
      </c>
      <c r="V181" s="532">
        <f t="shared" si="86"/>
        <v>1707038.57</v>
      </c>
      <c r="W181" s="531">
        <v>1</v>
      </c>
      <c r="X181" s="532">
        <f t="shared" si="87"/>
        <v>1707038.57</v>
      </c>
      <c r="Y181" s="531">
        <v>1</v>
      </c>
      <c r="Z181" s="532">
        <f t="shared" si="88"/>
        <v>2560557.855</v>
      </c>
      <c r="AA181" s="534">
        <f t="shared" si="89"/>
        <v>22191501.41</v>
      </c>
      <c r="AB181" s="1"/>
      <c r="AC181" s="1"/>
      <c r="AD181" s="1"/>
      <c r="AE181" s="1"/>
    </row>
    <row r="182" spans="1:31" ht="14.4">
      <c r="A182" s="1"/>
      <c r="B182" s="530" t="str">
        <f t="shared" si="76"/>
        <v>Tecnico de plataforma</v>
      </c>
      <c r="C182" s="533">
        <v>0</v>
      </c>
      <c r="D182" s="532">
        <f t="shared" si="77"/>
        <v>0</v>
      </c>
      <c r="E182" s="533">
        <v>0</v>
      </c>
      <c r="F182" s="532">
        <f t="shared" si="78"/>
        <v>0</v>
      </c>
      <c r="G182" s="533">
        <v>0</v>
      </c>
      <c r="H182" s="532">
        <f t="shared" si="79"/>
        <v>0</v>
      </c>
      <c r="I182" s="533">
        <v>0</v>
      </c>
      <c r="J182" s="532">
        <f t="shared" si="80"/>
        <v>0</v>
      </c>
      <c r="K182" s="533">
        <v>0</v>
      </c>
      <c r="L182" s="532">
        <f t="shared" si="81"/>
        <v>0</v>
      </c>
      <c r="M182" s="533">
        <v>0</v>
      </c>
      <c r="N182" s="532">
        <f t="shared" si="82"/>
        <v>0</v>
      </c>
      <c r="O182" s="533">
        <v>0</v>
      </c>
      <c r="P182" s="532">
        <f t="shared" si="83"/>
        <v>0</v>
      </c>
      <c r="Q182" s="533">
        <v>0</v>
      </c>
      <c r="R182" s="532">
        <f t="shared" si="84"/>
        <v>0</v>
      </c>
      <c r="S182" s="533">
        <v>0</v>
      </c>
      <c r="T182" s="532">
        <f t="shared" si="85"/>
        <v>0</v>
      </c>
      <c r="U182" s="533">
        <v>0</v>
      </c>
      <c r="V182" s="532">
        <f t="shared" si="86"/>
        <v>0</v>
      </c>
      <c r="W182" s="533">
        <v>0</v>
      </c>
      <c r="X182" s="532">
        <f t="shared" si="87"/>
        <v>0</v>
      </c>
      <c r="Y182" s="533">
        <v>0</v>
      </c>
      <c r="Z182" s="532">
        <f t="shared" si="88"/>
        <v>0</v>
      </c>
      <c r="AA182" s="534">
        <f t="shared" si="89"/>
        <v>0</v>
      </c>
      <c r="AB182" s="1"/>
      <c r="AC182" s="1"/>
      <c r="AD182" s="1"/>
      <c r="AE182" s="1"/>
    </row>
    <row r="183" spans="1:31" ht="14.4">
      <c r="A183" s="1"/>
      <c r="B183" s="530" t="str">
        <f t="shared" si="76"/>
        <v>Operador de monitoreo</v>
      </c>
      <c r="C183" s="533">
        <v>0</v>
      </c>
      <c r="D183" s="532">
        <f t="shared" si="77"/>
        <v>0</v>
      </c>
      <c r="E183" s="533">
        <v>0</v>
      </c>
      <c r="F183" s="532">
        <f t="shared" si="78"/>
        <v>0</v>
      </c>
      <c r="G183" s="533">
        <v>0</v>
      </c>
      <c r="H183" s="532">
        <f t="shared" si="79"/>
        <v>0</v>
      </c>
      <c r="I183" s="533">
        <v>0</v>
      </c>
      <c r="J183" s="532">
        <f t="shared" si="80"/>
        <v>0</v>
      </c>
      <c r="K183" s="533">
        <v>0</v>
      </c>
      <c r="L183" s="532">
        <f t="shared" si="81"/>
        <v>0</v>
      </c>
      <c r="M183" s="533">
        <v>0</v>
      </c>
      <c r="N183" s="532">
        <f t="shared" si="82"/>
        <v>0</v>
      </c>
      <c r="O183" s="533">
        <v>0</v>
      </c>
      <c r="P183" s="532">
        <f t="shared" si="83"/>
        <v>0</v>
      </c>
      <c r="Q183" s="533">
        <v>0</v>
      </c>
      <c r="R183" s="532">
        <f t="shared" si="84"/>
        <v>0</v>
      </c>
      <c r="S183" s="533">
        <v>0</v>
      </c>
      <c r="T183" s="532">
        <f t="shared" si="85"/>
        <v>0</v>
      </c>
      <c r="U183" s="533">
        <v>0</v>
      </c>
      <c r="V183" s="532">
        <f t="shared" si="86"/>
        <v>0</v>
      </c>
      <c r="W183" s="533">
        <v>0</v>
      </c>
      <c r="X183" s="532">
        <f t="shared" si="87"/>
        <v>0</v>
      </c>
      <c r="Y183" s="533">
        <v>0</v>
      </c>
      <c r="Z183" s="532">
        <f t="shared" si="88"/>
        <v>0</v>
      </c>
      <c r="AA183" s="534">
        <f t="shared" si="89"/>
        <v>0</v>
      </c>
      <c r="AB183" s="1"/>
      <c r="AC183" s="1"/>
      <c r="AD183" s="1"/>
      <c r="AE183" s="1"/>
    </row>
    <row r="184" spans="1:31" ht="14.4">
      <c r="A184" s="1"/>
      <c r="B184" s="530" t="str">
        <f t="shared" si="76"/>
        <v>Tecnico de soporte</v>
      </c>
      <c r="C184" s="533">
        <v>0</v>
      </c>
      <c r="D184" s="532">
        <f t="shared" si="77"/>
        <v>0</v>
      </c>
      <c r="E184" s="533">
        <v>0</v>
      </c>
      <c r="F184" s="532">
        <f t="shared" si="78"/>
        <v>0</v>
      </c>
      <c r="G184" s="533">
        <v>0</v>
      </c>
      <c r="H184" s="532">
        <f t="shared" si="79"/>
        <v>0</v>
      </c>
      <c r="I184" s="533">
        <v>0</v>
      </c>
      <c r="J184" s="532">
        <f t="shared" si="80"/>
        <v>0</v>
      </c>
      <c r="K184" s="533">
        <v>0</v>
      </c>
      <c r="L184" s="532">
        <f t="shared" si="81"/>
        <v>0</v>
      </c>
      <c r="M184" s="533">
        <v>0</v>
      </c>
      <c r="N184" s="532">
        <f t="shared" si="82"/>
        <v>0</v>
      </c>
      <c r="O184" s="533">
        <v>0</v>
      </c>
      <c r="P184" s="532">
        <f t="shared" si="83"/>
        <v>0</v>
      </c>
      <c r="Q184" s="533">
        <v>0</v>
      </c>
      <c r="R184" s="532">
        <f t="shared" si="84"/>
        <v>0</v>
      </c>
      <c r="S184" s="533">
        <v>0</v>
      </c>
      <c r="T184" s="532">
        <f t="shared" si="85"/>
        <v>0</v>
      </c>
      <c r="U184" s="533">
        <v>0</v>
      </c>
      <c r="V184" s="532">
        <f t="shared" si="86"/>
        <v>0</v>
      </c>
      <c r="W184" s="533">
        <v>0</v>
      </c>
      <c r="X184" s="532">
        <f t="shared" si="87"/>
        <v>0</v>
      </c>
      <c r="Y184" s="533">
        <v>0</v>
      </c>
      <c r="Z184" s="532">
        <f t="shared" si="88"/>
        <v>0</v>
      </c>
      <c r="AA184" s="534">
        <f t="shared" si="89"/>
        <v>0</v>
      </c>
      <c r="AB184" s="1"/>
      <c r="AC184" s="1"/>
      <c r="AD184" s="1"/>
      <c r="AE184" s="1"/>
    </row>
    <row r="185" spans="1:31" ht="14.4">
      <c r="A185" s="1"/>
      <c r="B185" s="530" t="str">
        <f t="shared" si="76"/>
        <v>Soporte de nivel 1</v>
      </c>
      <c r="C185" s="535">
        <v>1</v>
      </c>
      <c r="D185" s="532">
        <f t="shared" si="77"/>
        <v>1219318.57</v>
      </c>
      <c r="E185" s="531">
        <v>1</v>
      </c>
      <c r="F185" s="532">
        <f t="shared" si="78"/>
        <v>1219318.57</v>
      </c>
      <c r="G185" s="531">
        <v>1</v>
      </c>
      <c r="H185" s="532">
        <f t="shared" si="79"/>
        <v>1219318.57</v>
      </c>
      <c r="I185" s="531">
        <v>1</v>
      </c>
      <c r="J185" s="532">
        <f t="shared" si="80"/>
        <v>1219318.57</v>
      </c>
      <c r="K185" s="531">
        <v>1</v>
      </c>
      <c r="L185" s="532">
        <f t="shared" si="81"/>
        <v>1219318.57</v>
      </c>
      <c r="M185" s="531">
        <v>1</v>
      </c>
      <c r="N185" s="532">
        <f t="shared" si="82"/>
        <v>1828977.855</v>
      </c>
      <c r="O185" s="531">
        <v>1</v>
      </c>
      <c r="P185" s="532">
        <f t="shared" si="83"/>
        <v>1219318.57</v>
      </c>
      <c r="Q185" s="531">
        <v>1</v>
      </c>
      <c r="R185" s="532">
        <f t="shared" si="84"/>
        <v>1219318.57</v>
      </c>
      <c r="S185" s="531">
        <v>1</v>
      </c>
      <c r="T185" s="532">
        <f t="shared" si="85"/>
        <v>1219318.57</v>
      </c>
      <c r="U185" s="531">
        <v>1</v>
      </c>
      <c r="V185" s="532">
        <f t="shared" si="86"/>
        <v>1219318.57</v>
      </c>
      <c r="W185" s="531">
        <v>1</v>
      </c>
      <c r="X185" s="532">
        <f t="shared" si="87"/>
        <v>1219318.57</v>
      </c>
      <c r="Y185" s="531">
        <v>1</v>
      </c>
      <c r="Z185" s="532">
        <f t="shared" si="88"/>
        <v>1828977.855</v>
      </c>
      <c r="AA185" s="534">
        <f t="shared" si="89"/>
        <v>15851141.410000002</v>
      </c>
      <c r="AB185" s="1"/>
      <c r="AC185" s="1"/>
      <c r="AD185" s="1"/>
      <c r="AE185" s="1"/>
    </row>
    <row r="186" spans="1:31" ht="14.4">
      <c r="A186" s="1"/>
      <c r="B186" s="530" t="str">
        <f t="shared" si="76"/>
        <v>Tecnico de inventario</v>
      </c>
      <c r="C186" s="533">
        <v>0</v>
      </c>
      <c r="D186" s="532">
        <f t="shared" si="77"/>
        <v>0</v>
      </c>
      <c r="E186" s="533">
        <v>0</v>
      </c>
      <c r="F186" s="532">
        <f t="shared" si="78"/>
        <v>0</v>
      </c>
      <c r="G186" s="533">
        <v>0</v>
      </c>
      <c r="H186" s="532">
        <f t="shared" si="79"/>
        <v>0</v>
      </c>
      <c r="I186" s="533">
        <v>0</v>
      </c>
      <c r="J186" s="532">
        <f t="shared" si="80"/>
        <v>0</v>
      </c>
      <c r="K186" s="533">
        <v>0</v>
      </c>
      <c r="L186" s="532">
        <f t="shared" si="81"/>
        <v>0</v>
      </c>
      <c r="M186" s="533">
        <v>0</v>
      </c>
      <c r="N186" s="532">
        <f t="shared" si="82"/>
        <v>0</v>
      </c>
      <c r="O186" s="533">
        <v>0</v>
      </c>
      <c r="P186" s="532">
        <f t="shared" si="83"/>
        <v>0</v>
      </c>
      <c r="Q186" s="533">
        <v>0</v>
      </c>
      <c r="R186" s="532">
        <f t="shared" si="84"/>
        <v>0</v>
      </c>
      <c r="S186" s="533">
        <v>0</v>
      </c>
      <c r="T186" s="532">
        <f t="shared" si="85"/>
        <v>0</v>
      </c>
      <c r="U186" s="533">
        <v>0</v>
      </c>
      <c r="V186" s="532">
        <f t="shared" si="86"/>
        <v>0</v>
      </c>
      <c r="W186" s="533">
        <v>0</v>
      </c>
      <c r="X186" s="532">
        <f t="shared" si="87"/>
        <v>0</v>
      </c>
      <c r="Y186" s="533">
        <v>0</v>
      </c>
      <c r="Z186" s="532">
        <f t="shared" si="88"/>
        <v>0</v>
      </c>
      <c r="AA186" s="534">
        <f t="shared" si="89"/>
        <v>0</v>
      </c>
      <c r="AB186" s="1"/>
      <c r="AC186" s="1"/>
      <c r="AD186" s="1"/>
      <c r="AE186" s="1"/>
    </row>
    <row r="187" spans="1:31" ht="14.4">
      <c r="A187" s="1"/>
      <c r="B187" s="530" t="str">
        <f t="shared" si="76"/>
        <v>Tecnico de apoyo</v>
      </c>
      <c r="C187" s="533">
        <v>0</v>
      </c>
      <c r="D187" s="532">
        <f t="shared" si="77"/>
        <v>0</v>
      </c>
      <c r="E187" s="533">
        <v>0</v>
      </c>
      <c r="F187" s="532">
        <f t="shared" si="78"/>
        <v>0</v>
      </c>
      <c r="G187" s="533">
        <v>0</v>
      </c>
      <c r="H187" s="532">
        <f t="shared" si="79"/>
        <v>0</v>
      </c>
      <c r="I187" s="533">
        <v>0</v>
      </c>
      <c r="J187" s="532">
        <f t="shared" si="80"/>
        <v>0</v>
      </c>
      <c r="K187" s="533">
        <v>0</v>
      </c>
      <c r="L187" s="532">
        <f t="shared" si="81"/>
        <v>0</v>
      </c>
      <c r="M187" s="533">
        <v>0</v>
      </c>
      <c r="N187" s="532">
        <f t="shared" si="82"/>
        <v>0</v>
      </c>
      <c r="O187" s="533">
        <v>0</v>
      </c>
      <c r="P187" s="532">
        <f t="shared" si="83"/>
        <v>0</v>
      </c>
      <c r="Q187" s="533">
        <v>0</v>
      </c>
      <c r="R187" s="532">
        <f t="shared" si="84"/>
        <v>0</v>
      </c>
      <c r="S187" s="533">
        <v>0</v>
      </c>
      <c r="T187" s="532">
        <f t="shared" si="85"/>
        <v>0</v>
      </c>
      <c r="U187" s="533">
        <v>0</v>
      </c>
      <c r="V187" s="532">
        <f t="shared" si="86"/>
        <v>0</v>
      </c>
      <c r="W187" s="533">
        <v>0</v>
      </c>
      <c r="X187" s="532">
        <f t="shared" si="87"/>
        <v>0</v>
      </c>
      <c r="Y187" s="533">
        <v>0</v>
      </c>
      <c r="Z187" s="532">
        <f t="shared" si="88"/>
        <v>0</v>
      </c>
      <c r="AA187" s="534">
        <f t="shared" si="89"/>
        <v>0</v>
      </c>
      <c r="AB187" s="1"/>
      <c r="AC187" s="1"/>
      <c r="AD187" s="1"/>
      <c r="AE187" s="1"/>
    </row>
    <row r="188" spans="1:31" ht="14.4">
      <c r="A188" s="1"/>
      <c r="B188" s="530" t="str">
        <f t="shared" si="76"/>
        <v>Auxiliar administrativo</v>
      </c>
      <c r="C188" s="533">
        <v>0</v>
      </c>
      <c r="D188" s="532">
        <f t="shared" si="77"/>
        <v>0</v>
      </c>
      <c r="E188" s="533">
        <v>0</v>
      </c>
      <c r="F188" s="532">
        <f t="shared" si="78"/>
        <v>0</v>
      </c>
      <c r="G188" s="533">
        <v>0</v>
      </c>
      <c r="H188" s="532">
        <f t="shared" si="79"/>
        <v>0</v>
      </c>
      <c r="I188" s="533">
        <v>0</v>
      </c>
      <c r="J188" s="532">
        <f t="shared" si="80"/>
        <v>0</v>
      </c>
      <c r="K188" s="533">
        <v>0</v>
      </c>
      <c r="L188" s="532">
        <f t="shared" si="81"/>
        <v>0</v>
      </c>
      <c r="M188" s="533">
        <v>0</v>
      </c>
      <c r="N188" s="532">
        <f t="shared" si="82"/>
        <v>0</v>
      </c>
      <c r="O188" s="533">
        <v>0</v>
      </c>
      <c r="P188" s="532">
        <f t="shared" si="83"/>
        <v>0</v>
      </c>
      <c r="Q188" s="533">
        <v>0</v>
      </c>
      <c r="R188" s="532">
        <f t="shared" si="84"/>
        <v>0</v>
      </c>
      <c r="S188" s="533">
        <v>0</v>
      </c>
      <c r="T188" s="532">
        <f t="shared" si="85"/>
        <v>0</v>
      </c>
      <c r="U188" s="533">
        <v>0</v>
      </c>
      <c r="V188" s="532">
        <f t="shared" si="86"/>
        <v>0</v>
      </c>
      <c r="W188" s="533">
        <v>0</v>
      </c>
      <c r="X188" s="532">
        <f t="shared" si="87"/>
        <v>0</v>
      </c>
      <c r="Y188" s="533">
        <v>0</v>
      </c>
      <c r="Z188" s="532">
        <f t="shared" si="88"/>
        <v>0</v>
      </c>
      <c r="AA188" s="534">
        <f t="shared" si="89"/>
        <v>0</v>
      </c>
      <c r="AB188" s="1"/>
      <c r="AC188" s="1"/>
      <c r="AD188" s="1"/>
      <c r="AE188" s="1"/>
    </row>
    <row r="189" spans="1:31" ht="14.4">
      <c r="A189" s="1"/>
      <c r="B189" s="530" t="str">
        <f t="shared" si="76"/>
        <v>Auxiliar logístico</v>
      </c>
      <c r="C189" s="533">
        <v>0</v>
      </c>
      <c r="D189" s="532">
        <f t="shared" si="77"/>
        <v>0</v>
      </c>
      <c r="E189" s="533">
        <v>0</v>
      </c>
      <c r="F189" s="532">
        <f t="shared" si="78"/>
        <v>0</v>
      </c>
      <c r="G189" s="533">
        <v>0</v>
      </c>
      <c r="H189" s="532">
        <f t="shared" si="79"/>
        <v>0</v>
      </c>
      <c r="I189" s="533">
        <v>0</v>
      </c>
      <c r="J189" s="532">
        <f t="shared" si="80"/>
        <v>0</v>
      </c>
      <c r="K189" s="533">
        <v>0</v>
      </c>
      <c r="L189" s="532">
        <f t="shared" si="81"/>
        <v>0</v>
      </c>
      <c r="M189" s="533">
        <v>0</v>
      </c>
      <c r="N189" s="532">
        <f t="shared" si="82"/>
        <v>0</v>
      </c>
      <c r="O189" s="533">
        <v>0</v>
      </c>
      <c r="P189" s="532">
        <f t="shared" si="83"/>
        <v>0</v>
      </c>
      <c r="Q189" s="533">
        <v>0</v>
      </c>
      <c r="R189" s="532">
        <f t="shared" si="84"/>
        <v>0</v>
      </c>
      <c r="S189" s="533">
        <v>0</v>
      </c>
      <c r="T189" s="532">
        <f t="shared" si="85"/>
        <v>0</v>
      </c>
      <c r="U189" s="533">
        <v>0</v>
      </c>
      <c r="V189" s="532">
        <f t="shared" si="86"/>
        <v>0</v>
      </c>
      <c r="W189" s="533">
        <v>0</v>
      </c>
      <c r="X189" s="532">
        <f t="shared" si="87"/>
        <v>0</v>
      </c>
      <c r="Y189" s="533">
        <v>0</v>
      </c>
      <c r="Z189" s="532">
        <f t="shared" si="88"/>
        <v>0</v>
      </c>
      <c r="AA189" s="534">
        <f t="shared" si="89"/>
        <v>0</v>
      </c>
      <c r="AB189" s="1"/>
      <c r="AC189" s="1"/>
      <c r="AD189" s="1"/>
      <c r="AE189" s="1"/>
    </row>
    <row r="190" spans="1:31" ht="14.4">
      <c r="A190" s="1"/>
      <c r="B190" s="530" t="str">
        <f t="shared" si="76"/>
        <v>Auxiliar operativo</v>
      </c>
      <c r="C190" s="533">
        <v>0</v>
      </c>
      <c r="D190" s="532">
        <f t="shared" si="77"/>
        <v>0</v>
      </c>
      <c r="E190" s="533">
        <v>0</v>
      </c>
      <c r="F190" s="532">
        <f t="shared" si="78"/>
        <v>0</v>
      </c>
      <c r="G190" s="533">
        <v>0</v>
      </c>
      <c r="H190" s="532">
        <f t="shared" si="79"/>
        <v>0</v>
      </c>
      <c r="I190" s="533">
        <v>0</v>
      </c>
      <c r="J190" s="532">
        <f t="shared" si="80"/>
        <v>0</v>
      </c>
      <c r="K190" s="533">
        <v>0</v>
      </c>
      <c r="L190" s="532">
        <f t="shared" si="81"/>
        <v>0</v>
      </c>
      <c r="M190" s="533">
        <v>0</v>
      </c>
      <c r="N190" s="532">
        <f t="shared" si="82"/>
        <v>0</v>
      </c>
      <c r="O190" s="533">
        <v>0</v>
      </c>
      <c r="P190" s="532">
        <f t="shared" si="83"/>
        <v>0</v>
      </c>
      <c r="Q190" s="533">
        <v>0</v>
      </c>
      <c r="R190" s="532">
        <f t="shared" si="84"/>
        <v>0</v>
      </c>
      <c r="S190" s="533">
        <v>0</v>
      </c>
      <c r="T190" s="532">
        <f t="shared" si="85"/>
        <v>0</v>
      </c>
      <c r="U190" s="533">
        <v>0</v>
      </c>
      <c r="V190" s="532">
        <f t="shared" si="86"/>
        <v>0</v>
      </c>
      <c r="W190" s="533">
        <v>0</v>
      </c>
      <c r="X190" s="532">
        <f t="shared" si="87"/>
        <v>0</v>
      </c>
      <c r="Y190" s="533">
        <v>0</v>
      </c>
      <c r="Z190" s="532">
        <f t="shared" si="88"/>
        <v>0</v>
      </c>
      <c r="AA190" s="534">
        <f t="shared" si="89"/>
        <v>0</v>
      </c>
      <c r="AB190" s="1"/>
      <c r="AC190" s="1"/>
      <c r="AD190" s="1"/>
      <c r="AE190" s="1"/>
    </row>
    <row r="191" spans="1:31" ht="14.4">
      <c r="A191" s="1"/>
      <c r="B191" s="530" t="str">
        <f t="shared" si="76"/>
        <v>Gerente comercial</v>
      </c>
      <c r="C191" s="533">
        <v>0</v>
      </c>
      <c r="D191" s="532">
        <f t="shared" si="77"/>
        <v>0</v>
      </c>
      <c r="E191" s="533">
        <v>0</v>
      </c>
      <c r="F191" s="532">
        <f t="shared" si="78"/>
        <v>0</v>
      </c>
      <c r="G191" s="533">
        <v>0</v>
      </c>
      <c r="H191" s="532">
        <f t="shared" si="79"/>
        <v>0</v>
      </c>
      <c r="I191" s="533">
        <v>0</v>
      </c>
      <c r="J191" s="532">
        <f t="shared" si="80"/>
        <v>0</v>
      </c>
      <c r="K191" s="533">
        <v>0</v>
      </c>
      <c r="L191" s="532">
        <f t="shared" si="81"/>
        <v>0</v>
      </c>
      <c r="M191" s="533">
        <v>0</v>
      </c>
      <c r="N191" s="532">
        <f t="shared" si="82"/>
        <v>0</v>
      </c>
      <c r="O191" s="533">
        <v>0</v>
      </c>
      <c r="P191" s="532">
        <f t="shared" si="83"/>
        <v>0</v>
      </c>
      <c r="Q191" s="533">
        <v>0</v>
      </c>
      <c r="R191" s="532">
        <f t="shared" si="84"/>
        <v>0</v>
      </c>
      <c r="S191" s="533">
        <v>0</v>
      </c>
      <c r="T191" s="532">
        <f t="shared" si="85"/>
        <v>0</v>
      </c>
      <c r="U191" s="533">
        <v>0</v>
      </c>
      <c r="V191" s="532">
        <f t="shared" si="86"/>
        <v>0</v>
      </c>
      <c r="W191" s="533">
        <v>0</v>
      </c>
      <c r="X191" s="532">
        <f t="shared" si="87"/>
        <v>0</v>
      </c>
      <c r="Y191" s="533">
        <v>0</v>
      </c>
      <c r="Z191" s="532">
        <f t="shared" si="88"/>
        <v>0</v>
      </c>
      <c r="AA191" s="534">
        <f t="shared" si="89"/>
        <v>0</v>
      </c>
      <c r="AB191" s="1"/>
      <c r="AC191" s="1"/>
      <c r="AD191" s="1"/>
      <c r="AE191" s="1"/>
    </row>
    <row r="192" spans="1:31" ht="14.4">
      <c r="A192" s="1"/>
      <c r="B192" s="530" t="str">
        <f t="shared" si="76"/>
        <v>Ejecutivo de cuentas</v>
      </c>
      <c r="C192" s="533">
        <v>0</v>
      </c>
      <c r="D192" s="532">
        <f t="shared" si="77"/>
        <v>0</v>
      </c>
      <c r="E192" s="533">
        <v>0</v>
      </c>
      <c r="F192" s="532">
        <f t="shared" si="78"/>
        <v>0</v>
      </c>
      <c r="G192" s="533">
        <v>0</v>
      </c>
      <c r="H192" s="532">
        <f t="shared" si="79"/>
        <v>0</v>
      </c>
      <c r="I192" s="533">
        <v>0</v>
      </c>
      <c r="J192" s="532">
        <f t="shared" si="80"/>
        <v>0</v>
      </c>
      <c r="K192" s="533">
        <v>0</v>
      </c>
      <c r="L192" s="532">
        <f t="shared" si="81"/>
        <v>0</v>
      </c>
      <c r="M192" s="533">
        <v>0</v>
      </c>
      <c r="N192" s="532">
        <f t="shared" si="82"/>
        <v>0</v>
      </c>
      <c r="O192" s="533">
        <v>0</v>
      </c>
      <c r="P192" s="532">
        <f t="shared" si="83"/>
        <v>0</v>
      </c>
      <c r="Q192" s="533">
        <v>0</v>
      </c>
      <c r="R192" s="532">
        <f t="shared" si="84"/>
        <v>0</v>
      </c>
      <c r="S192" s="533">
        <v>0</v>
      </c>
      <c r="T192" s="532">
        <f t="shared" si="85"/>
        <v>0</v>
      </c>
      <c r="U192" s="533">
        <v>0</v>
      </c>
      <c r="V192" s="532">
        <f t="shared" si="86"/>
        <v>0</v>
      </c>
      <c r="W192" s="533">
        <v>0</v>
      </c>
      <c r="X192" s="532">
        <f t="shared" si="87"/>
        <v>0</v>
      </c>
      <c r="Y192" s="533">
        <v>0</v>
      </c>
      <c r="Z192" s="532">
        <f t="shared" si="88"/>
        <v>0</v>
      </c>
      <c r="AA192" s="534">
        <f t="shared" si="89"/>
        <v>0</v>
      </c>
      <c r="AB192" s="1"/>
      <c r="AC192" s="1"/>
      <c r="AD192" s="1"/>
      <c r="AE192" s="1"/>
    </row>
    <row r="193" spans="1:31" ht="14.4">
      <c r="A193" s="1"/>
      <c r="B193" s="530" t="str">
        <f t="shared" si="76"/>
        <v>Representante de posventa</v>
      </c>
      <c r="C193" s="533">
        <v>0</v>
      </c>
      <c r="D193" s="532">
        <f t="shared" si="77"/>
        <v>0</v>
      </c>
      <c r="E193" s="533">
        <v>0</v>
      </c>
      <c r="F193" s="532">
        <f t="shared" si="78"/>
        <v>0</v>
      </c>
      <c r="G193" s="533">
        <v>0</v>
      </c>
      <c r="H193" s="532">
        <f t="shared" si="79"/>
        <v>0</v>
      </c>
      <c r="I193" s="533">
        <v>0</v>
      </c>
      <c r="J193" s="532">
        <f t="shared" si="80"/>
        <v>0</v>
      </c>
      <c r="K193" s="533">
        <v>0</v>
      </c>
      <c r="L193" s="532">
        <f t="shared" si="81"/>
        <v>0</v>
      </c>
      <c r="M193" s="533">
        <v>0</v>
      </c>
      <c r="N193" s="532">
        <f t="shared" si="82"/>
        <v>0</v>
      </c>
      <c r="O193" s="533">
        <v>0</v>
      </c>
      <c r="P193" s="532">
        <f t="shared" si="83"/>
        <v>0</v>
      </c>
      <c r="Q193" s="533">
        <v>0</v>
      </c>
      <c r="R193" s="532">
        <f t="shared" si="84"/>
        <v>0</v>
      </c>
      <c r="S193" s="533">
        <v>0</v>
      </c>
      <c r="T193" s="532">
        <f t="shared" si="85"/>
        <v>0</v>
      </c>
      <c r="U193" s="533">
        <v>0</v>
      </c>
      <c r="V193" s="532">
        <f t="shared" si="86"/>
        <v>0</v>
      </c>
      <c r="W193" s="533">
        <v>0</v>
      </c>
      <c r="X193" s="532">
        <f t="shared" si="87"/>
        <v>0</v>
      </c>
      <c r="Y193" s="533">
        <v>0</v>
      </c>
      <c r="Z193" s="532">
        <f t="shared" si="88"/>
        <v>0</v>
      </c>
      <c r="AA193" s="534">
        <f t="shared" si="89"/>
        <v>0</v>
      </c>
      <c r="AB193" s="1"/>
      <c r="AC193" s="1"/>
      <c r="AD193" s="1"/>
      <c r="AE193" s="1"/>
    </row>
    <row r="194" spans="1:31" ht="14.4">
      <c r="A194" s="1"/>
      <c r="B194" s="530" t="str">
        <f t="shared" si="76"/>
        <v>Asistente de ventas</v>
      </c>
      <c r="C194" s="533">
        <v>0</v>
      </c>
      <c r="D194" s="532">
        <f t="shared" si="77"/>
        <v>0</v>
      </c>
      <c r="E194" s="533">
        <v>0</v>
      </c>
      <c r="F194" s="532">
        <f t="shared" si="78"/>
        <v>0</v>
      </c>
      <c r="G194" s="535">
        <v>1</v>
      </c>
      <c r="H194" s="532">
        <f t="shared" si="79"/>
        <v>1219318.57</v>
      </c>
      <c r="I194" s="531">
        <v>1</v>
      </c>
      <c r="J194" s="532">
        <f t="shared" si="80"/>
        <v>1219318.57</v>
      </c>
      <c r="K194" s="531">
        <v>1</v>
      </c>
      <c r="L194" s="532">
        <f t="shared" si="81"/>
        <v>1219318.57</v>
      </c>
      <c r="M194" s="531">
        <v>1</v>
      </c>
      <c r="N194" s="532">
        <f t="shared" si="82"/>
        <v>1828977.855</v>
      </c>
      <c r="O194" s="531">
        <v>1</v>
      </c>
      <c r="P194" s="532">
        <f t="shared" si="83"/>
        <v>1219318.57</v>
      </c>
      <c r="Q194" s="531">
        <v>1</v>
      </c>
      <c r="R194" s="532">
        <f t="shared" si="84"/>
        <v>1219318.57</v>
      </c>
      <c r="S194" s="531">
        <v>1</v>
      </c>
      <c r="T194" s="532">
        <f t="shared" si="85"/>
        <v>1219318.57</v>
      </c>
      <c r="U194" s="531">
        <v>1</v>
      </c>
      <c r="V194" s="532">
        <f t="shared" si="86"/>
        <v>1219318.57</v>
      </c>
      <c r="W194" s="531">
        <v>1</v>
      </c>
      <c r="X194" s="532">
        <f t="shared" si="87"/>
        <v>1219318.57</v>
      </c>
      <c r="Y194" s="531">
        <v>1</v>
      </c>
      <c r="Z194" s="532">
        <f t="shared" si="88"/>
        <v>1828977.855</v>
      </c>
      <c r="AA194" s="534">
        <f t="shared" si="89"/>
        <v>13412504.270000001</v>
      </c>
      <c r="AB194" s="1"/>
      <c r="AC194" s="1"/>
      <c r="AD194" s="1"/>
      <c r="AE194" s="1"/>
    </row>
    <row r="195" spans="1:31" ht="15.6">
      <c r="A195" s="1"/>
      <c r="B195" s="536" t="s">
        <v>359</v>
      </c>
      <c r="C195" s="537">
        <f>SUM(C138:C194)</f>
        <v>5</v>
      </c>
      <c r="D195" s="538">
        <f>SUM(D139:D194)</f>
        <v>10486072.85</v>
      </c>
      <c r="E195" s="537">
        <f>SUM(E138:E194)</f>
        <v>5</v>
      </c>
      <c r="F195" s="538">
        <f>SUM(F139:F194)</f>
        <v>10486072.85</v>
      </c>
      <c r="G195" s="537">
        <f>SUM(G138:G194)</f>
        <v>6</v>
      </c>
      <c r="H195" s="538">
        <f>SUM(H139:H194)</f>
        <v>11705391.42</v>
      </c>
      <c r="I195" s="537">
        <f>SUM(I138:I194)</f>
        <v>6</v>
      </c>
      <c r="J195" s="538">
        <f>SUM(J139:J194)</f>
        <v>11705391.42</v>
      </c>
      <c r="K195" s="537">
        <f>SUM(K138:K194)</f>
        <v>6</v>
      </c>
      <c r="L195" s="538">
        <f>SUM(L139:L194)</f>
        <v>11705391.42</v>
      </c>
      <c r="M195" s="537">
        <f>SUM(M138:M194)</f>
        <v>6</v>
      </c>
      <c r="N195" s="538">
        <f>SUM(N139:N194)</f>
        <v>17558087.129999999</v>
      </c>
      <c r="O195" s="537">
        <f>SUM(O139:O186)</f>
        <v>5</v>
      </c>
      <c r="P195" s="538">
        <f>SUM(P139:P194)</f>
        <v>11705391.42</v>
      </c>
      <c r="Q195" s="537">
        <f>SUM(Q138:Q194)</f>
        <v>6</v>
      </c>
      <c r="R195" s="538">
        <f>SUM(R139:R194)</f>
        <v>11705391.42</v>
      </c>
      <c r="S195" s="537">
        <f>SUM(S138:S194)</f>
        <v>6</v>
      </c>
      <c r="T195" s="538">
        <f>SUM(T139:T194)</f>
        <v>11705391.42</v>
      </c>
      <c r="U195" s="537">
        <f>SUM(U139:U186)</f>
        <v>5</v>
      </c>
      <c r="V195" s="538">
        <f>SUM(V139:V194)</f>
        <v>11705391.42</v>
      </c>
      <c r="W195" s="537">
        <f>SUM(W138:W194)</f>
        <v>6</v>
      </c>
      <c r="X195" s="538">
        <f>SUM(X139:X194)</f>
        <v>11705391.42</v>
      </c>
      <c r="Y195" s="537">
        <f>SUM(Y138:Y194)</f>
        <v>6</v>
      </c>
      <c r="Z195" s="538">
        <f t="shared" ref="Z195:AA195" si="90">SUM(Z139:Z194)</f>
        <v>17558087.129999999</v>
      </c>
      <c r="AA195" s="539">
        <f t="shared" si="90"/>
        <v>149731451.31999999</v>
      </c>
      <c r="AB195" s="1"/>
      <c r="AC195" s="1"/>
      <c r="AD195" s="1"/>
      <c r="AE195" s="1"/>
    </row>
    <row r="196" spans="1:31" ht="14.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25.8">
      <c r="A197" s="1"/>
      <c r="B197" s="798" t="s">
        <v>361</v>
      </c>
      <c r="C197" s="799"/>
      <c r="D197" s="799"/>
      <c r="E197" s="799"/>
      <c r="F197" s="799"/>
      <c r="G197" s="799"/>
      <c r="H197" s="799"/>
      <c r="I197" s="799"/>
      <c r="J197" s="799"/>
      <c r="K197" s="799"/>
      <c r="L197" s="799"/>
      <c r="M197" s="799"/>
      <c r="N197" s="799"/>
      <c r="O197" s="799"/>
      <c r="P197" s="799"/>
      <c r="Q197" s="799"/>
      <c r="R197" s="799"/>
      <c r="S197" s="799"/>
      <c r="T197" s="799"/>
      <c r="U197" s="799"/>
      <c r="V197" s="799"/>
      <c r="W197" s="799"/>
      <c r="X197" s="799"/>
      <c r="Y197" s="799"/>
      <c r="Z197" s="799"/>
      <c r="AA197" s="800"/>
      <c r="AB197" s="1"/>
      <c r="AC197" s="1"/>
      <c r="AD197" s="1"/>
      <c r="AE197" s="1"/>
    </row>
    <row r="198" spans="1:31" ht="15.6">
      <c r="A198" s="1"/>
      <c r="B198" s="968" t="s">
        <v>292</v>
      </c>
      <c r="C198" s="965" t="s">
        <v>58</v>
      </c>
      <c r="D198" s="806"/>
      <c r="E198" s="965" t="s">
        <v>59</v>
      </c>
      <c r="F198" s="806"/>
      <c r="G198" s="965" t="s">
        <v>60</v>
      </c>
      <c r="H198" s="806"/>
      <c r="I198" s="965" t="s">
        <v>61</v>
      </c>
      <c r="J198" s="806"/>
      <c r="K198" s="965" t="s">
        <v>62</v>
      </c>
      <c r="L198" s="806"/>
      <c r="M198" s="965" t="s">
        <v>357</v>
      </c>
      <c r="N198" s="806"/>
      <c r="O198" s="965" t="s">
        <v>64</v>
      </c>
      <c r="P198" s="806"/>
      <c r="Q198" s="965" t="s">
        <v>65</v>
      </c>
      <c r="R198" s="806"/>
      <c r="S198" s="965" t="s">
        <v>66</v>
      </c>
      <c r="T198" s="806"/>
      <c r="U198" s="965" t="s">
        <v>67</v>
      </c>
      <c r="V198" s="806"/>
      <c r="W198" s="965" t="s">
        <v>68</v>
      </c>
      <c r="X198" s="806"/>
      <c r="Y198" s="965" t="s">
        <v>358</v>
      </c>
      <c r="Z198" s="806"/>
      <c r="AA198" s="966" t="s">
        <v>249</v>
      </c>
      <c r="AB198" s="1"/>
      <c r="AC198" s="1"/>
      <c r="AD198" s="1"/>
      <c r="AE198" s="1"/>
    </row>
    <row r="199" spans="1:31" ht="15.6">
      <c r="A199" s="1"/>
      <c r="B199" s="969"/>
      <c r="C199" s="529" t="s">
        <v>26</v>
      </c>
      <c r="D199" s="529" t="s">
        <v>278</v>
      </c>
      <c r="E199" s="529" t="s">
        <v>26</v>
      </c>
      <c r="F199" s="529" t="s">
        <v>278</v>
      </c>
      <c r="G199" s="529" t="s">
        <v>26</v>
      </c>
      <c r="H199" s="529" t="s">
        <v>278</v>
      </c>
      <c r="I199" s="529" t="s">
        <v>26</v>
      </c>
      <c r="J199" s="529" t="s">
        <v>278</v>
      </c>
      <c r="K199" s="529" t="s">
        <v>26</v>
      </c>
      <c r="L199" s="529" t="s">
        <v>278</v>
      </c>
      <c r="M199" s="529" t="s">
        <v>26</v>
      </c>
      <c r="N199" s="529" t="s">
        <v>278</v>
      </c>
      <c r="O199" s="529" t="s">
        <v>26</v>
      </c>
      <c r="P199" s="529" t="s">
        <v>278</v>
      </c>
      <c r="Q199" s="529" t="s">
        <v>26</v>
      </c>
      <c r="R199" s="529" t="s">
        <v>278</v>
      </c>
      <c r="S199" s="529" t="s">
        <v>26</v>
      </c>
      <c r="T199" s="529" t="s">
        <v>278</v>
      </c>
      <c r="U199" s="529" t="s">
        <v>26</v>
      </c>
      <c r="V199" s="529" t="s">
        <v>278</v>
      </c>
      <c r="W199" s="529" t="s">
        <v>26</v>
      </c>
      <c r="X199" s="529" t="s">
        <v>278</v>
      </c>
      <c r="Y199" s="529" t="s">
        <v>26</v>
      </c>
      <c r="Z199" s="529" t="s">
        <v>278</v>
      </c>
      <c r="AA199" s="967"/>
      <c r="AB199" s="1"/>
      <c r="AC199" s="1"/>
      <c r="AD199" s="1"/>
      <c r="AE199" s="1"/>
    </row>
    <row r="200" spans="1:31" ht="14.4">
      <c r="A200" s="1"/>
      <c r="B200" s="530" t="str">
        <f t="shared" ref="B200:B255" si="91">C16</f>
        <v>Gerente general</v>
      </c>
      <c r="C200" s="533">
        <v>0</v>
      </c>
      <c r="D200" s="532">
        <f t="shared" ref="D200:D205" si="92">C200*$L16</f>
        <v>0</v>
      </c>
      <c r="E200" s="533">
        <v>0</v>
      </c>
      <c r="F200" s="532">
        <f t="shared" ref="F200:F205" si="93">E200*$L16</f>
        <v>0</v>
      </c>
      <c r="G200" s="533">
        <v>0</v>
      </c>
      <c r="H200" s="532">
        <f t="shared" ref="H200:H205" si="94">G200*$L16</f>
        <v>0</v>
      </c>
      <c r="I200" s="533">
        <v>0</v>
      </c>
      <c r="J200" s="532">
        <f t="shared" ref="J200:J205" si="95">I200*$L16</f>
        <v>0</v>
      </c>
      <c r="K200" s="533">
        <v>0</v>
      </c>
      <c r="L200" s="532">
        <f t="shared" ref="L200:L205" si="96">K200*$L16</f>
        <v>0</v>
      </c>
      <c r="M200" s="533">
        <v>0</v>
      </c>
      <c r="N200" s="532">
        <f t="shared" ref="N200:N205" si="97">M200*$L16*1.5</f>
        <v>0</v>
      </c>
      <c r="O200" s="533">
        <v>0</v>
      </c>
      <c r="P200" s="532">
        <f t="shared" ref="P200:P205" si="98">O200*$L16</f>
        <v>0</v>
      </c>
      <c r="Q200" s="533">
        <v>0</v>
      </c>
      <c r="R200" s="532">
        <f t="shared" ref="R200:R205" si="99">Q200*$L16</f>
        <v>0</v>
      </c>
      <c r="S200" s="533">
        <v>0</v>
      </c>
      <c r="T200" s="532">
        <f t="shared" ref="T200:T205" si="100">S200*$L16</f>
        <v>0</v>
      </c>
      <c r="U200" s="533">
        <v>0</v>
      </c>
      <c r="V200" s="532">
        <f t="shared" ref="V200:V205" si="101">U200*$L16</f>
        <v>0</v>
      </c>
      <c r="W200" s="533">
        <v>0</v>
      </c>
      <c r="X200" s="532">
        <f t="shared" ref="X200:X205" si="102">W200*$L16</f>
        <v>0</v>
      </c>
      <c r="Y200" s="533">
        <v>0</v>
      </c>
      <c r="Z200" s="532">
        <f t="shared" ref="Z200:Z205" si="103">Y200*$L16*1.5</f>
        <v>0</v>
      </c>
      <c r="AA200" s="534">
        <f t="shared" ref="AA200:AA255" si="104">D200+F200+H200+J200+L200+N200+P200+R200+T200+V200+X200+Z200</f>
        <v>0</v>
      </c>
      <c r="AB200" s="1"/>
      <c r="AC200" s="1"/>
      <c r="AD200" s="1"/>
      <c r="AE200" s="1"/>
    </row>
    <row r="201" spans="1:31" ht="14.4">
      <c r="A201" s="1"/>
      <c r="B201" s="530" t="str">
        <f t="shared" si="91"/>
        <v>Gerente de administración</v>
      </c>
      <c r="C201" s="531">
        <v>1</v>
      </c>
      <c r="D201" s="532">
        <f t="shared" si="92"/>
        <v>2438618.5699999998</v>
      </c>
      <c r="E201" s="531">
        <v>1</v>
      </c>
      <c r="F201" s="532">
        <f t="shared" si="93"/>
        <v>2438618.5699999998</v>
      </c>
      <c r="G201" s="531">
        <v>1</v>
      </c>
      <c r="H201" s="532">
        <f t="shared" si="94"/>
        <v>2438618.5699999998</v>
      </c>
      <c r="I201" s="531">
        <v>1</v>
      </c>
      <c r="J201" s="532">
        <f t="shared" si="95"/>
        <v>2438618.5699999998</v>
      </c>
      <c r="K201" s="531">
        <v>1</v>
      </c>
      <c r="L201" s="532">
        <f t="shared" si="96"/>
        <v>2438618.5699999998</v>
      </c>
      <c r="M201" s="531">
        <v>1</v>
      </c>
      <c r="N201" s="532">
        <f t="shared" si="97"/>
        <v>3657927.8549999995</v>
      </c>
      <c r="O201" s="531">
        <v>1</v>
      </c>
      <c r="P201" s="532">
        <f t="shared" si="98"/>
        <v>2438618.5699999998</v>
      </c>
      <c r="Q201" s="531">
        <v>1</v>
      </c>
      <c r="R201" s="532">
        <f t="shared" si="99"/>
        <v>2438618.5699999998</v>
      </c>
      <c r="S201" s="531">
        <v>1</v>
      </c>
      <c r="T201" s="532">
        <f t="shared" si="100"/>
        <v>2438618.5699999998</v>
      </c>
      <c r="U201" s="531">
        <v>1</v>
      </c>
      <c r="V201" s="532">
        <f t="shared" si="101"/>
        <v>2438618.5699999998</v>
      </c>
      <c r="W201" s="531">
        <v>1</v>
      </c>
      <c r="X201" s="532">
        <f t="shared" si="102"/>
        <v>2438618.5699999998</v>
      </c>
      <c r="Y201" s="531">
        <v>1</v>
      </c>
      <c r="Z201" s="532">
        <f t="shared" si="103"/>
        <v>3657927.8549999995</v>
      </c>
      <c r="AA201" s="534">
        <f t="shared" si="104"/>
        <v>31702041.41</v>
      </c>
      <c r="AB201" s="1"/>
      <c r="AC201" s="1"/>
      <c r="AD201" s="1"/>
      <c r="AE201" s="1"/>
    </row>
    <row r="202" spans="1:31" ht="14.4">
      <c r="A202" s="1"/>
      <c r="B202" s="530" t="str">
        <f t="shared" si="91"/>
        <v>Jefe de compras</v>
      </c>
      <c r="C202" s="533">
        <v>0</v>
      </c>
      <c r="D202" s="532">
        <f t="shared" si="92"/>
        <v>0</v>
      </c>
      <c r="E202" s="533">
        <v>0</v>
      </c>
      <c r="F202" s="532">
        <f t="shared" si="93"/>
        <v>0</v>
      </c>
      <c r="G202" s="533">
        <v>0</v>
      </c>
      <c r="H202" s="532">
        <f t="shared" si="94"/>
        <v>0</v>
      </c>
      <c r="I202" s="533">
        <v>0</v>
      </c>
      <c r="J202" s="532">
        <f t="shared" si="95"/>
        <v>0</v>
      </c>
      <c r="K202" s="533">
        <v>0</v>
      </c>
      <c r="L202" s="532">
        <f t="shared" si="96"/>
        <v>0</v>
      </c>
      <c r="M202" s="533">
        <v>0</v>
      </c>
      <c r="N202" s="532">
        <f t="shared" si="97"/>
        <v>0</v>
      </c>
      <c r="O202" s="533">
        <v>0</v>
      </c>
      <c r="P202" s="532">
        <f t="shared" si="98"/>
        <v>0</v>
      </c>
      <c r="Q202" s="533">
        <v>0</v>
      </c>
      <c r="R202" s="532">
        <f t="shared" si="99"/>
        <v>0</v>
      </c>
      <c r="S202" s="533">
        <v>0</v>
      </c>
      <c r="T202" s="532">
        <f t="shared" si="100"/>
        <v>0</v>
      </c>
      <c r="U202" s="533">
        <v>0</v>
      </c>
      <c r="V202" s="532">
        <f t="shared" si="101"/>
        <v>0</v>
      </c>
      <c r="W202" s="533">
        <v>0</v>
      </c>
      <c r="X202" s="532">
        <f t="shared" si="102"/>
        <v>0</v>
      </c>
      <c r="Y202" s="533">
        <v>0</v>
      </c>
      <c r="Z202" s="532">
        <f t="shared" si="103"/>
        <v>0</v>
      </c>
      <c r="AA202" s="534">
        <f t="shared" si="104"/>
        <v>0</v>
      </c>
      <c r="AB202" s="1"/>
      <c r="AC202" s="1"/>
      <c r="AD202" s="1"/>
      <c r="AE202" s="1"/>
    </row>
    <row r="203" spans="1:31" ht="14.4">
      <c r="A203" s="1"/>
      <c r="B203" s="530" t="str">
        <f t="shared" si="91"/>
        <v>Jefe de finanzas</v>
      </c>
      <c r="C203" s="533">
        <v>0</v>
      </c>
      <c r="D203" s="532">
        <f t="shared" si="92"/>
        <v>0</v>
      </c>
      <c r="E203" s="533">
        <v>0</v>
      </c>
      <c r="F203" s="532">
        <f t="shared" si="93"/>
        <v>0</v>
      </c>
      <c r="G203" s="533">
        <v>0</v>
      </c>
      <c r="H203" s="532">
        <f t="shared" si="94"/>
        <v>0</v>
      </c>
      <c r="I203" s="533">
        <v>0</v>
      </c>
      <c r="J203" s="532">
        <f t="shared" si="95"/>
        <v>0</v>
      </c>
      <c r="K203" s="533">
        <v>0</v>
      </c>
      <c r="L203" s="532">
        <f t="shared" si="96"/>
        <v>0</v>
      </c>
      <c r="M203" s="533">
        <v>0</v>
      </c>
      <c r="N203" s="532">
        <f t="shared" si="97"/>
        <v>0</v>
      </c>
      <c r="O203" s="533">
        <v>0</v>
      </c>
      <c r="P203" s="532">
        <f t="shared" si="98"/>
        <v>0</v>
      </c>
      <c r="Q203" s="533">
        <v>0</v>
      </c>
      <c r="R203" s="532">
        <f t="shared" si="99"/>
        <v>0</v>
      </c>
      <c r="S203" s="533">
        <v>0</v>
      </c>
      <c r="T203" s="532">
        <f t="shared" si="100"/>
        <v>0</v>
      </c>
      <c r="U203" s="533">
        <v>0</v>
      </c>
      <c r="V203" s="532">
        <f t="shared" si="101"/>
        <v>0</v>
      </c>
      <c r="W203" s="533">
        <v>0</v>
      </c>
      <c r="X203" s="532">
        <f t="shared" si="102"/>
        <v>0</v>
      </c>
      <c r="Y203" s="533">
        <v>0</v>
      </c>
      <c r="Z203" s="532">
        <f t="shared" si="103"/>
        <v>0</v>
      </c>
      <c r="AA203" s="534">
        <f t="shared" si="104"/>
        <v>0</v>
      </c>
      <c r="AB203" s="1"/>
      <c r="AC203" s="1"/>
      <c r="AD203" s="1"/>
      <c r="AE203" s="1"/>
    </row>
    <row r="204" spans="1:31" ht="14.4">
      <c r="A204" s="1"/>
      <c r="B204" s="530" t="str">
        <f t="shared" si="91"/>
        <v>Jefe de ventas</v>
      </c>
      <c r="C204" s="533">
        <v>0</v>
      </c>
      <c r="D204" s="532">
        <f t="shared" si="92"/>
        <v>0</v>
      </c>
      <c r="E204" s="533">
        <v>0</v>
      </c>
      <c r="F204" s="532">
        <f t="shared" si="93"/>
        <v>0</v>
      </c>
      <c r="G204" s="533">
        <v>0</v>
      </c>
      <c r="H204" s="532">
        <f t="shared" si="94"/>
        <v>0</v>
      </c>
      <c r="I204" s="533">
        <v>0</v>
      </c>
      <c r="J204" s="532">
        <f t="shared" si="95"/>
        <v>0</v>
      </c>
      <c r="K204" s="533">
        <v>0</v>
      </c>
      <c r="L204" s="532">
        <f t="shared" si="96"/>
        <v>0</v>
      </c>
      <c r="M204" s="533">
        <v>0</v>
      </c>
      <c r="N204" s="532">
        <f t="shared" si="97"/>
        <v>0</v>
      </c>
      <c r="O204" s="533">
        <v>0</v>
      </c>
      <c r="P204" s="532">
        <f t="shared" si="98"/>
        <v>0</v>
      </c>
      <c r="Q204" s="533">
        <v>0</v>
      </c>
      <c r="R204" s="532">
        <f t="shared" si="99"/>
        <v>0</v>
      </c>
      <c r="S204" s="533">
        <v>0</v>
      </c>
      <c r="T204" s="532">
        <f t="shared" si="100"/>
        <v>0</v>
      </c>
      <c r="U204" s="533">
        <v>0</v>
      </c>
      <c r="V204" s="532">
        <f t="shared" si="101"/>
        <v>0</v>
      </c>
      <c r="W204" s="533">
        <v>0</v>
      </c>
      <c r="X204" s="532">
        <f t="shared" si="102"/>
        <v>0</v>
      </c>
      <c r="Y204" s="533">
        <v>0</v>
      </c>
      <c r="Z204" s="532">
        <f t="shared" si="103"/>
        <v>0</v>
      </c>
      <c r="AA204" s="534">
        <f t="shared" si="104"/>
        <v>0</v>
      </c>
      <c r="AB204" s="1"/>
      <c r="AC204" s="1"/>
      <c r="AD204" s="1"/>
      <c r="AE204" s="1"/>
    </row>
    <row r="205" spans="1:31" ht="14.4">
      <c r="A205" s="1"/>
      <c r="B205" s="530" t="str">
        <f t="shared" si="91"/>
        <v>Jefe de RRHH</v>
      </c>
      <c r="C205" s="533">
        <v>0</v>
      </c>
      <c r="D205" s="532">
        <f t="shared" si="92"/>
        <v>0</v>
      </c>
      <c r="E205" s="533">
        <v>0</v>
      </c>
      <c r="F205" s="532">
        <f t="shared" si="93"/>
        <v>0</v>
      </c>
      <c r="G205" s="533">
        <v>0</v>
      </c>
      <c r="H205" s="532">
        <f t="shared" si="94"/>
        <v>0</v>
      </c>
      <c r="I205" s="533">
        <v>0</v>
      </c>
      <c r="J205" s="532">
        <f t="shared" si="95"/>
        <v>0</v>
      </c>
      <c r="K205" s="533">
        <v>0</v>
      </c>
      <c r="L205" s="532">
        <f t="shared" si="96"/>
        <v>0</v>
      </c>
      <c r="M205" s="533">
        <v>0</v>
      </c>
      <c r="N205" s="532">
        <f t="shared" si="97"/>
        <v>0</v>
      </c>
      <c r="O205" s="533">
        <v>0</v>
      </c>
      <c r="P205" s="532">
        <f t="shared" si="98"/>
        <v>0</v>
      </c>
      <c r="Q205" s="533">
        <v>0</v>
      </c>
      <c r="R205" s="532">
        <f t="shared" si="99"/>
        <v>0</v>
      </c>
      <c r="S205" s="533">
        <v>0</v>
      </c>
      <c r="T205" s="532">
        <f t="shared" si="100"/>
        <v>0</v>
      </c>
      <c r="U205" s="533">
        <v>0</v>
      </c>
      <c r="V205" s="532">
        <f t="shared" si="101"/>
        <v>0</v>
      </c>
      <c r="W205" s="533">
        <v>0</v>
      </c>
      <c r="X205" s="532">
        <f t="shared" si="102"/>
        <v>0</v>
      </c>
      <c r="Y205" s="533">
        <v>0</v>
      </c>
      <c r="Z205" s="532">
        <f t="shared" si="103"/>
        <v>0</v>
      </c>
      <c r="AA205" s="534">
        <f t="shared" si="104"/>
        <v>0</v>
      </c>
      <c r="AB205" s="1"/>
      <c r="AC205" s="1"/>
      <c r="AD205" s="1"/>
      <c r="AE205" s="1"/>
    </row>
    <row r="206" spans="1:31" ht="14.4">
      <c r="A206" s="1"/>
      <c r="B206" s="530" t="str">
        <f t="shared" si="91"/>
        <v>Subjefe de ventas</v>
      </c>
      <c r="C206" s="533">
        <v>0</v>
      </c>
      <c r="D206" s="532">
        <f t="shared" ref="D206:D215" si="105">C206*$L32</f>
        <v>0</v>
      </c>
      <c r="E206" s="533">
        <v>0</v>
      </c>
      <c r="F206" s="532">
        <f t="shared" ref="F206:F215" si="106">E206*$L32</f>
        <v>0</v>
      </c>
      <c r="G206" s="533">
        <v>0</v>
      </c>
      <c r="H206" s="532">
        <f t="shared" ref="H206:H215" si="107">G206*$L32</f>
        <v>0</v>
      </c>
      <c r="I206" s="533">
        <v>0</v>
      </c>
      <c r="J206" s="532">
        <f t="shared" ref="J206:J215" si="108">I206*$L32</f>
        <v>0</v>
      </c>
      <c r="K206" s="533">
        <v>0</v>
      </c>
      <c r="L206" s="532">
        <f t="shared" ref="L206:L215" si="109">K206*$L32</f>
        <v>0</v>
      </c>
      <c r="M206" s="533">
        <v>0</v>
      </c>
      <c r="N206" s="532">
        <f t="shared" ref="N206:N215" si="110">M206*$L32*1.5</f>
        <v>0</v>
      </c>
      <c r="O206" s="533">
        <v>0</v>
      </c>
      <c r="P206" s="532">
        <f t="shared" ref="P206:P215" si="111">O206*$L32</f>
        <v>0</v>
      </c>
      <c r="Q206" s="533">
        <v>0</v>
      </c>
      <c r="R206" s="532">
        <f t="shared" ref="R206:R215" si="112">Q206*$L32</f>
        <v>0</v>
      </c>
      <c r="S206" s="533">
        <v>0</v>
      </c>
      <c r="T206" s="532">
        <f t="shared" ref="T206:T215" si="113">S206*$L32</f>
        <v>0</v>
      </c>
      <c r="U206" s="533">
        <v>0</v>
      </c>
      <c r="V206" s="532">
        <f t="shared" ref="V206:V215" si="114">U206*$L32</f>
        <v>0</v>
      </c>
      <c r="W206" s="533">
        <v>0</v>
      </c>
      <c r="X206" s="532">
        <f t="shared" ref="X206:X215" si="115">W206*$L32</f>
        <v>0</v>
      </c>
      <c r="Y206" s="533">
        <v>0</v>
      </c>
      <c r="Z206" s="532">
        <f t="shared" ref="Z206:Z215" si="116">Y206*$L32*1.5</f>
        <v>0</v>
      </c>
      <c r="AA206" s="534">
        <f t="shared" si="104"/>
        <v>0</v>
      </c>
      <c r="AB206" s="1"/>
      <c r="AC206" s="1"/>
      <c r="AD206" s="1"/>
      <c r="AE206" s="1"/>
    </row>
    <row r="207" spans="1:31" ht="14.4">
      <c r="A207" s="1"/>
      <c r="B207" s="530" t="str">
        <f t="shared" si="91"/>
        <v>Analista contable</v>
      </c>
      <c r="C207" s="533">
        <v>0</v>
      </c>
      <c r="D207" s="532">
        <f t="shared" si="105"/>
        <v>0</v>
      </c>
      <c r="E207" s="533">
        <v>0</v>
      </c>
      <c r="F207" s="532">
        <f t="shared" si="106"/>
        <v>0</v>
      </c>
      <c r="G207" s="533">
        <v>0</v>
      </c>
      <c r="H207" s="532">
        <f t="shared" si="107"/>
        <v>0</v>
      </c>
      <c r="I207" s="533">
        <v>0</v>
      </c>
      <c r="J207" s="532">
        <f t="shared" si="108"/>
        <v>0</v>
      </c>
      <c r="K207" s="533">
        <v>0</v>
      </c>
      <c r="L207" s="532">
        <f t="shared" si="109"/>
        <v>0</v>
      </c>
      <c r="M207" s="533">
        <v>0</v>
      </c>
      <c r="N207" s="532">
        <f t="shared" si="110"/>
        <v>0</v>
      </c>
      <c r="O207" s="533">
        <v>0</v>
      </c>
      <c r="P207" s="532">
        <f t="shared" si="111"/>
        <v>0</v>
      </c>
      <c r="Q207" s="533">
        <v>0</v>
      </c>
      <c r="R207" s="532">
        <f t="shared" si="112"/>
        <v>0</v>
      </c>
      <c r="S207" s="533">
        <v>0</v>
      </c>
      <c r="T207" s="532">
        <f t="shared" si="113"/>
        <v>0</v>
      </c>
      <c r="U207" s="533">
        <v>0</v>
      </c>
      <c r="V207" s="532">
        <f t="shared" si="114"/>
        <v>0</v>
      </c>
      <c r="W207" s="533">
        <v>0</v>
      </c>
      <c r="X207" s="532">
        <f t="shared" si="115"/>
        <v>0</v>
      </c>
      <c r="Y207" s="533">
        <v>0</v>
      </c>
      <c r="Z207" s="532">
        <f t="shared" si="116"/>
        <v>0</v>
      </c>
      <c r="AA207" s="534">
        <f t="shared" si="104"/>
        <v>0</v>
      </c>
      <c r="AB207" s="1"/>
      <c r="AC207" s="1"/>
      <c r="AD207" s="1"/>
      <c r="AE207" s="1"/>
    </row>
    <row r="208" spans="1:31" ht="14.4">
      <c r="A208" s="1"/>
      <c r="B208" s="530" t="str">
        <f t="shared" si="91"/>
        <v>Analista de compras</v>
      </c>
      <c r="C208" s="531">
        <v>0</v>
      </c>
      <c r="D208" s="532">
        <f t="shared" si="105"/>
        <v>0</v>
      </c>
      <c r="E208" s="533">
        <v>0</v>
      </c>
      <c r="F208" s="532">
        <f t="shared" si="106"/>
        <v>0</v>
      </c>
      <c r="G208" s="533">
        <v>0</v>
      </c>
      <c r="H208" s="532">
        <f t="shared" si="107"/>
        <v>0</v>
      </c>
      <c r="I208" s="533">
        <v>0</v>
      </c>
      <c r="J208" s="532">
        <f t="shared" si="108"/>
        <v>0</v>
      </c>
      <c r="K208" s="533">
        <v>0</v>
      </c>
      <c r="L208" s="532">
        <f t="shared" si="109"/>
        <v>0</v>
      </c>
      <c r="M208" s="533">
        <v>0</v>
      </c>
      <c r="N208" s="532">
        <f t="shared" si="110"/>
        <v>0</v>
      </c>
      <c r="O208" s="533">
        <v>0</v>
      </c>
      <c r="P208" s="532">
        <f t="shared" si="111"/>
        <v>0</v>
      </c>
      <c r="Q208" s="533">
        <v>0</v>
      </c>
      <c r="R208" s="532">
        <f t="shared" si="112"/>
        <v>0</v>
      </c>
      <c r="S208" s="533">
        <v>0</v>
      </c>
      <c r="T208" s="532">
        <f t="shared" si="113"/>
        <v>0</v>
      </c>
      <c r="U208" s="533">
        <v>0</v>
      </c>
      <c r="V208" s="532">
        <f t="shared" si="114"/>
        <v>0</v>
      </c>
      <c r="W208" s="533">
        <v>0</v>
      </c>
      <c r="X208" s="532">
        <f t="shared" si="115"/>
        <v>0</v>
      </c>
      <c r="Y208" s="533">
        <v>0</v>
      </c>
      <c r="Z208" s="532">
        <f t="shared" si="116"/>
        <v>0</v>
      </c>
      <c r="AA208" s="534">
        <f t="shared" si="104"/>
        <v>0</v>
      </c>
      <c r="AB208" s="1"/>
      <c r="AC208" s="1"/>
      <c r="AD208" s="1"/>
      <c r="AE208" s="1"/>
    </row>
    <row r="209" spans="1:31" ht="14.4">
      <c r="A209" s="1"/>
      <c r="B209" s="530" t="str">
        <f t="shared" si="91"/>
        <v>Administrativo de ventas</v>
      </c>
      <c r="C209" s="533">
        <v>0</v>
      </c>
      <c r="D209" s="532">
        <f t="shared" si="105"/>
        <v>0</v>
      </c>
      <c r="E209" s="533">
        <v>0</v>
      </c>
      <c r="F209" s="532">
        <f t="shared" si="106"/>
        <v>0</v>
      </c>
      <c r="G209" s="533">
        <v>0</v>
      </c>
      <c r="H209" s="532">
        <f t="shared" si="107"/>
        <v>0</v>
      </c>
      <c r="I209" s="533">
        <v>0</v>
      </c>
      <c r="J209" s="532">
        <f t="shared" si="108"/>
        <v>0</v>
      </c>
      <c r="K209" s="533">
        <v>0</v>
      </c>
      <c r="L209" s="532">
        <f t="shared" si="109"/>
        <v>0</v>
      </c>
      <c r="M209" s="533">
        <v>0</v>
      </c>
      <c r="N209" s="532">
        <f t="shared" si="110"/>
        <v>0</v>
      </c>
      <c r="O209" s="533">
        <v>0</v>
      </c>
      <c r="P209" s="532">
        <f t="shared" si="111"/>
        <v>0</v>
      </c>
      <c r="Q209" s="533">
        <v>0</v>
      </c>
      <c r="R209" s="532">
        <f t="shared" si="112"/>
        <v>0</v>
      </c>
      <c r="S209" s="533">
        <v>0</v>
      </c>
      <c r="T209" s="532">
        <f t="shared" si="113"/>
        <v>0</v>
      </c>
      <c r="U209" s="533">
        <v>0</v>
      </c>
      <c r="V209" s="532">
        <f t="shared" si="114"/>
        <v>0</v>
      </c>
      <c r="W209" s="533">
        <v>0</v>
      </c>
      <c r="X209" s="532">
        <f t="shared" si="115"/>
        <v>0</v>
      </c>
      <c r="Y209" s="533">
        <v>0</v>
      </c>
      <c r="Z209" s="532">
        <f t="shared" si="116"/>
        <v>0</v>
      </c>
      <c r="AA209" s="534">
        <f t="shared" si="104"/>
        <v>0</v>
      </c>
      <c r="AB209" s="1"/>
      <c r="AC209" s="1"/>
      <c r="AD209" s="1"/>
      <c r="AE209" s="1"/>
    </row>
    <row r="210" spans="1:31" ht="14.4">
      <c r="A210" s="1"/>
      <c r="B210" s="530" t="str">
        <f t="shared" si="91"/>
        <v>Administrativo contable</v>
      </c>
      <c r="C210" s="533">
        <v>0</v>
      </c>
      <c r="D210" s="532">
        <f t="shared" si="105"/>
        <v>0</v>
      </c>
      <c r="E210" s="533">
        <v>0</v>
      </c>
      <c r="F210" s="532">
        <f t="shared" si="106"/>
        <v>0</v>
      </c>
      <c r="G210" s="533">
        <v>0</v>
      </c>
      <c r="H210" s="532">
        <f t="shared" si="107"/>
        <v>0</v>
      </c>
      <c r="I210" s="533">
        <v>0</v>
      </c>
      <c r="J210" s="532">
        <f t="shared" si="108"/>
        <v>0</v>
      </c>
      <c r="K210" s="533">
        <v>0</v>
      </c>
      <c r="L210" s="532">
        <f t="shared" si="109"/>
        <v>0</v>
      </c>
      <c r="M210" s="533">
        <v>0</v>
      </c>
      <c r="N210" s="532">
        <f t="shared" si="110"/>
        <v>0</v>
      </c>
      <c r="O210" s="533">
        <v>0</v>
      </c>
      <c r="P210" s="532">
        <f t="shared" si="111"/>
        <v>0</v>
      </c>
      <c r="Q210" s="533">
        <v>0</v>
      </c>
      <c r="R210" s="532">
        <f t="shared" si="112"/>
        <v>0</v>
      </c>
      <c r="S210" s="533">
        <v>0</v>
      </c>
      <c r="T210" s="532">
        <f t="shared" si="113"/>
        <v>0</v>
      </c>
      <c r="U210" s="533">
        <v>0</v>
      </c>
      <c r="V210" s="532">
        <f t="shared" si="114"/>
        <v>0</v>
      </c>
      <c r="W210" s="533">
        <v>0</v>
      </c>
      <c r="X210" s="532">
        <f t="shared" si="115"/>
        <v>0</v>
      </c>
      <c r="Y210" s="533">
        <v>0</v>
      </c>
      <c r="Z210" s="532">
        <f t="shared" si="116"/>
        <v>0</v>
      </c>
      <c r="AA210" s="534">
        <f t="shared" si="104"/>
        <v>0</v>
      </c>
      <c r="AB210" s="1"/>
      <c r="AC210" s="1"/>
      <c r="AD210" s="1"/>
      <c r="AE210" s="1"/>
    </row>
    <row r="211" spans="1:31" ht="14.4">
      <c r="A211" s="1"/>
      <c r="B211" s="530" t="str">
        <f t="shared" si="91"/>
        <v>Administrativo de cobranzas</v>
      </c>
      <c r="C211" s="533">
        <v>0</v>
      </c>
      <c r="D211" s="532">
        <f t="shared" si="105"/>
        <v>0</v>
      </c>
      <c r="E211" s="533">
        <v>0</v>
      </c>
      <c r="F211" s="532">
        <f t="shared" si="106"/>
        <v>0</v>
      </c>
      <c r="G211" s="533">
        <v>0</v>
      </c>
      <c r="H211" s="532">
        <f t="shared" si="107"/>
        <v>0</v>
      </c>
      <c r="I211" s="533">
        <v>0</v>
      </c>
      <c r="J211" s="532">
        <f t="shared" si="108"/>
        <v>0</v>
      </c>
      <c r="K211" s="533">
        <v>0</v>
      </c>
      <c r="L211" s="532">
        <f t="shared" si="109"/>
        <v>0</v>
      </c>
      <c r="M211" s="533">
        <v>0</v>
      </c>
      <c r="N211" s="532">
        <f t="shared" si="110"/>
        <v>0</v>
      </c>
      <c r="O211" s="533">
        <v>0</v>
      </c>
      <c r="P211" s="532">
        <f t="shared" si="111"/>
        <v>0</v>
      </c>
      <c r="Q211" s="533">
        <v>0</v>
      </c>
      <c r="R211" s="532">
        <f t="shared" si="112"/>
        <v>0</v>
      </c>
      <c r="S211" s="533">
        <v>0</v>
      </c>
      <c r="T211" s="532">
        <f t="shared" si="113"/>
        <v>0</v>
      </c>
      <c r="U211" s="533">
        <v>0</v>
      </c>
      <c r="V211" s="532">
        <f t="shared" si="114"/>
        <v>0</v>
      </c>
      <c r="W211" s="533">
        <v>0</v>
      </c>
      <c r="X211" s="532">
        <f t="shared" si="115"/>
        <v>0</v>
      </c>
      <c r="Y211" s="533">
        <v>0</v>
      </c>
      <c r="Z211" s="532">
        <f t="shared" si="116"/>
        <v>0</v>
      </c>
      <c r="AA211" s="534">
        <f t="shared" si="104"/>
        <v>0</v>
      </c>
      <c r="AB211" s="1"/>
      <c r="AC211" s="1"/>
      <c r="AD211" s="1"/>
      <c r="AE211" s="1"/>
    </row>
    <row r="212" spans="1:31" ht="14.4">
      <c r="A212" s="1"/>
      <c r="B212" s="530" t="str">
        <f t="shared" si="91"/>
        <v>Administrativo de compras</v>
      </c>
      <c r="C212" s="531">
        <v>0</v>
      </c>
      <c r="D212" s="532">
        <f t="shared" si="105"/>
        <v>0</v>
      </c>
      <c r="E212" s="533">
        <v>0</v>
      </c>
      <c r="F212" s="532">
        <f t="shared" si="106"/>
        <v>0</v>
      </c>
      <c r="G212" s="533">
        <v>0</v>
      </c>
      <c r="H212" s="532">
        <f t="shared" si="107"/>
        <v>0</v>
      </c>
      <c r="I212" s="533">
        <v>0</v>
      </c>
      <c r="J212" s="532">
        <f t="shared" si="108"/>
        <v>0</v>
      </c>
      <c r="K212" s="533">
        <v>0</v>
      </c>
      <c r="L212" s="532">
        <f t="shared" si="109"/>
        <v>0</v>
      </c>
      <c r="M212" s="533">
        <v>0</v>
      </c>
      <c r="N212" s="532">
        <f t="shared" si="110"/>
        <v>0</v>
      </c>
      <c r="O212" s="533">
        <v>0</v>
      </c>
      <c r="P212" s="532">
        <f t="shared" si="111"/>
        <v>0</v>
      </c>
      <c r="Q212" s="533">
        <v>0</v>
      </c>
      <c r="R212" s="532">
        <f t="shared" si="112"/>
        <v>0</v>
      </c>
      <c r="S212" s="533">
        <v>0</v>
      </c>
      <c r="T212" s="532">
        <f t="shared" si="113"/>
        <v>0</v>
      </c>
      <c r="U212" s="533">
        <v>0</v>
      </c>
      <c r="V212" s="532">
        <f t="shared" si="114"/>
        <v>0</v>
      </c>
      <c r="W212" s="533">
        <v>0</v>
      </c>
      <c r="X212" s="532">
        <f t="shared" si="115"/>
        <v>0</v>
      </c>
      <c r="Y212" s="533">
        <v>0</v>
      </c>
      <c r="Z212" s="532">
        <f t="shared" si="116"/>
        <v>0</v>
      </c>
      <c r="AA212" s="534">
        <f t="shared" si="104"/>
        <v>0</v>
      </c>
      <c r="AB212" s="1"/>
      <c r="AC212" s="1"/>
      <c r="AD212" s="1"/>
      <c r="AE212" s="1"/>
    </row>
    <row r="213" spans="1:31" ht="14.4">
      <c r="A213" s="1"/>
      <c r="B213" s="530" t="str">
        <f t="shared" si="91"/>
        <v>Administrativo de pagos</v>
      </c>
      <c r="C213" s="533">
        <v>0</v>
      </c>
      <c r="D213" s="532">
        <f t="shared" si="105"/>
        <v>0</v>
      </c>
      <c r="E213" s="533">
        <v>0</v>
      </c>
      <c r="F213" s="532">
        <f t="shared" si="106"/>
        <v>0</v>
      </c>
      <c r="G213" s="533">
        <v>0</v>
      </c>
      <c r="H213" s="532">
        <f t="shared" si="107"/>
        <v>0</v>
      </c>
      <c r="I213" s="533">
        <v>0</v>
      </c>
      <c r="J213" s="532">
        <f t="shared" si="108"/>
        <v>0</v>
      </c>
      <c r="K213" s="533">
        <v>0</v>
      </c>
      <c r="L213" s="532">
        <f t="shared" si="109"/>
        <v>0</v>
      </c>
      <c r="M213" s="533">
        <v>0</v>
      </c>
      <c r="N213" s="532">
        <f t="shared" si="110"/>
        <v>0</v>
      </c>
      <c r="O213" s="533">
        <v>0</v>
      </c>
      <c r="P213" s="532">
        <f t="shared" si="111"/>
        <v>0</v>
      </c>
      <c r="Q213" s="533">
        <v>0</v>
      </c>
      <c r="R213" s="532">
        <f t="shared" si="112"/>
        <v>0</v>
      </c>
      <c r="S213" s="533">
        <v>0</v>
      </c>
      <c r="T213" s="532">
        <f t="shared" si="113"/>
        <v>0</v>
      </c>
      <c r="U213" s="533">
        <v>0</v>
      </c>
      <c r="V213" s="532">
        <f t="shared" si="114"/>
        <v>0</v>
      </c>
      <c r="W213" s="533">
        <v>0</v>
      </c>
      <c r="X213" s="532">
        <f t="shared" si="115"/>
        <v>0</v>
      </c>
      <c r="Y213" s="533">
        <v>0</v>
      </c>
      <c r="Z213" s="532">
        <f t="shared" si="116"/>
        <v>0</v>
      </c>
      <c r="AA213" s="534">
        <f t="shared" si="104"/>
        <v>0</v>
      </c>
      <c r="AB213" s="1"/>
      <c r="AC213" s="1"/>
      <c r="AD213" s="1"/>
      <c r="AE213" s="1"/>
    </row>
    <row r="214" spans="1:31" ht="14.4">
      <c r="A214" s="1"/>
      <c r="B214" s="530" t="str">
        <f t="shared" si="91"/>
        <v>Administrativo de RRHH</v>
      </c>
      <c r="C214" s="533">
        <v>0</v>
      </c>
      <c r="D214" s="532">
        <f t="shared" si="105"/>
        <v>0</v>
      </c>
      <c r="E214" s="533">
        <v>0</v>
      </c>
      <c r="F214" s="532">
        <f t="shared" si="106"/>
        <v>0</v>
      </c>
      <c r="G214" s="533">
        <v>0</v>
      </c>
      <c r="H214" s="532">
        <f t="shared" si="107"/>
        <v>0</v>
      </c>
      <c r="I214" s="533">
        <v>0</v>
      </c>
      <c r="J214" s="532">
        <f t="shared" si="108"/>
        <v>0</v>
      </c>
      <c r="K214" s="533">
        <v>0</v>
      </c>
      <c r="L214" s="532">
        <f t="shared" si="109"/>
        <v>0</v>
      </c>
      <c r="M214" s="533">
        <v>0</v>
      </c>
      <c r="N214" s="532">
        <f t="shared" si="110"/>
        <v>0</v>
      </c>
      <c r="O214" s="533">
        <v>0</v>
      </c>
      <c r="P214" s="532">
        <f t="shared" si="111"/>
        <v>0</v>
      </c>
      <c r="Q214" s="533">
        <v>0</v>
      </c>
      <c r="R214" s="532">
        <f t="shared" si="112"/>
        <v>0</v>
      </c>
      <c r="S214" s="533">
        <v>0</v>
      </c>
      <c r="T214" s="532">
        <f t="shared" si="113"/>
        <v>0</v>
      </c>
      <c r="U214" s="533">
        <v>0</v>
      </c>
      <c r="V214" s="532">
        <f t="shared" si="114"/>
        <v>0</v>
      </c>
      <c r="W214" s="533">
        <v>0</v>
      </c>
      <c r="X214" s="532">
        <f t="shared" si="115"/>
        <v>0</v>
      </c>
      <c r="Y214" s="533">
        <v>0</v>
      </c>
      <c r="Z214" s="532">
        <f t="shared" si="116"/>
        <v>0</v>
      </c>
      <c r="AA214" s="534">
        <f t="shared" si="104"/>
        <v>0</v>
      </c>
      <c r="AB214" s="1"/>
      <c r="AC214" s="1"/>
      <c r="AD214" s="1"/>
      <c r="AE214" s="1"/>
    </row>
    <row r="215" spans="1:31" ht="14.4">
      <c r="A215" s="1"/>
      <c r="B215" s="530" t="str">
        <f t="shared" si="91"/>
        <v>Auxiliar administrativo</v>
      </c>
      <c r="C215" s="533">
        <v>0</v>
      </c>
      <c r="D215" s="532">
        <f t="shared" si="105"/>
        <v>0</v>
      </c>
      <c r="E215" s="533">
        <v>0</v>
      </c>
      <c r="F215" s="532">
        <f t="shared" si="106"/>
        <v>0</v>
      </c>
      <c r="G215" s="533">
        <v>0</v>
      </c>
      <c r="H215" s="532">
        <f t="shared" si="107"/>
        <v>0</v>
      </c>
      <c r="I215" s="533">
        <v>0</v>
      </c>
      <c r="J215" s="532">
        <f t="shared" si="108"/>
        <v>0</v>
      </c>
      <c r="K215" s="533">
        <v>0</v>
      </c>
      <c r="L215" s="532">
        <f t="shared" si="109"/>
        <v>0</v>
      </c>
      <c r="M215" s="533">
        <v>0</v>
      </c>
      <c r="N215" s="532">
        <f t="shared" si="110"/>
        <v>0</v>
      </c>
      <c r="O215" s="533">
        <v>0</v>
      </c>
      <c r="P215" s="532">
        <f t="shared" si="111"/>
        <v>0</v>
      </c>
      <c r="Q215" s="533">
        <v>0</v>
      </c>
      <c r="R215" s="532">
        <f t="shared" si="112"/>
        <v>0</v>
      </c>
      <c r="S215" s="533">
        <v>0</v>
      </c>
      <c r="T215" s="532">
        <f t="shared" si="113"/>
        <v>0</v>
      </c>
      <c r="U215" s="533">
        <v>0</v>
      </c>
      <c r="V215" s="532">
        <f t="shared" si="114"/>
        <v>0</v>
      </c>
      <c r="W215" s="533">
        <v>0</v>
      </c>
      <c r="X215" s="532">
        <f t="shared" si="115"/>
        <v>0</v>
      </c>
      <c r="Y215" s="533">
        <v>0</v>
      </c>
      <c r="Z215" s="532">
        <f t="shared" si="116"/>
        <v>0</v>
      </c>
      <c r="AA215" s="534">
        <f t="shared" si="104"/>
        <v>0</v>
      </c>
      <c r="AB215" s="1"/>
      <c r="AC215" s="1"/>
      <c r="AD215" s="1"/>
      <c r="AE215" s="1"/>
    </row>
    <row r="216" spans="1:31" ht="14.4">
      <c r="A216" s="1"/>
      <c r="B216" s="530" t="str">
        <f t="shared" si="91"/>
        <v>Gerente de marketing</v>
      </c>
      <c r="C216" s="531">
        <v>1</v>
      </c>
      <c r="D216" s="532">
        <f t="shared" ref="D216:D255" si="117">C216*$L32</f>
        <v>2438618.5699999998</v>
      </c>
      <c r="E216" s="531">
        <v>1</v>
      </c>
      <c r="F216" s="532">
        <f t="shared" ref="F216:F255" si="118">E216*$L32</f>
        <v>2438618.5699999998</v>
      </c>
      <c r="G216" s="531">
        <v>1</v>
      </c>
      <c r="H216" s="532">
        <f t="shared" ref="H216:H255" si="119">G216*$L32</f>
        <v>2438618.5699999998</v>
      </c>
      <c r="I216" s="531">
        <v>1</v>
      </c>
      <c r="J216" s="532">
        <f t="shared" ref="J216:J255" si="120">I216*$L32</f>
        <v>2438618.5699999998</v>
      </c>
      <c r="K216" s="531">
        <v>1</v>
      </c>
      <c r="L216" s="532">
        <f t="shared" ref="L216:L255" si="121">K216*$L32</f>
        <v>2438618.5699999998</v>
      </c>
      <c r="M216" s="531">
        <v>1</v>
      </c>
      <c r="N216" s="532">
        <f t="shared" ref="N216:N255" si="122">M216*$L32*1.5</f>
        <v>3657927.8549999995</v>
      </c>
      <c r="O216" s="531">
        <v>1</v>
      </c>
      <c r="P216" s="532">
        <f t="shared" ref="P216:P255" si="123">O216*$L32</f>
        <v>2438618.5699999998</v>
      </c>
      <c r="Q216" s="531">
        <v>1</v>
      </c>
      <c r="R216" s="532">
        <f t="shared" ref="R216:R255" si="124">Q216*$L32</f>
        <v>2438618.5699999998</v>
      </c>
      <c r="S216" s="531">
        <v>1</v>
      </c>
      <c r="T216" s="532">
        <f t="shared" ref="T216:T255" si="125">S216*$L32</f>
        <v>2438618.5699999998</v>
      </c>
      <c r="U216" s="531">
        <v>1</v>
      </c>
      <c r="V216" s="532">
        <f t="shared" ref="V216:V255" si="126">U216*$L32</f>
        <v>2438618.5699999998</v>
      </c>
      <c r="W216" s="531">
        <v>1</v>
      </c>
      <c r="X216" s="532">
        <f t="shared" ref="X216:X255" si="127">W216*$L32</f>
        <v>2438618.5699999998</v>
      </c>
      <c r="Y216" s="531">
        <v>1</v>
      </c>
      <c r="Z216" s="532">
        <f t="shared" ref="Z216:Z255" si="128">Y216*$L32*1.5</f>
        <v>3657927.8549999995</v>
      </c>
      <c r="AA216" s="534">
        <f t="shared" si="104"/>
        <v>31702041.41</v>
      </c>
      <c r="AB216" s="1"/>
      <c r="AC216" s="1"/>
      <c r="AD216" s="1"/>
      <c r="AE216" s="1"/>
    </row>
    <row r="217" spans="1:31" ht="14.4">
      <c r="A217" s="1"/>
      <c r="B217" s="530" t="str">
        <f t="shared" si="91"/>
        <v>Lider de finanzas</v>
      </c>
      <c r="C217" s="531">
        <v>0</v>
      </c>
      <c r="D217" s="532">
        <f t="shared" si="117"/>
        <v>0</v>
      </c>
      <c r="E217" s="533">
        <v>0</v>
      </c>
      <c r="F217" s="532">
        <f t="shared" si="118"/>
        <v>0</v>
      </c>
      <c r="G217" s="533">
        <v>0</v>
      </c>
      <c r="H217" s="532">
        <f t="shared" si="119"/>
        <v>0</v>
      </c>
      <c r="I217" s="533">
        <v>0</v>
      </c>
      <c r="J217" s="532">
        <f t="shared" si="120"/>
        <v>0</v>
      </c>
      <c r="K217" s="533">
        <v>0</v>
      </c>
      <c r="L217" s="532">
        <f t="shared" si="121"/>
        <v>0</v>
      </c>
      <c r="M217" s="533">
        <v>0</v>
      </c>
      <c r="N217" s="532">
        <f t="shared" si="122"/>
        <v>0</v>
      </c>
      <c r="O217" s="533">
        <v>0</v>
      </c>
      <c r="P217" s="532">
        <f t="shared" si="123"/>
        <v>0</v>
      </c>
      <c r="Q217" s="533">
        <v>0</v>
      </c>
      <c r="R217" s="532">
        <f t="shared" si="124"/>
        <v>0</v>
      </c>
      <c r="S217" s="533">
        <v>0</v>
      </c>
      <c r="T217" s="532">
        <f t="shared" si="125"/>
        <v>0</v>
      </c>
      <c r="U217" s="533">
        <v>0</v>
      </c>
      <c r="V217" s="532">
        <f t="shared" si="126"/>
        <v>0</v>
      </c>
      <c r="W217" s="533">
        <v>0</v>
      </c>
      <c r="X217" s="532">
        <f t="shared" si="127"/>
        <v>0</v>
      </c>
      <c r="Y217" s="533">
        <v>0</v>
      </c>
      <c r="Z217" s="532">
        <f t="shared" si="128"/>
        <v>0</v>
      </c>
      <c r="AA217" s="534">
        <f t="shared" si="104"/>
        <v>0</v>
      </c>
      <c r="AB217" s="1"/>
      <c r="AC217" s="1"/>
      <c r="AD217" s="1"/>
      <c r="AE217" s="1"/>
    </row>
    <row r="218" spans="1:31" ht="14.4">
      <c r="A218" s="1"/>
      <c r="B218" s="530" t="str">
        <f t="shared" si="91"/>
        <v>Lider de operaciones comerciales</v>
      </c>
      <c r="C218" s="531">
        <v>0</v>
      </c>
      <c r="D218" s="532">
        <f t="shared" si="117"/>
        <v>0</v>
      </c>
      <c r="E218" s="533">
        <v>0</v>
      </c>
      <c r="F218" s="532">
        <f t="shared" si="118"/>
        <v>0</v>
      </c>
      <c r="G218" s="533">
        <v>0</v>
      </c>
      <c r="H218" s="532">
        <f t="shared" si="119"/>
        <v>0</v>
      </c>
      <c r="I218" s="533">
        <v>0</v>
      </c>
      <c r="J218" s="532">
        <f t="shared" si="120"/>
        <v>0</v>
      </c>
      <c r="K218" s="533">
        <v>0</v>
      </c>
      <c r="L218" s="532">
        <f t="shared" si="121"/>
        <v>0</v>
      </c>
      <c r="M218" s="533">
        <v>0</v>
      </c>
      <c r="N218" s="532">
        <f t="shared" si="122"/>
        <v>0</v>
      </c>
      <c r="O218" s="533">
        <v>0</v>
      </c>
      <c r="P218" s="532">
        <f t="shared" si="123"/>
        <v>0</v>
      </c>
      <c r="Q218" s="533">
        <v>0</v>
      </c>
      <c r="R218" s="532">
        <f t="shared" si="124"/>
        <v>0</v>
      </c>
      <c r="S218" s="533">
        <v>0</v>
      </c>
      <c r="T218" s="532">
        <f t="shared" si="125"/>
        <v>0</v>
      </c>
      <c r="U218" s="533">
        <v>0</v>
      </c>
      <c r="V218" s="532">
        <f t="shared" si="126"/>
        <v>0</v>
      </c>
      <c r="W218" s="533">
        <v>0</v>
      </c>
      <c r="X218" s="532">
        <f t="shared" si="127"/>
        <v>0</v>
      </c>
      <c r="Y218" s="533">
        <v>0</v>
      </c>
      <c r="Z218" s="532">
        <f t="shared" si="128"/>
        <v>0</v>
      </c>
      <c r="AA218" s="534">
        <f t="shared" si="104"/>
        <v>0</v>
      </c>
      <c r="AB218" s="1"/>
      <c r="AC218" s="1"/>
      <c r="AD218" s="1"/>
      <c r="AE218" s="1"/>
    </row>
    <row r="219" spans="1:31" ht="14.4">
      <c r="A219" s="1"/>
      <c r="B219" s="530" t="str">
        <f t="shared" si="91"/>
        <v>Coordinador de instalaciones</v>
      </c>
      <c r="C219" s="531">
        <v>0</v>
      </c>
      <c r="D219" s="532">
        <f t="shared" si="117"/>
        <v>0</v>
      </c>
      <c r="E219" s="533">
        <v>0</v>
      </c>
      <c r="F219" s="532">
        <f t="shared" si="118"/>
        <v>0</v>
      </c>
      <c r="G219" s="533">
        <v>0</v>
      </c>
      <c r="H219" s="532">
        <f t="shared" si="119"/>
        <v>0</v>
      </c>
      <c r="I219" s="533">
        <v>0</v>
      </c>
      <c r="J219" s="532">
        <f t="shared" si="120"/>
        <v>0</v>
      </c>
      <c r="K219" s="533">
        <v>0</v>
      </c>
      <c r="L219" s="532">
        <f t="shared" si="121"/>
        <v>0</v>
      </c>
      <c r="M219" s="533">
        <v>0</v>
      </c>
      <c r="N219" s="532">
        <f t="shared" si="122"/>
        <v>0</v>
      </c>
      <c r="O219" s="533">
        <v>0</v>
      </c>
      <c r="P219" s="532">
        <f t="shared" si="123"/>
        <v>0</v>
      </c>
      <c r="Q219" s="533">
        <v>0</v>
      </c>
      <c r="R219" s="532">
        <f t="shared" si="124"/>
        <v>0</v>
      </c>
      <c r="S219" s="533">
        <v>0</v>
      </c>
      <c r="T219" s="532">
        <f t="shared" si="125"/>
        <v>0</v>
      </c>
      <c r="U219" s="533">
        <v>0</v>
      </c>
      <c r="V219" s="532">
        <f t="shared" si="126"/>
        <v>0</v>
      </c>
      <c r="W219" s="533">
        <v>0</v>
      </c>
      <c r="X219" s="532">
        <f t="shared" si="127"/>
        <v>0</v>
      </c>
      <c r="Y219" s="533">
        <v>0</v>
      </c>
      <c r="Z219" s="532">
        <f t="shared" si="128"/>
        <v>0</v>
      </c>
      <c r="AA219" s="534">
        <f t="shared" si="104"/>
        <v>0</v>
      </c>
      <c r="AB219" s="1"/>
      <c r="AC219" s="1"/>
      <c r="AD219" s="1"/>
      <c r="AE219" s="1"/>
    </row>
    <row r="220" spans="1:31" ht="14.4">
      <c r="A220" s="1"/>
      <c r="B220" s="530" t="str">
        <f t="shared" si="91"/>
        <v>Analista de producto</v>
      </c>
      <c r="C220" s="531">
        <v>0</v>
      </c>
      <c r="D220" s="532">
        <f t="shared" si="117"/>
        <v>0</v>
      </c>
      <c r="E220" s="533">
        <v>0</v>
      </c>
      <c r="F220" s="532">
        <f t="shared" si="118"/>
        <v>0</v>
      </c>
      <c r="G220" s="533">
        <v>0</v>
      </c>
      <c r="H220" s="532">
        <f t="shared" si="119"/>
        <v>0</v>
      </c>
      <c r="I220" s="533">
        <v>0</v>
      </c>
      <c r="J220" s="532">
        <f t="shared" si="120"/>
        <v>0</v>
      </c>
      <c r="K220" s="533">
        <v>0</v>
      </c>
      <c r="L220" s="532">
        <f t="shared" si="121"/>
        <v>0</v>
      </c>
      <c r="M220" s="533">
        <v>0</v>
      </c>
      <c r="N220" s="532">
        <f t="shared" si="122"/>
        <v>0</v>
      </c>
      <c r="O220" s="533">
        <v>0</v>
      </c>
      <c r="P220" s="532">
        <f t="shared" si="123"/>
        <v>0</v>
      </c>
      <c r="Q220" s="533">
        <v>0</v>
      </c>
      <c r="R220" s="532">
        <f t="shared" si="124"/>
        <v>0</v>
      </c>
      <c r="S220" s="533">
        <v>0</v>
      </c>
      <c r="T220" s="532">
        <f t="shared" si="125"/>
        <v>0</v>
      </c>
      <c r="U220" s="533">
        <v>0</v>
      </c>
      <c r="V220" s="532">
        <f t="shared" si="126"/>
        <v>0</v>
      </c>
      <c r="W220" s="533">
        <v>0</v>
      </c>
      <c r="X220" s="532">
        <f t="shared" si="127"/>
        <v>0</v>
      </c>
      <c r="Y220" s="533">
        <v>0</v>
      </c>
      <c r="Z220" s="532">
        <f t="shared" si="128"/>
        <v>0</v>
      </c>
      <c r="AA220" s="534">
        <f t="shared" si="104"/>
        <v>0</v>
      </c>
      <c r="AB220" s="1"/>
      <c r="AC220" s="1"/>
      <c r="AD220" s="1"/>
      <c r="AE220" s="1"/>
    </row>
    <row r="221" spans="1:31" ht="14.4">
      <c r="A221" s="1"/>
      <c r="B221" s="530" t="str">
        <f t="shared" si="91"/>
        <v>Ejecutivo comercial</v>
      </c>
      <c r="C221" s="531">
        <v>0</v>
      </c>
      <c r="D221" s="532">
        <f t="shared" si="117"/>
        <v>0</v>
      </c>
      <c r="E221" s="533">
        <v>0</v>
      </c>
      <c r="F221" s="532">
        <f t="shared" si="118"/>
        <v>0</v>
      </c>
      <c r="G221" s="533">
        <v>0</v>
      </c>
      <c r="H221" s="532">
        <f t="shared" si="119"/>
        <v>0</v>
      </c>
      <c r="I221" s="533">
        <v>0</v>
      </c>
      <c r="J221" s="532">
        <f t="shared" si="120"/>
        <v>0</v>
      </c>
      <c r="K221" s="533">
        <v>0</v>
      </c>
      <c r="L221" s="532">
        <f t="shared" si="121"/>
        <v>0</v>
      </c>
      <c r="M221" s="533">
        <v>0</v>
      </c>
      <c r="N221" s="532">
        <f t="shared" si="122"/>
        <v>0</v>
      </c>
      <c r="O221" s="533">
        <v>0</v>
      </c>
      <c r="P221" s="532">
        <f t="shared" si="123"/>
        <v>0</v>
      </c>
      <c r="Q221" s="533">
        <v>0</v>
      </c>
      <c r="R221" s="532">
        <f t="shared" si="124"/>
        <v>0</v>
      </c>
      <c r="S221" s="533">
        <v>0</v>
      </c>
      <c r="T221" s="532">
        <f t="shared" si="125"/>
        <v>0</v>
      </c>
      <c r="U221" s="533">
        <v>0</v>
      </c>
      <c r="V221" s="532">
        <f t="shared" si="126"/>
        <v>0</v>
      </c>
      <c r="W221" s="533">
        <v>0</v>
      </c>
      <c r="X221" s="532">
        <f t="shared" si="127"/>
        <v>0</v>
      </c>
      <c r="Y221" s="533">
        <v>0</v>
      </c>
      <c r="Z221" s="532">
        <f t="shared" si="128"/>
        <v>0</v>
      </c>
      <c r="AA221" s="534">
        <f t="shared" si="104"/>
        <v>0</v>
      </c>
      <c r="AB221" s="1"/>
      <c r="AC221" s="1"/>
      <c r="AD221" s="1"/>
      <c r="AE221" s="1"/>
    </row>
    <row r="222" spans="1:31" ht="14.4">
      <c r="A222" s="1"/>
      <c r="B222" s="530" t="str">
        <f t="shared" si="91"/>
        <v>Analista de logística</v>
      </c>
      <c r="C222" s="531">
        <v>0</v>
      </c>
      <c r="D222" s="532">
        <f t="shared" si="117"/>
        <v>0</v>
      </c>
      <c r="E222" s="533">
        <v>0</v>
      </c>
      <c r="F222" s="532">
        <f t="shared" si="118"/>
        <v>0</v>
      </c>
      <c r="G222" s="533">
        <v>0</v>
      </c>
      <c r="H222" s="532">
        <f t="shared" si="119"/>
        <v>0</v>
      </c>
      <c r="I222" s="533">
        <v>0</v>
      </c>
      <c r="J222" s="532">
        <f t="shared" si="120"/>
        <v>0</v>
      </c>
      <c r="K222" s="533">
        <v>0</v>
      </c>
      <c r="L222" s="532">
        <f t="shared" si="121"/>
        <v>0</v>
      </c>
      <c r="M222" s="533">
        <v>0</v>
      </c>
      <c r="N222" s="532">
        <f t="shared" si="122"/>
        <v>0</v>
      </c>
      <c r="O222" s="533">
        <v>0</v>
      </c>
      <c r="P222" s="532">
        <f t="shared" si="123"/>
        <v>0</v>
      </c>
      <c r="Q222" s="533">
        <v>0</v>
      </c>
      <c r="R222" s="532">
        <f t="shared" si="124"/>
        <v>0</v>
      </c>
      <c r="S222" s="533">
        <v>0</v>
      </c>
      <c r="T222" s="532">
        <f t="shared" si="125"/>
        <v>0</v>
      </c>
      <c r="U222" s="533">
        <v>0</v>
      </c>
      <c r="V222" s="532">
        <f t="shared" si="126"/>
        <v>0</v>
      </c>
      <c r="W222" s="533">
        <v>0</v>
      </c>
      <c r="X222" s="532">
        <f t="shared" si="127"/>
        <v>0</v>
      </c>
      <c r="Y222" s="533">
        <v>0</v>
      </c>
      <c r="Z222" s="532">
        <f t="shared" si="128"/>
        <v>0</v>
      </c>
      <c r="AA222" s="534">
        <f t="shared" si="104"/>
        <v>0</v>
      </c>
      <c r="AB222" s="1"/>
      <c r="AC222" s="1"/>
      <c r="AD222" s="1"/>
      <c r="AE222" s="1"/>
    </row>
    <row r="223" spans="1:31" ht="14.4">
      <c r="A223" s="1"/>
      <c r="B223" s="530" t="str">
        <f t="shared" si="91"/>
        <v>Analista de marketing</v>
      </c>
      <c r="C223" s="531">
        <v>0</v>
      </c>
      <c r="D223" s="532">
        <f t="shared" si="117"/>
        <v>0</v>
      </c>
      <c r="E223" s="533">
        <v>0</v>
      </c>
      <c r="F223" s="532">
        <f t="shared" si="118"/>
        <v>0</v>
      </c>
      <c r="G223" s="533">
        <v>0</v>
      </c>
      <c r="H223" s="532">
        <f t="shared" si="119"/>
        <v>0</v>
      </c>
      <c r="I223" s="533">
        <v>0</v>
      </c>
      <c r="J223" s="532">
        <f t="shared" si="120"/>
        <v>0</v>
      </c>
      <c r="K223" s="533">
        <v>0</v>
      </c>
      <c r="L223" s="532">
        <f t="shared" si="121"/>
        <v>0</v>
      </c>
      <c r="M223" s="533">
        <v>0</v>
      </c>
      <c r="N223" s="532">
        <f t="shared" si="122"/>
        <v>0</v>
      </c>
      <c r="O223" s="533">
        <v>0</v>
      </c>
      <c r="P223" s="532">
        <f t="shared" si="123"/>
        <v>0</v>
      </c>
      <c r="Q223" s="533">
        <v>0</v>
      </c>
      <c r="R223" s="532">
        <f t="shared" si="124"/>
        <v>0</v>
      </c>
      <c r="S223" s="533">
        <v>0</v>
      </c>
      <c r="T223" s="532">
        <f t="shared" si="125"/>
        <v>0</v>
      </c>
      <c r="U223" s="533">
        <v>0</v>
      </c>
      <c r="V223" s="532">
        <f t="shared" si="126"/>
        <v>0</v>
      </c>
      <c r="W223" s="533">
        <v>0</v>
      </c>
      <c r="X223" s="532">
        <f t="shared" si="127"/>
        <v>0</v>
      </c>
      <c r="Y223" s="533">
        <v>0</v>
      </c>
      <c r="Z223" s="532">
        <f t="shared" si="128"/>
        <v>0</v>
      </c>
      <c r="AA223" s="534">
        <f t="shared" si="104"/>
        <v>0</v>
      </c>
      <c r="AB223" s="1"/>
      <c r="AC223" s="1"/>
      <c r="AD223" s="1"/>
      <c r="AE223" s="1"/>
    </row>
    <row r="224" spans="1:31" ht="14.4">
      <c r="A224" s="1"/>
      <c r="B224" s="530" t="str">
        <f t="shared" si="91"/>
        <v>Diseñador de contenido</v>
      </c>
      <c r="C224" s="531">
        <v>0</v>
      </c>
      <c r="D224" s="532">
        <f t="shared" si="117"/>
        <v>0</v>
      </c>
      <c r="E224" s="533">
        <v>0</v>
      </c>
      <c r="F224" s="532">
        <f t="shared" si="118"/>
        <v>0</v>
      </c>
      <c r="G224" s="533">
        <v>0</v>
      </c>
      <c r="H224" s="532">
        <f t="shared" si="119"/>
        <v>0</v>
      </c>
      <c r="I224" s="533">
        <v>0</v>
      </c>
      <c r="J224" s="532">
        <f t="shared" si="120"/>
        <v>0</v>
      </c>
      <c r="K224" s="533">
        <v>0</v>
      </c>
      <c r="L224" s="532">
        <f t="shared" si="121"/>
        <v>0</v>
      </c>
      <c r="M224" s="533">
        <v>0</v>
      </c>
      <c r="N224" s="532">
        <f t="shared" si="122"/>
        <v>0</v>
      </c>
      <c r="O224" s="533">
        <v>0</v>
      </c>
      <c r="P224" s="532">
        <f t="shared" si="123"/>
        <v>0</v>
      </c>
      <c r="Q224" s="533">
        <v>0</v>
      </c>
      <c r="R224" s="532">
        <f t="shared" si="124"/>
        <v>0</v>
      </c>
      <c r="S224" s="533">
        <v>0</v>
      </c>
      <c r="T224" s="532">
        <f t="shared" si="125"/>
        <v>0</v>
      </c>
      <c r="U224" s="533">
        <v>0</v>
      </c>
      <c r="V224" s="532">
        <f t="shared" si="126"/>
        <v>0</v>
      </c>
      <c r="W224" s="533">
        <v>0</v>
      </c>
      <c r="X224" s="532">
        <f t="shared" si="127"/>
        <v>0</v>
      </c>
      <c r="Y224" s="533">
        <v>0</v>
      </c>
      <c r="Z224" s="532">
        <f t="shared" si="128"/>
        <v>0</v>
      </c>
      <c r="AA224" s="534">
        <f t="shared" si="104"/>
        <v>0</v>
      </c>
      <c r="AB224" s="1"/>
      <c r="AC224" s="1"/>
      <c r="AD224" s="1"/>
      <c r="AE224" s="1"/>
    </row>
    <row r="225" spans="1:31" ht="14.4">
      <c r="A225" s="1"/>
      <c r="B225" s="530" t="str">
        <f t="shared" si="91"/>
        <v>Asistente de marketing</v>
      </c>
      <c r="C225" s="531">
        <v>0</v>
      </c>
      <c r="D225" s="532">
        <f t="shared" si="117"/>
        <v>0</v>
      </c>
      <c r="E225" s="533">
        <v>0</v>
      </c>
      <c r="F225" s="532">
        <f t="shared" si="118"/>
        <v>0</v>
      </c>
      <c r="G225" s="533">
        <v>0</v>
      </c>
      <c r="H225" s="532">
        <f t="shared" si="119"/>
        <v>0</v>
      </c>
      <c r="I225" s="533">
        <v>0</v>
      </c>
      <c r="J225" s="532">
        <f t="shared" si="120"/>
        <v>0</v>
      </c>
      <c r="K225" s="533">
        <v>0</v>
      </c>
      <c r="L225" s="532">
        <f t="shared" si="121"/>
        <v>0</v>
      </c>
      <c r="M225" s="533">
        <v>0</v>
      </c>
      <c r="N225" s="532">
        <f t="shared" si="122"/>
        <v>0</v>
      </c>
      <c r="O225" s="533">
        <v>0</v>
      </c>
      <c r="P225" s="532">
        <f t="shared" si="123"/>
        <v>0</v>
      </c>
      <c r="Q225" s="533">
        <v>0</v>
      </c>
      <c r="R225" s="532">
        <f t="shared" si="124"/>
        <v>0</v>
      </c>
      <c r="S225" s="533">
        <v>0</v>
      </c>
      <c r="T225" s="532">
        <f t="shared" si="125"/>
        <v>0</v>
      </c>
      <c r="U225" s="533">
        <v>0</v>
      </c>
      <c r="V225" s="532">
        <f t="shared" si="126"/>
        <v>0</v>
      </c>
      <c r="W225" s="533">
        <v>0</v>
      </c>
      <c r="X225" s="532">
        <f t="shared" si="127"/>
        <v>0</v>
      </c>
      <c r="Y225" s="533">
        <v>0</v>
      </c>
      <c r="Z225" s="532">
        <f t="shared" si="128"/>
        <v>0</v>
      </c>
      <c r="AA225" s="534">
        <f t="shared" si="104"/>
        <v>0</v>
      </c>
      <c r="AB225" s="1"/>
      <c r="AC225" s="1"/>
      <c r="AD225" s="1"/>
      <c r="AE225" s="1"/>
    </row>
    <row r="226" spans="1:31" ht="14.4">
      <c r="A226" s="1"/>
      <c r="B226" s="530" t="str">
        <f t="shared" si="91"/>
        <v>Gerente de sistemas</v>
      </c>
      <c r="C226" s="531">
        <v>1</v>
      </c>
      <c r="D226" s="532">
        <f t="shared" si="117"/>
        <v>2682478.5699999998</v>
      </c>
      <c r="E226" s="531">
        <v>1</v>
      </c>
      <c r="F226" s="532">
        <f t="shared" si="118"/>
        <v>2682478.5699999998</v>
      </c>
      <c r="G226" s="531">
        <v>1</v>
      </c>
      <c r="H226" s="532">
        <f t="shared" si="119"/>
        <v>2682478.5699999998</v>
      </c>
      <c r="I226" s="531">
        <v>1</v>
      </c>
      <c r="J226" s="532">
        <f t="shared" si="120"/>
        <v>2682478.5699999998</v>
      </c>
      <c r="K226" s="531">
        <v>1</v>
      </c>
      <c r="L226" s="532">
        <f t="shared" si="121"/>
        <v>2682478.5699999998</v>
      </c>
      <c r="M226" s="531">
        <v>1</v>
      </c>
      <c r="N226" s="532">
        <f t="shared" si="122"/>
        <v>4023717.8549999995</v>
      </c>
      <c r="O226" s="531">
        <v>1</v>
      </c>
      <c r="P226" s="532">
        <f t="shared" si="123"/>
        <v>2682478.5699999998</v>
      </c>
      <c r="Q226" s="531">
        <v>1</v>
      </c>
      <c r="R226" s="532">
        <f t="shared" si="124"/>
        <v>2682478.5699999998</v>
      </c>
      <c r="S226" s="531">
        <v>1</v>
      </c>
      <c r="T226" s="532">
        <f t="shared" si="125"/>
        <v>2682478.5699999998</v>
      </c>
      <c r="U226" s="531">
        <v>1</v>
      </c>
      <c r="V226" s="532">
        <f t="shared" si="126"/>
        <v>2682478.5699999998</v>
      </c>
      <c r="W226" s="531">
        <v>1</v>
      </c>
      <c r="X226" s="532">
        <f t="shared" si="127"/>
        <v>2682478.5699999998</v>
      </c>
      <c r="Y226" s="531">
        <v>1</v>
      </c>
      <c r="Z226" s="532">
        <f t="shared" si="128"/>
        <v>4023717.8549999995</v>
      </c>
      <c r="AA226" s="534">
        <f t="shared" si="104"/>
        <v>34872221.409999996</v>
      </c>
      <c r="AB226" s="1"/>
      <c r="AC226" s="1"/>
      <c r="AD226" s="1"/>
      <c r="AE226" s="1"/>
    </row>
    <row r="227" spans="1:31" ht="14.4">
      <c r="A227" s="1"/>
      <c r="B227" s="530" t="str">
        <f t="shared" si="91"/>
        <v>DevOps</v>
      </c>
      <c r="C227" s="533">
        <v>0</v>
      </c>
      <c r="D227" s="532">
        <f t="shared" si="117"/>
        <v>0</v>
      </c>
      <c r="E227" s="533">
        <v>0</v>
      </c>
      <c r="F227" s="532">
        <f t="shared" si="118"/>
        <v>0</v>
      </c>
      <c r="G227" s="533">
        <v>0</v>
      </c>
      <c r="H227" s="532">
        <f t="shared" si="119"/>
        <v>0</v>
      </c>
      <c r="I227" s="533">
        <v>0</v>
      </c>
      <c r="J227" s="532">
        <f t="shared" si="120"/>
        <v>0</v>
      </c>
      <c r="K227" s="533">
        <v>0</v>
      </c>
      <c r="L227" s="532">
        <f t="shared" si="121"/>
        <v>0</v>
      </c>
      <c r="M227" s="533">
        <v>0</v>
      </c>
      <c r="N227" s="532">
        <f t="shared" si="122"/>
        <v>0</v>
      </c>
      <c r="O227" s="533">
        <v>0</v>
      </c>
      <c r="P227" s="532">
        <f t="shared" si="123"/>
        <v>0</v>
      </c>
      <c r="Q227" s="533">
        <v>0</v>
      </c>
      <c r="R227" s="532">
        <f t="shared" si="124"/>
        <v>0</v>
      </c>
      <c r="S227" s="533">
        <v>0</v>
      </c>
      <c r="T227" s="532">
        <f t="shared" si="125"/>
        <v>0</v>
      </c>
      <c r="U227" s="533">
        <v>0</v>
      </c>
      <c r="V227" s="532">
        <f t="shared" si="126"/>
        <v>0</v>
      </c>
      <c r="W227" s="533">
        <v>0</v>
      </c>
      <c r="X227" s="532">
        <f t="shared" si="127"/>
        <v>0</v>
      </c>
      <c r="Y227" s="533">
        <v>0</v>
      </c>
      <c r="Z227" s="532">
        <f t="shared" si="128"/>
        <v>0</v>
      </c>
      <c r="AA227" s="534">
        <f t="shared" si="104"/>
        <v>0</v>
      </c>
      <c r="AB227" s="1"/>
      <c r="AC227" s="1"/>
      <c r="AD227" s="1"/>
      <c r="AE227" s="1"/>
    </row>
    <row r="228" spans="1:31" ht="14.4">
      <c r="A228" s="1"/>
      <c r="B228" s="530" t="str">
        <f t="shared" si="91"/>
        <v>Arquitecto cloud</v>
      </c>
      <c r="C228" s="533">
        <v>0</v>
      </c>
      <c r="D228" s="532">
        <f t="shared" si="117"/>
        <v>0</v>
      </c>
      <c r="E228" s="533">
        <v>0</v>
      </c>
      <c r="F228" s="532">
        <f t="shared" si="118"/>
        <v>0</v>
      </c>
      <c r="G228" s="533">
        <v>0</v>
      </c>
      <c r="H228" s="532">
        <f t="shared" si="119"/>
        <v>0</v>
      </c>
      <c r="I228" s="533">
        <v>0</v>
      </c>
      <c r="J228" s="532">
        <f t="shared" si="120"/>
        <v>0</v>
      </c>
      <c r="K228" s="533">
        <v>0</v>
      </c>
      <c r="L228" s="532">
        <f t="shared" si="121"/>
        <v>0</v>
      </c>
      <c r="M228" s="533">
        <v>0</v>
      </c>
      <c r="N228" s="532">
        <f t="shared" si="122"/>
        <v>0</v>
      </c>
      <c r="O228" s="533">
        <v>0</v>
      </c>
      <c r="P228" s="532">
        <f t="shared" si="123"/>
        <v>0</v>
      </c>
      <c r="Q228" s="533">
        <v>0</v>
      </c>
      <c r="R228" s="532">
        <f t="shared" si="124"/>
        <v>0</v>
      </c>
      <c r="S228" s="533">
        <v>0</v>
      </c>
      <c r="T228" s="532">
        <f t="shared" si="125"/>
        <v>0</v>
      </c>
      <c r="U228" s="533">
        <v>0</v>
      </c>
      <c r="V228" s="532">
        <f t="shared" si="126"/>
        <v>0</v>
      </c>
      <c r="W228" s="533">
        <v>0</v>
      </c>
      <c r="X228" s="532">
        <f t="shared" si="127"/>
        <v>0</v>
      </c>
      <c r="Y228" s="533">
        <v>0</v>
      </c>
      <c r="Z228" s="532">
        <f t="shared" si="128"/>
        <v>0</v>
      </c>
      <c r="AA228" s="534">
        <f t="shared" si="104"/>
        <v>0</v>
      </c>
      <c r="AB228" s="1"/>
      <c r="AC228" s="1"/>
      <c r="AD228" s="1"/>
      <c r="AE228" s="1"/>
    </row>
    <row r="229" spans="1:31" ht="14.4">
      <c r="A229" s="1"/>
      <c r="B229" s="530" t="str">
        <f t="shared" si="91"/>
        <v>Especialista en hardware</v>
      </c>
      <c r="C229" s="533">
        <v>0</v>
      </c>
      <c r="D229" s="532">
        <f t="shared" si="117"/>
        <v>0</v>
      </c>
      <c r="E229" s="533">
        <v>0</v>
      </c>
      <c r="F229" s="532">
        <f t="shared" si="118"/>
        <v>0</v>
      </c>
      <c r="G229" s="533">
        <v>0</v>
      </c>
      <c r="H229" s="532">
        <f t="shared" si="119"/>
        <v>0</v>
      </c>
      <c r="I229" s="533">
        <v>0</v>
      </c>
      <c r="J229" s="532">
        <f t="shared" si="120"/>
        <v>0</v>
      </c>
      <c r="K229" s="533">
        <v>0</v>
      </c>
      <c r="L229" s="532">
        <f t="shared" si="121"/>
        <v>0</v>
      </c>
      <c r="M229" s="533">
        <v>0</v>
      </c>
      <c r="N229" s="532">
        <f t="shared" si="122"/>
        <v>0</v>
      </c>
      <c r="O229" s="533">
        <v>0</v>
      </c>
      <c r="P229" s="532">
        <f t="shared" si="123"/>
        <v>0</v>
      </c>
      <c r="Q229" s="533">
        <v>0</v>
      </c>
      <c r="R229" s="532">
        <f t="shared" si="124"/>
        <v>0</v>
      </c>
      <c r="S229" s="533">
        <v>0</v>
      </c>
      <c r="T229" s="532">
        <f t="shared" si="125"/>
        <v>0</v>
      </c>
      <c r="U229" s="533">
        <v>0</v>
      </c>
      <c r="V229" s="532">
        <f t="shared" si="126"/>
        <v>0</v>
      </c>
      <c r="W229" s="533">
        <v>0</v>
      </c>
      <c r="X229" s="532">
        <f t="shared" si="127"/>
        <v>0</v>
      </c>
      <c r="Y229" s="533">
        <v>0</v>
      </c>
      <c r="Z229" s="532">
        <f t="shared" si="128"/>
        <v>0</v>
      </c>
      <c r="AA229" s="534">
        <f t="shared" si="104"/>
        <v>0</v>
      </c>
      <c r="AB229" s="1"/>
      <c r="AC229" s="1"/>
      <c r="AD229" s="1"/>
      <c r="AE229" s="1"/>
    </row>
    <row r="230" spans="1:31" ht="14.4">
      <c r="A230" s="1"/>
      <c r="B230" s="530" t="str">
        <f t="shared" si="91"/>
        <v>Desarrollador backend SR</v>
      </c>
      <c r="C230" s="533">
        <v>0</v>
      </c>
      <c r="D230" s="532">
        <f t="shared" si="117"/>
        <v>0</v>
      </c>
      <c r="E230" s="533">
        <v>0</v>
      </c>
      <c r="F230" s="532">
        <f t="shared" si="118"/>
        <v>0</v>
      </c>
      <c r="G230" s="533">
        <v>0</v>
      </c>
      <c r="H230" s="532">
        <f t="shared" si="119"/>
        <v>0</v>
      </c>
      <c r="I230" s="533">
        <v>0</v>
      </c>
      <c r="J230" s="532">
        <f t="shared" si="120"/>
        <v>0</v>
      </c>
      <c r="K230" s="533">
        <v>0</v>
      </c>
      <c r="L230" s="532">
        <f t="shared" si="121"/>
        <v>0</v>
      </c>
      <c r="M230" s="533">
        <v>0</v>
      </c>
      <c r="N230" s="532">
        <f t="shared" si="122"/>
        <v>0</v>
      </c>
      <c r="O230" s="533">
        <v>0</v>
      </c>
      <c r="P230" s="532">
        <f t="shared" si="123"/>
        <v>0</v>
      </c>
      <c r="Q230" s="533">
        <v>0</v>
      </c>
      <c r="R230" s="532">
        <f t="shared" si="124"/>
        <v>0</v>
      </c>
      <c r="S230" s="533">
        <v>0</v>
      </c>
      <c r="T230" s="532">
        <f t="shared" si="125"/>
        <v>0</v>
      </c>
      <c r="U230" s="533">
        <v>0</v>
      </c>
      <c r="V230" s="532">
        <f t="shared" si="126"/>
        <v>0</v>
      </c>
      <c r="W230" s="533">
        <v>0</v>
      </c>
      <c r="X230" s="532">
        <f t="shared" si="127"/>
        <v>0</v>
      </c>
      <c r="Y230" s="533">
        <v>0</v>
      </c>
      <c r="Z230" s="532">
        <f t="shared" si="128"/>
        <v>0</v>
      </c>
      <c r="AA230" s="534">
        <f t="shared" si="104"/>
        <v>0</v>
      </c>
      <c r="AB230" s="1"/>
      <c r="AC230" s="1"/>
      <c r="AD230" s="1"/>
      <c r="AE230" s="1"/>
    </row>
    <row r="231" spans="1:31" ht="14.4">
      <c r="A231" s="1"/>
      <c r="B231" s="530" t="str">
        <f t="shared" si="91"/>
        <v>Desarrollador frontend SR</v>
      </c>
      <c r="C231" s="533">
        <v>0</v>
      </c>
      <c r="D231" s="532">
        <f t="shared" si="117"/>
        <v>0</v>
      </c>
      <c r="E231" s="533">
        <v>0</v>
      </c>
      <c r="F231" s="532">
        <f t="shared" si="118"/>
        <v>0</v>
      </c>
      <c r="G231" s="533">
        <v>0</v>
      </c>
      <c r="H231" s="532">
        <f t="shared" si="119"/>
        <v>0</v>
      </c>
      <c r="I231" s="533">
        <v>0</v>
      </c>
      <c r="J231" s="532">
        <f t="shared" si="120"/>
        <v>0</v>
      </c>
      <c r="K231" s="533">
        <v>0</v>
      </c>
      <c r="L231" s="532">
        <f t="shared" si="121"/>
        <v>0</v>
      </c>
      <c r="M231" s="533">
        <v>0</v>
      </c>
      <c r="N231" s="532">
        <f t="shared" si="122"/>
        <v>0</v>
      </c>
      <c r="O231" s="533">
        <v>0</v>
      </c>
      <c r="P231" s="532">
        <f t="shared" si="123"/>
        <v>0</v>
      </c>
      <c r="Q231" s="533">
        <v>0</v>
      </c>
      <c r="R231" s="532">
        <f t="shared" si="124"/>
        <v>0</v>
      </c>
      <c r="S231" s="533">
        <v>0</v>
      </c>
      <c r="T231" s="532">
        <f t="shared" si="125"/>
        <v>0</v>
      </c>
      <c r="U231" s="533">
        <v>0</v>
      </c>
      <c r="V231" s="532">
        <f t="shared" si="126"/>
        <v>0</v>
      </c>
      <c r="W231" s="533">
        <v>0</v>
      </c>
      <c r="X231" s="532">
        <f t="shared" si="127"/>
        <v>0</v>
      </c>
      <c r="Y231" s="533">
        <v>0</v>
      </c>
      <c r="Z231" s="532">
        <f t="shared" si="128"/>
        <v>0</v>
      </c>
      <c r="AA231" s="534">
        <f t="shared" si="104"/>
        <v>0</v>
      </c>
      <c r="AB231" s="1"/>
      <c r="AC231" s="1"/>
      <c r="AD231" s="1"/>
      <c r="AE231" s="1"/>
    </row>
    <row r="232" spans="1:31" ht="14.4">
      <c r="A232" s="1"/>
      <c r="B232" s="530" t="str">
        <f t="shared" si="91"/>
        <v>Coordinador tecnico</v>
      </c>
      <c r="C232" s="533">
        <v>0</v>
      </c>
      <c r="D232" s="532">
        <f t="shared" si="117"/>
        <v>0</v>
      </c>
      <c r="E232" s="533">
        <v>0</v>
      </c>
      <c r="F232" s="532">
        <f t="shared" si="118"/>
        <v>0</v>
      </c>
      <c r="G232" s="533">
        <v>0</v>
      </c>
      <c r="H232" s="532">
        <f t="shared" si="119"/>
        <v>0</v>
      </c>
      <c r="I232" s="533">
        <v>0</v>
      </c>
      <c r="J232" s="532">
        <f t="shared" si="120"/>
        <v>0</v>
      </c>
      <c r="K232" s="533">
        <v>0</v>
      </c>
      <c r="L232" s="532">
        <f t="shared" si="121"/>
        <v>0</v>
      </c>
      <c r="M232" s="533">
        <v>0</v>
      </c>
      <c r="N232" s="532">
        <f t="shared" si="122"/>
        <v>0</v>
      </c>
      <c r="O232" s="533">
        <v>0</v>
      </c>
      <c r="P232" s="532">
        <f t="shared" si="123"/>
        <v>0</v>
      </c>
      <c r="Q232" s="533">
        <v>0</v>
      </c>
      <c r="R232" s="532">
        <f t="shared" si="124"/>
        <v>0</v>
      </c>
      <c r="S232" s="533">
        <v>0</v>
      </c>
      <c r="T232" s="532">
        <f t="shared" si="125"/>
        <v>0</v>
      </c>
      <c r="U232" s="533">
        <v>0</v>
      </c>
      <c r="V232" s="532">
        <f t="shared" si="126"/>
        <v>0</v>
      </c>
      <c r="W232" s="533">
        <v>0</v>
      </c>
      <c r="X232" s="532">
        <f t="shared" si="127"/>
        <v>0</v>
      </c>
      <c r="Y232" s="533">
        <v>0</v>
      </c>
      <c r="Z232" s="532">
        <f t="shared" si="128"/>
        <v>0</v>
      </c>
      <c r="AA232" s="534">
        <f t="shared" si="104"/>
        <v>0</v>
      </c>
      <c r="AB232" s="1"/>
      <c r="AC232" s="1"/>
      <c r="AD232" s="1"/>
      <c r="AE232" s="1"/>
    </row>
    <row r="233" spans="1:31" ht="14.4">
      <c r="A233" s="1"/>
      <c r="B233" s="530" t="str">
        <f t="shared" si="91"/>
        <v>Especialista en redes</v>
      </c>
      <c r="C233" s="533">
        <v>0</v>
      </c>
      <c r="D233" s="532">
        <f t="shared" si="117"/>
        <v>0</v>
      </c>
      <c r="E233" s="533">
        <v>0</v>
      </c>
      <c r="F233" s="532">
        <f t="shared" si="118"/>
        <v>0</v>
      </c>
      <c r="G233" s="533">
        <v>0</v>
      </c>
      <c r="H233" s="532">
        <f t="shared" si="119"/>
        <v>0</v>
      </c>
      <c r="I233" s="533">
        <v>0</v>
      </c>
      <c r="J233" s="532">
        <f t="shared" si="120"/>
        <v>0</v>
      </c>
      <c r="K233" s="533">
        <v>0</v>
      </c>
      <c r="L233" s="532">
        <f t="shared" si="121"/>
        <v>0</v>
      </c>
      <c r="M233" s="533">
        <v>0</v>
      </c>
      <c r="N233" s="532">
        <f t="shared" si="122"/>
        <v>0</v>
      </c>
      <c r="O233" s="533">
        <v>0</v>
      </c>
      <c r="P233" s="532">
        <f t="shared" si="123"/>
        <v>0</v>
      </c>
      <c r="Q233" s="533">
        <v>0</v>
      </c>
      <c r="R233" s="532">
        <f t="shared" si="124"/>
        <v>0</v>
      </c>
      <c r="S233" s="533">
        <v>0</v>
      </c>
      <c r="T233" s="532">
        <f t="shared" si="125"/>
        <v>0</v>
      </c>
      <c r="U233" s="533">
        <v>0</v>
      </c>
      <c r="V233" s="532">
        <f t="shared" si="126"/>
        <v>0</v>
      </c>
      <c r="W233" s="533">
        <v>0</v>
      </c>
      <c r="X233" s="532">
        <f t="shared" si="127"/>
        <v>0</v>
      </c>
      <c r="Y233" s="533">
        <v>0</v>
      </c>
      <c r="Z233" s="532">
        <f t="shared" si="128"/>
        <v>0</v>
      </c>
      <c r="AA233" s="534">
        <f t="shared" si="104"/>
        <v>0</v>
      </c>
      <c r="AB233" s="1"/>
      <c r="AC233" s="1"/>
      <c r="AD233" s="1"/>
      <c r="AE233" s="1"/>
    </row>
    <row r="234" spans="1:31" ht="14.4">
      <c r="A234" s="1"/>
      <c r="B234" s="530" t="str">
        <f t="shared" si="91"/>
        <v>Tecnico instalador tecnología</v>
      </c>
      <c r="C234" s="533">
        <v>0</v>
      </c>
      <c r="D234" s="532">
        <f t="shared" si="117"/>
        <v>0</v>
      </c>
      <c r="E234" s="533">
        <v>0</v>
      </c>
      <c r="F234" s="532">
        <f t="shared" si="118"/>
        <v>0</v>
      </c>
      <c r="G234" s="533">
        <v>0</v>
      </c>
      <c r="H234" s="532">
        <f t="shared" si="119"/>
        <v>0</v>
      </c>
      <c r="I234" s="533">
        <v>0</v>
      </c>
      <c r="J234" s="532">
        <f t="shared" si="120"/>
        <v>0</v>
      </c>
      <c r="K234" s="533">
        <v>0</v>
      </c>
      <c r="L234" s="532">
        <f t="shared" si="121"/>
        <v>0</v>
      </c>
      <c r="M234" s="533">
        <v>0</v>
      </c>
      <c r="N234" s="532">
        <f t="shared" si="122"/>
        <v>0</v>
      </c>
      <c r="O234" s="533">
        <v>0</v>
      </c>
      <c r="P234" s="532">
        <f t="shared" si="123"/>
        <v>0</v>
      </c>
      <c r="Q234" s="533">
        <v>0</v>
      </c>
      <c r="R234" s="532">
        <f t="shared" si="124"/>
        <v>0</v>
      </c>
      <c r="S234" s="533">
        <v>0</v>
      </c>
      <c r="T234" s="532">
        <f t="shared" si="125"/>
        <v>0</v>
      </c>
      <c r="U234" s="533">
        <v>0</v>
      </c>
      <c r="V234" s="532">
        <f t="shared" si="126"/>
        <v>0</v>
      </c>
      <c r="W234" s="533">
        <v>0</v>
      </c>
      <c r="X234" s="532">
        <f t="shared" si="127"/>
        <v>0</v>
      </c>
      <c r="Y234" s="533">
        <v>0</v>
      </c>
      <c r="Z234" s="532">
        <f t="shared" si="128"/>
        <v>0</v>
      </c>
      <c r="AA234" s="534">
        <f t="shared" si="104"/>
        <v>0</v>
      </c>
      <c r="AB234" s="1"/>
      <c r="AC234" s="1"/>
      <c r="AD234" s="1"/>
      <c r="AE234" s="1"/>
    </row>
    <row r="235" spans="1:31" ht="14.4">
      <c r="A235" s="1"/>
      <c r="B235" s="530" t="str">
        <f t="shared" si="91"/>
        <v>Soporte tecnico</v>
      </c>
      <c r="C235" s="533">
        <v>0</v>
      </c>
      <c r="D235" s="532">
        <f t="shared" si="117"/>
        <v>0</v>
      </c>
      <c r="E235" s="533">
        <v>0</v>
      </c>
      <c r="F235" s="532">
        <f t="shared" si="118"/>
        <v>0</v>
      </c>
      <c r="G235" s="533">
        <v>0</v>
      </c>
      <c r="H235" s="532">
        <f t="shared" si="119"/>
        <v>0</v>
      </c>
      <c r="I235" s="533">
        <v>0</v>
      </c>
      <c r="J235" s="532">
        <f t="shared" si="120"/>
        <v>0</v>
      </c>
      <c r="K235" s="533">
        <v>0</v>
      </c>
      <c r="L235" s="532">
        <f t="shared" si="121"/>
        <v>0</v>
      </c>
      <c r="M235" s="533">
        <v>0</v>
      </c>
      <c r="N235" s="532">
        <f t="shared" si="122"/>
        <v>0</v>
      </c>
      <c r="O235" s="533">
        <v>0</v>
      </c>
      <c r="P235" s="532">
        <f t="shared" si="123"/>
        <v>0</v>
      </c>
      <c r="Q235" s="533">
        <v>0</v>
      </c>
      <c r="R235" s="532">
        <f t="shared" si="124"/>
        <v>0</v>
      </c>
      <c r="S235" s="533">
        <v>0</v>
      </c>
      <c r="T235" s="532">
        <f t="shared" si="125"/>
        <v>0</v>
      </c>
      <c r="U235" s="533">
        <v>0</v>
      </c>
      <c r="V235" s="532">
        <f t="shared" si="126"/>
        <v>0</v>
      </c>
      <c r="W235" s="533">
        <v>0</v>
      </c>
      <c r="X235" s="532">
        <f t="shared" si="127"/>
        <v>0</v>
      </c>
      <c r="Y235" s="533">
        <v>0</v>
      </c>
      <c r="Z235" s="532">
        <f t="shared" si="128"/>
        <v>0</v>
      </c>
      <c r="AA235" s="534">
        <f t="shared" si="104"/>
        <v>0</v>
      </c>
      <c r="AB235" s="1"/>
      <c r="AC235" s="1"/>
      <c r="AD235" s="1"/>
      <c r="AE235" s="1"/>
    </row>
    <row r="236" spans="1:31" ht="14.4">
      <c r="A236" s="1"/>
      <c r="B236" s="530" t="str">
        <f t="shared" si="91"/>
        <v>QA</v>
      </c>
      <c r="C236" s="533">
        <v>0</v>
      </c>
      <c r="D236" s="532">
        <f t="shared" si="117"/>
        <v>0</v>
      </c>
      <c r="E236" s="533">
        <v>0</v>
      </c>
      <c r="F236" s="532">
        <f t="shared" si="118"/>
        <v>0</v>
      </c>
      <c r="G236" s="533">
        <v>0</v>
      </c>
      <c r="H236" s="532">
        <f t="shared" si="119"/>
        <v>0</v>
      </c>
      <c r="I236" s="533">
        <v>0</v>
      </c>
      <c r="J236" s="532">
        <f t="shared" si="120"/>
        <v>0</v>
      </c>
      <c r="K236" s="533">
        <v>0</v>
      </c>
      <c r="L236" s="532">
        <f t="shared" si="121"/>
        <v>0</v>
      </c>
      <c r="M236" s="533">
        <v>0</v>
      </c>
      <c r="N236" s="532">
        <f t="shared" si="122"/>
        <v>0</v>
      </c>
      <c r="O236" s="533">
        <v>0</v>
      </c>
      <c r="P236" s="532">
        <f t="shared" si="123"/>
        <v>0</v>
      </c>
      <c r="Q236" s="533">
        <v>0</v>
      </c>
      <c r="R236" s="532">
        <f t="shared" si="124"/>
        <v>0</v>
      </c>
      <c r="S236" s="533">
        <v>0</v>
      </c>
      <c r="T236" s="532">
        <f t="shared" si="125"/>
        <v>0</v>
      </c>
      <c r="U236" s="533">
        <v>0</v>
      </c>
      <c r="V236" s="532">
        <f t="shared" si="126"/>
        <v>0</v>
      </c>
      <c r="W236" s="533">
        <v>0</v>
      </c>
      <c r="X236" s="532">
        <f t="shared" si="127"/>
        <v>0</v>
      </c>
      <c r="Y236" s="533">
        <v>0</v>
      </c>
      <c r="Z236" s="532">
        <f t="shared" si="128"/>
        <v>0</v>
      </c>
      <c r="AA236" s="534">
        <f t="shared" si="104"/>
        <v>0</v>
      </c>
      <c r="AB236" s="1"/>
      <c r="AC236" s="1"/>
      <c r="AD236" s="1"/>
      <c r="AE236" s="1"/>
    </row>
    <row r="237" spans="1:31" ht="14.4">
      <c r="A237" s="1"/>
      <c r="B237" s="530" t="str">
        <f t="shared" si="91"/>
        <v>Auxiliar tecnico</v>
      </c>
      <c r="C237" s="533">
        <v>0</v>
      </c>
      <c r="D237" s="532">
        <f t="shared" si="117"/>
        <v>0</v>
      </c>
      <c r="E237" s="533">
        <v>0</v>
      </c>
      <c r="F237" s="532">
        <f t="shared" si="118"/>
        <v>0</v>
      </c>
      <c r="G237" s="533">
        <v>0</v>
      </c>
      <c r="H237" s="532">
        <f t="shared" si="119"/>
        <v>0</v>
      </c>
      <c r="I237" s="533">
        <v>0</v>
      </c>
      <c r="J237" s="532">
        <f t="shared" si="120"/>
        <v>0</v>
      </c>
      <c r="K237" s="533">
        <v>0</v>
      </c>
      <c r="L237" s="532">
        <f t="shared" si="121"/>
        <v>0</v>
      </c>
      <c r="M237" s="533">
        <v>0</v>
      </c>
      <c r="N237" s="532">
        <f t="shared" si="122"/>
        <v>0</v>
      </c>
      <c r="O237" s="533">
        <v>0</v>
      </c>
      <c r="P237" s="532">
        <f t="shared" si="123"/>
        <v>0</v>
      </c>
      <c r="Q237" s="533">
        <v>0</v>
      </c>
      <c r="R237" s="532">
        <f t="shared" si="124"/>
        <v>0</v>
      </c>
      <c r="S237" s="533">
        <v>0</v>
      </c>
      <c r="T237" s="532">
        <f t="shared" si="125"/>
        <v>0</v>
      </c>
      <c r="U237" s="533">
        <v>0</v>
      </c>
      <c r="V237" s="532">
        <f t="shared" si="126"/>
        <v>0</v>
      </c>
      <c r="W237" s="533">
        <v>0</v>
      </c>
      <c r="X237" s="532">
        <f t="shared" si="127"/>
        <v>0</v>
      </c>
      <c r="Y237" s="533">
        <v>0</v>
      </c>
      <c r="Z237" s="532">
        <f t="shared" si="128"/>
        <v>0</v>
      </c>
      <c r="AA237" s="534">
        <f t="shared" si="104"/>
        <v>0</v>
      </c>
      <c r="AB237" s="1"/>
      <c r="AC237" s="1"/>
      <c r="AD237" s="1"/>
      <c r="AE237" s="1"/>
    </row>
    <row r="238" spans="1:31" ht="14.4">
      <c r="A238" s="1"/>
      <c r="B238" s="530" t="str">
        <f t="shared" si="91"/>
        <v>Gerente de servicio tecnico</v>
      </c>
      <c r="C238" s="533">
        <v>0</v>
      </c>
      <c r="D238" s="532">
        <f t="shared" si="117"/>
        <v>0</v>
      </c>
      <c r="E238" s="533">
        <v>0</v>
      </c>
      <c r="F238" s="532">
        <f t="shared" si="118"/>
        <v>0</v>
      </c>
      <c r="G238" s="533">
        <v>0</v>
      </c>
      <c r="H238" s="532">
        <f t="shared" si="119"/>
        <v>0</v>
      </c>
      <c r="I238" s="533">
        <v>0</v>
      </c>
      <c r="J238" s="532">
        <f t="shared" si="120"/>
        <v>0</v>
      </c>
      <c r="K238" s="533">
        <v>0</v>
      </c>
      <c r="L238" s="532">
        <f t="shared" si="121"/>
        <v>0</v>
      </c>
      <c r="M238" s="533">
        <v>0</v>
      </c>
      <c r="N238" s="532">
        <f t="shared" si="122"/>
        <v>0</v>
      </c>
      <c r="O238" s="533">
        <v>0</v>
      </c>
      <c r="P238" s="532">
        <f t="shared" si="123"/>
        <v>0</v>
      </c>
      <c r="Q238" s="533">
        <v>0</v>
      </c>
      <c r="R238" s="532">
        <f t="shared" si="124"/>
        <v>0</v>
      </c>
      <c r="S238" s="533">
        <v>0</v>
      </c>
      <c r="T238" s="532">
        <f t="shared" si="125"/>
        <v>0</v>
      </c>
      <c r="U238" s="533">
        <v>0</v>
      </c>
      <c r="V238" s="532">
        <f t="shared" si="126"/>
        <v>0</v>
      </c>
      <c r="W238" s="533">
        <v>0</v>
      </c>
      <c r="X238" s="532">
        <f t="shared" si="127"/>
        <v>0</v>
      </c>
      <c r="Y238" s="533">
        <v>0</v>
      </c>
      <c r="Z238" s="532">
        <f t="shared" si="128"/>
        <v>0</v>
      </c>
      <c r="AA238" s="534">
        <f t="shared" si="104"/>
        <v>0</v>
      </c>
      <c r="AB238" s="1"/>
      <c r="AC238" s="1"/>
      <c r="AD238" s="1"/>
      <c r="AE238" s="1"/>
    </row>
    <row r="239" spans="1:31" ht="14.4">
      <c r="A239" s="1"/>
      <c r="B239" s="530" t="str">
        <f t="shared" si="91"/>
        <v>Coordinador tecnico</v>
      </c>
      <c r="C239" s="533">
        <v>0</v>
      </c>
      <c r="D239" s="532">
        <f t="shared" si="117"/>
        <v>0</v>
      </c>
      <c r="E239" s="533">
        <v>0</v>
      </c>
      <c r="F239" s="532">
        <f t="shared" si="118"/>
        <v>0</v>
      </c>
      <c r="G239" s="533">
        <v>0</v>
      </c>
      <c r="H239" s="532">
        <f t="shared" si="119"/>
        <v>0</v>
      </c>
      <c r="I239" s="533">
        <v>0</v>
      </c>
      <c r="J239" s="532">
        <f t="shared" si="120"/>
        <v>0</v>
      </c>
      <c r="K239" s="533">
        <v>0</v>
      </c>
      <c r="L239" s="532">
        <f t="shared" si="121"/>
        <v>0</v>
      </c>
      <c r="M239" s="533">
        <v>0</v>
      </c>
      <c r="N239" s="532">
        <f t="shared" si="122"/>
        <v>0</v>
      </c>
      <c r="O239" s="533">
        <v>0</v>
      </c>
      <c r="P239" s="532">
        <f t="shared" si="123"/>
        <v>0</v>
      </c>
      <c r="Q239" s="533">
        <v>0</v>
      </c>
      <c r="R239" s="532">
        <f t="shared" si="124"/>
        <v>0</v>
      </c>
      <c r="S239" s="533">
        <v>0</v>
      </c>
      <c r="T239" s="532">
        <f t="shared" si="125"/>
        <v>0</v>
      </c>
      <c r="U239" s="533">
        <v>0</v>
      </c>
      <c r="V239" s="532">
        <f t="shared" si="126"/>
        <v>0</v>
      </c>
      <c r="W239" s="533">
        <v>0</v>
      </c>
      <c r="X239" s="532">
        <f t="shared" si="127"/>
        <v>0</v>
      </c>
      <c r="Y239" s="533">
        <v>0</v>
      </c>
      <c r="Z239" s="532">
        <f t="shared" si="128"/>
        <v>0</v>
      </c>
      <c r="AA239" s="534">
        <f t="shared" si="104"/>
        <v>0</v>
      </c>
      <c r="AB239" s="1"/>
      <c r="AC239" s="1"/>
      <c r="AD239" s="1"/>
      <c r="AE239" s="1"/>
    </row>
    <row r="240" spans="1:31" ht="14.4">
      <c r="A240" s="1"/>
      <c r="B240" s="530" t="str">
        <f t="shared" si="91"/>
        <v>Coordinador de operaciones</v>
      </c>
      <c r="C240" s="533">
        <v>0</v>
      </c>
      <c r="D240" s="532">
        <f t="shared" si="117"/>
        <v>0</v>
      </c>
      <c r="E240" s="533">
        <v>0</v>
      </c>
      <c r="F240" s="532">
        <f t="shared" si="118"/>
        <v>0</v>
      </c>
      <c r="G240" s="533">
        <v>0</v>
      </c>
      <c r="H240" s="532">
        <f t="shared" si="119"/>
        <v>0</v>
      </c>
      <c r="I240" s="533">
        <v>0</v>
      </c>
      <c r="J240" s="532">
        <f t="shared" si="120"/>
        <v>0</v>
      </c>
      <c r="K240" s="533">
        <v>0</v>
      </c>
      <c r="L240" s="532">
        <f t="shared" si="121"/>
        <v>0</v>
      </c>
      <c r="M240" s="533">
        <v>0</v>
      </c>
      <c r="N240" s="532">
        <f t="shared" si="122"/>
        <v>0</v>
      </c>
      <c r="O240" s="533">
        <v>0</v>
      </c>
      <c r="P240" s="532">
        <f t="shared" si="123"/>
        <v>0</v>
      </c>
      <c r="Q240" s="533">
        <v>0</v>
      </c>
      <c r="R240" s="532">
        <f t="shared" si="124"/>
        <v>0</v>
      </c>
      <c r="S240" s="533">
        <v>0</v>
      </c>
      <c r="T240" s="532">
        <f t="shared" si="125"/>
        <v>0</v>
      </c>
      <c r="U240" s="533">
        <v>0</v>
      </c>
      <c r="V240" s="532">
        <f t="shared" si="126"/>
        <v>0</v>
      </c>
      <c r="W240" s="533">
        <v>0</v>
      </c>
      <c r="X240" s="532">
        <f t="shared" si="127"/>
        <v>0</v>
      </c>
      <c r="Y240" s="533">
        <v>0</v>
      </c>
      <c r="Z240" s="532">
        <f t="shared" si="128"/>
        <v>0</v>
      </c>
      <c r="AA240" s="534">
        <f t="shared" si="104"/>
        <v>0</v>
      </c>
      <c r="AB240" s="1"/>
      <c r="AC240" s="1"/>
      <c r="AD240" s="1"/>
      <c r="AE240" s="1"/>
    </row>
    <row r="241" spans="1:31" ht="14.4">
      <c r="A241" s="1"/>
      <c r="B241" s="530" t="str">
        <f t="shared" si="91"/>
        <v>Tecnico instalador servicios</v>
      </c>
      <c r="C241" s="533">
        <v>0</v>
      </c>
      <c r="D241" s="532">
        <f t="shared" si="117"/>
        <v>0</v>
      </c>
      <c r="E241" s="533">
        <v>0</v>
      </c>
      <c r="F241" s="532">
        <f t="shared" si="118"/>
        <v>0</v>
      </c>
      <c r="G241" s="533">
        <v>0</v>
      </c>
      <c r="H241" s="532">
        <f t="shared" si="119"/>
        <v>0</v>
      </c>
      <c r="I241" s="533">
        <v>0</v>
      </c>
      <c r="J241" s="532">
        <f t="shared" si="120"/>
        <v>0</v>
      </c>
      <c r="K241" s="533">
        <v>0</v>
      </c>
      <c r="L241" s="532">
        <f t="shared" si="121"/>
        <v>0</v>
      </c>
      <c r="M241" s="533">
        <v>0</v>
      </c>
      <c r="N241" s="532">
        <f t="shared" si="122"/>
        <v>0</v>
      </c>
      <c r="O241" s="533">
        <v>0</v>
      </c>
      <c r="P241" s="532">
        <f t="shared" si="123"/>
        <v>0</v>
      </c>
      <c r="Q241" s="533">
        <v>0</v>
      </c>
      <c r="R241" s="532">
        <f t="shared" si="124"/>
        <v>0</v>
      </c>
      <c r="S241" s="533">
        <v>0</v>
      </c>
      <c r="T241" s="532">
        <f t="shared" si="125"/>
        <v>0</v>
      </c>
      <c r="U241" s="533">
        <v>0</v>
      </c>
      <c r="V241" s="532">
        <f t="shared" si="126"/>
        <v>0</v>
      </c>
      <c r="W241" s="533">
        <v>0</v>
      </c>
      <c r="X241" s="532">
        <f t="shared" si="127"/>
        <v>0</v>
      </c>
      <c r="Y241" s="533">
        <v>0</v>
      </c>
      <c r="Z241" s="532">
        <f t="shared" si="128"/>
        <v>0</v>
      </c>
      <c r="AA241" s="534">
        <f t="shared" si="104"/>
        <v>0</v>
      </c>
      <c r="AB241" s="1"/>
      <c r="AC241" s="1"/>
      <c r="AD241" s="1"/>
      <c r="AE241" s="1"/>
    </row>
    <row r="242" spans="1:31" ht="14.4">
      <c r="A242" s="1"/>
      <c r="B242" s="530" t="str">
        <f t="shared" si="91"/>
        <v>Coordinador de soporte</v>
      </c>
      <c r="C242" s="531">
        <v>1</v>
      </c>
      <c r="D242" s="532">
        <f t="shared" si="117"/>
        <v>1707038.57</v>
      </c>
      <c r="E242" s="531">
        <v>1</v>
      </c>
      <c r="F242" s="532">
        <f t="shared" si="118"/>
        <v>1707038.57</v>
      </c>
      <c r="G242" s="531">
        <v>1</v>
      </c>
      <c r="H242" s="532">
        <f t="shared" si="119"/>
        <v>1707038.57</v>
      </c>
      <c r="I242" s="531">
        <v>1</v>
      </c>
      <c r="J242" s="532">
        <f t="shared" si="120"/>
        <v>1707038.57</v>
      </c>
      <c r="K242" s="531">
        <v>1</v>
      </c>
      <c r="L242" s="532">
        <f t="shared" si="121"/>
        <v>1707038.57</v>
      </c>
      <c r="M242" s="531">
        <v>1</v>
      </c>
      <c r="N242" s="532">
        <f t="shared" si="122"/>
        <v>2560557.855</v>
      </c>
      <c r="O242" s="531">
        <v>1</v>
      </c>
      <c r="P242" s="532">
        <f t="shared" si="123"/>
        <v>1707038.57</v>
      </c>
      <c r="Q242" s="531">
        <v>1</v>
      </c>
      <c r="R242" s="532">
        <f t="shared" si="124"/>
        <v>1707038.57</v>
      </c>
      <c r="S242" s="531">
        <v>1</v>
      </c>
      <c r="T242" s="532">
        <f t="shared" si="125"/>
        <v>1707038.57</v>
      </c>
      <c r="U242" s="531">
        <v>1</v>
      </c>
      <c r="V242" s="532">
        <f t="shared" si="126"/>
        <v>1707038.57</v>
      </c>
      <c r="W242" s="531">
        <v>1</v>
      </c>
      <c r="X242" s="532">
        <f t="shared" si="127"/>
        <v>1707038.57</v>
      </c>
      <c r="Y242" s="531">
        <v>1</v>
      </c>
      <c r="Z242" s="532">
        <f t="shared" si="128"/>
        <v>2560557.855</v>
      </c>
      <c r="AA242" s="534">
        <f t="shared" si="104"/>
        <v>22191501.41</v>
      </c>
      <c r="AB242" s="1"/>
      <c r="AC242" s="1"/>
      <c r="AD242" s="1"/>
      <c r="AE242" s="1"/>
    </row>
    <row r="243" spans="1:31" ht="14.4">
      <c r="A243" s="1"/>
      <c r="B243" s="530" t="str">
        <f t="shared" si="91"/>
        <v>Tecnico de plataforma</v>
      </c>
      <c r="C243" s="533">
        <v>0</v>
      </c>
      <c r="D243" s="532">
        <f t="shared" si="117"/>
        <v>0</v>
      </c>
      <c r="E243" s="533">
        <v>0</v>
      </c>
      <c r="F243" s="532">
        <f t="shared" si="118"/>
        <v>0</v>
      </c>
      <c r="G243" s="533">
        <v>0</v>
      </c>
      <c r="H243" s="532">
        <f t="shared" si="119"/>
        <v>0</v>
      </c>
      <c r="I243" s="533">
        <v>0</v>
      </c>
      <c r="J243" s="532">
        <f t="shared" si="120"/>
        <v>0</v>
      </c>
      <c r="K243" s="533">
        <v>0</v>
      </c>
      <c r="L243" s="532">
        <f t="shared" si="121"/>
        <v>0</v>
      </c>
      <c r="M243" s="533">
        <v>0</v>
      </c>
      <c r="N243" s="532">
        <f t="shared" si="122"/>
        <v>0</v>
      </c>
      <c r="O243" s="533">
        <v>0</v>
      </c>
      <c r="P243" s="532">
        <f t="shared" si="123"/>
        <v>0</v>
      </c>
      <c r="Q243" s="533">
        <v>0</v>
      </c>
      <c r="R243" s="532">
        <f t="shared" si="124"/>
        <v>0</v>
      </c>
      <c r="S243" s="533">
        <v>0</v>
      </c>
      <c r="T243" s="532">
        <f t="shared" si="125"/>
        <v>0</v>
      </c>
      <c r="U243" s="533">
        <v>0</v>
      </c>
      <c r="V243" s="532">
        <f t="shared" si="126"/>
        <v>0</v>
      </c>
      <c r="W243" s="533">
        <v>0</v>
      </c>
      <c r="X243" s="532">
        <f t="shared" si="127"/>
        <v>0</v>
      </c>
      <c r="Y243" s="533">
        <v>0</v>
      </c>
      <c r="Z243" s="532">
        <f t="shared" si="128"/>
        <v>0</v>
      </c>
      <c r="AA243" s="534">
        <f t="shared" si="104"/>
        <v>0</v>
      </c>
      <c r="AB243" s="1"/>
      <c r="AC243" s="1"/>
      <c r="AD243" s="1"/>
      <c r="AE243" s="1"/>
    </row>
    <row r="244" spans="1:31" ht="14.4">
      <c r="A244" s="1"/>
      <c r="B244" s="530" t="str">
        <f t="shared" si="91"/>
        <v>Operador de monitoreo</v>
      </c>
      <c r="C244" s="533">
        <v>0</v>
      </c>
      <c r="D244" s="532">
        <f t="shared" si="117"/>
        <v>0</v>
      </c>
      <c r="E244" s="533">
        <v>0</v>
      </c>
      <c r="F244" s="532">
        <f t="shared" si="118"/>
        <v>0</v>
      </c>
      <c r="G244" s="533">
        <v>0</v>
      </c>
      <c r="H244" s="532">
        <f t="shared" si="119"/>
        <v>0</v>
      </c>
      <c r="I244" s="533">
        <v>0</v>
      </c>
      <c r="J244" s="532">
        <f t="shared" si="120"/>
        <v>0</v>
      </c>
      <c r="K244" s="533">
        <v>0</v>
      </c>
      <c r="L244" s="532">
        <f t="shared" si="121"/>
        <v>0</v>
      </c>
      <c r="M244" s="533">
        <v>0</v>
      </c>
      <c r="N244" s="532">
        <f t="shared" si="122"/>
        <v>0</v>
      </c>
      <c r="O244" s="533">
        <v>0</v>
      </c>
      <c r="P244" s="532">
        <f t="shared" si="123"/>
        <v>0</v>
      </c>
      <c r="Q244" s="533">
        <v>0</v>
      </c>
      <c r="R244" s="532">
        <f t="shared" si="124"/>
        <v>0</v>
      </c>
      <c r="S244" s="533">
        <v>0</v>
      </c>
      <c r="T244" s="532">
        <f t="shared" si="125"/>
        <v>0</v>
      </c>
      <c r="U244" s="533">
        <v>0</v>
      </c>
      <c r="V244" s="532">
        <f t="shared" si="126"/>
        <v>0</v>
      </c>
      <c r="W244" s="533">
        <v>0</v>
      </c>
      <c r="X244" s="532">
        <f t="shared" si="127"/>
        <v>0</v>
      </c>
      <c r="Y244" s="533">
        <v>0</v>
      </c>
      <c r="Z244" s="532">
        <f t="shared" si="128"/>
        <v>0</v>
      </c>
      <c r="AA244" s="534">
        <f t="shared" si="104"/>
        <v>0</v>
      </c>
      <c r="AB244" s="1"/>
      <c r="AC244" s="1"/>
      <c r="AD244" s="1"/>
      <c r="AE244" s="1"/>
    </row>
    <row r="245" spans="1:31" ht="14.4">
      <c r="A245" s="1"/>
      <c r="B245" s="530" t="str">
        <f t="shared" si="91"/>
        <v>Tecnico de soporte</v>
      </c>
      <c r="C245" s="533">
        <v>0</v>
      </c>
      <c r="D245" s="532">
        <f t="shared" si="117"/>
        <v>0</v>
      </c>
      <c r="E245" s="533">
        <v>0</v>
      </c>
      <c r="F245" s="532">
        <f t="shared" si="118"/>
        <v>0</v>
      </c>
      <c r="G245" s="533">
        <v>0</v>
      </c>
      <c r="H245" s="532">
        <f t="shared" si="119"/>
        <v>0</v>
      </c>
      <c r="I245" s="533">
        <v>0</v>
      </c>
      <c r="J245" s="532">
        <f t="shared" si="120"/>
        <v>0</v>
      </c>
      <c r="K245" s="533">
        <v>0</v>
      </c>
      <c r="L245" s="532">
        <f t="shared" si="121"/>
        <v>0</v>
      </c>
      <c r="M245" s="533">
        <v>0</v>
      </c>
      <c r="N245" s="532">
        <f t="shared" si="122"/>
        <v>0</v>
      </c>
      <c r="O245" s="533">
        <v>0</v>
      </c>
      <c r="P245" s="532">
        <f t="shared" si="123"/>
        <v>0</v>
      </c>
      <c r="Q245" s="533">
        <v>0</v>
      </c>
      <c r="R245" s="532">
        <f t="shared" si="124"/>
        <v>0</v>
      </c>
      <c r="S245" s="533">
        <v>0</v>
      </c>
      <c r="T245" s="532">
        <f t="shared" si="125"/>
        <v>0</v>
      </c>
      <c r="U245" s="533">
        <v>0</v>
      </c>
      <c r="V245" s="532">
        <f t="shared" si="126"/>
        <v>0</v>
      </c>
      <c r="W245" s="533">
        <v>0</v>
      </c>
      <c r="X245" s="532">
        <f t="shared" si="127"/>
        <v>0</v>
      </c>
      <c r="Y245" s="533">
        <v>0</v>
      </c>
      <c r="Z245" s="532">
        <f t="shared" si="128"/>
        <v>0</v>
      </c>
      <c r="AA245" s="534">
        <f t="shared" si="104"/>
        <v>0</v>
      </c>
      <c r="AB245" s="1"/>
      <c r="AC245" s="1"/>
      <c r="AD245" s="1"/>
      <c r="AE245" s="1"/>
    </row>
    <row r="246" spans="1:31" ht="14.4">
      <c r="A246" s="1"/>
      <c r="B246" s="530" t="str">
        <f t="shared" si="91"/>
        <v>Soporte de nivel 1</v>
      </c>
      <c r="C246" s="535">
        <v>3</v>
      </c>
      <c r="D246" s="532">
        <f t="shared" si="117"/>
        <v>3657955.71</v>
      </c>
      <c r="E246" s="531">
        <v>3</v>
      </c>
      <c r="F246" s="532">
        <f t="shared" si="118"/>
        <v>3657955.71</v>
      </c>
      <c r="G246" s="531">
        <v>3</v>
      </c>
      <c r="H246" s="532">
        <f t="shared" si="119"/>
        <v>3657955.71</v>
      </c>
      <c r="I246" s="531">
        <v>3</v>
      </c>
      <c r="J246" s="532">
        <f t="shared" si="120"/>
        <v>3657955.71</v>
      </c>
      <c r="K246" s="531">
        <v>3</v>
      </c>
      <c r="L246" s="532">
        <f t="shared" si="121"/>
        <v>3657955.71</v>
      </c>
      <c r="M246" s="531">
        <v>3</v>
      </c>
      <c r="N246" s="532">
        <f t="shared" si="122"/>
        <v>5486933.5649999995</v>
      </c>
      <c r="O246" s="535">
        <v>4</v>
      </c>
      <c r="P246" s="532">
        <f t="shared" si="123"/>
        <v>4877274.28</v>
      </c>
      <c r="Q246" s="531">
        <v>4</v>
      </c>
      <c r="R246" s="532">
        <f t="shared" si="124"/>
        <v>4877274.28</v>
      </c>
      <c r="S246" s="531">
        <v>4</v>
      </c>
      <c r="T246" s="532">
        <f t="shared" si="125"/>
        <v>4877274.28</v>
      </c>
      <c r="U246" s="531">
        <v>4</v>
      </c>
      <c r="V246" s="532">
        <f t="shared" si="126"/>
        <v>4877274.28</v>
      </c>
      <c r="W246" s="531">
        <v>4</v>
      </c>
      <c r="X246" s="532">
        <f t="shared" si="127"/>
        <v>4877274.28</v>
      </c>
      <c r="Y246" s="531">
        <v>4</v>
      </c>
      <c r="Z246" s="532">
        <f t="shared" si="128"/>
        <v>7315911.4199999999</v>
      </c>
      <c r="AA246" s="534">
        <f t="shared" si="104"/>
        <v>55478994.93500001</v>
      </c>
      <c r="AB246" s="1"/>
      <c r="AC246" s="1"/>
      <c r="AD246" s="1"/>
      <c r="AE246" s="1"/>
    </row>
    <row r="247" spans="1:31" ht="14.4">
      <c r="A247" s="1"/>
      <c r="B247" s="530" t="str">
        <f t="shared" si="91"/>
        <v>Tecnico de inventario</v>
      </c>
      <c r="C247" s="533">
        <v>0</v>
      </c>
      <c r="D247" s="532">
        <f t="shared" si="117"/>
        <v>0</v>
      </c>
      <c r="E247" s="533">
        <v>0</v>
      </c>
      <c r="F247" s="532">
        <f t="shared" si="118"/>
        <v>0</v>
      </c>
      <c r="G247" s="533">
        <v>0</v>
      </c>
      <c r="H247" s="532">
        <f t="shared" si="119"/>
        <v>0</v>
      </c>
      <c r="I247" s="533">
        <v>0</v>
      </c>
      <c r="J247" s="532">
        <f t="shared" si="120"/>
        <v>0</v>
      </c>
      <c r="K247" s="533">
        <v>0</v>
      </c>
      <c r="L247" s="532">
        <f t="shared" si="121"/>
        <v>0</v>
      </c>
      <c r="M247" s="533">
        <v>0</v>
      </c>
      <c r="N247" s="532">
        <f t="shared" si="122"/>
        <v>0</v>
      </c>
      <c r="O247" s="533">
        <v>0</v>
      </c>
      <c r="P247" s="532">
        <f t="shared" si="123"/>
        <v>0</v>
      </c>
      <c r="Q247" s="533">
        <v>0</v>
      </c>
      <c r="R247" s="532">
        <f t="shared" si="124"/>
        <v>0</v>
      </c>
      <c r="S247" s="533">
        <v>0</v>
      </c>
      <c r="T247" s="532">
        <f t="shared" si="125"/>
        <v>0</v>
      </c>
      <c r="U247" s="533">
        <v>0</v>
      </c>
      <c r="V247" s="532">
        <f t="shared" si="126"/>
        <v>0</v>
      </c>
      <c r="W247" s="533">
        <v>0</v>
      </c>
      <c r="X247" s="532">
        <f t="shared" si="127"/>
        <v>0</v>
      </c>
      <c r="Y247" s="533">
        <v>0</v>
      </c>
      <c r="Z247" s="532">
        <f t="shared" si="128"/>
        <v>0</v>
      </c>
      <c r="AA247" s="534">
        <f t="shared" si="104"/>
        <v>0</v>
      </c>
      <c r="AB247" s="1"/>
      <c r="AC247" s="1"/>
      <c r="AD247" s="1"/>
      <c r="AE247" s="1"/>
    </row>
    <row r="248" spans="1:31" ht="14.4">
      <c r="A248" s="1"/>
      <c r="B248" s="530" t="str">
        <f t="shared" si="91"/>
        <v>Tecnico de apoyo</v>
      </c>
      <c r="C248" s="533">
        <v>0</v>
      </c>
      <c r="D248" s="532">
        <f t="shared" si="117"/>
        <v>0</v>
      </c>
      <c r="E248" s="533">
        <v>0</v>
      </c>
      <c r="F248" s="532">
        <f t="shared" si="118"/>
        <v>0</v>
      </c>
      <c r="G248" s="533">
        <v>0</v>
      </c>
      <c r="H248" s="532">
        <f t="shared" si="119"/>
        <v>0</v>
      </c>
      <c r="I248" s="533">
        <v>0</v>
      </c>
      <c r="J248" s="532">
        <f t="shared" si="120"/>
        <v>0</v>
      </c>
      <c r="K248" s="533">
        <v>0</v>
      </c>
      <c r="L248" s="532">
        <f t="shared" si="121"/>
        <v>0</v>
      </c>
      <c r="M248" s="533">
        <v>0</v>
      </c>
      <c r="N248" s="532">
        <f t="shared" si="122"/>
        <v>0</v>
      </c>
      <c r="O248" s="533">
        <v>0</v>
      </c>
      <c r="P248" s="532">
        <f t="shared" si="123"/>
        <v>0</v>
      </c>
      <c r="Q248" s="533">
        <v>0</v>
      </c>
      <c r="R248" s="532">
        <f t="shared" si="124"/>
        <v>0</v>
      </c>
      <c r="S248" s="533">
        <v>0</v>
      </c>
      <c r="T248" s="532">
        <f t="shared" si="125"/>
        <v>0</v>
      </c>
      <c r="U248" s="533">
        <v>0</v>
      </c>
      <c r="V248" s="532">
        <f t="shared" si="126"/>
        <v>0</v>
      </c>
      <c r="W248" s="533">
        <v>0</v>
      </c>
      <c r="X248" s="532">
        <f t="shared" si="127"/>
        <v>0</v>
      </c>
      <c r="Y248" s="533">
        <v>0</v>
      </c>
      <c r="Z248" s="532">
        <f t="shared" si="128"/>
        <v>0</v>
      </c>
      <c r="AA248" s="534">
        <f t="shared" si="104"/>
        <v>0</v>
      </c>
      <c r="AB248" s="1"/>
      <c r="AC248" s="1"/>
      <c r="AD248" s="1"/>
      <c r="AE248" s="1"/>
    </row>
    <row r="249" spans="1:31" ht="14.4">
      <c r="A249" s="1"/>
      <c r="B249" s="530" t="str">
        <f t="shared" si="91"/>
        <v>Auxiliar administrativo</v>
      </c>
      <c r="C249" s="533">
        <v>0</v>
      </c>
      <c r="D249" s="532">
        <f t="shared" si="117"/>
        <v>0</v>
      </c>
      <c r="E249" s="533">
        <v>0</v>
      </c>
      <c r="F249" s="532">
        <f t="shared" si="118"/>
        <v>0</v>
      </c>
      <c r="G249" s="533">
        <v>0</v>
      </c>
      <c r="H249" s="532">
        <f t="shared" si="119"/>
        <v>0</v>
      </c>
      <c r="I249" s="533">
        <v>0</v>
      </c>
      <c r="J249" s="532">
        <f t="shared" si="120"/>
        <v>0</v>
      </c>
      <c r="K249" s="533">
        <v>0</v>
      </c>
      <c r="L249" s="532">
        <f t="shared" si="121"/>
        <v>0</v>
      </c>
      <c r="M249" s="533">
        <v>0</v>
      </c>
      <c r="N249" s="532">
        <f t="shared" si="122"/>
        <v>0</v>
      </c>
      <c r="O249" s="533">
        <v>0</v>
      </c>
      <c r="P249" s="532">
        <f t="shared" si="123"/>
        <v>0</v>
      </c>
      <c r="Q249" s="533">
        <v>0</v>
      </c>
      <c r="R249" s="532">
        <f t="shared" si="124"/>
        <v>0</v>
      </c>
      <c r="S249" s="533">
        <v>0</v>
      </c>
      <c r="T249" s="532">
        <f t="shared" si="125"/>
        <v>0</v>
      </c>
      <c r="U249" s="533">
        <v>0</v>
      </c>
      <c r="V249" s="532">
        <f t="shared" si="126"/>
        <v>0</v>
      </c>
      <c r="W249" s="533">
        <v>0</v>
      </c>
      <c r="X249" s="532">
        <f t="shared" si="127"/>
        <v>0</v>
      </c>
      <c r="Y249" s="533">
        <v>0</v>
      </c>
      <c r="Z249" s="532">
        <f t="shared" si="128"/>
        <v>0</v>
      </c>
      <c r="AA249" s="534">
        <f t="shared" si="104"/>
        <v>0</v>
      </c>
      <c r="AB249" s="1"/>
      <c r="AC249" s="1"/>
      <c r="AD249" s="1"/>
      <c r="AE249" s="1"/>
    </row>
    <row r="250" spans="1:31" ht="14.4">
      <c r="A250" s="1"/>
      <c r="B250" s="530" t="str">
        <f t="shared" si="91"/>
        <v>Auxiliar logístico</v>
      </c>
      <c r="C250" s="533">
        <v>0</v>
      </c>
      <c r="D250" s="532">
        <f t="shared" si="117"/>
        <v>0</v>
      </c>
      <c r="E250" s="533">
        <v>0</v>
      </c>
      <c r="F250" s="532">
        <f t="shared" si="118"/>
        <v>0</v>
      </c>
      <c r="G250" s="533">
        <v>0</v>
      </c>
      <c r="H250" s="532">
        <f t="shared" si="119"/>
        <v>0</v>
      </c>
      <c r="I250" s="533">
        <v>0</v>
      </c>
      <c r="J250" s="532">
        <f t="shared" si="120"/>
        <v>0</v>
      </c>
      <c r="K250" s="533">
        <v>0</v>
      </c>
      <c r="L250" s="532">
        <f t="shared" si="121"/>
        <v>0</v>
      </c>
      <c r="M250" s="533">
        <v>0</v>
      </c>
      <c r="N250" s="532">
        <f t="shared" si="122"/>
        <v>0</v>
      </c>
      <c r="O250" s="533">
        <v>0</v>
      </c>
      <c r="P250" s="532">
        <f t="shared" si="123"/>
        <v>0</v>
      </c>
      <c r="Q250" s="533">
        <v>0</v>
      </c>
      <c r="R250" s="532">
        <f t="shared" si="124"/>
        <v>0</v>
      </c>
      <c r="S250" s="533">
        <v>0</v>
      </c>
      <c r="T250" s="532">
        <f t="shared" si="125"/>
        <v>0</v>
      </c>
      <c r="U250" s="533">
        <v>0</v>
      </c>
      <c r="V250" s="532">
        <f t="shared" si="126"/>
        <v>0</v>
      </c>
      <c r="W250" s="533">
        <v>0</v>
      </c>
      <c r="X250" s="532">
        <f t="shared" si="127"/>
        <v>0</v>
      </c>
      <c r="Y250" s="533">
        <v>0</v>
      </c>
      <c r="Z250" s="532">
        <f t="shared" si="128"/>
        <v>0</v>
      </c>
      <c r="AA250" s="534">
        <f t="shared" si="104"/>
        <v>0</v>
      </c>
      <c r="AB250" s="1"/>
      <c r="AC250" s="1"/>
      <c r="AD250" s="1"/>
      <c r="AE250" s="1"/>
    </row>
    <row r="251" spans="1:31" ht="14.4">
      <c r="A251" s="1"/>
      <c r="B251" s="530" t="str">
        <f t="shared" si="91"/>
        <v>Auxiliar operativo</v>
      </c>
      <c r="C251" s="533">
        <v>0</v>
      </c>
      <c r="D251" s="532">
        <f t="shared" si="117"/>
        <v>0</v>
      </c>
      <c r="E251" s="533">
        <v>0</v>
      </c>
      <c r="F251" s="532">
        <f t="shared" si="118"/>
        <v>0</v>
      </c>
      <c r="G251" s="533">
        <v>0</v>
      </c>
      <c r="H251" s="532">
        <f t="shared" si="119"/>
        <v>0</v>
      </c>
      <c r="I251" s="533">
        <v>0</v>
      </c>
      <c r="J251" s="532">
        <f t="shared" si="120"/>
        <v>0</v>
      </c>
      <c r="K251" s="533">
        <v>0</v>
      </c>
      <c r="L251" s="532">
        <f t="shared" si="121"/>
        <v>0</v>
      </c>
      <c r="M251" s="533">
        <v>0</v>
      </c>
      <c r="N251" s="532">
        <f t="shared" si="122"/>
        <v>0</v>
      </c>
      <c r="O251" s="533">
        <v>0</v>
      </c>
      <c r="P251" s="532">
        <f t="shared" si="123"/>
        <v>0</v>
      </c>
      <c r="Q251" s="533">
        <v>0</v>
      </c>
      <c r="R251" s="532">
        <f t="shared" si="124"/>
        <v>0</v>
      </c>
      <c r="S251" s="533">
        <v>0</v>
      </c>
      <c r="T251" s="532">
        <f t="shared" si="125"/>
        <v>0</v>
      </c>
      <c r="U251" s="533">
        <v>0</v>
      </c>
      <c r="V251" s="532">
        <f t="shared" si="126"/>
        <v>0</v>
      </c>
      <c r="W251" s="533">
        <v>0</v>
      </c>
      <c r="X251" s="532">
        <f t="shared" si="127"/>
        <v>0</v>
      </c>
      <c r="Y251" s="533">
        <v>0</v>
      </c>
      <c r="Z251" s="532">
        <f t="shared" si="128"/>
        <v>0</v>
      </c>
      <c r="AA251" s="534">
        <f t="shared" si="104"/>
        <v>0</v>
      </c>
      <c r="AB251" s="1"/>
      <c r="AC251" s="1"/>
      <c r="AD251" s="1"/>
      <c r="AE251" s="1"/>
    </row>
    <row r="252" spans="1:31" ht="14.4">
      <c r="A252" s="1"/>
      <c r="B252" s="530" t="str">
        <f t="shared" si="91"/>
        <v>Gerente comercial</v>
      </c>
      <c r="C252" s="540">
        <v>1</v>
      </c>
      <c r="D252" s="532">
        <f t="shared" si="117"/>
        <v>2316688.5699999998</v>
      </c>
      <c r="E252" s="531">
        <v>1</v>
      </c>
      <c r="F252" s="532">
        <f t="shared" si="118"/>
        <v>2316688.5699999998</v>
      </c>
      <c r="G252" s="531">
        <v>1</v>
      </c>
      <c r="H252" s="532">
        <f t="shared" si="119"/>
        <v>2316688.5699999998</v>
      </c>
      <c r="I252" s="531">
        <v>1</v>
      </c>
      <c r="J252" s="532">
        <f t="shared" si="120"/>
        <v>2316688.5699999998</v>
      </c>
      <c r="K252" s="531">
        <v>1</v>
      </c>
      <c r="L252" s="532">
        <f t="shared" si="121"/>
        <v>2316688.5699999998</v>
      </c>
      <c r="M252" s="531">
        <v>1</v>
      </c>
      <c r="N252" s="532">
        <f t="shared" si="122"/>
        <v>3475032.8549999995</v>
      </c>
      <c r="O252" s="531">
        <v>1</v>
      </c>
      <c r="P252" s="532">
        <f t="shared" si="123"/>
        <v>2316688.5699999998</v>
      </c>
      <c r="Q252" s="531">
        <v>1</v>
      </c>
      <c r="R252" s="532">
        <f t="shared" si="124"/>
        <v>2316688.5699999998</v>
      </c>
      <c r="S252" s="531">
        <v>1</v>
      </c>
      <c r="T252" s="532">
        <f t="shared" si="125"/>
        <v>2316688.5699999998</v>
      </c>
      <c r="U252" s="531">
        <v>1</v>
      </c>
      <c r="V252" s="532">
        <f t="shared" si="126"/>
        <v>2316688.5699999998</v>
      </c>
      <c r="W252" s="531">
        <v>1</v>
      </c>
      <c r="X252" s="532">
        <f t="shared" si="127"/>
        <v>2316688.5699999998</v>
      </c>
      <c r="Y252" s="531">
        <v>1</v>
      </c>
      <c r="Z252" s="532">
        <f t="shared" si="128"/>
        <v>3475032.8549999995</v>
      </c>
      <c r="AA252" s="534">
        <f t="shared" si="104"/>
        <v>30116951.41</v>
      </c>
      <c r="AB252" s="1"/>
      <c r="AC252" s="1"/>
      <c r="AD252" s="1"/>
      <c r="AE252" s="1"/>
    </row>
    <row r="253" spans="1:31" ht="14.4">
      <c r="A253" s="1"/>
      <c r="B253" s="530" t="str">
        <f t="shared" si="91"/>
        <v>Ejecutivo de cuentas</v>
      </c>
      <c r="C253" s="531">
        <v>0</v>
      </c>
      <c r="D253" s="532">
        <f t="shared" si="117"/>
        <v>0</v>
      </c>
      <c r="E253" s="533">
        <v>0</v>
      </c>
      <c r="F253" s="532">
        <f t="shared" si="118"/>
        <v>0</v>
      </c>
      <c r="G253" s="533">
        <v>0</v>
      </c>
      <c r="H253" s="532">
        <f t="shared" si="119"/>
        <v>0</v>
      </c>
      <c r="I253" s="533">
        <v>0</v>
      </c>
      <c r="J253" s="532">
        <f t="shared" si="120"/>
        <v>0</v>
      </c>
      <c r="K253" s="533">
        <v>0</v>
      </c>
      <c r="L253" s="532">
        <f t="shared" si="121"/>
        <v>0</v>
      </c>
      <c r="M253" s="533">
        <v>0</v>
      </c>
      <c r="N253" s="532">
        <f t="shared" si="122"/>
        <v>0</v>
      </c>
      <c r="O253" s="533">
        <v>0</v>
      </c>
      <c r="P253" s="532">
        <f t="shared" si="123"/>
        <v>0</v>
      </c>
      <c r="Q253" s="533">
        <v>0</v>
      </c>
      <c r="R253" s="532">
        <f t="shared" si="124"/>
        <v>0</v>
      </c>
      <c r="S253" s="533">
        <v>0</v>
      </c>
      <c r="T253" s="532">
        <f t="shared" si="125"/>
        <v>0</v>
      </c>
      <c r="U253" s="533">
        <v>0</v>
      </c>
      <c r="V253" s="532">
        <f t="shared" si="126"/>
        <v>0</v>
      </c>
      <c r="W253" s="533">
        <v>0</v>
      </c>
      <c r="X253" s="532">
        <f t="shared" si="127"/>
        <v>0</v>
      </c>
      <c r="Y253" s="533">
        <v>0</v>
      </c>
      <c r="Z253" s="532">
        <f t="shared" si="128"/>
        <v>0</v>
      </c>
      <c r="AA253" s="534">
        <f t="shared" si="104"/>
        <v>0</v>
      </c>
      <c r="AB253" s="1"/>
      <c r="AC253" s="1"/>
      <c r="AD253" s="1"/>
      <c r="AE253" s="1"/>
    </row>
    <row r="254" spans="1:31" ht="14.4">
      <c r="A254" s="1"/>
      <c r="B254" s="530" t="str">
        <f t="shared" si="91"/>
        <v>Representante de posventa</v>
      </c>
      <c r="C254" s="531">
        <v>0</v>
      </c>
      <c r="D254" s="532">
        <f t="shared" si="117"/>
        <v>0</v>
      </c>
      <c r="E254" s="533">
        <v>0</v>
      </c>
      <c r="F254" s="532">
        <f t="shared" si="118"/>
        <v>0</v>
      </c>
      <c r="G254" s="533">
        <v>0</v>
      </c>
      <c r="H254" s="532">
        <f t="shared" si="119"/>
        <v>0</v>
      </c>
      <c r="I254" s="533">
        <v>0</v>
      </c>
      <c r="J254" s="532">
        <f t="shared" si="120"/>
        <v>0</v>
      </c>
      <c r="K254" s="533">
        <v>0</v>
      </c>
      <c r="L254" s="532">
        <f t="shared" si="121"/>
        <v>0</v>
      </c>
      <c r="M254" s="533">
        <v>0</v>
      </c>
      <c r="N254" s="532">
        <f t="shared" si="122"/>
        <v>0</v>
      </c>
      <c r="O254" s="533">
        <v>0</v>
      </c>
      <c r="P254" s="532">
        <f t="shared" si="123"/>
        <v>0</v>
      </c>
      <c r="Q254" s="533">
        <v>0</v>
      </c>
      <c r="R254" s="532">
        <f t="shared" si="124"/>
        <v>0</v>
      </c>
      <c r="S254" s="533">
        <v>0</v>
      </c>
      <c r="T254" s="532">
        <f t="shared" si="125"/>
        <v>0</v>
      </c>
      <c r="U254" s="533">
        <v>0</v>
      </c>
      <c r="V254" s="532">
        <f t="shared" si="126"/>
        <v>0</v>
      </c>
      <c r="W254" s="533">
        <v>0</v>
      </c>
      <c r="X254" s="532">
        <f t="shared" si="127"/>
        <v>0</v>
      </c>
      <c r="Y254" s="533">
        <v>0</v>
      </c>
      <c r="Z254" s="532">
        <f t="shared" si="128"/>
        <v>0</v>
      </c>
      <c r="AA254" s="534">
        <f t="shared" si="104"/>
        <v>0</v>
      </c>
      <c r="AB254" s="1"/>
      <c r="AC254" s="1"/>
      <c r="AD254" s="1"/>
      <c r="AE254" s="1"/>
    </row>
    <row r="255" spans="1:31" ht="14.4">
      <c r="A255" s="1"/>
      <c r="B255" s="530" t="str">
        <f t="shared" si="91"/>
        <v>Asistente de ventas</v>
      </c>
      <c r="C255" s="531">
        <v>1</v>
      </c>
      <c r="D255" s="532">
        <f t="shared" si="117"/>
        <v>1219318.57</v>
      </c>
      <c r="E255" s="531">
        <v>1</v>
      </c>
      <c r="F255" s="532">
        <f t="shared" si="118"/>
        <v>1219318.57</v>
      </c>
      <c r="G255" s="531">
        <v>1</v>
      </c>
      <c r="H255" s="532">
        <f t="shared" si="119"/>
        <v>1219318.57</v>
      </c>
      <c r="I255" s="531">
        <v>1</v>
      </c>
      <c r="J255" s="532">
        <f t="shared" si="120"/>
        <v>1219318.57</v>
      </c>
      <c r="K255" s="531">
        <v>1</v>
      </c>
      <c r="L255" s="532">
        <f t="shared" si="121"/>
        <v>1219318.57</v>
      </c>
      <c r="M255" s="531">
        <v>1</v>
      </c>
      <c r="N255" s="532">
        <f t="shared" si="122"/>
        <v>1828977.855</v>
      </c>
      <c r="O255" s="531">
        <v>1</v>
      </c>
      <c r="P255" s="532">
        <f t="shared" si="123"/>
        <v>1219318.57</v>
      </c>
      <c r="Q255" s="531">
        <v>1</v>
      </c>
      <c r="R255" s="532">
        <f t="shared" si="124"/>
        <v>1219318.57</v>
      </c>
      <c r="S255" s="531">
        <v>1</v>
      </c>
      <c r="T255" s="532">
        <f t="shared" si="125"/>
        <v>1219318.57</v>
      </c>
      <c r="U255" s="531">
        <v>1</v>
      </c>
      <c r="V255" s="532">
        <f t="shared" si="126"/>
        <v>1219318.57</v>
      </c>
      <c r="W255" s="531">
        <v>1</v>
      </c>
      <c r="X255" s="532">
        <f t="shared" si="127"/>
        <v>1219318.57</v>
      </c>
      <c r="Y255" s="531">
        <v>1</v>
      </c>
      <c r="Z255" s="532">
        <f t="shared" si="128"/>
        <v>1828977.855</v>
      </c>
      <c r="AA255" s="534">
        <f t="shared" si="104"/>
        <v>15851141.410000002</v>
      </c>
      <c r="AB255" s="1"/>
      <c r="AC255" s="1"/>
      <c r="AD255" s="1"/>
      <c r="AE255" s="1"/>
    </row>
    <row r="256" spans="1:31" ht="15.6">
      <c r="A256" s="1"/>
      <c r="B256" s="536" t="s">
        <v>359</v>
      </c>
      <c r="C256" s="537">
        <f>SUM(C199:C255)</f>
        <v>9</v>
      </c>
      <c r="D256" s="538">
        <f>SUM(D200:D255)</f>
        <v>16460717.129999999</v>
      </c>
      <c r="E256" s="537">
        <f>SUM(E199:E255)</f>
        <v>9</v>
      </c>
      <c r="F256" s="538">
        <f>SUM(F200:F255)</f>
        <v>16460717.129999999</v>
      </c>
      <c r="G256" s="537">
        <f>SUM(G199:G255)</f>
        <v>9</v>
      </c>
      <c r="H256" s="538">
        <f>SUM(H200:H255)</f>
        <v>16460717.129999999</v>
      </c>
      <c r="I256" s="537">
        <f>SUM(I199:I255)</f>
        <v>9</v>
      </c>
      <c r="J256" s="538">
        <f>SUM(J200:J255)</f>
        <v>16460717.129999999</v>
      </c>
      <c r="K256" s="537">
        <f>SUM(K199:K255)</f>
        <v>9</v>
      </c>
      <c r="L256" s="538">
        <f>SUM(L200:L255)</f>
        <v>16460717.129999999</v>
      </c>
      <c r="M256" s="537">
        <f>SUM(M199:M255)</f>
        <v>9</v>
      </c>
      <c r="N256" s="538">
        <f>SUM(N200:N255)</f>
        <v>24691075.695</v>
      </c>
      <c r="O256" s="537">
        <f>SUM(O199:O255)</f>
        <v>10</v>
      </c>
      <c r="P256" s="538">
        <f>SUM(P200:P255)</f>
        <v>17680035.699999999</v>
      </c>
      <c r="Q256" s="537">
        <f>SUM(Q199:Q255)</f>
        <v>10</v>
      </c>
      <c r="R256" s="538">
        <f>SUM(R200:R255)</f>
        <v>17680035.699999999</v>
      </c>
      <c r="S256" s="537">
        <f>SUM(S199:S255)</f>
        <v>10</v>
      </c>
      <c r="T256" s="538">
        <f>SUM(T200:T255)</f>
        <v>17680035.699999999</v>
      </c>
      <c r="U256" s="537">
        <f>SUM(U199:U255)</f>
        <v>10</v>
      </c>
      <c r="V256" s="538">
        <f>SUM(V200:V255)</f>
        <v>17680035.699999999</v>
      </c>
      <c r="W256" s="537">
        <f>SUM(W199:W255)</f>
        <v>10</v>
      </c>
      <c r="X256" s="538">
        <f>SUM(X200:X255)</f>
        <v>17680035.699999999</v>
      </c>
      <c r="Y256" s="537">
        <f>SUM(Y199:Y255)</f>
        <v>10</v>
      </c>
      <c r="Z256" s="538">
        <f t="shared" ref="Z256:AA256" si="129">SUM(Z200:Z255)</f>
        <v>26520053.549999997</v>
      </c>
      <c r="AA256" s="539">
        <f t="shared" si="129"/>
        <v>221914893.39499998</v>
      </c>
      <c r="AB256" s="1"/>
      <c r="AC256" s="1"/>
      <c r="AD256" s="1"/>
      <c r="AE256" s="1"/>
    </row>
    <row r="257" spans="1:31" ht="14.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4.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4.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4.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4.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4.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4.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4.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4.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4.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4.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4.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4.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4.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4.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4.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4.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4.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4.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4.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4.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4.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4.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4.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4.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4.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4.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4.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4.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4.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4.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4.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4.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4.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4.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4.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4.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4.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4.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4.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4.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4.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4.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4.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4.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4.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4.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4.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4.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4.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4.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4.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4.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4.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4.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4.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4.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4.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4.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4.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4.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4.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4.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4.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4.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4.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4.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4.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4.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4.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4.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4.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4.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4.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4.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4.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4.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4.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4.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4.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4.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4.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4.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4.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4.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4.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4.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4.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4.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4.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4.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4.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4.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4.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4.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4.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4.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4.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4.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4.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4.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4.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4.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4.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4.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4.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4.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4.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4.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4.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4.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4.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4.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4.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4.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4.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4.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4.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4.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4.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4.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4.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4.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4.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4.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4.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4.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4.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4.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4.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4.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4.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4.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4.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4.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4.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4.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4.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4.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4.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4.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4.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sheetData>
  <mergeCells count="58">
    <mergeCell ref="B75:AA75"/>
    <mergeCell ref="O76:P76"/>
    <mergeCell ref="Q76:R76"/>
    <mergeCell ref="S76:T76"/>
    <mergeCell ref="U76:V76"/>
    <mergeCell ref="W76:X76"/>
    <mergeCell ref="Y76:Z76"/>
    <mergeCell ref="AA76:AA77"/>
    <mergeCell ref="B76:B77"/>
    <mergeCell ref="C76:D76"/>
    <mergeCell ref="E76:F76"/>
    <mergeCell ref="G76:H76"/>
    <mergeCell ref="I76:J76"/>
    <mergeCell ref="K76:L76"/>
    <mergeCell ref="M76:N76"/>
    <mergeCell ref="B17:B31"/>
    <mergeCell ref="B32:B41"/>
    <mergeCell ref="B42:B53"/>
    <mergeCell ref="B54:B67"/>
    <mergeCell ref="B68:B71"/>
    <mergeCell ref="B4:D4"/>
    <mergeCell ref="H4:J4"/>
    <mergeCell ref="B13:L13"/>
    <mergeCell ref="C14:C15"/>
    <mergeCell ref="D14:D15"/>
    <mergeCell ref="K14:K15"/>
    <mergeCell ref="L14:L15"/>
    <mergeCell ref="B14:B15"/>
    <mergeCell ref="W198:X198"/>
    <mergeCell ref="Y198:Z198"/>
    <mergeCell ref="AA198:AA199"/>
    <mergeCell ref="B197:AA197"/>
    <mergeCell ref="B198:B199"/>
    <mergeCell ref="C198:D198"/>
    <mergeCell ref="E198:F198"/>
    <mergeCell ref="G198:H198"/>
    <mergeCell ref="I198:J198"/>
    <mergeCell ref="K198:L198"/>
    <mergeCell ref="M198:N198"/>
    <mergeCell ref="O198:P198"/>
    <mergeCell ref="Q198:R198"/>
    <mergeCell ref="S198:T198"/>
    <mergeCell ref="U198:V198"/>
    <mergeCell ref="Y137:Z137"/>
    <mergeCell ref="AA137:AA138"/>
    <mergeCell ref="B136:AA136"/>
    <mergeCell ref="B137:B138"/>
    <mergeCell ref="C137:D137"/>
    <mergeCell ref="E137:F137"/>
    <mergeCell ref="G137:H137"/>
    <mergeCell ref="I137:J137"/>
    <mergeCell ref="K137:L137"/>
    <mergeCell ref="M137:N137"/>
    <mergeCell ref="O137:P137"/>
    <mergeCell ref="Q137:R137"/>
    <mergeCell ref="S137:T137"/>
    <mergeCell ref="U137:V137"/>
    <mergeCell ref="W137:X137"/>
  </mergeCells>
  <pageMargins left="0.7" right="0.7" top="0.75" bottom="0.75" header="0" footer="0"/>
  <pageSetup orientation="portrait"/>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20"/>
  <sheetViews>
    <sheetView workbookViewId="0">
      <pane ySplit="1" topLeftCell="A2" activePane="bottomLeft" state="frozen"/>
      <selection pane="bottomLeft" activeCell="B3" sqref="B3:D3"/>
    </sheetView>
  </sheetViews>
  <sheetFormatPr baseColWidth="10" defaultColWidth="12.59765625" defaultRowHeight="15" customHeight="1"/>
  <cols>
    <col min="1" max="26" width="14.19921875" customWidth="1"/>
  </cols>
  <sheetData>
    <row r="1" spans="1:26" ht="15" customHeight="1">
      <c r="A1" s="10"/>
      <c r="B1" s="10"/>
      <c r="C1" s="10"/>
      <c r="D1" s="10"/>
      <c r="E1" s="10"/>
      <c r="F1" s="218" t="s">
        <v>9</v>
      </c>
      <c r="G1" s="336"/>
      <c r="H1" s="336"/>
      <c r="I1" s="10"/>
      <c r="J1" s="10"/>
      <c r="K1" s="10"/>
      <c r="L1" s="10"/>
      <c r="M1" s="10"/>
      <c r="N1" s="10"/>
      <c r="O1" s="10"/>
      <c r="P1" s="1"/>
      <c r="Q1" s="1"/>
      <c r="R1" s="1"/>
      <c r="S1" s="1"/>
      <c r="T1" s="1"/>
      <c r="U1" s="1"/>
      <c r="V1" s="1"/>
      <c r="W1" s="1"/>
      <c r="X1" s="1"/>
      <c r="Y1" s="1"/>
      <c r="Z1" s="1"/>
    </row>
    <row r="2" spans="1:26" ht="15" customHeight="1">
      <c r="A2" s="1"/>
      <c r="B2" s="1"/>
      <c r="C2" s="1"/>
      <c r="D2" s="1"/>
      <c r="E2" s="1"/>
      <c r="F2" s="1"/>
      <c r="G2" s="1"/>
      <c r="H2" s="1"/>
      <c r="I2" s="1"/>
      <c r="J2" s="1"/>
      <c r="K2" s="1"/>
      <c r="L2" s="1"/>
      <c r="M2" s="1"/>
      <c r="N2" s="1"/>
      <c r="O2" s="1"/>
      <c r="P2" s="1"/>
      <c r="Q2" s="1"/>
      <c r="R2" s="1"/>
      <c r="S2" s="1"/>
      <c r="T2" s="1"/>
      <c r="U2" s="1"/>
      <c r="V2" s="1"/>
      <c r="W2" s="1"/>
      <c r="X2" s="1"/>
      <c r="Y2" s="1"/>
      <c r="Z2" s="1"/>
    </row>
    <row r="3" spans="1:26" ht="15" customHeight="1">
      <c r="A3" s="1"/>
      <c r="B3" s="798" t="s">
        <v>51</v>
      </c>
      <c r="C3" s="799"/>
      <c r="D3" s="800"/>
      <c r="E3" s="1"/>
      <c r="F3" s="1"/>
      <c r="G3" s="1"/>
      <c r="H3" s="1"/>
      <c r="I3" s="1"/>
      <c r="J3" s="1"/>
      <c r="K3" s="1"/>
      <c r="L3" s="1"/>
      <c r="M3" s="1"/>
      <c r="N3" s="1"/>
      <c r="O3" s="1"/>
      <c r="P3" s="1"/>
      <c r="Q3" s="1"/>
      <c r="R3" s="1"/>
      <c r="S3" s="1"/>
      <c r="T3" s="1"/>
      <c r="U3" s="1"/>
      <c r="V3" s="1"/>
      <c r="W3" s="1"/>
      <c r="X3" s="1"/>
      <c r="Y3" s="1"/>
      <c r="Z3" s="1"/>
    </row>
    <row r="4" spans="1:26" ht="15" customHeight="1">
      <c r="A4" s="1"/>
      <c r="B4" s="70">
        <v>2026</v>
      </c>
      <c r="C4" s="70">
        <v>2027</v>
      </c>
      <c r="D4" s="70">
        <v>2028</v>
      </c>
      <c r="E4" s="1"/>
      <c r="F4" s="1"/>
      <c r="G4" s="1"/>
      <c r="H4" s="1"/>
      <c r="I4" s="1"/>
      <c r="J4" s="1"/>
      <c r="K4" s="1"/>
      <c r="L4" s="1"/>
      <c r="M4" s="1"/>
      <c r="N4" s="1"/>
      <c r="O4" s="1"/>
      <c r="P4" s="1"/>
      <c r="Q4" s="1"/>
      <c r="R4" s="1"/>
      <c r="S4" s="1"/>
      <c r="T4" s="1"/>
      <c r="U4" s="1"/>
      <c r="V4" s="1"/>
      <c r="W4" s="1"/>
      <c r="X4" s="1"/>
      <c r="Y4" s="1"/>
      <c r="Z4" s="1"/>
    </row>
    <row r="5" spans="1:26" ht="15" customHeight="1">
      <c r="A5" s="1"/>
      <c r="B5" s="74">
        <f>Hipótesis!C24</f>
        <v>0.02</v>
      </c>
      <c r="C5" s="74">
        <f>Hipótesis!C25</f>
        <v>0.06</v>
      </c>
      <c r="D5" s="74">
        <f>Hipótesis!C26</f>
        <v>0.1</v>
      </c>
      <c r="E5" s="1"/>
      <c r="F5" s="1"/>
      <c r="G5" s="1"/>
      <c r="H5" s="1"/>
      <c r="I5" s="1"/>
      <c r="J5" s="1"/>
      <c r="K5" s="1"/>
      <c r="L5" s="1"/>
      <c r="M5" s="1"/>
      <c r="N5" s="1"/>
      <c r="O5" s="1"/>
      <c r="P5" s="1"/>
      <c r="Q5" s="1"/>
      <c r="R5" s="1"/>
      <c r="S5" s="1"/>
      <c r="T5" s="1"/>
      <c r="U5" s="1"/>
      <c r="V5" s="1"/>
      <c r="W5" s="1"/>
      <c r="X5" s="1"/>
      <c r="Y5" s="1"/>
      <c r="Z5" s="1"/>
    </row>
    <row r="6" spans="1:26" ht="15" customHeight="1">
      <c r="A6" s="1"/>
      <c r="B6" s="337">
        <f>Hipótesis!D24</f>
        <v>102480000</v>
      </c>
      <c r="C6" s="337">
        <f>Hipótesis!D25</f>
        <v>307440000</v>
      </c>
      <c r="D6" s="337">
        <f>Hipótesis!D26</f>
        <v>512400000</v>
      </c>
      <c r="E6" s="1"/>
      <c r="F6" s="1"/>
      <c r="G6" s="1"/>
      <c r="H6" s="1"/>
      <c r="I6" s="1"/>
      <c r="J6" s="1"/>
      <c r="K6" s="1"/>
      <c r="L6" s="1"/>
      <c r="M6" s="1"/>
      <c r="N6" s="1"/>
      <c r="O6" s="1"/>
      <c r="P6" s="1"/>
      <c r="Q6" s="1"/>
      <c r="R6" s="1"/>
      <c r="S6" s="1"/>
      <c r="T6" s="1"/>
      <c r="U6" s="1"/>
      <c r="V6" s="1"/>
      <c r="W6" s="1"/>
      <c r="X6" s="1"/>
      <c r="Y6" s="1"/>
      <c r="Z6" s="1"/>
    </row>
    <row r="7" spans="1:26" ht="15" customHeight="1">
      <c r="A7" s="1"/>
      <c r="B7" s="369"/>
      <c r="C7" s="369"/>
      <c r="D7" s="369"/>
      <c r="E7" s="1"/>
      <c r="F7" s="1"/>
      <c r="G7" s="1"/>
      <c r="H7" s="1"/>
      <c r="I7" s="1"/>
      <c r="J7" s="1"/>
      <c r="K7" s="1"/>
      <c r="L7" s="1"/>
      <c r="M7" s="1"/>
      <c r="N7" s="1"/>
      <c r="O7" s="1"/>
      <c r="P7" s="1"/>
      <c r="Q7" s="1"/>
      <c r="R7" s="1"/>
      <c r="S7" s="1"/>
      <c r="T7" s="1"/>
      <c r="U7" s="1"/>
      <c r="V7" s="1"/>
      <c r="W7" s="1"/>
      <c r="X7" s="1"/>
      <c r="Y7" s="1"/>
      <c r="Z7" s="1"/>
    </row>
    <row r="8" spans="1:26" ht="15" customHeight="1">
      <c r="A8" s="1"/>
      <c r="B8" s="798" t="s">
        <v>362</v>
      </c>
      <c r="C8" s="799"/>
      <c r="D8" s="800"/>
      <c r="E8" s="1"/>
      <c r="F8" s="1"/>
      <c r="G8" s="1"/>
      <c r="H8" s="1"/>
      <c r="I8" s="1"/>
      <c r="J8" s="1"/>
      <c r="K8" s="1"/>
      <c r="L8" s="1"/>
      <c r="M8" s="1"/>
      <c r="N8" s="1"/>
      <c r="O8" s="1"/>
      <c r="P8" s="1"/>
      <c r="Q8" s="1"/>
      <c r="R8" s="1"/>
      <c r="S8" s="1"/>
      <c r="T8" s="1"/>
      <c r="U8" s="1"/>
      <c r="V8" s="1"/>
      <c r="W8" s="1"/>
      <c r="X8" s="1"/>
      <c r="Y8" s="1"/>
      <c r="Z8" s="1"/>
    </row>
    <row r="9" spans="1:26" ht="15" customHeight="1">
      <c r="A9" s="1"/>
      <c r="B9" s="70">
        <v>2026</v>
      </c>
      <c r="C9" s="70">
        <v>2027</v>
      </c>
      <c r="D9" s="70">
        <v>2028</v>
      </c>
      <c r="E9" s="1"/>
      <c r="F9" s="1"/>
      <c r="G9" s="1"/>
      <c r="H9" s="1"/>
      <c r="I9" s="1"/>
      <c r="J9" s="1"/>
      <c r="K9" s="1"/>
      <c r="L9" s="1"/>
      <c r="M9" s="1"/>
      <c r="N9" s="1"/>
      <c r="O9" s="1"/>
      <c r="P9" s="1"/>
      <c r="Q9" s="1"/>
      <c r="R9" s="1"/>
      <c r="S9" s="1"/>
      <c r="T9" s="1"/>
      <c r="U9" s="1"/>
      <c r="V9" s="1"/>
      <c r="W9" s="1"/>
      <c r="X9" s="1"/>
      <c r="Y9" s="1"/>
      <c r="Z9" s="1"/>
    </row>
    <row r="10" spans="1:26" ht="15" customHeight="1">
      <c r="A10" s="541" t="s">
        <v>363</v>
      </c>
      <c r="B10" s="542">
        <f>'Costos fijos'!$G$5</f>
        <v>26772000</v>
      </c>
      <c r="C10" s="542">
        <f>'Costos fijos'!$H$5</f>
        <v>30638000</v>
      </c>
      <c r="D10" s="542">
        <f>'Costos fijos'!$I$5</f>
        <v>37452000</v>
      </c>
      <c r="E10" s="1"/>
      <c r="F10" s="1"/>
      <c r="G10" s="1"/>
      <c r="H10" s="1"/>
      <c r="I10" s="1"/>
      <c r="J10" s="1"/>
      <c r="K10" s="1"/>
      <c r="L10" s="1"/>
      <c r="M10" s="1"/>
      <c r="N10" s="1"/>
      <c r="O10" s="1"/>
      <c r="P10" s="1"/>
      <c r="Q10" s="1"/>
      <c r="R10" s="1"/>
      <c r="S10" s="1"/>
      <c r="T10" s="1"/>
      <c r="U10" s="1"/>
      <c r="V10" s="1"/>
      <c r="W10" s="1"/>
      <c r="X10" s="1"/>
      <c r="Y10" s="1"/>
      <c r="Z10" s="1"/>
    </row>
    <row r="11" spans="1:26" ht="15" customHeight="1">
      <c r="A11" s="541" t="s">
        <v>364</v>
      </c>
      <c r="B11" s="542">
        <f>'Costos variables'!$H$6</f>
        <v>32918375</v>
      </c>
      <c r="C11" s="542">
        <f>'Costos variables'!$I$6</f>
        <v>59495000</v>
      </c>
      <c r="D11" s="542">
        <f>'Costos variables'!$J$6</f>
        <v>87758125</v>
      </c>
      <c r="E11" s="1"/>
      <c r="F11" s="1"/>
      <c r="G11" s="1"/>
      <c r="H11" s="1"/>
      <c r="I11" s="1"/>
      <c r="J11" s="1"/>
      <c r="K11" s="1"/>
      <c r="L11" s="1"/>
      <c r="M11" s="1"/>
      <c r="N11" s="1"/>
      <c r="O11" s="1"/>
      <c r="P11" s="1"/>
      <c r="Q11" s="1"/>
      <c r="R11" s="1"/>
      <c r="S11" s="1"/>
      <c r="T11" s="1"/>
      <c r="U11" s="1"/>
      <c r="V11" s="1"/>
      <c r="W11" s="1"/>
      <c r="X11" s="1"/>
      <c r="Y11" s="1"/>
      <c r="Z11" s="1"/>
    </row>
    <row r="12" spans="1:26" ht="15" customHeight="1">
      <c r="A12" s="541" t="s">
        <v>365</v>
      </c>
      <c r="B12" s="542">
        <f>'Costos RRHH'!$H$6</f>
        <v>77670013.524999991</v>
      </c>
      <c r="C12" s="542">
        <f>'Costos RRHH'!$I$6</f>
        <v>149731451.31999999</v>
      </c>
      <c r="D12" s="542">
        <f>'Costos RRHH'!$J$6</f>
        <v>221914893.39499998</v>
      </c>
      <c r="E12" s="1"/>
      <c r="F12" s="1"/>
      <c r="G12" s="1"/>
      <c r="H12" s="1"/>
      <c r="I12" s="1"/>
      <c r="J12" s="1"/>
      <c r="K12" s="1"/>
      <c r="L12" s="1"/>
      <c r="M12" s="1"/>
      <c r="N12" s="1"/>
      <c r="O12" s="1"/>
      <c r="P12" s="1"/>
      <c r="Q12" s="1"/>
      <c r="R12" s="1"/>
      <c r="S12" s="1"/>
      <c r="T12" s="1"/>
      <c r="U12" s="1"/>
      <c r="V12" s="1"/>
      <c r="W12" s="1"/>
      <c r="X12" s="1"/>
      <c r="Y12" s="1"/>
      <c r="Z12" s="1"/>
    </row>
    <row r="13" spans="1:26" ht="15" customHeight="1">
      <c r="A13" s="541" t="s">
        <v>362</v>
      </c>
      <c r="B13" s="543">
        <f t="shared" ref="B13:D13" si="0">SUM(B9:B12)</f>
        <v>137362414.52499998</v>
      </c>
      <c r="C13" s="543">
        <f t="shared" si="0"/>
        <v>239866478.31999999</v>
      </c>
      <c r="D13" s="543">
        <f t="shared" si="0"/>
        <v>347127046.39499998</v>
      </c>
      <c r="E13" s="1"/>
      <c r="F13" s="1"/>
      <c r="G13" s="1"/>
      <c r="H13" s="1"/>
      <c r="I13" s="1"/>
      <c r="J13" s="1"/>
      <c r="K13" s="1"/>
      <c r="L13" s="1"/>
      <c r="M13" s="1"/>
      <c r="N13" s="1"/>
      <c r="O13" s="1"/>
      <c r="P13" s="1"/>
      <c r="Q13" s="1"/>
      <c r="R13" s="1"/>
      <c r="S13" s="1"/>
      <c r="T13" s="1"/>
      <c r="U13" s="1"/>
      <c r="V13" s="1"/>
      <c r="W13" s="1"/>
      <c r="X13" s="1"/>
      <c r="Y13" s="1"/>
      <c r="Z13" s="1"/>
    </row>
    <row r="14" spans="1:26" ht="15" customHeight="1">
      <c r="A14" s="541" t="s">
        <v>366</v>
      </c>
      <c r="B14" s="542">
        <f>+'Mod. ingresos'!C30</f>
        <v>109050000</v>
      </c>
      <c r="C14" s="542">
        <f>+'Mod. ingresos'!D30</f>
        <v>281700000</v>
      </c>
      <c r="D14" s="542">
        <f>+'Mod. ingresos'!E30</f>
        <v>536880000</v>
      </c>
      <c r="E14" s="1"/>
      <c r="F14" s="1"/>
      <c r="G14" s="1"/>
      <c r="H14" s="1"/>
      <c r="I14" s="1"/>
      <c r="J14" s="1"/>
      <c r="K14" s="1"/>
      <c r="L14" s="1"/>
      <c r="M14" s="1"/>
      <c r="N14" s="1"/>
      <c r="O14" s="1"/>
      <c r="P14" s="1"/>
      <c r="Q14" s="1"/>
      <c r="R14" s="1"/>
      <c r="S14" s="1"/>
      <c r="T14" s="1"/>
      <c r="U14" s="1"/>
      <c r="V14" s="1"/>
      <c r="W14" s="1"/>
      <c r="X14" s="1"/>
      <c r="Y14" s="1"/>
      <c r="Z14" s="1"/>
    </row>
    <row r="15" spans="1:26" ht="1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4">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4">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4">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4">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4">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4">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4">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4">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4">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4">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4">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4">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4">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4">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4">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4">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4">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4">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4">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4">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4">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4">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4">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4">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4">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4">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4">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4">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4">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4">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4">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4">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4">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4">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4">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4">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4">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4">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4">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4">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4">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4">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4">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4">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4">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4">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4">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4">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4">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4">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4">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4">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4">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4">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sheetData>
  <mergeCells count="2">
    <mergeCell ref="B3:D3"/>
    <mergeCell ref="B8:D8"/>
  </mergeCells>
  <pageMargins left="0.7" right="0.7" top="0.75" bottom="0.75" header="0" footer="0"/>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81"/>
  <sheetViews>
    <sheetView workbookViewId="0">
      <pane ySplit="1" topLeftCell="A2" activePane="bottomLeft" state="frozen"/>
      <selection pane="bottomLeft" activeCell="B3" sqref="B3:D3"/>
    </sheetView>
  </sheetViews>
  <sheetFormatPr baseColWidth="10" defaultColWidth="12.59765625" defaultRowHeight="15" customHeight="1"/>
  <cols>
    <col min="1" max="1" width="10" customWidth="1"/>
    <col min="2" max="2" width="40.59765625" customWidth="1"/>
    <col min="3" max="3" width="13.8984375" customWidth="1"/>
    <col min="4" max="4" width="14" customWidth="1"/>
    <col min="5" max="5" width="13.19921875" customWidth="1"/>
    <col min="6" max="6" width="83.3984375" customWidth="1"/>
    <col min="7" max="7" width="29.59765625" customWidth="1"/>
    <col min="8" max="9" width="12.09765625" customWidth="1"/>
    <col min="10" max="10" width="13.09765625" customWidth="1"/>
    <col min="11" max="26" width="10" customWidth="1"/>
  </cols>
  <sheetData>
    <row r="1" spans="1:26" ht="61.2">
      <c r="A1" s="10"/>
      <c r="B1" s="10"/>
      <c r="C1" s="10"/>
      <c r="D1" s="10"/>
      <c r="E1" s="10"/>
      <c r="F1" s="218" t="s">
        <v>10</v>
      </c>
      <c r="G1" s="336"/>
      <c r="H1" s="336"/>
      <c r="I1" s="10"/>
      <c r="J1" s="10"/>
      <c r="K1" s="10"/>
      <c r="L1" s="10"/>
      <c r="M1" s="1"/>
      <c r="N1" s="1"/>
      <c r="O1" s="1"/>
      <c r="P1" s="1"/>
      <c r="Q1" s="1"/>
      <c r="R1" s="1"/>
      <c r="S1" s="1"/>
      <c r="T1" s="1"/>
      <c r="U1" s="1"/>
      <c r="V1" s="1"/>
      <c r="W1" s="1"/>
      <c r="X1" s="1"/>
      <c r="Y1" s="1"/>
      <c r="Z1" s="1"/>
    </row>
    <row r="2" spans="1:26" ht="14.4">
      <c r="A2" s="1"/>
      <c r="B2" s="1"/>
      <c r="C2" s="1"/>
      <c r="D2" s="1"/>
      <c r="E2" s="1"/>
      <c r="F2" s="1"/>
      <c r="G2" s="1"/>
      <c r="H2" s="1"/>
      <c r="I2" s="1"/>
      <c r="J2" s="1"/>
      <c r="K2" s="1"/>
      <c r="L2" s="1"/>
      <c r="M2" s="1"/>
      <c r="N2" s="1"/>
      <c r="O2" s="1"/>
      <c r="P2" s="1"/>
      <c r="Q2" s="1"/>
      <c r="R2" s="1"/>
      <c r="S2" s="1"/>
      <c r="T2" s="1"/>
      <c r="U2" s="1"/>
      <c r="V2" s="1"/>
      <c r="W2" s="1"/>
      <c r="X2" s="1"/>
      <c r="Y2" s="1"/>
      <c r="Z2" s="1"/>
    </row>
    <row r="3" spans="1:26" ht="25.8">
      <c r="A3" s="1"/>
      <c r="B3" s="798" t="s">
        <v>51</v>
      </c>
      <c r="C3" s="799"/>
      <c r="D3" s="800"/>
      <c r="E3" s="1"/>
      <c r="F3" s="1"/>
      <c r="G3" s="815" t="s">
        <v>367</v>
      </c>
      <c r="H3" s="799"/>
      <c r="I3" s="799"/>
      <c r="J3" s="800"/>
      <c r="K3" s="1"/>
      <c r="L3" s="1"/>
      <c r="M3" s="1"/>
      <c r="N3" s="1"/>
      <c r="O3" s="1"/>
      <c r="P3" s="1"/>
      <c r="Q3" s="1"/>
      <c r="R3" s="1"/>
      <c r="S3" s="1"/>
      <c r="T3" s="1"/>
      <c r="U3" s="1"/>
      <c r="V3" s="1"/>
      <c r="W3" s="1"/>
      <c r="X3" s="1"/>
      <c r="Y3" s="1"/>
      <c r="Z3" s="1"/>
    </row>
    <row r="4" spans="1:26" ht="14.4">
      <c r="A4" s="1"/>
      <c r="B4" s="69">
        <v>2026</v>
      </c>
      <c r="C4" s="70">
        <v>2027</v>
      </c>
      <c r="D4" s="71">
        <v>2028</v>
      </c>
      <c r="E4" s="1"/>
      <c r="F4" s="1"/>
      <c r="G4" s="544" t="s">
        <v>368</v>
      </c>
      <c r="H4" s="69">
        <v>2026</v>
      </c>
      <c r="I4" s="70">
        <v>2027</v>
      </c>
      <c r="J4" s="71">
        <v>2028</v>
      </c>
      <c r="K4" s="1"/>
      <c r="L4" s="1"/>
      <c r="M4" s="1"/>
      <c r="N4" s="1"/>
      <c r="O4" s="1"/>
      <c r="P4" s="1"/>
      <c r="Q4" s="1"/>
      <c r="R4" s="1"/>
      <c r="S4" s="1"/>
      <c r="T4" s="1"/>
      <c r="U4" s="1"/>
      <c r="V4" s="1"/>
      <c r="W4" s="1"/>
      <c r="X4" s="1"/>
      <c r="Y4" s="1"/>
      <c r="Z4" s="1"/>
    </row>
    <row r="5" spans="1:26" ht="14.4">
      <c r="A5" s="1"/>
      <c r="B5" s="73">
        <f>Hipótesis!$C$24</f>
        <v>0.02</v>
      </c>
      <c r="C5" s="74">
        <f>Hipótesis!$C$25</f>
        <v>0.06</v>
      </c>
      <c r="D5" s="75">
        <f>Hipótesis!$C$26</f>
        <v>0.1</v>
      </c>
      <c r="E5" s="1"/>
      <c r="F5" s="1"/>
      <c r="G5" s="545">
        <f>$E$28</f>
        <v>18499000</v>
      </c>
      <c r="H5" s="546">
        <f>$E$45</f>
        <v>800000</v>
      </c>
      <c r="I5" s="546">
        <f>$E$63</f>
        <v>1864000</v>
      </c>
      <c r="J5" s="547">
        <f>$E$81</f>
        <v>4264000</v>
      </c>
      <c r="K5" s="1"/>
      <c r="L5" s="1"/>
      <c r="M5" s="4"/>
      <c r="N5" s="4"/>
      <c r="O5" s="1"/>
      <c r="P5" s="1"/>
      <c r="Q5" s="1"/>
      <c r="R5" s="1"/>
      <c r="S5" s="1"/>
      <c r="T5" s="1"/>
      <c r="U5" s="1"/>
      <c r="V5" s="1"/>
      <c r="W5" s="1"/>
      <c r="X5" s="1"/>
      <c r="Y5" s="1"/>
      <c r="Z5" s="1"/>
    </row>
    <row r="6" spans="1:26" ht="14.4">
      <c r="A6" s="1"/>
      <c r="B6" s="76">
        <f>Hipótesis!$D$24</f>
        <v>102480000</v>
      </c>
      <c r="C6" s="77">
        <f>Hipótesis!$D$25</f>
        <v>307440000</v>
      </c>
      <c r="D6" s="78">
        <f>Hipótesis!$D$26</f>
        <v>512400000</v>
      </c>
      <c r="E6" s="1"/>
      <c r="F6" s="1"/>
      <c r="G6" s="1"/>
      <c r="H6" s="1"/>
      <c r="I6" s="1"/>
      <c r="J6" s="1"/>
      <c r="K6" s="1"/>
      <c r="L6" s="1"/>
      <c r="M6" s="1"/>
      <c r="N6" s="1"/>
      <c r="O6" s="1"/>
      <c r="P6" s="1"/>
      <c r="Q6" s="1"/>
      <c r="R6" s="1"/>
      <c r="S6" s="1"/>
      <c r="T6" s="1"/>
      <c r="U6" s="1"/>
      <c r="V6" s="1"/>
      <c r="W6" s="1"/>
      <c r="X6" s="1"/>
      <c r="Y6" s="1"/>
      <c r="Z6" s="1"/>
    </row>
    <row r="7" spans="1:26" ht="14.4">
      <c r="A7" s="1"/>
      <c r="B7" s="1"/>
      <c r="C7" s="1"/>
      <c r="D7" s="1"/>
      <c r="E7" s="1"/>
      <c r="F7" s="1"/>
      <c r="G7" s="1"/>
      <c r="H7" s="1"/>
      <c r="I7" s="1"/>
      <c r="J7" s="1"/>
      <c r="K7" s="1"/>
      <c r="L7" s="1"/>
      <c r="M7" s="1"/>
      <c r="N7" s="1"/>
      <c r="O7" s="1"/>
      <c r="P7" s="1"/>
      <c r="Q7" s="1"/>
      <c r="R7" s="1"/>
      <c r="S7" s="1"/>
      <c r="T7" s="1"/>
      <c r="U7" s="1"/>
      <c r="V7" s="1"/>
      <c r="W7" s="1"/>
      <c r="X7" s="1"/>
      <c r="Y7" s="1"/>
      <c r="Z7" s="1"/>
    </row>
    <row r="8" spans="1:26" ht="14.4">
      <c r="A8" s="1"/>
      <c r="B8" s="1"/>
      <c r="C8" s="1"/>
      <c r="D8" s="1"/>
      <c r="E8" s="1"/>
      <c r="F8" s="1"/>
      <c r="G8" s="1"/>
      <c r="H8" s="1"/>
      <c r="I8" s="1"/>
      <c r="J8" s="1"/>
      <c r="K8" s="1"/>
      <c r="L8" s="1"/>
      <c r="M8" s="1"/>
      <c r="N8" s="1"/>
      <c r="O8" s="1"/>
      <c r="P8" s="1"/>
      <c r="Q8" s="1"/>
      <c r="R8" s="1"/>
      <c r="S8" s="1"/>
      <c r="T8" s="1"/>
      <c r="U8" s="1"/>
      <c r="V8" s="1"/>
      <c r="W8" s="1"/>
      <c r="X8" s="1"/>
      <c r="Y8" s="1"/>
      <c r="Z8" s="1"/>
    </row>
    <row r="9" spans="1:26" ht="25.8">
      <c r="A9" s="1"/>
      <c r="B9" s="798" t="s">
        <v>369</v>
      </c>
      <c r="C9" s="799"/>
      <c r="D9" s="799"/>
      <c r="E9" s="799"/>
      <c r="F9" s="800"/>
      <c r="G9" s="1"/>
      <c r="H9" s="1"/>
      <c r="I9" s="1"/>
      <c r="J9" s="1"/>
      <c r="K9" s="1"/>
      <c r="L9" s="1"/>
      <c r="M9" s="1"/>
      <c r="N9" s="1"/>
      <c r="O9" s="1"/>
      <c r="P9" s="1"/>
      <c r="Q9" s="1"/>
      <c r="R9" s="1"/>
      <c r="S9" s="1"/>
      <c r="T9" s="1"/>
      <c r="U9" s="1"/>
      <c r="V9" s="1"/>
      <c r="W9" s="1"/>
      <c r="X9" s="1"/>
      <c r="Y9" s="1"/>
      <c r="Z9" s="1"/>
    </row>
    <row r="10" spans="1:26" ht="15.6">
      <c r="A10" s="1"/>
      <c r="B10" s="548" t="s">
        <v>76</v>
      </c>
      <c r="C10" s="549" t="s">
        <v>26</v>
      </c>
      <c r="D10" s="549" t="s">
        <v>184</v>
      </c>
      <c r="E10" s="549" t="s">
        <v>185</v>
      </c>
      <c r="F10" s="34" t="s">
        <v>370</v>
      </c>
      <c r="G10" s="1"/>
      <c r="H10" s="1"/>
      <c r="I10" s="1"/>
      <c r="J10" s="1"/>
      <c r="K10" s="1"/>
      <c r="L10" s="1"/>
      <c r="M10" s="1"/>
      <c r="N10" s="1"/>
      <c r="O10" s="1"/>
      <c r="P10" s="1"/>
      <c r="Q10" s="1"/>
      <c r="R10" s="1"/>
      <c r="S10" s="1"/>
      <c r="T10" s="1"/>
      <c r="U10" s="1"/>
      <c r="V10" s="1"/>
      <c r="W10" s="1"/>
      <c r="X10" s="1"/>
      <c r="Y10" s="1"/>
      <c r="Z10" s="1"/>
    </row>
    <row r="11" spans="1:26" ht="14.4">
      <c r="A11" s="1"/>
      <c r="B11" s="550" t="s">
        <v>94</v>
      </c>
      <c r="C11" s="261">
        <v>3</v>
      </c>
      <c r="D11" s="551">
        <v>800000</v>
      </c>
      <c r="E11" s="552">
        <f t="shared" ref="E11:E20" si="0">C11*D11</f>
        <v>2400000</v>
      </c>
      <c r="F11" s="553" t="s">
        <v>371</v>
      </c>
      <c r="G11" s="1"/>
      <c r="H11" s="1"/>
      <c r="I11" s="1"/>
      <c r="J11" s="4"/>
      <c r="K11" s="1"/>
      <c r="L11" s="1"/>
      <c r="M11" s="1"/>
      <c r="N11" s="1"/>
      <c r="O11" s="1"/>
      <c r="P11" s="1"/>
      <c r="Q11" s="1"/>
      <c r="R11" s="1"/>
      <c r="S11" s="1"/>
      <c r="T11" s="1"/>
      <c r="U11" s="1"/>
      <c r="V11" s="1"/>
      <c r="W11" s="1"/>
      <c r="X11" s="1"/>
      <c r="Y11" s="1"/>
      <c r="Z11" s="1"/>
    </row>
    <row r="12" spans="1:26" ht="14.4">
      <c r="A12" s="1"/>
      <c r="B12" s="550" t="s">
        <v>97</v>
      </c>
      <c r="C12" s="261">
        <v>2</v>
      </c>
      <c r="D12" s="551">
        <v>100000</v>
      </c>
      <c r="E12" s="552">
        <f t="shared" si="0"/>
        <v>200000</v>
      </c>
      <c r="F12" s="554"/>
      <c r="G12" s="1"/>
      <c r="H12" s="1"/>
      <c r="I12" s="1"/>
      <c r="J12" s="4"/>
      <c r="K12" s="1"/>
      <c r="L12" s="1"/>
      <c r="M12" s="1"/>
      <c r="N12" s="1"/>
      <c r="O12" s="1"/>
      <c r="P12" s="1"/>
      <c r="Q12" s="1"/>
      <c r="R12" s="1"/>
      <c r="S12" s="1"/>
      <c r="T12" s="1"/>
      <c r="U12" s="1"/>
      <c r="V12" s="1"/>
      <c r="W12" s="1"/>
      <c r="X12" s="1"/>
      <c r="Y12" s="1"/>
      <c r="Z12" s="1"/>
    </row>
    <row r="13" spans="1:26" ht="14.4">
      <c r="A13" s="1"/>
      <c r="B13" s="550" t="s">
        <v>99</v>
      </c>
      <c r="C13" s="261">
        <v>4</v>
      </c>
      <c r="D13" s="551">
        <v>82000</v>
      </c>
      <c r="E13" s="552">
        <f t="shared" si="0"/>
        <v>328000</v>
      </c>
      <c r="F13" s="555"/>
      <c r="G13" s="1"/>
      <c r="H13" s="1"/>
      <c r="I13" s="1"/>
      <c r="J13" s="4"/>
      <c r="K13" s="1"/>
      <c r="L13" s="1"/>
      <c r="M13" s="1"/>
      <c r="N13" s="1"/>
      <c r="O13" s="1"/>
      <c r="P13" s="1"/>
      <c r="Q13" s="1"/>
      <c r="R13" s="1"/>
      <c r="S13" s="1"/>
      <c r="T13" s="1"/>
      <c r="U13" s="1"/>
      <c r="V13" s="1"/>
      <c r="W13" s="1"/>
      <c r="X13" s="1"/>
      <c r="Y13" s="1"/>
      <c r="Z13" s="1"/>
    </row>
    <row r="14" spans="1:26" ht="14.4">
      <c r="A14" s="1"/>
      <c r="B14" s="550" t="s">
        <v>102</v>
      </c>
      <c r="C14" s="261">
        <v>30</v>
      </c>
      <c r="D14" s="551">
        <v>12500</v>
      </c>
      <c r="E14" s="552">
        <f t="shared" si="0"/>
        <v>375000</v>
      </c>
      <c r="F14" s="555"/>
      <c r="G14" s="1"/>
      <c r="H14" s="1"/>
      <c r="I14" s="1"/>
      <c r="J14" s="4"/>
      <c r="K14" s="1"/>
      <c r="L14" s="1"/>
      <c r="M14" s="1"/>
      <c r="N14" s="1"/>
      <c r="O14" s="1"/>
      <c r="P14" s="1"/>
      <c r="Q14" s="1"/>
      <c r="R14" s="1"/>
      <c r="S14" s="1"/>
      <c r="T14" s="1"/>
      <c r="U14" s="1"/>
      <c r="V14" s="1"/>
      <c r="W14" s="1"/>
      <c r="X14" s="1"/>
      <c r="Y14" s="1"/>
      <c r="Z14" s="1"/>
    </row>
    <row r="15" spans="1:26" ht="14.4">
      <c r="A15" s="1"/>
      <c r="B15" s="550" t="s">
        <v>106</v>
      </c>
      <c r="C15" s="531">
        <v>30</v>
      </c>
      <c r="D15" s="551">
        <v>10000</v>
      </c>
      <c r="E15" s="552">
        <f t="shared" si="0"/>
        <v>300000</v>
      </c>
      <c r="F15" s="555"/>
      <c r="G15" s="1"/>
      <c r="H15" s="1"/>
      <c r="I15" s="1"/>
      <c r="J15" s="4"/>
      <c r="K15" s="1"/>
      <c r="L15" s="1"/>
      <c r="M15" s="1"/>
      <c r="N15" s="1"/>
      <c r="O15" s="1"/>
      <c r="P15" s="1"/>
      <c r="Q15" s="1"/>
      <c r="R15" s="1"/>
      <c r="S15" s="1"/>
      <c r="T15" s="1"/>
      <c r="U15" s="1"/>
      <c r="V15" s="1"/>
      <c r="W15" s="1"/>
      <c r="X15" s="1"/>
      <c r="Y15" s="1"/>
      <c r="Z15" s="1"/>
    </row>
    <row r="16" spans="1:26" ht="14.4">
      <c r="A16" s="1"/>
      <c r="B16" s="550" t="s">
        <v>110</v>
      </c>
      <c r="C16" s="531">
        <v>30</v>
      </c>
      <c r="D16" s="551">
        <v>14000</v>
      </c>
      <c r="E16" s="552">
        <f t="shared" si="0"/>
        <v>420000</v>
      </c>
      <c r="F16" s="556"/>
      <c r="G16" s="1"/>
      <c r="H16" s="1"/>
      <c r="I16" s="1"/>
      <c r="J16" s="4"/>
      <c r="K16" s="1"/>
      <c r="L16" s="1"/>
      <c r="M16" s="1"/>
      <c r="N16" s="1"/>
      <c r="O16" s="1"/>
      <c r="P16" s="1"/>
      <c r="Q16" s="1"/>
      <c r="R16" s="1"/>
      <c r="S16" s="1"/>
      <c r="T16" s="1"/>
      <c r="U16" s="1"/>
      <c r="V16" s="1"/>
      <c r="W16" s="1"/>
      <c r="X16" s="1"/>
      <c r="Y16" s="1"/>
      <c r="Z16" s="1"/>
    </row>
    <row r="17" spans="1:26" ht="14.4">
      <c r="A17" s="1"/>
      <c r="B17" s="550" t="s">
        <v>114</v>
      </c>
      <c r="C17" s="531">
        <v>30</v>
      </c>
      <c r="D17" s="551">
        <v>10000</v>
      </c>
      <c r="E17" s="552">
        <f t="shared" si="0"/>
        <v>300000</v>
      </c>
      <c r="F17" s="557"/>
      <c r="G17" s="1"/>
      <c r="H17" s="1"/>
      <c r="I17" s="1"/>
      <c r="J17" s="4"/>
      <c r="K17" s="1"/>
      <c r="L17" s="1"/>
      <c r="M17" s="1"/>
      <c r="N17" s="1"/>
      <c r="O17" s="1"/>
      <c r="P17" s="1"/>
      <c r="Q17" s="1"/>
      <c r="R17" s="1"/>
      <c r="S17" s="1"/>
      <c r="T17" s="1"/>
      <c r="U17" s="1"/>
      <c r="V17" s="1"/>
      <c r="W17" s="1"/>
      <c r="X17" s="1"/>
      <c r="Y17" s="1"/>
      <c r="Z17" s="1"/>
    </row>
    <row r="18" spans="1:26" ht="14.4">
      <c r="A18" s="1"/>
      <c r="B18" s="550" t="s">
        <v>118</v>
      </c>
      <c r="C18" s="531">
        <v>30</v>
      </c>
      <c r="D18" s="551">
        <v>15000</v>
      </c>
      <c r="E18" s="552">
        <f t="shared" si="0"/>
        <v>450000</v>
      </c>
      <c r="F18" s="557"/>
      <c r="G18" s="1"/>
      <c r="H18" s="1"/>
      <c r="I18" s="1"/>
      <c r="J18" s="4"/>
      <c r="K18" s="1"/>
      <c r="L18" s="1"/>
      <c r="M18" s="1"/>
      <c r="N18" s="1"/>
      <c r="O18" s="1"/>
      <c r="P18" s="1"/>
      <c r="Q18" s="1"/>
      <c r="R18" s="1"/>
      <c r="S18" s="1"/>
      <c r="T18" s="1"/>
      <c r="U18" s="1"/>
      <c r="V18" s="1"/>
      <c r="W18" s="1"/>
      <c r="X18" s="1"/>
      <c r="Y18" s="1"/>
      <c r="Z18" s="1"/>
    </row>
    <row r="19" spans="1:26" ht="14.4">
      <c r="A19" s="1"/>
      <c r="B19" s="550" t="s">
        <v>122</v>
      </c>
      <c r="C19" s="531">
        <v>5</v>
      </c>
      <c r="D19" s="551">
        <v>30000</v>
      </c>
      <c r="E19" s="552">
        <f t="shared" si="0"/>
        <v>150000</v>
      </c>
      <c r="F19" s="557"/>
      <c r="G19" s="1"/>
      <c r="H19" s="1"/>
      <c r="I19" s="1"/>
      <c r="J19" s="4"/>
      <c r="K19" s="1"/>
      <c r="L19" s="1"/>
      <c r="M19" s="1"/>
      <c r="N19" s="1"/>
      <c r="O19" s="1"/>
      <c r="P19" s="1"/>
      <c r="Q19" s="1"/>
      <c r="R19" s="1"/>
      <c r="S19" s="1"/>
      <c r="T19" s="1"/>
      <c r="U19" s="1"/>
      <c r="V19" s="1"/>
      <c r="W19" s="1"/>
      <c r="X19" s="1"/>
      <c r="Y19" s="1"/>
      <c r="Z19" s="1"/>
    </row>
    <row r="20" spans="1:26" ht="14.4">
      <c r="A20" s="558"/>
      <c r="B20" s="550" t="s">
        <v>372</v>
      </c>
      <c r="C20" s="531">
        <v>1</v>
      </c>
      <c r="D20" s="551">
        <v>13576000</v>
      </c>
      <c r="E20" s="552">
        <f t="shared" si="0"/>
        <v>13576000</v>
      </c>
      <c r="F20" s="559"/>
      <c r="G20" s="1"/>
      <c r="H20" s="1"/>
      <c r="I20" s="1"/>
      <c r="J20" s="1"/>
      <c r="K20" s="1"/>
      <c r="L20" s="1"/>
      <c r="M20" s="1"/>
      <c r="N20" s="1"/>
      <c r="O20" s="1"/>
      <c r="P20" s="1"/>
      <c r="Q20" s="1"/>
      <c r="R20" s="1"/>
      <c r="S20" s="1"/>
      <c r="T20" s="1"/>
      <c r="U20" s="1"/>
      <c r="V20" s="1"/>
      <c r="W20" s="1"/>
      <c r="X20" s="1"/>
      <c r="Y20" s="1"/>
      <c r="Z20" s="1"/>
    </row>
    <row r="21" spans="1:26" ht="14.4">
      <c r="A21" s="1"/>
      <c r="B21" s="530"/>
      <c r="C21" s="533"/>
      <c r="D21" s="560"/>
      <c r="E21" s="552"/>
      <c r="F21" s="557"/>
      <c r="G21" s="1"/>
      <c r="H21" s="1"/>
      <c r="I21" s="1"/>
      <c r="J21" s="1"/>
      <c r="K21" s="1"/>
      <c r="L21" s="1"/>
      <c r="M21" s="1"/>
      <c r="N21" s="1"/>
      <c r="O21" s="1"/>
      <c r="P21" s="1"/>
      <c r="Q21" s="1"/>
      <c r="R21" s="1"/>
      <c r="S21" s="1"/>
      <c r="T21" s="1"/>
      <c r="U21" s="1"/>
      <c r="V21" s="1"/>
      <c r="W21" s="1"/>
      <c r="X21" s="1"/>
      <c r="Y21" s="1"/>
      <c r="Z21" s="1"/>
    </row>
    <row r="22" spans="1:26" ht="14.4">
      <c r="A22" s="1"/>
      <c r="B22" s="530"/>
      <c r="C22" s="533"/>
      <c r="D22" s="560"/>
      <c r="E22" s="552"/>
      <c r="F22" s="557"/>
      <c r="G22" s="1"/>
      <c r="H22" s="1"/>
      <c r="I22" s="1"/>
      <c r="J22" s="1"/>
      <c r="K22" s="1"/>
      <c r="L22" s="1"/>
      <c r="M22" s="1"/>
      <c r="N22" s="1"/>
      <c r="O22" s="1"/>
      <c r="P22" s="1"/>
      <c r="Q22" s="1"/>
      <c r="R22" s="1"/>
      <c r="S22" s="1"/>
      <c r="T22" s="1"/>
      <c r="U22" s="1"/>
      <c r="V22" s="1"/>
      <c r="W22" s="1"/>
      <c r="X22" s="1"/>
      <c r="Y22" s="1"/>
      <c r="Z22" s="1"/>
    </row>
    <row r="23" spans="1:26" ht="14.4">
      <c r="A23" s="1"/>
      <c r="B23" s="530"/>
      <c r="C23" s="533"/>
      <c r="D23" s="560"/>
      <c r="E23" s="552"/>
      <c r="F23" s="556"/>
      <c r="G23" s="1"/>
      <c r="H23" s="1"/>
      <c r="I23" s="1"/>
      <c r="J23" s="1"/>
      <c r="K23" s="1"/>
      <c r="L23" s="1"/>
      <c r="M23" s="1"/>
      <c r="N23" s="1"/>
      <c r="O23" s="1"/>
      <c r="P23" s="1"/>
      <c r="Q23" s="1"/>
      <c r="R23" s="1"/>
      <c r="S23" s="1"/>
      <c r="T23" s="1"/>
      <c r="U23" s="1"/>
      <c r="V23" s="1"/>
      <c r="W23" s="1"/>
      <c r="X23" s="1"/>
      <c r="Y23" s="1"/>
      <c r="Z23" s="1"/>
    </row>
    <row r="24" spans="1:26" ht="14.4" hidden="1">
      <c r="A24" s="1"/>
      <c r="B24" s="530"/>
      <c r="C24" s="533"/>
      <c r="D24" s="560"/>
      <c r="E24" s="552"/>
      <c r="F24" s="557"/>
      <c r="G24" s="1"/>
      <c r="H24" s="1"/>
      <c r="I24" s="1"/>
      <c r="J24" s="1"/>
      <c r="K24" s="1"/>
      <c r="L24" s="1"/>
      <c r="M24" s="1"/>
      <c r="N24" s="1"/>
      <c r="O24" s="1"/>
      <c r="P24" s="1"/>
      <c r="Q24" s="1"/>
      <c r="R24" s="1"/>
      <c r="S24" s="1"/>
      <c r="T24" s="1"/>
      <c r="U24" s="1"/>
      <c r="V24" s="1"/>
      <c r="W24" s="1"/>
      <c r="X24" s="1"/>
      <c r="Y24" s="1"/>
      <c r="Z24" s="1"/>
    </row>
    <row r="25" spans="1:26" ht="14.4" hidden="1">
      <c r="A25" s="1"/>
      <c r="B25" s="530"/>
      <c r="C25" s="533"/>
      <c r="D25" s="560"/>
      <c r="E25" s="552"/>
      <c r="F25" s="557"/>
      <c r="G25" s="1"/>
      <c r="H25" s="1"/>
      <c r="I25" s="1"/>
      <c r="J25" s="1"/>
      <c r="K25" s="1"/>
      <c r="L25" s="1"/>
      <c r="M25" s="1"/>
      <c r="N25" s="1"/>
      <c r="O25" s="1"/>
      <c r="P25" s="1"/>
      <c r="Q25" s="1"/>
      <c r="R25" s="1"/>
      <c r="S25" s="1"/>
      <c r="T25" s="1"/>
      <c r="U25" s="1"/>
      <c r="V25" s="1"/>
      <c r="W25" s="1"/>
      <c r="X25" s="1"/>
      <c r="Y25" s="1"/>
      <c r="Z25" s="1"/>
    </row>
    <row r="26" spans="1:26" ht="14.4" hidden="1">
      <c r="A26" s="1"/>
      <c r="B26" s="530"/>
      <c r="C26" s="533"/>
      <c r="D26" s="560"/>
      <c r="E26" s="552"/>
      <c r="F26" s="557"/>
      <c r="G26" s="1"/>
      <c r="H26" s="1"/>
      <c r="I26" s="1"/>
      <c r="J26" s="1"/>
      <c r="K26" s="1"/>
      <c r="L26" s="1"/>
      <c r="M26" s="1"/>
      <c r="N26" s="1"/>
      <c r="O26" s="1"/>
      <c r="P26" s="1"/>
      <c r="Q26" s="1"/>
      <c r="R26" s="1"/>
      <c r="S26" s="1"/>
      <c r="T26" s="1"/>
      <c r="U26" s="1"/>
      <c r="V26" s="1"/>
      <c r="W26" s="1"/>
      <c r="X26" s="1"/>
      <c r="Y26" s="1"/>
      <c r="Z26" s="1"/>
    </row>
    <row r="27" spans="1:26" ht="14.4">
      <c r="A27" s="1"/>
      <c r="B27" s="561"/>
      <c r="C27" s="562"/>
      <c r="D27" s="546"/>
      <c r="E27" s="552"/>
      <c r="F27" s="563"/>
      <c r="G27" s="1"/>
      <c r="H27" s="1"/>
      <c r="I27" s="1"/>
      <c r="J27" s="1"/>
      <c r="K27" s="1"/>
      <c r="L27" s="1"/>
      <c r="M27" s="1"/>
      <c r="N27" s="1"/>
      <c r="O27" s="1"/>
      <c r="P27" s="1"/>
      <c r="Q27" s="1"/>
      <c r="R27" s="1"/>
      <c r="S27" s="1"/>
      <c r="T27" s="1"/>
      <c r="U27" s="1"/>
      <c r="V27" s="1"/>
      <c r="W27" s="1"/>
      <c r="X27" s="1"/>
      <c r="Y27" s="1"/>
      <c r="Z27" s="1"/>
    </row>
    <row r="28" spans="1:26" ht="14.4">
      <c r="A28" s="1"/>
      <c r="B28" s="978" t="s">
        <v>28</v>
      </c>
      <c r="C28" s="850"/>
      <c r="D28" s="979"/>
      <c r="E28" s="564">
        <f>SUM(E11:E27)</f>
        <v>18499000</v>
      </c>
      <c r="F28" s="1"/>
      <c r="G28" s="1"/>
      <c r="H28" s="1"/>
      <c r="I28" s="1"/>
      <c r="J28" s="1"/>
      <c r="K28" s="1"/>
      <c r="L28" s="1"/>
      <c r="M28" s="1"/>
      <c r="N28" s="1"/>
      <c r="O28" s="1"/>
      <c r="P28" s="1"/>
      <c r="Q28" s="1"/>
      <c r="R28" s="1"/>
      <c r="S28" s="1"/>
      <c r="T28" s="1"/>
      <c r="U28" s="1"/>
      <c r="V28" s="1"/>
      <c r="W28" s="1"/>
      <c r="X28" s="1"/>
      <c r="Y28" s="1"/>
      <c r="Z28" s="1"/>
    </row>
    <row r="29" spans="1:26" ht="14.4">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25.8">
      <c r="A30" s="1"/>
      <c r="B30" s="798" t="s">
        <v>373</v>
      </c>
      <c r="C30" s="799"/>
      <c r="D30" s="799"/>
      <c r="E30" s="800"/>
      <c r="F30" s="565"/>
      <c r="G30" s="1"/>
      <c r="H30" s="1"/>
      <c r="I30" s="1"/>
      <c r="J30" s="1"/>
      <c r="K30" s="1"/>
      <c r="L30" s="1"/>
      <c r="M30" s="1"/>
      <c r="N30" s="1"/>
      <c r="O30" s="1"/>
      <c r="P30" s="1"/>
      <c r="Q30" s="1"/>
      <c r="R30" s="1"/>
      <c r="S30" s="1"/>
      <c r="T30" s="1"/>
      <c r="U30" s="1"/>
      <c r="V30" s="1"/>
      <c r="W30" s="1"/>
      <c r="X30" s="1"/>
      <c r="Y30" s="1"/>
      <c r="Z30" s="1"/>
    </row>
    <row r="31" spans="1:26" ht="15.6">
      <c r="A31" s="1"/>
      <c r="B31" s="548" t="s">
        <v>76</v>
      </c>
      <c r="C31" s="549" t="s">
        <v>26</v>
      </c>
      <c r="D31" s="549" t="s">
        <v>184</v>
      </c>
      <c r="E31" s="566" t="s">
        <v>185</v>
      </c>
      <c r="F31" s="1"/>
      <c r="G31" s="1"/>
      <c r="H31" s="1"/>
      <c r="I31" s="1"/>
      <c r="J31" s="1"/>
      <c r="K31" s="1"/>
      <c r="L31" s="1"/>
      <c r="M31" s="1"/>
      <c r="N31" s="1"/>
      <c r="O31" s="1"/>
      <c r="P31" s="1"/>
      <c r="Q31" s="1"/>
      <c r="R31" s="1"/>
      <c r="S31" s="1"/>
      <c r="T31" s="1"/>
      <c r="U31" s="1"/>
      <c r="V31" s="1"/>
      <c r="W31" s="1"/>
      <c r="X31" s="1"/>
      <c r="Y31" s="1"/>
      <c r="Z31" s="1"/>
    </row>
    <row r="32" spans="1:26" ht="14.4">
      <c r="A32" s="1"/>
      <c r="B32" s="550" t="s">
        <v>94</v>
      </c>
      <c r="C32" s="261">
        <v>1</v>
      </c>
      <c r="D32" s="551">
        <v>800000</v>
      </c>
      <c r="E32" s="552">
        <f t="shared" ref="E32:E41" si="1">C32*D32</f>
        <v>800000</v>
      </c>
      <c r="F32" s="567"/>
      <c r="G32" s="1"/>
      <c r="H32" s="1"/>
      <c r="I32" s="1"/>
      <c r="J32" s="1"/>
      <c r="K32" s="1"/>
      <c r="L32" s="1"/>
      <c r="M32" s="1"/>
      <c r="N32" s="1"/>
      <c r="O32" s="1"/>
      <c r="P32" s="1"/>
      <c r="Q32" s="1"/>
      <c r="R32" s="1"/>
      <c r="S32" s="1"/>
      <c r="T32" s="1"/>
      <c r="U32" s="1"/>
      <c r="V32" s="1"/>
      <c r="W32" s="1"/>
      <c r="X32" s="1"/>
      <c r="Y32" s="1"/>
      <c r="Z32" s="1"/>
    </row>
    <row r="33" spans="1:26" ht="14.4">
      <c r="A33" s="1"/>
      <c r="B33" s="550" t="s">
        <v>97</v>
      </c>
      <c r="C33" s="261">
        <v>0</v>
      </c>
      <c r="D33" s="551">
        <v>100000</v>
      </c>
      <c r="E33" s="552">
        <f t="shared" si="1"/>
        <v>0</v>
      </c>
      <c r="F33" s="567"/>
      <c r="G33" s="1"/>
      <c r="H33" s="1"/>
      <c r="I33" s="1"/>
      <c r="J33" s="1"/>
      <c r="K33" s="1"/>
      <c r="L33" s="1"/>
      <c r="M33" s="1"/>
      <c r="N33" s="1"/>
      <c r="O33" s="1"/>
      <c r="P33" s="1"/>
      <c r="Q33" s="1"/>
      <c r="R33" s="1"/>
      <c r="S33" s="1"/>
      <c r="T33" s="1"/>
      <c r="U33" s="1"/>
      <c r="V33" s="1"/>
      <c r="W33" s="1"/>
      <c r="X33" s="1"/>
      <c r="Y33" s="1"/>
      <c r="Z33" s="1"/>
    </row>
    <row r="34" spans="1:26" ht="14.4">
      <c r="A34" s="1"/>
      <c r="B34" s="550" t="s">
        <v>99</v>
      </c>
      <c r="C34" s="261">
        <v>0</v>
      </c>
      <c r="D34" s="551">
        <v>82000</v>
      </c>
      <c r="E34" s="552">
        <f t="shared" si="1"/>
        <v>0</v>
      </c>
      <c r="F34" s="567"/>
      <c r="G34" s="1"/>
      <c r="H34" s="1"/>
      <c r="I34" s="1"/>
      <c r="J34" s="1"/>
      <c r="K34" s="1"/>
      <c r="L34" s="1"/>
      <c r="M34" s="1"/>
      <c r="N34" s="1"/>
      <c r="O34" s="1"/>
      <c r="P34" s="1"/>
      <c r="Q34" s="1"/>
      <c r="R34" s="1"/>
      <c r="S34" s="1"/>
      <c r="T34" s="1"/>
      <c r="U34" s="1"/>
      <c r="V34" s="1"/>
      <c r="W34" s="1"/>
      <c r="X34" s="1"/>
      <c r="Y34" s="1"/>
      <c r="Z34" s="1"/>
    </row>
    <row r="35" spans="1:26" ht="14.4">
      <c r="A35" s="1"/>
      <c r="B35" s="550" t="s">
        <v>102</v>
      </c>
      <c r="C35" s="261">
        <v>0</v>
      </c>
      <c r="D35" s="551">
        <v>12500</v>
      </c>
      <c r="E35" s="552">
        <f t="shared" si="1"/>
        <v>0</v>
      </c>
      <c r="F35" s="567"/>
      <c r="G35" s="980"/>
      <c r="H35" s="981"/>
      <c r="I35" s="1"/>
      <c r="J35" s="1"/>
      <c r="K35" s="1"/>
      <c r="L35" s="1"/>
      <c r="M35" s="1"/>
      <c r="N35" s="1"/>
      <c r="O35" s="1"/>
      <c r="P35" s="1"/>
      <c r="Q35" s="1"/>
      <c r="R35" s="1"/>
      <c r="S35" s="1"/>
      <c r="T35" s="1"/>
      <c r="U35" s="1"/>
      <c r="V35" s="1"/>
      <c r="W35" s="1"/>
      <c r="X35" s="1"/>
      <c r="Y35" s="1"/>
      <c r="Z35" s="1"/>
    </row>
    <row r="36" spans="1:26" ht="14.4">
      <c r="A36" s="1"/>
      <c r="B36" s="550" t="s">
        <v>106</v>
      </c>
      <c r="C36" s="531">
        <v>0</v>
      </c>
      <c r="D36" s="551">
        <v>10000</v>
      </c>
      <c r="E36" s="552">
        <f t="shared" si="1"/>
        <v>0</v>
      </c>
      <c r="F36" s="567"/>
      <c r="G36" s="982"/>
      <c r="H36" s="981"/>
      <c r="I36" s="1"/>
      <c r="J36" s="1"/>
      <c r="K36" s="1"/>
      <c r="L36" s="1"/>
      <c r="M36" s="1"/>
      <c r="N36" s="1"/>
      <c r="O36" s="1"/>
      <c r="P36" s="1"/>
      <c r="Q36" s="1"/>
      <c r="R36" s="1"/>
      <c r="S36" s="1"/>
      <c r="T36" s="1"/>
      <c r="U36" s="1"/>
      <c r="V36" s="1"/>
      <c r="W36" s="1"/>
      <c r="X36" s="1"/>
      <c r="Y36" s="1"/>
      <c r="Z36" s="1"/>
    </row>
    <row r="37" spans="1:26" ht="14.4">
      <c r="A37" s="1"/>
      <c r="B37" s="550" t="s">
        <v>110</v>
      </c>
      <c r="C37" s="531">
        <v>0</v>
      </c>
      <c r="D37" s="551">
        <v>14000</v>
      </c>
      <c r="E37" s="552">
        <f t="shared" si="1"/>
        <v>0</v>
      </c>
      <c r="F37" s="567"/>
      <c r="G37" s="980"/>
      <c r="H37" s="981"/>
      <c r="I37" s="1"/>
      <c r="J37" s="1"/>
      <c r="K37" s="1"/>
      <c r="L37" s="1"/>
      <c r="M37" s="1"/>
      <c r="N37" s="1"/>
      <c r="O37" s="1"/>
      <c r="P37" s="1"/>
      <c r="Q37" s="1"/>
      <c r="R37" s="1"/>
      <c r="S37" s="1"/>
      <c r="T37" s="1"/>
      <c r="U37" s="1"/>
      <c r="V37" s="1"/>
      <c r="W37" s="1"/>
      <c r="X37" s="1"/>
      <c r="Y37" s="1"/>
      <c r="Z37" s="1"/>
    </row>
    <row r="38" spans="1:26" ht="14.4">
      <c r="A38" s="1"/>
      <c r="B38" s="550" t="s">
        <v>114</v>
      </c>
      <c r="C38" s="531">
        <v>0</v>
      </c>
      <c r="D38" s="551">
        <v>10000</v>
      </c>
      <c r="E38" s="552">
        <f t="shared" si="1"/>
        <v>0</v>
      </c>
      <c r="F38" s="567"/>
      <c r="G38" s="982"/>
      <c r="H38" s="981"/>
      <c r="I38" s="1"/>
      <c r="J38" s="1"/>
      <c r="K38" s="1"/>
      <c r="L38" s="1"/>
      <c r="M38" s="1"/>
      <c r="N38" s="1"/>
      <c r="O38" s="1"/>
      <c r="P38" s="1"/>
      <c r="Q38" s="1"/>
      <c r="R38" s="1"/>
      <c r="S38" s="1"/>
      <c r="T38" s="1"/>
      <c r="U38" s="1"/>
      <c r="V38" s="1"/>
      <c r="W38" s="1"/>
      <c r="X38" s="1"/>
      <c r="Y38" s="1"/>
      <c r="Z38" s="1"/>
    </row>
    <row r="39" spans="1:26" ht="14.4">
      <c r="A39" s="1"/>
      <c r="B39" s="550" t="s">
        <v>118</v>
      </c>
      <c r="C39" s="531">
        <v>0</v>
      </c>
      <c r="D39" s="551">
        <v>15000</v>
      </c>
      <c r="E39" s="552">
        <f t="shared" si="1"/>
        <v>0</v>
      </c>
      <c r="F39" s="567"/>
      <c r="G39" s="982"/>
      <c r="H39" s="981"/>
      <c r="I39" s="1"/>
      <c r="J39" s="1"/>
      <c r="K39" s="1"/>
      <c r="L39" s="1"/>
      <c r="M39" s="1"/>
      <c r="N39" s="1"/>
      <c r="O39" s="1"/>
      <c r="P39" s="1"/>
      <c r="Q39" s="1"/>
      <c r="R39" s="1"/>
      <c r="S39" s="1"/>
      <c r="T39" s="1"/>
      <c r="U39" s="1"/>
      <c r="V39" s="1"/>
      <c r="W39" s="1"/>
      <c r="X39" s="1"/>
      <c r="Y39" s="1"/>
      <c r="Z39" s="1"/>
    </row>
    <row r="40" spans="1:26" ht="14.4">
      <c r="A40" s="1"/>
      <c r="B40" s="550" t="s">
        <v>122</v>
      </c>
      <c r="C40" s="531">
        <v>0</v>
      </c>
      <c r="D40" s="551">
        <v>30000</v>
      </c>
      <c r="E40" s="552">
        <f t="shared" si="1"/>
        <v>0</v>
      </c>
      <c r="F40" s="567"/>
      <c r="G40" s="982"/>
      <c r="H40" s="981"/>
      <c r="I40" s="1"/>
      <c r="J40" s="1"/>
      <c r="K40" s="1"/>
      <c r="L40" s="1"/>
      <c r="M40" s="1"/>
      <c r="N40" s="1"/>
      <c r="O40" s="1"/>
      <c r="P40" s="1"/>
      <c r="Q40" s="1"/>
      <c r="R40" s="1"/>
      <c r="S40" s="1"/>
      <c r="T40" s="1"/>
      <c r="U40" s="1"/>
      <c r="V40" s="1"/>
      <c r="W40" s="1"/>
      <c r="X40" s="1"/>
      <c r="Y40" s="1"/>
      <c r="Z40" s="1"/>
    </row>
    <row r="41" spans="1:26" ht="14.4">
      <c r="A41" s="1"/>
      <c r="B41" s="550" t="s">
        <v>372</v>
      </c>
      <c r="C41" s="531">
        <v>0</v>
      </c>
      <c r="D41" s="551">
        <v>13576000</v>
      </c>
      <c r="E41" s="552">
        <f t="shared" si="1"/>
        <v>0</v>
      </c>
      <c r="F41" s="567"/>
      <c r="G41" s="980"/>
      <c r="H41" s="981"/>
      <c r="I41" s="1"/>
      <c r="J41" s="1"/>
      <c r="K41" s="1"/>
      <c r="L41" s="1"/>
      <c r="M41" s="1"/>
      <c r="N41" s="1"/>
      <c r="O41" s="1"/>
      <c r="P41" s="1"/>
      <c r="Q41" s="1"/>
      <c r="R41" s="1"/>
      <c r="S41" s="1"/>
      <c r="T41" s="1"/>
      <c r="U41" s="1"/>
      <c r="V41" s="1"/>
      <c r="W41" s="1"/>
      <c r="X41" s="1"/>
      <c r="Y41" s="1"/>
      <c r="Z41" s="1"/>
    </row>
    <row r="42" spans="1:26" ht="14.4">
      <c r="A42" s="1"/>
      <c r="B42" s="530"/>
      <c r="C42" s="533"/>
      <c r="D42" s="560"/>
      <c r="E42" s="552"/>
      <c r="F42" s="567"/>
      <c r="G42" s="980"/>
      <c r="H42" s="981"/>
      <c r="I42" s="1"/>
      <c r="J42" s="1"/>
      <c r="K42" s="1"/>
      <c r="L42" s="1"/>
      <c r="M42" s="1"/>
      <c r="N42" s="1"/>
      <c r="O42" s="1"/>
      <c r="P42" s="1"/>
      <c r="Q42" s="1"/>
      <c r="R42" s="1"/>
      <c r="S42" s="1"/>
      <c r="T42" s="1"/>
      <c r="U42" s="1"/>
      <c r="V42" s="1"/>
      <c r="W42" s="1"/>
      <c r="X42" s="1"/>
      <c r="Y42" s="1"/>
      <c r="Z42" s="1"/>
    </row>
    <row r="43" spans="1:26" ht="14.4">
      <c r="A43" s="1"/>
      <c r="B43" s="530"/>
      <c r="C43" s="568"/>
      <c r="D43" s="560"/>
      <c r="E43" s="569"/>
      <c r="F43" s="1"/>
      <c r="G43" s="1"/>
      <c r="H43" s="1"/>
      <c r="I43" s="1"/>
      <c r="J43" s="1"/>
      <c r="K43" s="1"/>
      <c r="L43" s="1"/>
      <c r="M43" s="1"/>
      <c r="N43" s="1"/>
      <c r="O43" s="1"/>
      <c r="P43" s="1"/>
      <c r="Q43" s="1"/>
      <c r="R43" s="1"/>
      <c r="S43" s="1"/>
      <c r="T43" s="1"/>
      <c r="U43" s="1"/>
      <c r="V43" s="1"/>
      <c r="W43" s="1"/>
      <c r="X43" s="1"/>
      <c r="Y43" s="1"/>
      <c r="Z43" s="1"/>
    </row>
    <row r="44" spans="1:26" ht="14.4">
      <c r="A44" s="1"/>
      <c r="B44" s="561"/>
      <c r="C44" s="562"/>
      <c r="D44" s="546"/>
      <c r="E44" s="570"/>
      <c r="F44" s="1"/>
      <c r="G44" s="1"/>
      <c r="H44" s="1"/>
      <c r="I44" s="1"/>
      <c r="J44" s="1"/>
      <c r="K44" s="1"/>
      <c r="L44" s="1"/>
      <c r="M44" s="1"/>
      <c r="N44" s="1"/>
      <c r="O44" s="1"/>
      <c r="P44" s="1"/>
      <c r="Q44" s="1"/>
      <c r="R44" s="1"/>
      <c r="S44" s="1"/>
      <c r="T44" s="1"/>
      <c r="U44" s="1"/>
      <c r="V44" s="1"/>
      <c r="W44" s="1"/>
      <c r="X44" s="1"/>
      <c r="Y44" s="1"/>
      <c r="Z44" s="1"/>
    </row>
    <row r="45" spans="1:26" ht="14.4">
      <c r="A45" s="1"/>
      <c r="B45" s="978" t="s">
        <v>28</v>
      </c>
      <c r="C45" s="850"/>
      <c r="D45" s="979"/>
      <c r="E45" s="571">
        <f>SUM(E32:E44)</f>
        <v>800000</v>
      </c>
      <c r="F45" s="1"/>
      <c r="G45" s="1"/>
      <c r="H45" s="1"/>
      <c r="I45" s="1"/>
      <c r="J45" s="1"/>
      <c r="K45" s="1"/>
      <c r="L45" s="1"/>
      <c r="M45" s="1"/>
      <c r="N45" s="1"/>
      <c r="O45" s="1"/>
      <c r="P45" s="1"/>
      <c r="Q45" s="1"/>
      <c r="R45" s="1"/>
      <c r="S45" s="1"/>
      <c r="T45" s="1"/>
      <c r="U45" s="1"/>
      <c r="V45" s="1"/>
      <c r="W45" s="1"/>
      <c r="X45" s="1"/>
      <c r="Y45" s="1"/>
      <c r="Z45" s="1"/>
    </row>
    <row r="46" spans="1:26" ht="14.4">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4">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5.8">
      <c r="A48" s="1"/>
      <c r="B48" s="798" t="s">
        <v>374</v>
      </c>
      <c r="C48" s="799"/>
      <c r="D48" s="799"/>
      <c r="E48" s="800"/>
      <c r="F48" s="1"/>
      <c r="G48" s="1"/>
      <c r="H48" s="1"/>
      <c r="I48" s="1"/>
      <c r="J48" s="1"/>
      <c r="K48" s="1"/>
      <c r="L48" s="1"/>
      <c r="M48" s="1"/>
      <c r="N48" s="1"/>
      <c r="O48" s="1"/>
      <c r="P48" s="1"/>
      <c r="Q48" s="1"/>
      <c r="R48" s="1"/>
      <c r="S48" s="1"/>
      <c r="T48" s="1"/>
      <c r="U48" s="1"/>
      <c r="V48" s="1"/>
      <c r="W48" s="1"/>
      <c r="X48" s="1"/>
      <c r="Y48" s="1"/>
      <c r="Z48" s="1"/>
    </row>
    <row r="49" spans="1:26" ht="15.6">
      <c r="A49" s="1"/>
      <c r="B49" s="548" t="s">
        <v>76</v>
      </c>
      <c r="C49" s="549" t="s">
        <v>26</v>
      </c>
      <c r="D49" s="549" t="s">
        <v>184</v>
      </c>
      <c r="E49" s="566" t="s">
        <v>185</v>
      </c>
      <c r="F49" s="1"/>
      <c r="G49" s="1"/>
      <c r="H49" s="1"/>
      <c r="I49" s="1"/>
      <c r="J49" s="1"/>
      <c r="K49" s="1"/>
      <c r="L49" s="1"/>
      <c r="M49" s="1"/>
      <c r="N49" s="1"/>
      <c r="O49" s="1"/>
      <c r="P49" s="1"/>
      <c r="Q49" s="1"/>
      <c r="R49" s="1"/>
      <c r="S49" s="1"/>
      <c r="T49" s="1"/>
      <c r="U49" s="1"/>
      <c r="V49" s="1"/>
      <c r="W49" s="1"/>
      <c r="X49" s="1"/>
      <c r="Y49" s="1"/>
      <c r="Z49" s="1"/>
    </row>
    <row r="50" spans="1:26" ht="14.4">
      <c r="A50" s="1"/>
      <c r="B50" s="550" t="s">
        <v>94</v>
      </c>
      <c r="C50" s="261">
        <v>2</v>
      </c>
      <c r="D50" s="551">
        <v>800000</v>
      </c>
      <c r="E50" s="552">
        <f t="shared" ref="E50:E59" si="2">C50*D50</f>
        <v>1600000</v>
      </c>
      <c r="F50" s="567"/>
      <c r="G50" s="1"/>
      <c r="H50" s="1"/>
      <c r="I50" s="1"/>
      <c r="J50" s="1"/>
      <c r="K50" s="1"/>
      <c r="L50" s="1"/>
      <c r="M50" s="1"/>
      <c r="N50" s="1"/>
      <c r="O50" s="1"/>
      <c r="P50" s="1"/>
      <c r="Q50" s="1"/>
      <c r="R50" s="1"/>
      <c r="S50" s="1"/>
      <c r="T50" s="1"/>
      <c r="U50" s="1"/>
      <c r="V50" s="1"/>
      <c r="W50" s="1"/>
      <c r="X50" s="1"/>
      <c r="Y50" s="1"/>
      <c r="Z50" s="1"/>
    </row>
    <row r="51" spans="1:26" ht="14.4">
      <c r="A51" s="1"/>
      <c r="B51" s="550" t="s">
        <v>97</v>
      </c>
      <c r="C51" s="261">
        <v>1</v>
      </c>
      <c r="D51" s="551">
        <v>100000</v>
      </c>
      <c r="E51" s="552">
        <f t="shared" si="2"/>
        <v>100000</v>
      </c>
      <c r="F51" s="567"/>
      <c r="G51" s="1"/>
      <c r="H51" s="1"/>
      <c r="I51" s="1"/>
      <c r="J51" s="1"/>
      <c r="K51" s="1"/>
      <c r="L51" s="1"/>
      <c r="M51" s="1"/>
      <c r="N51" s="1"/>
      <c r="O51" s="1"/>
      <c r="P51" s="1"/>
      <c r="Q51" s="1"/>
      <c r="R51" s="1"/>
      <c r="S51" s="1"/>
      <c r="T51" s="1"/>
      <c r="U51" s="1"/>
      <c r="V51" s="1"/>
      <c r="W51" s="1"/>
      <c r="X51" s="1"/>
      <c r="Y51" s="1"/>
      <c r="Z51" s="1"/>
    </row>
    <row r="52" spans="1:26" ht="14.4">
      <c r="A52" s="1"/>
      <c r="B52" s="550" t="s">
        <v>99</v>
      </c>
      <c r="C52" s="261">
        <v>2</v>
      </c>
      <c r="D52" s="551">
        <v>82000</v>
      </c>
      <c r="E52" s="552">
        <f t="shared" si="2"/>
        <v>164000</v>
      </c>
      <c r="F52" s="567"/>
      <c r="G52" s="1"/>
      <c r="H52" s="1"/>
      <c r="I52" s="1"/>
      <c r="J52" s="1"/>
      <c r="K52" s="1"/>
      <c r="L52" s="1"/>
      <c r="M52" s="1"/>
      <c r="N52" s="1"/>
      <c r="O52" s="1"/>
      <c r="P52" s="1"/>
      <c r="Q52" s="1"/>
      <c r="R52" s="1"/>
      <c r="S52" s="1"/>
      <c r="T52" s="1"/>
      <c r="U52" s="1"/>
      <c r="V52" s="1"/>
      <c r="W52" s="1"/>
      <c r="X52" s="1"/>
      <c r="Y52" s="1"/>
      <c r="Z52" s="1"/>
    </row>
    <row r="53" spans="1:26" ht="14.4">
      <c r="A53" s="1"/>
      <c r="B53" s="550" t="s">
        <v>102</v>
      </c>
      <c r="C53" s="261">
        <v>0</v>
      </c>
      <c r="D53" s="551">
        <v>12500</v>
      </c>
      <c r="E53" s="552">
        <f t="shared" si="2"/>
        <v>0</v>
      </c>
      <c r="F53" s="567"/>
      <c r="G53" s="1"/>
      <c r="H53" s="1"/>
      <c r="I53" s="1"/>
      <c r="J53" s="1"/>
      <c r="K53" s="1"/>
      <c r="L53" s="1"/>
      <c r="M53" s="1"/>
      <c r="N53" s="1"/>
      <c r="O53" s="1"/>
      <c r="P53" s="1"/>
      <c r="Q53" s="1"/>
      <c r="R53" s="1"/>
      <c r="S53" s="1"/>
      <c r="T53" s="1"/>
      <c r="U53" s="1"/>
      <c r="V53" s="1"/>
      <c r="W53" s="1"/>
      <c r="X53" s="1"/>
      <c r="Y53" s="1"/>
      <c r="Z53" s="1"/>
    </row>
    <row r="54" spans="1:26" ht="14.4">
      <c r="A54" s="1"/>
      <c r="B54" s="550" t="s">
        <v>106</v>
      </c>
      <c r="C54" s="531">
        <v>0</v>
      </c>
      <c r="D54" s="551">
        <v>10000</v>
      </c>
      <c r="E54" s="552">
        <f t="shared" si="2"/>
        <v>0</v>
      </c>
      <c r="F54" s="567"/>
      <c r="G54" s="1"/>
      <c r="H54" s="1"/>
      <c r="I54" s="1"/>
      <c r="J54" s="1"/>
      <c r="K54" s="1"/>
      <c r="L54" s="1"/>
      <c r="M54" s="1"/>
      <c r="N54" s="1"/>
      <c r="O54" s="1"/>
      <c r="P54" s="1"/>
      <c r="Q54" s="1"/>
      <c r="R54" s="1"/>
      <c r="S54" s="1"/>
      <c r="T54" s="1"/>
      <c r="U54" s="1"/>
      <c r="V54" s="1"/>
      <c r="W54" s="1"/>
      <c r="X54" s="1"/>
      <c r="Y54" s="1"/>
      <c r="Z54" s="1"/>
    </row>
    <row r="55" spans="1:26" ht="14.4">
      <c r="A55" s="1"/>
      <c r="B55" s="550" t="s">
        <v>110</v>
      </c>
      <c r="C55" s="531">
        <v>0</v>
      </c>
      <c r="D55" s="551">
        <v>14000</v>
      </c>
      <c r="E55" s="552">
        <f t="shared" si="2"/>
        <v>0</v>
      </c>
      <c r="F55" s="567"/>
      <c r="G55" s="1"/>
      <c r="H55" s="1"/>
      <c r="I55" s="1"/>
      <c r="J55" s="1"/>
      <c r="K55" s="1"/>
      <c r="L55" s="1"/>
      <c r="M55" s="1"/>
      <c r="N55" s="1"/>
      <c r="O55" s="1"/>
      <c r="P55" s="1"/>
      <c r="Q55" s="1"/>
      <c r="R55" s="1"/>
      <c r="S55" s="1"/>
      <c r="T55" s="1"/>
      <c r="U55" s="1"/>
      <c r="V55" s="1"/>
      <c r="W55" s="1"/>
      <c r="X55" s="1"/>
      <c r="Y55" s="1"/>
      <c r="Z55" s="1"/>
    </row>
    <row r="56" spans="1:26" ht="14.4">
      <c r="A56" s="1"/>
      <c r="B56" s="550" t="s">
        <v>114</v>
      </c>
      <c r="C56" s="531">
        <v>0</v>
      </c>
      <c r="D56" s="551">
        <v>10000</v>
      </c>
      <c r="E56" s="552">
        <f t="shared" si="2"/>
        <v>0</v>
      </c>
      <c r="F56" s="567"/>
      <c r="G56" s="1"/>
      <c r="H56" s="1"/>
      <c r="I56" s="1"/>
      <c r="J56" s="1"/>
      <c r="K56" s="1"/>
      <c r="L56" s="1"/>
      <c r="M56" s="1"/>
      <c r="N56" s="1"/>
      <c r="O56" s="1"/>
      <c r="P56" s="1"/>
      <c r="Q56" s="1"/>
      <c r="R56" s="1"/>
      <c r="S56" s="1"/>
      <c r="T56" s="1"/>
      <c r="U56" s="1"/>
      <c r="V56" s="1"/>
      <c r="W56" s="1"/>
      <c r="X56" s="1"/>
      <c r="Y56" s="1"/>
      <c r="Z56" s="1"/>
    </row>
    <row r="57" spans="1:26" ht="14.4">
      <c r="A57" s="1"/>
      <c r="B57" s="550" t="s">
        <v>118</v>
      </c>
      <c r="C57" s="531">
        <v>0</v>
      </c>
      <c r="D57" s="551">
        <v>15000</v>
      </c>
      <c r="E57" s="552">
        <f t="shared" si="2"/>
        <v>0</v>
      </c>
      <c r="F57" s="567"/>
      <c r="G57" s="1"/>
      <c r="H57" s="1"/>
      <c r="I57" s="1"/>
      <c r="J57" s="1"/>
      <c r="K57" s="1"/>
      <c r="L57" s="1"/>
      <c r="M57" s="1"/>
      <c r="N57" s="1"/>
      <c r="O57" s="1"/>
      <c r="P57" s="1"/>
      <c r="Q57" s="1"/>
      <c r="R57" s="1"/>
      <c r="S57" s="1"/>
      <c r="T57" s="1"/>
      <c r="U57" s="1"/>
      <c r="V57" s="1"/>
      <c r="W57" s="1"/>
      <c r="X57" s="1"/>
      <c r="Y57" s="1"/>
      <c r="Z57" s="1"/>
    </row>
    <row r="58" spans="1:26" ht="14.4">
      <c r="A58" s="1"/>
      <c r="B58" s="550" t="s">
        <v>122</v>
      </c>
      <c r="C58" s="531">
        <v>0</v>
      </c>
      <c r="D58" s="551">
        <v>30000</v>
      </c>
      <c r="E58" s="552">
        <f t="shared" si="2"/>
        <v>0</v>
      </c>
      <c r="F58" s="567"/>
      <c r="G58" s="1"/>
      <c r="H58" s="1"/>
      <c r="I58" s="1"/>
      <c r="J58" s="1"/>
      <c r="K58" s="1"/>
      <c r="L58" s="1"/>
      <c r="M58" s="1"/>
      <c r="N58" s="1"/>
      <c r="O58" s="1"/>
      <c r="P58" s="1"/>
      <c r="Q58" s="1"/>
      <c r="R58" s="1"/>
      <c r="S58" s="1"/>
      <c r="T58" s="1"/>
      <c r="U58" s="1"/>
      <c r="V58" s="1"/>
      <c r="W58" s="1"/>
      <c r="X58" s="1"/>
      <c r="Y58" s="1"/>
      <c r="Z58" s="1"/>
    </row>
    <row r="59" spans="1:26" ht="14.4">
      <c r="A59" s="1"/>
      <c r="B59" s="550" t="s">
        <v>372</v>
      </c>
      <c r="C59" s="531">
        <v>0</v>
      </c>
      <c r="D59" s="551">
        <v>13576000</v>
      </c>
      <c r="E59" s="552">
        <f t="shared" si="2"/>
        <v>0</v>
      </c>
      <c r="F59" s="567"/>
      <c r="G59" s="1"/>
      <c r="H59" s="1"/>
      <c r="I59" s="1"/>
      <c r="J59" s="1"/>
      <c r="K59" s="1"/>
      <c r="L59" s="1"/>
      <c r="M59" s="1"/>
      <c r="N59" s="1"/>
      <c r="O59" s="1"/>
      <c r="P59" s="1"/>
      <c r="Q59" s="1"/>
      <c r="R59" s="1"/>
      <c r="S59" s="1"/>
      <c r="T59" s="1"/>
      <c r="U59" s="1"/>
      <c r="V59" s="1"/>
      <c r="W59" s="1"/>
      <c r="X59" s="1"/>
      <c r="Y59" s="1"/>
      <c r="Z59" s="1"/>
    </row>
    <row r="60" spans="1:26" ht="14.4">
      <c r="A60" s="1"/>
      <c r="B60" s="530"/>
      <c r="C60" s="533"/>
      <c r="D60" s="560"/>
      <c r="E60" s="552"/>
      <c r="F60" s="567"/>
      <c r="G60" s="1"/>
      <c r="H60" s="1"/>
      <c r="I60" s="1"/>
      <c r="J60" s="1"/>
      <c r="K60" s="1"/>
      <c r="L60" s="1"/>
      <c r="M60" s="1"/>
      <c r="N60" s="1"/>
      <c r="O60" s="1"/>
      <c r="P60" s="1"/>
      <c r="Q60" s="1"/>
      <c r="R60" s="1"/>
      <c r="S60" s="1"/>
      <c r="T60" s="1"/>
      <c r="U60" s="1"/>
      <c r="V60" s="1"/>
      <c r="W60" s="1"/>
      <c r="X60" s="1"/>
      <c r="Y60" s="1"/>
      <c r="Z60" s="1"/>
    </row>
    <row r="61" spans="1:26" ht="14.4">
      <c r="A61" s="1"/>
      <c r="B61" s="530"/>
      <c r="C61" s="568"/>
      <c r="D61" s="560"/>
      <c r="E61" s="569"/>
      <c r="F61" s="1"/>
      <c r="G61" s="1"/>
      <c r="H61" s="1"/>
      <c r="I61" s="1"/>
      <c r="J61" s="1"/>
      <c r="K61" s="1"/>
      <c r="L61" s="1"/>
      <c r="M61" s="1"/>
      <c r="N61" s="1"/>
      <c r="O61" s="1"/>
      <c r="P61" s="1"/>
      <c r="Q61" s="1"/>
      <c r="R61" s="1"/>
      <c r="S61" s="1"/>
      <c r="T61" s="1"/>
      <c r="U61" s="1"/>
      <c r="V61" s="1"/>
      <c r="W61" s="1"/>
      <c r="X61" s="1"/>
      <c r="Y61" s="1"/>
      <c r="Z61" s="1"/>
    </row>
    <row r="62" spans="1:26" ht="14.4">
      <c r="A62" s="1"/>
      <c r="B62" s="561"/>
      <c r="C62" s="562"/>
      <c r="D62" s="546"/>
      <c r="E62" s="570"/>
      <c r="F62" s="1"/>
      <c r="G62" s="1"/>
      <c r="H62" s="1"/>
      <c r="I62" s="1"/>
      <c r="J62" s="1"/>
      <c r="K62" s="1"/>
      <c r="L62" s="1"/>
      <c r="M62" s="1"/>
      <c r="N62" s="1"/>
      <c r="O62" s="1"/>
      <c r="P62" s="1"/>
      <c r="Q62" s="1"/>
      <c r="R62" s="1"/>
      <c r="S62" s="1"/>
      <c r="T62" s="1"/>
      <c r="U62" s="1"/>
      <c r="V62" s="1"/>
      <c r="W62" s="1"/>
      <c r="X62" s="1"/>
      <c r="Y62" s="1"/>
      <c r="Z62" s="1"/>
    </row>
    <row r="63" spans="1:26" ht="14.4">
      <c r="A63" s="1"/>
      <c r="B63" s="978" t="s">
        <v>28</v>
      </c>
      <c r="C63" s="850"/>
      <c r="D63" s="979"/>
      <c r="E63" s="571">
        <f>SUM(E50:E62)</f>
        <v>1864000</v>
      </c>
      <c r="F63" s="1"/>
      <c r="G63" s="1"/>
      <c r="H63" s="1"/>
      <c r="I63" s="1"/>
      <c r="J63" s="1"/>
      <c r="K63" s="1"/>
      <c r="L63" s="1"/>
      <c r="M63" s="1"/>
      <c r="N63" s="1"/>
      <c r="O63" s="1"/>
      <c r="P63" s="1"/>
      <c r="Q63" s="1"/>
      <c r="R63" s="1"/>
      <c r="S63" s="1"/>
      <c r="T63" s="1"/>
      <c r="U63" s="1"/>
      <c r="V63" s="1"/>
      <c r="W63" s="1"/>
      <c r="X63" s="1"/>
      <c r="Y63" s="1"/>
      <c r="Z63" s="1"/>
    </row>
    <row r="64" spans="1:26" ht="14.4">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4">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5.8">
      <c r="A66" s="1"/>
      <c r="B66" s="798" t="s">
        <v>375</v>
      </c>
      <c r="C66" s="799"/>
      <c r="D66" s="799"/>
      <c r="E66" s="800"/>
      <c r="F66" s="1"/>
      <c r="G66" s="1"/>
      <c r="H66" s="1"/>
      <c r="I66" s="1"/>
      <c r="J66" s="1"/>
      <c r="K66" s="1"/>
      <c r="L66" s="1"/>
      <c r="M66" s="1"/>
      <c r="N66" s="1"/>
      <c r="O66" s="1"/>
      <c r="P66" s="1"/>
      <c r="Q66" s="1"/>
      <c r="R66" s="1"/>
      <c r="S66" s="1"/>
      <c r="T66" s="1"/>
      <c r="U66" s="1"/>
      <c r="V66" s="1"/>
      <c r="W66" s="1"/>
      <c r="X66" s="1"/>
      <c r="Y66" s="1"/>
      <c r="Z66" s="1"/>
    </row>
    <row r="67" spans="1:26" ht="15.6">
      <c r="A67" s="1"/>
      <c r="B67" s="548" t="s">
        <v>76</v>
      </c>
      <c r="C67" s="549" t="s">
        <v>26</v>
      </c>
      <c r="D67" s="549" t="s">
        <v>184</v>
      </c>
      <c r="E67" s="566" t="s">
        <v>185</v>
      </c>
      <c r="F67" s="1"/>
      <c r="G67" s="1"/>
      <c r="H67" s="1"/>
      <c r="I67" s="1"/>
      <c r="J67" s="1"/>
      <c r="K67" s="1"/>
      <c r="L67" s="1"/>
      <c r="M67" s="1"/>
      <c r="N67" s="1"/>
      <c r="O67" s="1"/>
      <c r="P67" s="1"/>
      <c r="Q67" s="1"/>
      <c r="R67" s="1"/>
      <c r="S67" s="1"/>
      <c r="T67" s="1"/>
      <c r="U67" s="1"/>
      <c r="V67" s="1"/>
      <c r="W67" s="1"/>
      <c r="X67" s="1"/>
      <c r="Y67" s="1"/>
      <c r="Z67" s="1"/>
    </row>
    <row r="68" spans="1:26" ht="14.4">
      <c r="A68" s="1"/>
      <c r="B68" s="550" t="s">
        <v>94</v>
      </c>
      <c r="C68" s="261">
        <v>5</v>
      </c>
      <c r="D68" s="551">
        <v>800000</v>
      </c>
      <c r="E68" s="552">
        <f t="shared" ref="E68:E77" si="3">C68*D68</f>
        <v>4000000</v>
      </c>
      <c r="F68" s="567"/>
      <c r="G68" s="1"/>
      <c r="H68" s="1"/>
      <c r="I68" s="1"/>
      <c r="J68" s="1"/>
      <c r="K68" s="1"/>
      <c r="L68" s="1"/>
      <c r="M68" s="1"/>
      <c r="N68" s="1"/>
      <c r="O68" s="1"/>
      <c r="P68" s="1"/>
      <c r="Q68" s="1"/>
      <c r="R68" s="1"/>
      <c r="S68" s="1"/>
      <c r="T68" s="1"/>
      <c r="U68" s="1"/>
      <c r="V68" s="1"/>
      <c r="W68" s="1"/>
      <c r="X68" s="1"/>
      <c r="Y68" s="1"/>
      <c r="Z68" s="1"/>
    </row>
    <row r="69" spans="1:26" ht="14.4">
      <c r="A69" s="1"/>
      <c r="B69" s="550" t="s">
        <v>97</v>
      </c>
      <c r="C69" s="261">
        <v>1</v>
      </c>
      <c r="D69" s="551">
        <v>100000</v>
      </c>
      <c r="E69" s="552">
        <f t="shared" si="3"/>
        <v>100000</v>
      </c>
      <c r="F69" s="567"/>
      <c r="G69" s="1"/>
      <c r="H69" s="1"/>
      <c r="I69" s="1"/>
      <c r="J69" s="1"/>
      <c r="K69" s="1"/>
      <c r="L69" s="1"/>
      <c r="M69" s="1"/>
      <c r="N69" s="1"/>
      <c r="O69" s="1"/>
      <c r="P69" s="1"/>
      <c r="Q69" s="1"/>
      <c r="R69" s="1"/>
      <c r="S69" s="1"/>
      <c r="T69" s="1"/>
      <c r="U69" s="1"/>
      <c r="V69" s="1"/>
      <c r="W69" s="1"/>
      <c r="X69" s="1"/>
      <c r="Y69" s="1"/>
      <c r="Z69" s="1"/>
    </row>
    <row r="70" spans="1:26" ht="14.4">
      <c r="A70" s="1"/>
      <c r="B70" s="550" t="s">
        <v>99</v>
      </c>
      <c r="C70" s="261">
        <v>2</v>
      </c>
      <c r="D70" s="551">
        <v>82000</v>
      </c>
      <c r="E70" s="552">
        <f t="shared" si="3"/>
        <v>164000</v>
      </c>
      <c r="F70" s="567"/>
      <c r="G70" s="1"/>
      <c r="H70" s="1"/>
      <c r="I70" s="1"/>
      <c r="J70" s="1"/>
      <c r="K70" s="1"/>
      <c r="L70" s="1"/>
      <c r="M70" s="1"/>
      <c r="N70" s="1"/>
      <c r="O70" s="1"/>
      <c r="P70" s="1"/>
      <c r="Q70" s="1"/>
      <c r="R70" s="1"/>
      <c r="S70" s="1"/>
      <c r="T70" s="1"/>
      <c r="U70" s="1"/>
      <c r="V70" s="1"/>
      <c r="W70" s="1"/>
      <c r="X70" s="1"/>
      <c r="Y70" s="1"/>
      <c r="Z70" s="1"/>
    </row>
    <row r="71" spans="1:26" ht="14.4">
      <c r="A71" s="1"/>
      <c r="B71" s="550" t="s">
        <v>102</v>
      </c>
      <c r="C71" s="261">
        <v>0</v>
      </c>
      <c r="D71" s="551">
        <v>12500</v>
      </c>
      <c r="E71" s="552">
        <f t="shared" si="3"/>
        <v>0</v>
      </c>
      <c r="F71" s="567"/>
      <c r="G71" s="1"/>
      <c r="H71" s="1"/>
      <c r="I71" s="1"/>
      <c r="J71" s="1"/>
      <c r="K71" s="1"/>
      <c r="L71" s="1"/>
      <c r="M71" s="1"/>
      <c r="N71" s="1"/>
      <c r="O71" s="1"/>
      <c r="P71" s="1"/>
      <c r="Q71" s="1"/>
      <c r="R71" s="1"/>
      <c r="S71" s="1"/>
      <c r="T71" s="1"/>
      <c r="U71" s="1"/>
      <c r="V71" s="1"/>
      <c r="W71" s="1"/>
      <c r="X71" s="1"/>
      <c r="Y71" s="1"/>
      <c r="Z71" s="1"/>
    </row>
    <row r="72" spans="1:26" ht="14.4">
      <c r="A72" s="1"/>
      <c r="B72" s="550" t="s">
        <v>106</v>
      </c>
      <c r="C72" s="531">
        <v>0</v>
      </c>
      <c r="D72" s="551">
        <v>10000</v>
      </c>
      <c r="E72" s="552">
        <f t="shared" si="3"/>
        <v>0</v>
      </c>
      <c r="F72" s="567"/>
      <c r="G72" s="1"/>
      <c r="H72" s="1"/>
      <c r="I72" s="1"/>
      <c r="J72" s="1"/>
      <c r="K72" s="1"/>
      <c r="L72" s="1"/>
      <c r="M72" s="1"/>
      <c r="N72" s="1"/>
      <c r="O72" s="1"/>
      <c r="P72" s="1"/>
      <c r="Q72" s="1"/>
      <c r="R72" s="1"/>
      <c r="S72" s="1"/>
      <c r="T72" s="1"/>
      <c r="U72" s="1"/>
      <c r="V72" s="1"/>
      <c r="W72" s="1"/>
      <c r="X72" s="1"/>
      <c r="Y72" s="1"/>
      <c r="Z72" s="1"/>
    </row>
    <row r="73" spans="1:26" ht="14.4">
      <c r="A73" s="1"/>
      <c r="B73" s="550" t="s">
        <v>110</v>
      </c>
      <c r="C73" s="531">
        <v>0</v>
      </c>
      <c r="D73" s="551">
        <v>14000</v>
      </c>
      <c r="E73" s="552">
        <f t="shared" si="3"/>
        <v>0</v>
      </c>
      <c r="F73" s="567"/>
      <c r="G73" s="1"/>
      <c r="H73" s="1"/>
      <c r="I73" s="1"/>
      <c r="J73" s="1"/>
      <c r="K73" s="1"/>
      <c r="L73" s="1"/>
      <c r="M73" s="1"/>
      <c r="N73" s="1"/>
      <c r="O73" s="1"/>
      <c r="P73" s="1"/>
      <c r="Q73" s="1"/>
      <c r="R73" s="1"/>
      <c r="S73" s="1"/>
      <c r="T73" s="1"/>
      <c r="U73" s="1"/>
      <c r="V73" s="1"/>
      <c r="W73" s="1"/>
      <c r="X73" s="1"/>
      <c r="Y73" s="1"/>
      <c r="Z73" s="1"/>
    </row>
    <row r="74" spans="1:26" ht="14.4">
      <c r="A74" s="1"/>
      <c r="B74" s="550" t="s">
        <v>114</v>
      </c>
      <c r="C74" s="531">
        <v>0</v>
      </c>
      <c r="D74" s="551">
        <v>10000</v>
      </c>
      <c r="E74" s="552">
        <f t="shared" si="3"/>
        <v>0</v>
      </c>
      <c r="F74" s="567"/>
      <c r="G74" s="1"/>
      <c r="H74" s="1"/>
      <c r="I74" s="1"/>
      <c r="J74" s="1"/>
      <c r="K74" s="1"/>
      <c r="L74" s="1"/>
      <c r="M74" s="1"/>
      <c r="N74" s="1"/>
      <c r="O74" s="1"/>
      <c r="P74" s="1"/>
      <c r="Q74" s="1"/>
      <c r="R74" s="1"/>
      <c r="S74" s="1"/>
      <c r="T74" s="1"/>
      <c r="U74" s="1"/>
      <c r="V74" s="1"/>
      <c r="W74" s="1"/>
      <c r="X74" s="1"/>
      <c r="Y74" s="1"/>
      <c r="Z74" s="1"/>
    </row>
    <row r="75" spans="1:26" ht="14.4">
      <c r="A75" s="1"/>
      <c r="B75" s="550" t="s">
        <v>118</v>
      </c>
      <c r="C75" s="531">
        <v>0</v>
      </c>
      <c r="D75" s="551">
        <v>15000</v>
      </c>
      <c r="E75" s="552">
        <f t="shared" si="3"/>
        <v>0</v>
      </c>
      <c r="F75" s="567"/>
      <c r="G75" s="1"/>
      <c r="H75" s="1"/>
      <c r="I75" s="1"/>
      <c r="J75" s="1"/>
      <c r="K75" s="1"/>
      <c r="L75" s="1"/>
      <c r="M75" s="1"/>
      <c r="N75" s="1"/>
      <c r="O75" s="1"/>
      <c r="P75" s="1"/>
      <c r="Q75" s="1"/>
      <c r="R75" s="1"/>
      <c r="S75" s="1"/>
      <c r="T75" s="1"/>
      <c r="U75" s="1"/>
      <c r="V75" s="1"/>
      <c r="W75" s="1"/>
      <c r="X75" s="1"/>
      <c r="Y75" s="1"/>
      <c r="Z75" s="1"/>
    </row>
    <row r="76" spans="1:26" ht="14.4">
      <c r="A76" s="1"/>
      <c r="B76" s="550" t="s">
        <v>122</v>
      </c>
      <c r="C76" s="531">
        <v>0</v>
      </c>
      <c r="D76" s="551">
        <v>30000</v>
      </c>
      <c r="E76" s="552">
        <f t="shared" si="3"/>
        <v>0</v>
      </c>
      <c r="F76" s="567"/>
      <c r="G76" s="1"/>
      <c r="H76" s="1"/>
      <c r="I76" s="1"/>
      <c r="J76" s="1"/>
      <c r="K76" s="1"/>
      <c r="L76" s="1"/>
      <c r="M76" s="1"/>
      <c r="N76" s="1"/>
      <c r="O76" s="1"/>
      <c r="P76" s="1"/>
      <c r="Q76" s="1"/>
      <c r="R76" s="1"/>
      <c r="S76" s="1"/>
      <c r="T76" s="1"/>
      <c r="U76" s="1"/>
      <c r="V76" s="1"/>
      <c r="W76" s="1"/>
      <c r="X76" s="1"/>
      <c r="Y76" s="1"/>
      <c r="Z76" s="1"/>
    </row>
    <row r="77" spans="1:26" ht="14.4">
      <c r="A77" s="1"/>
      <c r="B77" s="550" t="s">
        <v>372</v>
      </c>
      <c r="C77" s="531">
        <v>0</v>
      </c>
      <c r="D77" s="551">
        <v>13576000</v>
      </c>
      <c r="E77" s="552">
        <f t="shared" si="3"/>
        <v>0</v>
      </c>
      <c r="F77" s="567"/>
      <c r="G77" s="1"/>
      <c r="H77" s="1"/>
      <c r="I77" s="1"/>
      <c r="J77" s="1"/>
      <c r="K77" s="1"/>
      <c r="L77" s="1"/>
      <c r="M77" s="1"/>
      <c r="N77" s="1"/>
      <c r="O77" s="1"/>
      <c r="P77" s="1"/>
      <c r="Q77" s="1"/>
      <c r="R77" s="1"/>
      <c r="S77" s="1"/>
      <c r="T77" s="1"/>
      <c r="U77" s="1"/>
      <c r="V77" s="1"/>
      <c r="W77" s="1"/>
      <c r="X77" s="1"/>
      <c r="Y77" s="1"/>
      <c r="Z77" s="1"/>
    </row>
    <row r="78" spans="1:26" ht="14.4">
      <c r="A78" s="1"/>
      <c r="B78" s="530"/>
      <c r="C78" s="533"/>
      <c r="D78" s="560"/>
      <c r="E78" s="552"/>
      <c r="F78" s="567"/>
      <c r="G78" s="1"/>
      <c r="H78" s="1"/>
      <c r="I78" s="1"/>
      <c r="J78" s="1"/>
      <c r="K78" s="1"/>
      <c r="L78" s="1"/>
      <c r="M78" s="1"/>
      <c r="N78" s="1"/>
      <c r="O78" s="1"/>
      <c r="P78" s="1"/>
      <c r="Q78" s="1"/>
      <c r="R78" s="1"/>
      <c r="S78" s="1"/>
      <c r="T78" s="1"/>
      <c r="U78" s="1"/>
      <c r="V78" s="1"/>
      <c r="W78" s="1"/>
      <c r="X78" s="1"/>
      <c r="Y78" s="1"/>
      <c r="Z78" s="1"/>
    </row>
    <row r="79" spans="1:26" ht="14.4">
      <c r="A79" s="1"/>
      <c r="B79" s="530"/>
      <c r="C79" s="568"/>
      <c r="D79" s="560"/>
      <c r="E79" s="569"/>
      <c r="F79" s="1"/>
      <c r="G79" s="1"/>
      <c r="H79" s="1"/>
      <c r="I79" s="1"/>
      <c r="J79" s="1"/>
      <c r="K79" s="1"/>
      <c r="L79" s="1"/>
      <c r="M79" s="1"/>
      <c r="N79" s="1"/>
      <c r="O79" s="1"/>
      <c r="P79" s="1"/>
      <c r="Q79" s="1"/>
      <c r="R79" s="1"/>
      <c r="S79" s="1"/>
      <c r="T79" s="1"/>
      <c r="U79" s="1"/>
      <c r="V79" s="1"/>
      <c r="W79" s="1"/>
      <c r="X79" s="1"/>
      <c r="Y79" s="1"/>
      <c r="Z79" s="1"/>
    </row>
    <row r="80" spans="1:26" ht="14.4">
      <c r="A80" s="1"/>
      <c r="B80" s="561"/>
      <c r="C80" s="562"/>
      <c r="D80" s="546"/>
      <c r="E80" s="547"/>
      <c r="F80" s="1"/>
      <c r="G80" s="1"/>
      <c r="H80" s="1"/>
      <c r="I80" s="1"/>
      <c r="J80" s="1"/>
      <c r="K80" s="1"/>
      <c r="L80" s="1"/>
      <c r="M80" s="1"/>
      <c r="N80" s="1"/>
      <c r="O80" s="1"/>
      <c r="P80" s="1"/>
      <c r="Q80" s="1"/>
      <c r="R80" s="1"/>
      <c r="S80" s="1"/>
      <c r="T80" s="1"/>
      <c r="U80" s="1"/>
      <c r="V80" s="1"/>
      <c r="W80" s="1"/>
      <c r="X80" s="1"/>
      <c r="Y80" s="1"/>
      <c r="Z80" s="1"/>
    </row>
    <row r="81" spans="1:26" ht="14.4">
      <c r="A81" s="1"/>
      <c r="B81" s="978" t="s">
        <v>28</v>
      </c>
      <c r="C81" s="850"/>
      <c r="D81" s="979"/>
      <c r="E81" s="571">
        <f>SUM(E68:E80)</f>
        <v>4264000</v>
      </c>
      <c r="F81" s="1"/>
      <c r="G81" s="1"/>
      <c r="H81" s="1"/>
      <c r="I81" s="1"/>
      <c r="J81" s="1"/>
      <c r="K81" s="1"/>
      <c r="L81" s="1"/>
      <c r="M81" s="1"/>
      <c r="N81" s="1"/>
      <c r="O81" s="1"/>
      <c r="P81" s="1"/>
      <c r="Q81" s="1"/>
      <c r="R81" s="1"/>
      <c r="S81" s="1"/>
      <c r="T81" s="1"/>
      <c r="U81" s="1"/>
      <c r="V81" s="1"/>
      <c r="W81" s="1"/>
      <c r="X81" s="1"/>
      <c r="Y81" s="1"/>
      <c r="Z81" s="1"/>
    </row>
    <row r="82" spans="1:26" ht="14.4">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sheetData>
  <mergeCells count="18">
    <mergeCell ref="B81:D81"/>
    <mergeCell ref="G37:H37"/>
    <mergeCell ref="G38:H38"/>
    <mergeCell ref="G39:H39"/>
    <mergeCell ref="G40:H40"/>
    <mergeCell ref="G41:H41"/>
    <mergeCell ref="G42:H42"/>
    <mergeCell ref="B48:E48"/>
    <mergeCell ref="G35:H35"/>
    <mergeCell ref="G36:H36"/>
    <mergeCell ref="B45:D45"/>
    <mergeCell ref="B63:D63"/>
    <mergeCell ref="B66:E66"/>
    <mergeCell ref="B3:D3"/>
    <mergeCell ref="G3:J3"/>
    <mergeCell ref="B9:F9"/>
    <mergeCell ref="B28:D28"/>
    <mergeCell ref="B30:E30"/>
  </mergeCells>
  <pageMargins left="0.7" right="0.7" top="0.75" bottom="0.75" header="0" footer="0"/>
  <pageSetup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27"/>
  <sheetViews>
    <sheetView workbookViewId="0">
      <pane ySplit="1" topLeftCell="A2" activePane="bottomLeft" state="frozen"/>
      <selection pane="bottomLeft" activeCell="B3" sqref="B3:D3"/>
    </sheetView>
  </sheetViews>
  <sheetFormatPr baseColWidth="10" defaultColWidth="12.59765625" defaultRowHeight="15" customHeight="1"/>
  <cols>
    <col min="1" max="1" width="10" customWidth="1"/>
    <col min="2" max="2" width="16.8984375" customWidth="1"/>
    <col min="3" max="3" width="38.19921875" customWidth="1"/>
    <col min="4" max="4" width="13.3984375" customWidth="1"/>
    <col min="5" max="5" width="19.3984375" customWidth="1"/>
    <col min="6" max="6" width="15.3984375" customWidth="1"/>
    <col min="7" max="7" width="12.59765625" customWidth="1"/>
    <col min="8" max="8" width="12.3984375" customWidth="1"/>
    <col min="9" max="9" width="13.3984375" customWidth="1"/>
    <col min="10" max="10" width="12.3984375" customWidth="1"/>
    <col min="11" max="11" width="13.3984375" customWidth="1"/>
    <col min="12" max="13" width="14.19921875" customWidth="1"/>
    <col min="14" max="26" width="10" customWidth="1"/>
  </cols>
  <sheetData>
    <row r="1" spans="1:26" ht="61.2" hidden="1">
      <c r="A1" s="10"/>
      <c r="B1" s="10"/>
      <c r="C1" s="10"/>
      <c r="D1" s="10"/>
      <c r="E1" s="10"/>
      <c r="F1" s="10"/>
      <c r="G1" s="218" t="s">
        <v>11</v>
      </c>
      <c r="H1" s="336"/>
      <c r="I1" s="10"/>
      <c r="J1" s="10"/>
      <c r="K1" s="10"/>
      <c r="L1" s="10"/>
      <c r="M1" s="10"/>
      <c r="N1" s="10"/>
      <c r="O1" s="10"/>
      <c r="P1" s="1"/>
      <c r="Q1" s="1"/>
      <c r="R1" s="1"/>
      <c r="S1" s="1"/>
      <c r="T1" s="1"/>
      <c r="U1" s="1"/>
      <c r="V1" s="1"/>
      <c r="W1" s="1"/>
      <c r="X1" s="1"/>
      <c r="Y1" s="1"/>
      <c r="Z1" s="1"/>
    </row>
    <row r="2" spans="1:26" ht="14.4">
      <c r="A2" s="1"/>
      <c r="B2" s="1"/>
      <c r="C2" s="1"/>
      <c r="D2" s="1"/>
      <c r="E2" s="1"/>
      <c r="F2" s="1"/>
      <c r="G2" s="1"/>
      <c r="H2" s="1"/>
      <c r="I2" s="1"/>
      <c r="J2" s="1"/>
      <c r="K2" s="1"/>
      <c r="L2" s="1"/>
      <c r="M2" s="1"/>
      <c r="N2" s="1"/>
      <c r="O2" s="1"/>
      <c r="P2" s="1"/>
      <c r="Q2" s="1"/>
      <c r="R2" s="1"/>
      <c r="S2" s="1"/>
      <c r="T2" s="1"/>
      <c r="U2" s="1"/>
      <c r="V2" s="1"/>
      <c r="W2" s="1"/>
      <c r="X2" s="1"/>
      <c r="Y2" s="1"/>
      <c r="Z2" s="1"/>
    </row>
    <row r="3" spans="1:26" ht="25.8">
      <c r="A3" s="1"/>
      <c r="B3" s="798" t="s">
        <v>51</v>
      </c>
      <c r="C3" s="799"/>
      <c r="D3" s="800"/>
      <c r="E3" s="28"/>
      <c r="F3" s="1"/>
      <c r="G3" s="1"/>
      <c r="H3" s="1"/>
      <c r="I3" s="798" t="s">
        <v>11</v>
      </c>
      <c r="J3" s="799"/>
      <c r="K3" s="800"/>
      <c r="L3" s="1"/>
      <c r="M3" s="1"/>
      <c r="N3" s="1"/>
      <c r="O3" s="1"/>
      <c r="P3" s="1"/>
      <c r="Q3" s="1"/>
      <c r="R3" s="1"/>
      <c r="S3" s="1"/>
      <c r="T3" s="1"/>
      <c r="U3" s="1"/>
      <c r="V3" s="1"/>
      <c r="W3" s="1"/>
      <c r="X3" s="1"/>
      <c r="Y3" s="1"/>
      <c r="Z3" s="1"/>
    </row>
    <row r="4" spans="1:26" ht="14.4">
      <c r="A4" s="1"/>
      <c r="B4" s="572">
        <v>2025</v>
      </c>
      <c r="C4" s="572">
        <v>2026</v>
      </c>
      <c r="D4" s="572">
        <v>2027</v>
      </c>
      <c r="E4" s="290"/>
      <c r="F4" s="1"/>
      <c r="G4" s="1"/>
      <c r="H4" s="1"/>
      <c r="I4" s="572">
        <v>2025</v>
      </c>
      <c r="J4" s="572">
        <v>2026</v>
      </c>
      <c r="K4" s="572">
        <v>2027</v>
      </c>
      <c r="L4" s="1"/>
      <c r="M4" s="1"/>
      <c r="N4" s="1"/>
      <c r="O4" s="1"/>
      <c r="P4" s="1"/>
      <c r="Q4" s="1"/>
      <c r="R4" s="1"/>
      <c r="S4" s="1"/>
      <c r="T4" s="1"/>
      <c r="U4" s="1"/>
      <c r="V4" s="1"/>
      <c r="W4" s="1"/>
      <c r="X4" s="1"/>
      <c r="Y4" s="1"/>
      <c r="Z4" s="1"/>
    </row>
    <row r="5" spans="1:26" ht="14.4">
      <c r="A5" s="1"/>
      <c r="B5" s="74">
        <f>Hipótesis!$C$24</f>
        <v>0.02</v>
      </c>
      <c r="C5" s="74">
        <f>Hipótesis!$C$25</f>
        <v>0.06</v>
      </c>
      <c r="D5" s="74">
        <f>Hipótesis!$C$26</f>
        <v>0.1</v>
      </c>
      <c r="E5" s="415"/>
      <c r="F5" s="1"/>
      <c r="G5" s="1"/>
      <c r="H5" s="1"/>
      <c r="I5" s="545">
        <f>$K$27</f>
        <v>852800</v>
      </c>
      <c r="J5" s="546">
        <f>$L$27</f>
        <v>1119466.6666666667</v>
      </c>
      <c r="K5" s="547">
        <f>$M$27</f>
        <v>1671000</v>
      </c>
      <c r="L5" s="1"/>
      <c r="M5" s="1"/>
      <c r="N5" s="1"/>
      <c r="O5" s="1"/>
      <c r="P5" s="1"/>
      <c r="Q5" s="1"/>
      <c r="R5" s="1"/>
      <c r="S5" s="1"/>
      <c r="T5" s="1"/>
      <c r="U5" s="1"/>
      <c r="V5" s="1"/>
      <c r="W5" s="1"/>
      <c r="X5" s="1"/>
      <c r="Y5" s="1"/>
      <c r="Z5" s="1"/>
    </row>
    <row r="6" spans="1:26" ht="14.4">
      <c r="A6" s="1"/>
      <c r="B6" s="337">
        <f>Hipótesis!$D$24</f>
        <v>102480000</v>
      </c>
      <c r="C6" s="337">
        <f>Hipótesis!D25</f>
        <v>307440000</v>
      </c>
      <c r="D6" s="337">
        <f>Hipótesis!D26</f>
        <v>512400000</v>
      </c>
      <c r="E6" s="369"/>
      <c r="F6" s="1"/>
      <c r="G6" s="1"/>
      <c r="H6" s="1"/>
      <c r="I6" s="1"/>
      <c r="J6" s="1"/>
      <c r="K6" s="1"/>
      <c r="L6" s="1"/>
      <c r="M6" s="1"/>
      <c r="N6" s="1"/>
      <c r="O6" s="1"/>
      <c r="P6" s="1"/>
      <c r="Q6" s="1"/>
      <c r="R6" s="1"/>
      <c r="S6" s="1"/>
      <c r="T6" s="1"/>
      <c r="U6" s="1"/>
      <c r="V6" s="1"/>
      <c r="W6" s="1"/>
      <c r="X6" s="1"/>
      <c r="Y6" s="1"/>
      <c r="Z6" s="1"/>
    </row>
    <row r="7" spans="1:26" ht="14.4">
      <c r="A7" s="1"/>
      <c r="B7" s="1"/>
      <c r="C7" s="1"/>
      <c r="D7" s="1"/>
      <c r="E7" s="1"/>
      <c r="F7" s="1"/>
      <c r="G7" s="1"/>
      <c r="H7" s="1"/>
      <c r="I7" s="1"/>
      <c r="J7" s="1"/>
      <c r="K7" s="1"/>
      <c r="L7" s="1"/>
      <c r="M7" s="1"/>
      <c r="N7" s="1"/>
      <c r="O7" s="1"/>
      <c r="P7" s="1"/>
      <c r="Q7" s="1"/>
      <c r="R7" s="1"/>
      <c r="S7" s="1"/>
      <c r="T7" s="1"/>
      <c r="U7" s="1"/>
      <c r="V7" s="1"/>
      <c r="W7" s="1"/>
      <c r="X7" s="1"/>
      <c r="Y7" s="1"/>
      <c r="Z7" s="1"/>
    </row>
    <row r="8" spans="1:26" ht="25.8">
      <c r="A8" s="1"/>
      <c r="B8" s="989" t="s">
        <v>11</v>
      </c>
      <c r="C8" s="941"/>
      <c r="D8" s="941"/>
      <c r="E8" s="941"/>
      <c r="F8" s="941"/>
      <c r="G8" s="941"/>
      <c r="H8" s="941"/>
      <c r="I8" s="941"/>
      <c r="J8" s="941"/>
      <c r="K8" s="941"/>
      <c r="L8" s="941"/>
      <c r="M8" s="843"/>
      <c r="N8" s="1"/>
      <c r="O8" s="1"/>
      <c r="P8" s="1"/>
      <c r="Q8" s="1"/>
      <c r="R8" s="1"/>
      <c r="S8" s="1"/>
      <c r="T8" s="1"/>
      <c r="U8" s="1"/>
      <c r="V8" s="1"/>
      <c r="W8" s="1"/>
      <c r="X8" s="1"/>
      <c r="Y8" s="1"/>
      <c r="Z8" s="1"/>
    </row>
    <row r="9" spans="1:26" ht="14.4">
      <c r="A9" s="1"/>
      <c r="B9" s="990" t="s">
        <v>376</v>
      </c>
      <c r="C9" s="991" t="s">
        <v>76</v>
      </c>
      <c r="D9" s="991" t="s">
        <v>26</v>
      </c>
      <c r="E9" s="991" t="s">
        <v>184</v>
      </c>
      <c r="F9" s="983" t="s">
        <v>377</v>
      </c>
      <c r="G9" s="984" t="s">
        <v>378</v>
      </c>
      <c r="H9" s="985"/>
      <c r="I9" s="985"/>
      <c r="J9" s="828"/>
      <c r="K9" s="837" t="s">
        <v>379</v>
      </c>
      <c r="L9" s="985"/>
      <c r="M9" s="828"/>
      <c r="N9" s="1"/>
      <c r="O9" s="1"/>
      <c r="P9" s="1"/>
      <c r="Q9" s="1"/>
      <c r="R9" s="1"/>
      <c r="S9" s="1"/>
      <c r="T9" s="1"/>
      <c r="U9" s="1"/>
      <c r="V9" s="1"/>
      <c r="W9" s="1"/>
      <c r="X9" s="1"/>
      <c r="Y9" s="1"/>
      <c r="Z9" s="1"/>
    </row>
    <row r="10" spans="1:26" ht="14.4">
      <c r="A10" s="1"/>
      <c r="B10" s="977"/>
      <c r="C10" s="992"/>
      <c r="D10" s="992"/>
      <c r="E10" s="992"/>
      <c r="F10" s="890"/>
      <c r="G10" s="573" t="s">
        <v>380</v>
      </c>
      <c r="H10" s="574" t="s">
        <v>78</v>
      </c>
      <c r="I10" s="574" t="s">
        <v>381</v>
      </c>
      <c r="J10" s="575" t="s">
        <v>382</v>
      </c>
      <c r="K10" s="574" t="s">
        <v>78</v>
      </c>
      <c r="L10" s="574" t="s">
        <v>381</v>
      </c>
      <c r="M10" s="575" t="s">
        <v>382</v>
      </c>
      <c r="N10" s="1"/>
      <c r="O10" s="1"/>
      <c r="P10" s="1"/>
      <c r="Q10" s="1"/>
      <c r="R10" s="1"/>
      <c r="S10" s="1"/>
      <c r="T10" s="1"/>
      <c r="U10" s="1"/>
      <c r="V10" s="1"/>
      <c r="W10" s="1"/>
      <c r="X10" s="1"/>
      <c r="Y10" s="1"/>
      <c r="Z10" s="1"/>
    </row>
    <row r="11" spans="1:26" ht="14.4">
      <c r="A11" s="13"/>
      <c r="B11" s="986" t="s">
        <v>383</v>
      </c>
      <c r="C11" s="576" t="s">
        <v>384</v>
      </c>
      <c r="D11" s="577">
        <f>'Mod. inversión'!C11</f>
        <v>3</v>
      </c>
      <c r="E11" s="578">
        <f>'Mod. inversión'!D11</f>
        <v>800000</v>
      </c>
      <c r="F11" s="579">
        <v>3</v>
      </c>
      <c r="G11" s="580">
        <f>D11*E11</f>
        <v>2400000</v>
      </c>
      <c r="H11" s="581">
        <v>0</v>
      </c>
      <c r="I11" s="581">
        <v>0</v>
      </c>
      <c r="J11" s="582">
        <v>0</v>
      </c>
      <c r="K11" s="583">
        <f t="shared" ref="K11:M11" si="0">$G$11/$F$11</f>
        <v>800000</v>
      </c>
      <c r="L11" s="584">
        <f t="shared" si="0"/>
        <v>800000</v>
      </c>
      <c r="M11" s="585">
        <f t="shared" si="0"/>
        <v>800000</v>
      </c>
      <c r="N11" s="175"/>
      <c r="O11" s="1"/>
      <c r="P11" s="1"/>
      <c r="Q11" s="1"/>
      <c r="R11" s="1"/>
      <c r="S11" s="1"/>
      <c r="T11" s="1"/>
      <c r="U11" s="1"/>
      <c r="V11" s="1"/>
      <c r="W11" s="1"/>
      <c r="X11" s="1"/>
      <c r="Y11" s="1"/>
      <c r="Z11" s="1"/>
    </row>
    <row r="12" spans="1:26" ht="14.4">
      <c r="A12" s="13"/>
      <c r="B12" s="976"/>
      <c r="C12" s="586" t="s">
        <v>384</v>
      </c>
      <c r="D12" s="533">
        <f>'Mod. inversión'!C32</f>
        <v>1</v>
      </c>
      <c r="E12" s="551">
        <f>'Mod. inversión'!D32</f>
        <v>800000</v>
      </c>
      <c r="F12" s="587">
        <v>3</v>
      </c>
      <c r="G12" s="588">
        <v>0</v>
      </c>
      <c r="H12" s="589">
        <f>D12*E12</f>
        <v>800000</v>
      </c>
      <c r="I12" s="590">
        <v>0</v>
      </c>
      <c r="J12" s="591">
        <v>0</v>
      </c>
      <c r="K12" s="592">
        <v>0</v>
      </c>
      <c r="L12" s="593">
        <f t="shared" ref="L12:M12" si="1">$H$12/$F$12</f>
        <v>266666.66666666669</v>
      </c>
      <c r="M12" s="594">
        <f t="shared" si="1"/>
        <v>266666.66666666669</v>
      </c>
      <c r="N12" s="175"/>
      <c r="O12" s="1"/>
      <c r="P12" s="1"/>
      <c r="Q12" s="1"/>
      <c r="R12" s="1"/>
      <c r="S12" s="1"/>
      <c r="T12" s="1"/>
      <c r="U12" s="1"/>
      <c r="V12" s="1"/>
      <c r="W12" s="1"/>
      <c r="X12" s="1"/>
      <c r="Y12" s="1"/>
      <c r="Z12" s="1"/>
    </row>
    <row r="13" spans="1:26" ht="14.4">
      <c r="A13" s="13"/>
      <c r="B13" s="976"/>
      <c r="C13" s="586" t="s">
        <v>384</v>
      </c>
      <c r="D13" s="533">
        <f>'Mod. inversión'!C50</f>
        <v>2</v>
      </c>
      <c r="E13" s="551">
        <f>'Mod. inversión'!D50</f>
        <v>800000</v>
      </c>
      <c r="F13" s="587">
        <v>3</v>
      </c>
      <c r="G13" s="588">
        <v>0</v>
      </c>
      <c r="H13" s="590">
        <v>0</v>
      </c>
      <c r="I13" s="589">
        <f>D13*E13</f>
        <v>1600000</v>
      </c>
      <c r="J13" s="591">
        <v>0</v>
      </c>
      <c r="K13" s="592">
        <v>0</v>
      </c>
      <c r="L13" s="595">
        <v>0</v>
      </c>
      <c r="M13" s="594">
        <f>I13/F13</f>
        <v>533333.33333333337</v>
      </c>
      <c r="N13" s="175"/>
      <c r="O13" s="1"/>
      <c r="P13" s="1"/>
      <c r="Q13" s="1"/>
      <c r="R13" s="1"/>
      <c r="S13" s="1"/>
      <c r="T13" s="1"/>
      <c r="U13" s="1"/>
      <c r="V13" s="1"/>
      <c r="W13" s="1"/>
      <c r="X13" s="1"/>
      <c r="Y13" s="1"/>
      <c r="Z13" s="1"/>
    </row>
    <row r="14" spans="1:26" ht="14.4">
      <c r="A14" s="13"/>
      <c r="B14" s="977"/>
      <c r="C14" s="596" t="s">
        <v>384</v>
      </c>
      <c r="D14" s="562">
        <f>'Mod. inversión'!C68</f>
        <v>5</v>
      </c>
      <c r="E14" s="597">
        <f>'Mod. inversión'!D68</f>
        <v>800000</v>
      </c>
      <c r="F14" s="598">
        <v>3</v>
      </c>
      <c r="G14" s="599">
        <v>0</v>
      </c>
      <c r="H14" s="600">
        <v>0</v>
      </c>
      <c r="I14" s="600">
        <v>0</v>
      </c>
      <c r="J14" s="601">
        <f>D14*E14</f>
        <v>4000000</v>
      </c>
      <c r="K14" s="602">
        <v>0</v>
      </c>
      <c r="L14" s="603">
        <v>0</v>
      </c>
      <c r="M14" s="604">
        <v>0</v>
      </c>
      <c r="N14" s="175"/>
      <c r="O14" s="1"/>
      <c r="P14" s="1"/>
      <c r="Q14" s="1"/>
      <c r="R14" s="1"/>
      <c r="S14" s="1"/>
      <c r="T14" s="1"/>
      <c r="U14" s="1"/>
      <c r="V14" s="1"/>
      <c r="W14" s="1"/>
      <c r="X14" s="1"/>
      <c r="Y14" s="1"/>
      <c r="Z14" s="1"/>
    </row>
    <row r="15" spans="1:26" ht="14.4">
      <c r="A15" s="13"/>
      <c r="B15" s="987" t="s">
        <v>385</v>
      </c>
      <c r="C15" s="605" t="s">
        <v>386</v>
      </c>
      <c r="D15" s="577">
        <f>'Mod. inversión'!C12</f>
        <v>2</v>
      </c>
      <c r="E15" s="606">
        <f>'Mod. inversión'!D12</f>
        <v>100000</v>
      </c>
      <c r="F15" s="607">
        <v>10</v>
      </c>
      <c r="G15" s="580">
        <f>D15*E15</f>
        <v>200000</v>
      </c>
      <c r="H15" s="581">
        <v>0</v>
      </c>
      <c r="I15" s="581">
        <v>0</v>
      </c>
      <c r="J15" s="582">
        <v>0</v>
      </c>
      <c r="K15" s="583">
        <f t="shared" ref="K15:M15" si="2">$G$15/$F$15</f>
        <v>20000</v>
      </c>
      <c r="L15" s="584">
        <f t="shared" si="2"/>
        <v>20000</v>
      </c>
      <c r="M15" s="585">
        <f t="shared" si="2"/>
        <v>20000</v>
      </c>
      <c r="N15" s="175"/>
      <c r="O15" s="1"/>
      <c r="P15" s="1"/>
      <c r="Q15" s="1"/>
      <c r="R15" s="1"/>
      <c r="S15" s="1"/>
      <c r="T15" s="1"/>
      <c r="U15" s="1"/>
      <c r="V15" s="1"/>
      <c r="W15" s="1"/>
      <c r="X15" s="1"/>
      <c r="Y15" s="1"/>
      <c r="Z15" s="1"/>
    </row>
    <row r="16" spans="1:26" ht="14.4">
      <c r="A16" s="13"/>
      <c r="B16" s="976"/>
      <c r="C16" s="608" t="s">
        <v>386</v>
      </c>
      <c r="D16" s="533">
        <f>'Mod. inversión'!C51</f>
        <v>1</v>
      </c>
      <c r="E16" s="560">
        <f>'Mod. inversión'!D51</f>
        <v>100000</v>
      </c>
      <c r="F16" s="609">
        <v>10</v>
      </c>
      <c r="G16" s="588">
        <v>0</v>
      </c>
      <c r="H16" s="590">
        <v>0</v>
      </c>
      <c r="I16" s="589">
        <f>D16*E16</f>
        <v>100000</v>
      </c>
      <c r="J16" s="591">
        <v>0</v>
      </c>
      <c r="K16" s="592">
        <v>0</v>
      </c>
      <c r="L16" s="595">
        <v>0</v>
      </c>
      <c r="M16" s="594">
        <f>I16/F16</f>
        <v>10000</v>
      </c>
      <c r="N16" s="175"/>
      <c r="O16" s="1"/>
      <c r="P16" s="1"/>
      <c r="Q16" s="1"/>
      <c r="R16" s="1"/>
      <c r="S16" s="1"/>
      <c r="T16" s="1"/>
      <c r="U16" s="1"/>
      <c r="V16" s="1"/>
      <c r="W16" s="1"/>
      <c r="X16" s="1"/>
      <c r="Y16" s="1"/>
      <c r="Z16" s="1"/>
    </row>
    <row r="17" spans="1:26" ht="14.4">
      <c r="A17" s="13"/>
      <c r="B17" s="976"/>
      <c r="C17" s="608" t="s">
        <v>386</v>
      </c>
      <c r="D17" s="533">
        <f>'Mod. inversión'!C69</f>
        <v>1</v>
      </c>
      <c r="E17" s="560">
        <f>'Mod. inversión'!D69</f>
        <v>100000</v>
      </c>
      <c r="F17" s="609">
        <v>10</v>
      </c>
      <c r="G17" s="588">
        <v>0</v>
      </c>
      <c r="H17" s="590">
        <v>0</v>
      </c>
      <c r="I17" s="590">
        <v>0</v>
      </c>
      <c r="J17" s="610">
        <f>D17*E17</f>
        <v>100000</v>
      </c>
      <c r="K17" s="592">
        <v>0</v>
      </c>
      <c r="L17" s="595">
        <v>0</v>
      </c>
      <c r="M17" s="611">
        <v>0</v>
      </c>
      <c r="N17" s="175"/>
      <c r="O17" s="1"/>
      <c r="P17" s="1"/>
      <c r="Q17" s="1"/>
      <c r="R17" s="1"/>
      <c r="S17" s="1"/>
      <c r="T17" s="1"/>
      <c r="U17" s="1"/>
      <c r="V17" s="1"/>
      <c r="W17" s="1"/>
      <c r="X17" s="1"/>
      <c r="Y17" s="1"/>
      <c r="Z17" s="1"/>
    </row>
    <row r="18" spans="1:26" ht="14.4">
      <c r="A18" s="13"/>
      <c r="B18" s="976"/>
      <c r="C18" s="586" t="s">
        <v>387</v>
      </c>
      <c r="D18" s="533">
        <f>'Mod. inversión'!C13</f>
        <v>4</v>
      </c>
      <c r="E18" s="560">
        <f>'Mod. inversión'!D13</f>
        <v>82000</v>
      </c>
      <c r="F18" s="609">
        <v>10</v>
      </c>
      <c r="G18" s="612">
        <f>D18*E18</f>
        <v>328000</v>
      </c>
      <c r="H18" s="590">
        <v>0</v>
      </c>
      <c r="I18" s="590">
        <v>0</v>
      </c>
      <c r="J18" s="591">
        <v>0</v>
      </c>
      <c r="K18" s="613">
        <f t="shared" ref="K18:M18" si="3">$G$18/$F$18</f>
        <v>32800</v>
      </c>
      <c r="L18" s="593">
        <f t="shared" si="3"/>
        <v>32800</v>
      </c>
      <c r="M18" s="594">
        <f t="shared" si="3"/>
        <v>32800</v>
      </c>
      <c r="N18" s="175"/>
      <c r="O18" s="1"/>
      <c r="P18" s="1"/>
      <c r="Q18" s="1"/>
      <c r="R18" s="1"/>
      <c r="S18" s="1"/>
      <c r="T18" s="1"/>
      <c r="U18" s="1"/>
      <c r="V18" s="1"/>
      <c r="W18" s="1"/>
      <c r="X18" s="1"/>
      <c r="Y18" s="1"/>
      <c r="Z18" s="1"/>
    </row>
    <row r="19" spans="1:26" ht="14.4">
      <c r="A19" s="13"/>
      <c r="B19" s="976"/>
      <c r="C19" s="586" t="s">
        <v>387</v>
      </c>
      <c r="D19" s="614">
        <f>'Mod. inversión'!C51</f>
        <v>1</v>
      </c>
      <c r="E19" s="560">
        <f>'Mod. inversión'!D52</f>
        <v>82000</v>
      </c>
      <c r="F19" s="609">
        <v>10</v>
      </c>
      <c r="G19" s="588">
        <v>0</v>
      </c>
      <c r="H19" s="590">
        <v>0</v>
      </c>
      <c r="I19" s="589">
        <f>D19*E19</f>
        <v>82000</v>
      </c>
      <c r="J19" s="591">
        <v>0</v>
      </c>
      <c r="K19" s="592">
        <v>0</v>
      </c>
      <c r="L19" s="595">
        <v>0</v>
      </c>
      <c r="M19" s="594">
        <f>I19/F19</f>
        <v>8200</v>
      </c>
      <c r="N19" s="175"/>
      <c r="O19" s="1"/>
      <c r="P19" s="1"/>
      <c r="Q19" s="1"/>
      <c r="R19" s="1"/>
      <c r="S19" s="1"/>
      <c r="T19" s="1"/>
      <c r="U19" s="1"/>
      <c r="V19" s="1"/>
      <c r="W19" s="1"/>
      <c r="X19" s="1"/>
      <c r="Y19" s="1"/>
      <c r="Z19" s="1"/>
    </row>
    <row r="20" spans="1:26" ht="14.4">
      <c r="A20" s="13"/>
      <c r="B20" s="977"/>
      <c r="C20" s="596" t="s">
        <v>387</v>
      </c>
      <c r="D20" s="562">
        <f>'Mod. inversión'!C70</f>
        <v>2</v>
      </c>
      <c r="E20" s="546">
        <f>'Mod. inversión'!D70</f>
        <v>82000</v>
      </c>
      <c r="F20" s="615">
        <v>10</v>
      </c>
      <c r="G20" s="599">
        <v>0</v>
      </c>
      <c r="H20" s="600">
        <v>0</v>
      </c>
      <c r="I20" s="600">
        <v>0</v>
      </c>
      <c r="J20" s="601">
        <f>D20*E20</f>
        <v>164000</v>
      </c>
      <c r="K20" s="602">
        <v>0</v>
      </c>
      <c r="L20" s="603">
        <v>0</v>
      </c>
      <c r="M20" s="604">
        <v>0</v>
      </c>
      <c r="N20" s="175"/>
      <c r="O20" s="1"/>
      <c r="P20" s="1"/>
      <c r="Q20" s="1"/>
      <c r="R20" s="1"/>
      <c r="S20" s="1"/>
      <c r="T20" s="1"/>
      <c r="U20" s="1"/>
      <c r="V20" s="1"/>
      <c r="W20" s="1"/>
      <c r="X20" s="1"/>
      <c r="Y20" s="1"/>
      <c r="Z20" s="1"/>
    </row>
    <row r="21" spans="1:26" ht="14.4">
      <c r="A21" s="13"/>
      <c r="B21" s="986" t="s">
        <v>388</v>
      </c>
      <c r="C21" s="576" t="s">
        <v>102</v>
      </c>
      <c r="D21" s="250">
        <v>30</v>
      </c>
      <c r="E21" s="578">
        <v>12500</v>
      </c>
      <c r="F21" s="607">
        <v>3</v>
      </c>
      <c r="G21" s="580">
        <f t="shared" ref="G21:G26" si="4">E21*D21</f>
        <v>375000</v>
      </c>
      <c r="H21" s="616">
        <v>0</v>
      </c>
      <c r="I21" s="616">
        <v>0</v>
      </c>
      <c r="J21" s="617">
        <v>0</v>
      </c>
      <c r="K21" s="583">
        <f t="shared" ref="K21:M21" si="5">$G21/$F21</f>
        <v>125000</v>
      </c>
      <c r="L21" s="584">
        <f t="shared" si="5"/>
        <v>125000</v>
      </c>
      <c r="M21" s="585">
        <f t="shared" si="5"/>
        <v>125000</v>
      </c>
      <c r="N21" s="175"/>
      <c r="O21" s="1"/>
      <c r="P21" s="1"/>
      <c r="Q21" s="1"/>
      <c r="R21" s="1"/>
      <c r="S21" s="1"/>
      <c r="T21" s="1"/>
      <c r="U21" s="1"/>
      <c r="V21" s="1"/>
      <c r="W21" s="1"/>
      <c r="X21" s="1"/>
      <c r="Y21" s="1"/>
      <c r="Z21" s="1"/>
    </row>
    <row r="22" spans="1:26" ht="14.4">
      <c r="A22" s="13"/>
      <c r="B22" s="976"/>
      <c r="C22" s="586" t="s">
        <v>106</v>
      </c>
      <c r="D22" s="531">
        <v>30</v>
      </c>
      <c r="E22" s="551">
        <v>10000</v>
      </c>
      <c r="F22" s="609">
        <v>3</v>
      </c>
      <c r="G22" s="612">
        <f t="shared" si="4"/>
        <v>300000</v>
      </c>
      <c r="H22" s="618">
        <v>0</v>
      </c>
      <c r="I22" s="618">
        <v>0</v>
      </c>
      <c r="J22" s="619">
        <v>0</v>
      </c>
      <c r="K22" s="613">
        <f t="shared" ref="K22:M22" si="6">$G22/$F22</f>
        <v>100000</v>
      </c>
      <c r="L22" s="593">
        <f t="shared" si="6"/>
        <v>100000</v>
      </c>
      <c r="M22" s="594">
        <f t="shared" si="6"/>
        <v>100000</v>
      </c>
      <c r="N22" s="175"/>
      <c r="O22" s="1"/>
      <c r="P22" s="1"/>
      <c r="Q22" s="1"/>
      <c r="R22" s="1"/>
      <c r="S22" s="1"/>
      <c r="T22" s="1"/>
      <c r="U22" s="1"/>
      <c r="V22" s="1"/>
      <c r="W22" s="1"/>
      <c r="X22" s="1"/>
      <c r="Y22" s="1"/>
      <c r="Z22" s="1"/>
    </row>
    <row r="23" spans="1:26" ht="14.4">
      <c r="A23" s="13"/>
      <c r="B23" s="976"/>
      <c r="C23" s="586" t="s">
        <v>110</v>
      </c>
      <c r="D23" s="531">
        <v>30</v>
      </c>
      <c r="E23" s="551">
        <v>14000</v>
      </c>
      <c r="F23" s="609">
        <v>3</v>
      </c>
      <c r="G23" s="612">
        <f t="shared" si="4"/>
        <v>420000</v>
      </c>
      <c r="H23" s="618">
        <v>0</v>
      </c>
      <c r="I23" s="618">
        <v>0</v>
      </c>
      <c r="J23" s="619">
        <v>0</v>
      </c>
      <c r="K23" s="613">
        <f t="shared" ref="K23:M23" si="7">$G23/$F23</f>
        <v>140000</v>
      </c>
      <c r="L23" s="593">
        <f t="shared" si="7"/>
        <v>140000</v>
      </c>
      <c r="M23" s="594">
        <f t="shared" si="7"/>
        <v>140000</v>
      </c>
      <c r="N23" s="175"/>
      <c r="O23" s="1"/>
      <c r="P23" s="1"/>
      <c r="Q23" s="1"/>
      <c r="R23" s="1"/>
      <c r="S23" s="1"/>
      <c r="T23" s="1"/>
      <c r="U23" s="1"/>
      <c r="V23" s="1"/>
      <c r="W23" s="1"/>
      <c r="X23" s="1"/>
      <c r="Y23" s="1"/>
      <c r="Z23" s="1"/>
    </row>
    <row r="24" spans="1:26" ht="14.4">
      <c r="A24" s="13"/>
      <c r="B24" s="976"/>
      <c r="C24" s="586" t="s">
        <v>114</v>
      </c>
      <c r="D24" s="531">
        <v>30</v>
      </c>
      <c r="E24" s="551">
        <v>10000</v>
      </c>
      <c r="F24" s="609">
        <v>3</v>
      </c>
      <c r="G24" s="612">
        <f t="shared" si="4"/>
        <v>300000</v>
      </c>
      <c r="H24" s="618">
        <v>0</v>
      </c>
      <c r="I24" s="618">
        <v>0</v>
      </c>
      <c r="J24" s="619">
        <v>0</v>
      </c>
      <c r="K24" s="613">
        <f t="shared" ref="K24:M24" si="8">$G24/$F24</f>
        <v>100000</v>
      </c>
      <c r="L24" s="593">
        <f t="shared" si="8"/>
        <v>100000</v>
      </c>
      <c r="M24" s="594">
        <f t="shared" si="8"/>
        <v>100000</v>
      </c>
      <c r="N24" s="175"/>
      <c r="O24" s="1"/>
      <c r="P24" s="1"/>
      <c r="Q24" s="1"/>
      <c r="R24" s="1"/>
      <c r="S24" s="1"/>
      <c r="T24" s="1"/>
      <c r="U24" s="1"/>
      <c r="V24" s="1"/>
      <c r="W24" s="1"/>
      <c r="X24" s="1"/>
      <c r="Y24" s="1"/>
      <c r="Z24" s="1"/>
    </row>
    <row r="25" spans="1:26" ht="14.4">
      <c r="A25" s="13"/>
      <c r="B25" s="976"/>
      <c r="C25" s="586" t="s">
        <v>118</v>
      </c>
      <c r="D25" s="531">
        <v>30</v>
      </c>
      <c r="E25" s="551">
        <v>15000</v>
      </c>
      <c r="F25" s="609">
        <v>3</v>
      </c>
      <c r="G25" s="612">
        <f t="shared" si="4"/>
        <v>450000</v>
      </c>
      <c r="H25" s="618">
        <v>0</v>
      </c>
      <c r="I25" s="618">
        <v>0</v>
      </c>
      <c r="J25" s="619">
        <v>0</v>
      </c>
      <c r="K25" s="613">
        <f t="shared" ref="K25:M25" si="9">$G25/$F25</f>
        <v>150000</v>
      </c>
      <c r="L25" s="593">
        <f t="shared" si="9"/>
        <v>150000</v>
      </c>
      <c r="M25" s="594">
        <f t="shared" si="9"/>
        <v>150000</v>
      </c>
      <c r="N25" s="175"/>
      <c r="O25" s="1"/>
      <c r="P25" s="1"/>
      <c r="Q25" s="1"/>
      <c r="R25" s="1"/>
      <c r="S25" s="1"/>
      <c r="T25" s="1"/>
      <c r="U25" s="1"/>
      <c r="V25" s="1"/>
      <c r="W25" s="1"/>
      <c r="X25" s="1"/>
      <c r="Y25" s="1"/>
      <c r="Z25" s="1"/>
    </row>
    <row r="26" spans="1:26" ht="14.4">
      <c r="A26" s="13"/>
      <c r="B26" s="977"/>
      <c r="C26" s="596" t="s">
        <v>122</v>
      </c>
      <c r="D26" s="620">
        <v>5</v>
      </c>
      <c r="E26" s="597">
        <v>30000</v>
      </c>
      <c r="F26" s="615">
        <v>3</v>
      </c>
      <c r="G26" s="621">
        <f t="shared" si="4"/>
        <v>150000</v>
      </c>
      <c r="H26" s="622">
        <v>0</v>
      </c>
      <c r="I26" s="622">
        <v>0</v>
      </c>
      <c r="J26" s="623">
        <v>0</v>
      </c>
      <c r="K26" s="624">
        <f t="shared" ref="K26:M26" si="10">$G26/$F26</f>
        <v>50000</v>
      </c>
      <c r="L26" s="625">
        <f t="shared" si="10"/>
        <v>50000</v>
      </c>
      <c r="M26" s="626">
        <f t="shared" si="10"/>
        <v>50000</v>
      </c>
      <c r="N26" s="175"/>
      <c r="O26" s="1"/>
      <c r="P26" s="1"/>
      <c r="Q26" s="1"/>
      <c r="R26" s="1"/>
      <c r="S26" s="1"/>
      <c r="T26" s="1"/>
      <c r="U26" s="1"/>
      <c r="V26" s="1"/>
      <c r="W26" s="1"/>
      <c r="X26" s="1"/>
      <c r="Y26" s="1"/>
      <c r="Z26" s="1"/>
    </row>
    <row r="27" spans="1:26" ht="15.6">
      <c r="A27" s="1"/>
      <c r="B27" s="988" t="s">
        <v>359</v>
      </c>
      <c r="C27" s="799"/>
      <c r="D27" s="799"/>
      <c r="E27" s="799"/>
      <c r="F27" s="799"/>
      <c r="G27" s="799"/>
      <c r="H27" s="799"/>
      <c r="I27" s="799"/>
      <c r="J27" s="800"/>
      <c r="K27" s="627">
        <f t="shared" ref="K27:M27" si="11">SUM(K11:K20)</f>
        <v>852800</v>
      </c>
      <c r="L27" s="628">
        <f t="shared" si="11"/>
        <v>1119466.6666666667</v>
      </c>
      <c r="M27" s="629">
        <f t="shared" si="11"/>
        <v>1671000</v>
      </c>
      <c r="N27" s="1"/>
      <c r="O27" s="1"/>
      <c r="P27" s="1"/>
      <c r="Q27" s="1"/>
      <c r="R27" s="1"/>
      <c r="S27" s="1"/>
      <c r="T27" s="1"/>
      <c r="U27" s="1"/>
      <c r="V27" s="1"/>
      <c r="W27" s="1"/>
      <c r="X27" s="1"/>
      <c r="Y27" s="1"/>
      <c r="Z27" s="1"/>
    </row>
    <row r="28" spans="1:26" ht="14.4">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4">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4">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4">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4">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4">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4">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4">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4">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4">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4">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4">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4">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4">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4">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4">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4">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4">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4">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4">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4">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4">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4">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4">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4">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4">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4">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4">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4">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4">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4">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4">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4">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4">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4">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4">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4">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4">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4">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4">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4">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4">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4">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4">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4">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4">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4">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4">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4">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4">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4">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4">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4">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4">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4">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sheetData>
  <mergeCells count="14">
    <mergeCell ref="B27:J27"/>
    <mergeCell ref="B3:D3"/>
    <mergeCell ref="I3:K3"/>
    <mergeCell ref="B8:M8"/>
    <mergeCell ref="B9:B10"/>
    <mergeCell ref="C9:C10"/>
    <mergeCell ref="D9:D10"/>
    <mergeCell ref="E9:E10"/>
    <mergeCell ref="K9:M9"/>
    <mergeCell ref="F9:F10"/>
    <mergeCell ref="G9:J9"/>
    <mergeCell ref="B11:B14"/>
    <mergeCell ref="B15:B20"/>
    <mergeCell ref="B21:B26"/>
  </mergeCells>
  <pageMargins left="0.7" right="0.7" top="0.75" bottom="0.75" header="0" footer="0"/>
  <pageSetup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40"/>
  <sheetViews>
    <sheetView workbookViewId="0">
      <pane ySplit="1" topLeftCell="A2" activePane="bottomLeft" state="frozen"/>
      <selection pane="bottomLeft" activeCell="A2" sqref="A2:XFD2"/>
    </sheetView>
  </sheetViews>
  <sheetFormatPr baseColWidth="10" defaultColWidth="12.59765625" defaultRowHeight="15" customHeight="1"/>
  <cols>
    <col min="1" max="1" width="5.19921875" customWidth="1"/>
    <col min="2" max="2" width="13.09765625" customWidth="1"/>
    <col min="3" max="3" width="25.8984375" customWidth="1"/>
    <col min="4" max="4" width="17.19921875" customWidth="1"/>
    <col min="5" max="5" width="16.59765625" customWidth="1"/>
    <col min="6" max="6" width="13.5" bestFit="1" customWidth="1"/>
    <col min="7" max="7" width="20.19921875" customWidth="1"/>
    <col min="8" max="8" width="12.3984375" customWidth="1"/>
    <col min="9" max="9" width="12.69921875" customWidth="1"/>
    <col min="10" max="10" width="13.19921875" customWidth="1"/>
    <col min="11" max="11" width="15.19921875" customWidth="1"/>
    <col min="12" max="12" width="15.3984375" customWidth="1"/>
    <col min="13" max="13" width="26.3984375" customWidth="1"/>
    <col min="14" max="14" width="20.59765625" customWidth="1"/>
    <col min="15" max="26" width="10" customWidth="1"/>
  </cols>
  <sheetData>
    <row r="1" spans="1:26" ht="45" customHeight="1">
      <c r="A1" s="10"/>
      <c r="B1" s="10"/>
      <c r="C1" s="10"/>
      <c r="D1" s="10"/>
      <c r="E1" s="218" t="s">
        <v>389</v>
      </c>
      <c r="F1" s="336"/>
      <c r="G1" s="336"/>
      <c r="H1" s="10"/>
      <c r="I1" s="10"/>
      <c r="J1" s="10"/>
      <c r="K1" s="10"/>
      <c r="L1" s="10"/>
      <c r="M1" s="10"/>
      <c r="N1" s="10"/>
      <c r="O1" s="10"/>
      <c r="P1" s="1"/>
      <c r="Q1" s="1"/>
      <c r="R1" s="1"/>
      <c r="S1" s="1"/>
      <c r="T1" s="1"/>
      <c r="U1" s="1"/>
      <c r="V1" s="1"/>
      <c r="W1" s="1"/>
      <c r="X1" s="1"/>
      <c r="Y1" s="1"/>
      <c r="Z1" s="1"/>
    </row>
    <row r="2" spans="1:26" ht="15" customHeight="1">
      <c r="A2" s="1"/>
      <c r="B2" s="1"/>
      <c r="C2" s="1"/>
      <c r="D2" s="1"/>
      <c r="E2" s="1"/>
      <c r="F2" s="1"/>
      <c r="G2" s="1"/>
      <c r="H2" s="1"/>
      <c r="I2" s="1"/>
      <c r="J2" s="1"/>
      <c r="K2" s="1"/>
      <c r="L2" s="1"/>
      <c r="M2" s="1"/>
      <c r="N2" s="1"/>
      <c r="O2" s="1"/>
      <c r="P2" s="1"/>
      <c r="Q2" s="1"/>
      <c r="R2" s="1"/>
      <c r="S2" s="1"/>
      <c r="T2" s="1"/>
      <c r="U2" s="1"/>
      <c r="V2" s="1"/>
      <c r="W2" s="1"/>
      <c r="X2" s="1"/>
      <c r="Y2" s="1"/>
      <c r="Z2" s="1"/>
    </row>
    <row r="3" spans="1:26" ht="15" customHeight="1">
      <c r="A3" s="1"/>
      <c r="B3" s="1"/>
      <c r="C3" s="1"/>
      <c r="D3" s="1"/>
      <c r="E3" s="1"/>
      <c r="F3" s="1"/>
      <c r="G3" s="1"/>
      <c r="H3" s="222"/>
      <c r="I3" s="1"/>
      <c r="J3" s="1"/>
      <c r="K3" s="798" t="s">
        <v>51</v>
      </c>
      <c r="L3" s="799"/>
      <c r="M3" s="800"/>
      <c r="N3" s="1"/>
      <c r="O3" s="1"/>
      <c r="P3" s="1"/>
      <c r="Q3" s="1"/>
      <c r="R3" s="1"/>
      <c r="S3" s="1"/>
      <c r="T3" s="1"/>
      <c r="U3" s="1"/>
      <c r="V3" s="1"/>
      <c r="W3" s="1"/>
      <c r="X3" s="1"/>
      <c r="Y3" s="1"/>
      <c r="Z3" s="1"/>
    </row>
    <row r="4" spans="1:26" ht="15" customHeight="1">
      <c r="A4" s="1"/>
      <c r="B4" s="1"/>
      <c r="C4" s="1"/>
      <c r="D4" s="1"/>
      <c r="E4" s="1"/>
      <c r="F4" s="1"/>
      <c r="G4" s="1"/>
      <c r="H4" s="290"/>
      <c r="I4" s="1"/>
      <c r="J4" s="13"/>
      <c r="K4" s="630">
        <v>2026</v>
      </c>
      <c r="L4" s="631">
        <v>2027</v>
      </c>
      <c r="M4" s="632">
        <v>2028</v>
      </c>
      <c r="N4" s="175"/>
      <c r="O4" s="1"/>
      <c r="P4" s="1"/>
      <c r="Q4" s="1"/>
      <c r="R4" s="1"/>
      <c r="S4" s="1"/>
      <c r="T4" s="1"/>
      <c r="U4" s="1"/>
      <c r="V4" s="1"/>
      <c r="W4" s="1"/>
      <c r="X4" s="1"/>
      <c r="Y4" s="1"/>
      <c r="Z4" s="1"/>
    </row>
    <row r="5" spans="1:26" ht="15" customHeight="1">
      <c r="A5" s="1"/>
      <c r="B5" s="1"/>
      <c r="C5" s="1"/>
      <c r="D5" s="1"/>
      <c r="E5" s="1"/>
      <c r="F5" s="1"/>
      <c r="G5" s="1"/>
      <c r="H5" s="369"/>
      <c r="I5" s="1"/>
      <c r="J5" s="13"/>
      <c r="K5" s="73">
        <f>Hipótesis!$C$24</f>
        <v>0.02</v>
      </c>
      <c r="L5" s="74">
        <f>Hipótesis!$C$25</f>
        <v>0.06</v>
      </c>
      <c r="M5" s="75">
        <f>Hipótesis!$C$26</f>
        <v>0.1</v>
      </c>
      <c r="N5" s="175"/>
      <c r="O5" s="1"/>
      <c r="P5" s="1"/>
      <c r="Q5" s="1"/>
      <c r="R5" s="1"/>
      <c r="S5" s="1"/>
      <c r="T5" s="1"/>
      <c r="U5" s="1"/>
      <c r="V5" s="1"/>
      <c r="W5" s="1"/>
      <c r="X5" s="1"/>
      <c r="Y5" s="1"/>
      <c r="Z5" s="1"/>
    </row>
    <row r="6" spans="1:26" ht="15" customHeight="1">
      <c r="A6" s="1"/>
      <c r="B6" s="1"/>
      <c r="C6" s="1"/>
      <c r="D6" s="1"/>
      <c r="E6" s="1"/>
      <c r="F6" s="1"/>
      <c r="G6" s="1"/>
      <c r="H6" s="1"/>
      <c r="I6" s="1"/>
      <c r="J6" s="13"/>
      <c r="K6" s="76">
        <f>Hipótesis!$D$24</f>
        <v>102480000</v>
      </c>
      <c r="L6" s="77">
        <f>Hipótesis!$D$25</f>
        <v>307440000</v>
      </c>
      <c r="M6" s="78">
        <f>Hipótesis!$D$26</f>
        <v>512400000</v>
      </c>
      <c r="N6" s="175"/>
      <c r="O6" s="1"/>
      <c r="P6" s="1"/>
      <c r="Q6" s="1"/>
      <c r="R6" s="1"/>
      <c r="S6" s="1"/>
      <c r="T6" s="1"/>
      <c r="U6" s="1"/>
      <c r="V6" s="1"/>
      <c r="W6" s="1"/>
      <c r="X6" s="1"/>
      <c r="Y6" s="1"/>
      <c r="Z6" s="1"/>
    </row>
    <row r="7" spans="1:26" ht="15" customHeight="1">
      <c r="A7" s="1"/>
      <c r="B7" s="1"/>
      <c r="C7" s="1"/>
      <c r="D7" s="1"/>
      <c r="E7" s="1"/>
      <c r="F7" s="1"/>
      <c r="G7" s="1"/>
      <c r="H7" s="1"/>
      <c r="I7" s="1"/>
      <c r="J7" s="1"/>
      <c r="K7" s="15"/>
      <c r="L7" s="15"/>
      <c r="M7" s="15"/>
      <c r="N7" s="1"/>
      <c r="O7" s="1"/>
      <c r="P7" s="1"/>
      <c r="Q7" s="1"/>
      <c r="R7" s="1"/>
      <c r="S7" s="1"/>
      <c r="T7" s="1"/>
      <c r="U7" s="1"/>
      <c r="V7" s="1"/>
      <c r="W7" s="1"/>
      <c r="X7" s="1"/>
      <c r="Y7" s="1"/>
      <c r="Z7" s="1"/>
    </row>
    <row r="8" spans="1:26" ht="15" customHeight="1">
      <c r="A8" s="1"/>
      <c r="B8" s="1"/>
      <c r="C8" s="1"/>
      <c r="D8" s="1"/>
      <c r="E8" s="1"/>
      <c r="F8" s="1"/>
      <c r="G8" s="1"/>
      <c r="H8" s="222"/>
      <c r="I8" s="1"/>
      <c r="J8" s="1"/>
      <c r="K8" s="798" t="s">
        <v>390</v>
      </c>
      <c r="L8" s="799"/>
      <c r="M8" s="800"/>
      <c r="N8" s="1"/>
      <c r="O8" s="1"/>
      <c r="P8" s="1"/>
      <c r="Q8" s="1"/>
      <c r="R8" s="1"/>
      <c r="S8" s="1"/>
      <c r="T8" s="1"/>
      <c r="U8" s="1"/>
      <c r="V8" s="1"/>
      <c r="W8" s="1"/>
      <c r="X8" s="1"/>
      <c r="Y8" s="1"/>
      <c r="Z8" s="1"/>
    </row>
    <row r="9" spans="1:26" ht="15" customHeight="1">
      <c r="A9" s="1"/>
      <c r="B9" s="1"/>
      <c r="C9" s="1"/>
      <c r="D9" s="1"/>
      <c r="E9" s="1"/>
      <c r="F9" s="1"/>
      <c r="G9" s="1"/>
      <c r="H9" s="290"/>
      <c r="I9" s="1"/>
      <c r="J9" s="633"/>
      <c r="K9" s="630">
        <v>2026</v>
      </c>
      <c r="L9" s="631">
        <v>2027</v>
      </c>
      <c r="M9" s="632">
        <v>2028</v>
      </c>
      <c r="N9" s="175"/>
      <c r="O9" s="1"/>
      <c r="P9" s="1"/>
      <c r="Q9" s="1"/>
      <c r="R9" s="1"/>
      <c r="S9" s="1"/>
      <c r="T9" s="1"/>
      <c r="U9" s="1"/>
      <c r="V9" s="1"/>
      <c r="W9" s="1"/>
      <c r="X9" s="1"/>
      <c r="Y9" s="1"/>
      <c r="Z9" s="1"/>
    </row>
    <row r="10" spans="1:26" ht="15" customHeight="1">
      <c r="A10" s="1"/>
      <c r="B10" s="798" t="s">
        <v>389</v>
      </c>
      <c r="C10" s="799"/>
      <c r="D10" s="799"/>
      <c r="E10" s="799"/>
      <c r="F10" s="799"/>
      <c r="G10" s="800"/>
      <c r="H10" s="369"/>
      <c r="I10" s="13"/>
      <c r="J10" s="634" t="s">
        <v>391</v>
      </c>
      <c r="K10" s="635">
        <f>'Costos fijos'!$G$5</f>
        <v>26772000</v>
      </c>
      <c r="L10" s="636">
        <f>'Costos fijos'!$H$5</f>
        <v>30638000</v>
      </c>
      <c r="M10" s="637">
        <f>'Costos fijos'!$I$5</f>
        <v>37452000</v>
      </c>
      <c r="N10" s="175"/>
      <c r="O10" s="1"/>
      <c r="P10" s="1"/>
      <c r="Q10" s="1"/>
      <c r="R10" s="1"/>
      <c r="S10" s="1"/>
      <c r="T10" s="1"/>
      <c r="U10" s="1"/>
      <c r="V10" s="1"/>
      <c r="W10" s="1"/>
      <c r="X10" s="1"/>
      <c r="Y10" s="1"/>
      <c r="Z10" s="1"/>
    </row>
    <row r="11" spans="1:26" ht="15" customHeight="1">
      <c r="A11" s="1"/>
      <c r="B11" s="993" t="s">
        <v>392</v>
      </c>
      <c r="C11" s="800"/>
      <c r="D11" s="638">
        <v>0</v>
      </c>
      <c r="E11" s="639">
        <v>2026</v>
      </c>
      <c r="F11" s="639">
        <v>2027</v>
      </c>
      <c r="G11" s="640">
        <v>2028</v>
      </c>
      <c r="H11" s="1"/>
      <c r="I11" s="13"/>
      <c r="J11" s="641" t="s">
        <v>364</v>
      </c>
      <c r="K11" s="642">
        <f>'Costos variables'!$H$6</f>
        <v>32918375</v>
      </c>
      <c r="L11" s="337">
        <f>'Costos variables'!$I$6</f>
        <v>59495000</v>
      </c>
      <c r="M11" s="643">
        <f>'Costos variables'!$J$6</f>
        <v>87758125</v>
      </c>
      <c r="N11" s="175"/>
      <c r="O11" s="1"/>
      <c r="P11" s="1"/>
      <c r="Q11" s="1"/>
      <c r="R11" s="1"/>
      <c r="S11" s="1"/>
      <c r="T11" s="1"/>
      <c r="U11" s="1"/>
      <c r="V11" s="1"/>
      <c r="W11" s="1"/>
      <c r="X11" s="1"/>
      <c r="Y11" s="1"/>
      <c r="Z11" s="1"/>
    </row>
    <row r="12" spans="1:26" ht="15" customHeight="1">
      <c r="A12" s="13"/>
      <c r="B12" s="994" t="s">
        <v>71</v>
      </c>
      <c r="C12" s="828"/>
      <c r="D12" s="644" t="s">
        <v>393</v>
      </c>
      <c r="E12" s="606">
        <f>+'Mod. ingresos'!C30</f>
        <v>109050000</v>
      </c>
      <c r="F12" s="606">
        <f>+'Mod. ingresos'!D30</f>
        <v>281700000</v>
      </c>
      <c r="G12" s="645">
        <f>+'Mod. ingresos'!E30</f>
        <v>536880000</v>
      </c>
      <c r="H12" s="175"/>
      <c r="I12" s="13"/>
      <c r="J12" s="646" t="s">
        <v>365</v>
      </c>
      <c r="K12" s="76">
        <f>'Costos RRHH'!$H$6</f>
        <v>77670013.524999991</v>
      </c>
      <c r="L12" s="77">
        <f>'Costos RRHH'!$I$6</f>
        <v>149731451.31999999</v>
      </c>
      <c r="M12" s="78">
        <f>'Costos RRHH'!$J$6</f>
        <v>221914893.39499998</v>
      </c>
      <c r="N12" s="175"/>
      <c r="O12" s="1"/>
      <c r="P12" s="1"/>
      <c r="Q12" s="1"/>
      <c r="R12" s="1"/>
      <c r="S12" s="1"/>
      <c r="T12" s="1"/>
      <c r="U12" s="1"/>
      <c r="V12" s="1"/>
      <c r="W12" s="1"/>
      <c r="X12" s="1"/>
      <c r="Y12" s="1"/>
      <c r="Z12" s="1"/>
    </row>
    <row r="13" spans="1:26" ht="15" customHeight="1">
      <c r="A13" s="13"/>
      <c r="B13" s="995" t="s">
        <v>394</v>
      </c>
      <c r="C13" s="647" t="s">
        <v>391</v>
      </c>
      <c r="D13" s="648" t="s">
        <v>393</v>
      </c>
      <c r="E13" s="560">
        <f>+'Mod. egresos'!B10</f>
        <v>26772000</v>
      </c>
      <c r="F13" s="560">
        <f>+'Mod. egresos'!C10</f>
        <v>30638000</v>
      </c>
      <c r="G13" s="569">
        <f>+'Mod. egresos'!D10</f>
        <v>37452000</v>
      </c>
      <c r="H13" s="175"/>
      <c r="I13" s="1"/>
      <c r="J13" s="15"/>
      <c r="K13" s="15"/>
      <c r="L13" s="15"/>
      <c r="M13" s="15"/>
      <c r="N13" s="1"/>
      <c r="O13" s="1"/>
      <c r="P13" s="1"/>
      <c r="Q13" s="1"/>
      <c r="R13" s="1"/>
      <c r="S13" s="1"/>
      <c r="T13" s="1"/>
      <c r="U13" s="1"/>
      <c r="V13" s="1"/>
      <c r="W13" s="1"/>
      <c r="X13" s="1"/>
      <c r="Y13" s="1"/>
      <c r="Z13" s="1"/>
    </row>
    <row r="14" spans="1:26" ht="15" customHeight="1">
      <c r="A14" s="13"/>
      <c r="B14" s="976"/>
      <c r="C14" s="647" t="s">
        <v>364</v>
      </c>
      <c r="D14" s="648" t="s">
        <v>393</v>
      </c>
      <c r="E14" s="560">
        <f>+'Mod. egresos'!B11</f>
        <v>32918375</v>
      </c>
      <c r="F14" s="560">
        <f>+'Mod. egresos'!C11</f>
        <v>59495000</v>
      </c>
      <c r="G14" s="569">
        <f>+'Mod. egresos'!D11</f>
        <v>87758125</v>
      </c>
      <c r="H14" s="175"/>
      <c r="I14" s="1"/>
      <c r="J14" s="1"/>
      <c r="K14" s="798" t="s">
        <v>11</v>
      </c>
      <c r="L14" s="799"/>
      <c r="M14" s="800"/>
      <c r="N14" s="1"/>
      <c r="O14" s="1"/>
      <c r="P14" s="1"/>
      <c r="Q14" s="1"/>
      <c r="R14" s="1"/>
      <c r="S14" s="1"/>
      <c r="T14" s="1"/>
      <c r="U14" s="1"/>
      <c r="V14" s="1"/>
      <c r="W14" s="1"/>
      <c r="X14" s="1"/>
      <c r="Y14" s="1"/>
      <c r="Z14" s="1"/>
    </row>
    <row r="15" spans="1:26" ht="15" customHeight="1">
      <c r="A15" s="13"/>
      <c r="B15" s="969"/>
      <c r="C15" s="649" t="s">
        <v>365</v>
      </c>
      <c r="D15" s="650" t="s">
        <v>393</v>
      </c>
      <c r="E15" s="560">
        <f>+'Mod. egresos'!B12</f>
        <v>77670013.524999991</v>
      </c>
      <c r="F15" s="560">
        <f>+'Mod. egresos'!C12</f>
        <v>149731451.31999999</v>
      </c>
      <c r="G15" s="569">
        <f>+'Mod. egresos'!D12</f>
        <v>221914893.39499998</v>
      </c>
      <c r="H15" s="175"/>
      <c r="I15" s="1"/>
      <c r="J15" s="13"/>
      <c r="K15" s="630">
        <v>2026</v>
      </c>
      <c r="L15" s="631">
        <v>2027</v>
      </c>
      <c r="M15" s="632">
        <v>2028</v>
      </c>
      <c r="N15" s="175"/>
      <c r="O15" s="1"/>
      <c r="P15" s="1"/>
      <c r="Q15" s="1"/>
      <c r="R15" s="1"/>
      <c r="S15" s="1"/>
      <c r="T15" s="1"/>
      <c r="U15" s="1"/>
      <c r="V15" s="1"/>
      <c r="W15" s="1"/>
      <c r="X15" s="1"/>
      <c r="Y15" s="1"/>
      <c r="Z15" s="1"/>
    </row>
    <row r="16" spans="1:26" ht="15" customHeight="1">
      <c r="A16" s="13"/>
      <c r="B16" s="1001" t="s">
        <v>395</v>
      </c>
      <c r="C16" s="800"/>
      <c r="D16" s="651" t="s">
        <v>393</v>
      </c>
      <c r="E16" s="652">
        <f t="shared" ref="E16:G16" si="0">E12-E13-E14-E15</f>
        <v>-28310388.524999991</v>
      </c>
      <c r="F16" s="652">
        <f t="shared" si="0"/>
        <v>41835548.680000007</v>
      </c>
      <c r="G16" s="653">
        <f t="shared" si="0"/>
        <v>189754981.60500002</v>
      </c>
      <c r="H16" s="175"/>
      <c r="I16" s="1"/>
      <c r="J16" s="13"/>
      <c r="K16" s="545">
        <f>Amortizaciones!$I$5</f>
        <v>852800</v>
      </c>
      <c r="L16" s="546">
        <f>Amortizaciones!$J$5</f>
        <v>1119466.6666666667</v>
      </c>
      <c r="M16" s="547">
        <f>Amortizaciones!$K$5</f>
        <v>1671000</v>
      </c>
      <c r="N16" s="175"/>
      <c r="O16" s="1"/>
      <c r="P16" s="1"/>
      <c r="Q16" s="1"/>
      <c r="R16" s="1"/>
      <c r="S16" s="1"/>
      <c r="T16" s="1"/>
      <c r="U16" s="1"/>
      <c r="V16" s="1"/>
      <c r="W16" s="1"/>
      <c r="X16" s="1"/>
      <c r="Y16" s="1"/>
      <c r="Z16" s="1"/>
    </row>
    <row r="17" spans="1:26" ht="15" customHeight="1">
      <c r="A17" s="13"/>
      <c r="B17" s="1002" t="s">
        <v>396</v>
      </c>
      <c r="C17" s="824"/>
      <c r="D17" s="654" t="s">
        <v>393</v>
      </c>
      <c r="E17" s="655">
        <f t="shared" ref="E17:G17" si="1">E12*0.03</f>
        <v>3271500</v>
      </c>
      <c r="F17" s="655">
        <f t="shared" si="1"/>
        <v>8451000</v>
      </c>
      <c r="G17" s="656">
        <f t="shared" si="1"/>
        <v>16106400</v>
      </c>
      <c r="H17" s="175"/>
      <c r="I17" s="1"/>
      <c r="J17" s="1"/>
      <c r="K17" s="15"/>
      <c r="L17" s="15"/>
      <c r="M17" s="15"/>
      <c r="N17" s="1"/>
      <c r="O17" s="1"/>
      <c r="P17" s="1"/>
      <c r="Q17" s="1"/>
      <c r="R17" s="1"/>
      <c r="S17" s="1"/>
      <c r="T17" s="1"/>
      <c r="U17" s="1"/>
      <c r="V17" s="1"/>
      <c r="W17" s="1"/>
      <c r="X17" s="1"/>
      <c r="Y17" s="1"/>
      <c r="Z17" s="1"/>
    </row>
    <row r="18" spans="1:26" ht="15" customHeight="1">
      <c r="A18" s="1"/>
      <c r="B18" s="657"/>
      <c r="C18" s="657"/>
      <c r="D18" s="657"/>
      <c r="E18" s="657"/>
      <c r="F18" s="657"/>
      <c r="G18" s="657"/>
      <c r="H18" s="1"/>
      <c r="I18" s="1"/>
      <c r="J18" s="798" t="s">
        <v>367</v>
      </c>
      <c r="K18" s="799"/>
      <c r="L18" s="799"/>
      <c r="M18" s="800"/>
      <c r="N18" s="1"/>
      <c r="O18" s="1"/>
      <c r="P18" s="1"/>
      <c r="Q18" s="1"/>
      <c r="R18" s="1"/>
      <c r="S18" s="1"/>
      <c r="T18" s="1"/>
      <c r="U18" s="1"/>
      <c r="V18" s="1"/>
      <c r="W18" s="1"/>
      <c r="X18" s="1"/>
      <c r="Y18" s="1"/>
      <c r="Z18" s="1"/>
    </row>
    <row r="19" spans="1:26" ht="15" customHeight="1">
      <c r="A19" s="13"/>
      <c r="B19" s="1003" t="s">
        <v>397</v>
      </c>
      <c r="C19" s="818"/>
      <c r="D19" s="658" t="s">
        <v>393</v>
      </c>
      <c r="E19" s="659">
        <v>0</v>
      </c>
      <c r="F19" s="659">
        <v>0</v>
      </c>
      <c r="G19" s="660">
        <f>M23*0.35</f>
        <v>11292778.704666669</v>
      </c>
      <c r="H19" s="175"/>
      <c r="I19" s="1"/>
      <c r="J19" s="544" t="s">
        <v>368</v>
      </c>
      <c r="K19" s="70">
        <v>2026</v>
      </c>
      <c r="L19" s="70">
        <v>2027</v>
      </c>
      <c r="M19" s="71">
        <v>2028</v>
      </c>
      <c r="N19" s="175"/>
      <c r="O19" s="1"/>
      <c r="P19" s="1"/>
      <c r="Q19" s="1"/>
      <c r="R19" s="1"/>
      <c r="S19" s="1"/>
      <c r="T19" s="1"/>
      <c r="U19" s="1"/>
      <c r="V19" s="1"/>
      <c r="W19" s="1"/>
      <c r="X19" s="1"/>
      <c r="Y19" s="1"/>
      <c r="Z19" s="1"/>
    </row>
    <row r="20" spans="1:26" ht="15" customHeight="1">
      <c r="A20" s="13"/>
      <c r="B20" s="1001" t="s">
        <v>398</v>
      </c>
      <c r="C20" s="800"/>
      <c r="D20" s="651" t="s">
        <v>393</v>
      </c>
      <c r="E20" s="652">
        <f t="shared" ref="E20:G20" si="2">E16-E17-E19</f>
        <v>-31581888.524999991</v>
      </c>
      <c r="F20" s="652">
        <f t="shared" si="2"/>
        <v>33384548.680000007</v>
      </c>
      <c r="G20" s="653">
        <f t="shared" si="2"/>
        <v>162355802.90033334</v>
      </c>
      <c r="H20" s="175"/>
      <c r="I20" s="1"/>
      <c r="J20" s="545">
        <f>'Mod. inversión'!$G$5</f>
        <v>18499000</v>
      </c>
      <c r="K20" s="546">
        <f>'Mod. inversión'!$H$5</f>
        <v>800000</v>
      </c>
      <c r="L20" s="546">
        <f>'Mod. inversión'!$I$5</f>
        <v>1864000</v>
      </c>
      <c r="M20" s="547">
        <f>'Mod. inversión'!$J$5</f>
        <v>4264000</v>
      </c>
      <c r="N20" s="1"/>
      <c r="O20" s="1"/>
      <c r="P20" s="1"/>
      <c r="Q20" s="1"/>
      <c r="R20" s="1"/>
      <c r="S20" s="1"/>
      <c r="T20" s="1"/>
      <c r="U20" s="1"/>
      <c r="V20" s="1"/>
      <c r="W20" s="1"/>
      <c r="X20" s="1"/>
      <c r="Y20" s="1"/>
      <c r="Z20" s="1"/>
    </row>
    <row r="21" spans="1:26" ht="15" customHeight="1">
      <c r="A21" s="13"/>
      <c r="B21" s="1004" t="s">
        <v>399</v>
      </c>
      <c r="C21" s="821"/>
      <c r="D21" s="661">
        <f t="shared" ref="D21:G21" si="3">-J20</f>
        <v>-18499000</v>
      </c>
      <c r="E21" s="662">
        <f t="shared" si="3"/>
        <v>-800000</v>
      </c>
      <c r="F21" s="662">
        <f t="shared" si="3"/>
        <v>-1864000</v>
      </c>
      <c r="G21" s="663">
        <f t="shared" si="3"/>
        <v>-4264000</v>
      </c>
      <c r="H21" s="175"/>
      <c r="I21" s="1"/>
      <c r="J21" s="1"/>
      <c r="K21" s="1"/>
      <c r="L21" s="1"/>
      <c r="M21" s="1"/>
      <c r="N21" s="1"/>
      <c r="O21" s="1"/>
      <c r="P21" s="1"/>
      <c r="Q21" s="1"/>
      <c r="R21" s="1"/>
      <c r="S21" s="1"/>
      <c r="T21" s="1"/>
      <c r="U21" s="1"/>
      <c r="V21" s="1"/>
      <c r="W21" s="1"/>
      <c r="X21" s="1"/>
      <c r="Y21" s="1"/>
      <c r="Z21" s="1"/>
    </row>
    <row r="22" spans="1:26" ht="15" customHeight="1">
      <c r="A22" s="13"/>
      <c r="B22" s="996" t="s">
        <v>400</v>
      </c>
      <c r="C22" s="800"/>
      <c r="D22" s="664">
        <f>D21</f>
        <v>-18499000</v>
      </c>
      <c r="E22" s="665">
        <f t="shared" ref="E22:G22" si="4">E20+E21</f>
        <v>-32381888.524999991</v>
      </c>
      <c r="F22" s="665">
        <f t="shared" si="4"/>
        <v>31520548.680000007</v>
      </c>
      <c r="G22" s="666">
        <f t="shared" si="4"/>
        <v>158091802.90033334</v>
      </c>
      <c r="H22" s="175"/>
      <c r="I22" s="1"/>
      <c r="J22" s="1"/>
      <c r="K22" s="572">
        <v>2025</v>
      </c>
      <c r="L22" s="572">
        <v>2026</v>
      </c>
      <c r="M22" s="572">
        <v>2027</v>
      </c>
      <c r="N22" s="572">
        <v>2028</v>
      </c>
      <c r="O22" s="1"/>
      <c r="P22" s="1"/>
      <c r="Q22" s="1"/>
      <c r="R22" s="1"/>
      <c r="S22" s="1"/>
      <c r="T22" s="1"/>
      <c r="U22" s="1"/>
      <c r="V22" s="1"/>
      <c r="W22" s="1"/>
      <c r="X22" s="1"/>
      <c r="Y22" s="1"/>
      <c r="Z22" s="1"/>
    </row>
    <row r="23" spans="1:26" ht="15" customHeight="1">
      <c r="A23" s="1"/>
      <c r="B23" s="657"/>
      <c r="C23" s="657"/>
      <c r="D23" s="657"/>
      <c r="E23" s="657"/>
      <c r="F23" s="657"/>
      <c r="G23" s="657"/>
      <c r="H23" s="1"/>
      <c r="I23" s="1005" t="s">
        <v>401</v>
      </c>
      <c r="J23" s="831"/>
      <c r="K23" s="667"/>
      <c r="L23" s="668">
        <f t="shared" ref="L23:N23" si="5">E16-E17-K16</f>
        <v>-32434688.524999991</v>
      </c>
      <c r="M23" s="668">
        <f t="shared" si="5"/>
        <v>32265082.013333339</v>
      </c>
      <c r="N23" s="669">
        <f t="shared" si="5"/>
        <v>171977581.60500002</v>
      </c>
      <c r="O23" s="1"/>
      <c r="P23" s="1"/>
      <c r="Q23" s="1"/>
      <c r="R23" s="1"/>
      <c r="S23" s="1"/>
      <c r="T23" s="1"/>
      <c r="U23" s="1"/>
      <c r="V23" s="1"/>
      <c r="W23" s="1"/>
      <c r="X23" s="1"/>
      <c r="Y23" s="1"/>
      <c r="Z23" s="1"/>
    </row>
    <row r="24" spans="1:26" ht="15" customHeight="1">
      <c r="A24" s="13"/>
      <c r="B24" s="997" t="s">
        <v>402</v>
      </c>
      <c r="C24" s="893"/>
      <c r="D24" s="577" t="s">
        <v>393</v>
      </c>
      <c r="E24" s="606">
        <f>'Costos variables'!H10 + 'Costos fijos'!G9</f>
        <v>16859000</v>
      </c>
      <c r="F24" s="606">
        <f>'Costos variables'!I10 + 'Costos fijos'!H9</f>
        <v>37046000</v>
      </c>
      <c r="G24" s="606">
        <f>'Costos variables'!J10 + 'Costos fijos'!I9</f>
        <v>58330000</v>
      </c>
      <c r="H24" s="175"/>
      <c r="I24" s="1"/>
      <c r="J24" s="1"/>
      <c r="K24" s="1"/>
      <c r="L24" s="4"/>
      <c r="M24" s="1"/>
      <c r="N24" s="1"/>
      <c r="O24" s="1"/>
      <c r="P24" s="1"/>
      <c r="Q24" s="1"/>
      <c r="R24" s="1"/>
      <c r="S24" s="1"/>
      <c r="T24" s="1"/>
      <c r="U24" s="1"/>
      <c r="V24" s="1"/>
      <c r="W24" s="1"/>
      <c r="X24" s="1"/>
      <c r="Y24" s="1"/>
      <c r="Z24" s="1"/>
    </row>
    <row r="25" spans="1:26" ht="15" customHeight="1">
      <c r="A25" s="13"/>
      <c r="B25" s="670" t="s">
        <v>403</v>
      </c>
      <c r="C25" s="274"/>
      <c r="D25" s="274"/>
      <c r="E25" s="671">
        <f>E24/E$12</f>
        <v>0.15459880788629068</v>
      </c>
      <c r="F25" s="671">
        <f t="shared" ref="F25:G25" si="6">F24/F12</f>
        <v>0.13150869719559816</v>
      </c>
      <c r="G25" s="671">
        <f t="shared" si="6"/>
        <v>0.10864625242139771</v>
      </c>
      <c r="H25" s="175"/>
      <c r="I25" s="1"/>
      <c r="J25" s="1"/>
      <c r="K25" s="1"/>
      <c r="L25" s="1"/>
      <c r="M25" s="1"/>
      <c r="N25" s="1"/>
      <c r="O25" s="1"/>
      <c r="P25" s="1"/>
      <c r="Q25" s="1"/>
      <c r="R25" s="1"/>
      <c r="S25" s="1"/>
      <c r="T25" s="1"/>
      <c r="U25" s="1"/>
      <c r="V25" s="1"/>
      <c r="W25" s="1"/>
      <c r="X25" s="1"/>
      <c r="Y25" s="1"/>
      <c r="Z25" s="1"/>
    </row>
    <row r="26" spans="1:26" ht="15" customHeight="1">
      <c r="A26" s="1"/>
      <c r="B26" s="657"/>
      <c r="C26" s="657"/>
      <c r="D26" s="657"/>
      <c r="E26" s="239"/>
      <c r="F26" s="239"/>
      <c r="G26" s="239"/>
      <c r="H26" s="1"/>
      <c r="I26" s="1"/>
      <c r="J26" s="1"/>
      <c r="K26" s="1"/>
      <c r="L26" s="1"/>
      <c r="M26" s="1"/>
      <c r="N26" s="1"/>
      <c r="O26" s="1"/>
      <c r="P26" s="1"/>
      <c r="Q26" s="1"/>
      <c r="R26" s="1"/>
      <c r="S26" s="1"/>
      <c r="T26" s="1"/>
      <c r="U26" s="1"/>
      <c r="V26" s="1"/>
      <c r="W26" s="1"/>
      <c r="X26" s="1"/>
      <c r="Y26" s="1"/>
      <c r="Z26" s="1"/>
    </row>
    <row r="27" spans="1:26" ht="15" customHeight="1">
      <c r="A27" s="13"/>
      <c r="B27" s="998" t="s">
        <v>404</v>
      </c>
      <c r="C27" s="893"/>
      <c r="D27" s="253"/>
      <c r="E27" s="672">
        <f t="shared" ref="E27:G27" si="7">E13/E$12</f>
        <v>0.24550206327372764</v>
      </c>
      <c r="F27" s="672">
        <f t="shared" si="7"/>
        <v>0.10876109336173234</v>
      </c>
      <c r="G27" s="673">
        <f t="shared" si="7"/>
        <v>6.9758605274921767E-2</v>
      </c>
      <c r="H27" s="175"/>
      <c r="I27" s="1"/>
      <c r="J27" s="1"/>
      <c r="K27" s="1"/>
      <c r="L27" s="1"/>
      <c r="M27" s="1"/>
      <c r="N27" s="1"/>
      <c r="O27" s="1"/>
      <c r="P27" s="1"/>
      <c r="Q27" s="1"/>
      <c r="R27" s="1"/>
      <c r="S27" s="1"/>
      <c r="T27" s="1"/>
      <c r="U27" s="1"/>
      <c r="V27" s="1"/>
      <c r="W27" s="1"/>
      <c r="X27" s="1"/>
      <c r="Y27" s="1"/>
      <c r="Z27" s="1"/>
    </row>
    <row r="28" spans="1:26" ht="15" customHeight="1">
      <c r="A28" s="13"/>
      <c r="B28" s="999" t="s">
        <v>405</v>
      </c>
      <c r="C28" s="809"/>
      <c r="D28" s="225"/>
      <c r="E28" s="674">
        <f t="shared" ref="E28:G28" si="8">E14/E$12</f>
        <v>0.30186497019715725</v>
      </c>
      <c r="F28" s="674">
        <f t="shared" si="8"/>
        <v>0.21119985800496982</v>
      </c>
      <c r="G28" s="675">
        <f t="shared" si="8"/>
        <v>0.16345947884070927</v>
      </c>
      <c r="H28" s="175"/>
      <c r="I28" s="1"/>
      <c r="J28" s="1"/>
      <c r="K28" s="1"/>
      <c r="L28" s="1"/>
      <c r="M28" s="1"/>
      <c r="N28" s="1"/>
      <c r="O28" s="1"/>
      <c r="P28" s="1"/>
      <c r="Q28" s="1"/>
      <c r="R28" s="1"/>
      <c r="S28" s="1"/>
      <c r="T28" s="1"/>
      <c r="U28" s="1"/>
      <c r="V28" s="1"/>
      <c r="W28" s="1"/>
      <c r="X28" s="1"/>
      <c r="Y28" s="1"/>
      <c r="Z28" s="1"/>
    </row>
    <row r="29" spans="1:26" ht="14.4">
      <c r="A29" s="13"/>
      <c r="B29" s="1000" t="s">
        <v>406</v>
      </c>
      <c r="C29" s="894"/>
      <c r="D29" s="274"/>
      <c r="E29" s="671">
        <f t="shared" ref="E29:G29" si="9">E15/E$12</f>
        <v>0.71224221480972028</v>
      </c>
      <c r="F29" s="671">
        <f t="shared" si="9"/>
        <v>0.53152804870429537</v>
      </c>
      <c r="G29" s="676">
        <f t="shared" si="9"/>
        <v>0.41334170279205779</v>
      </c>
      <c r="H29" s="175"/>
      <c r="I29" s="1"/>
      <c r="J29" s="1"/>
      <c r="K29" s="1"/>
      <c r="L29" s="1"/>
      <c r="M29" s="1"/>
      <c r="N29" s="1"/>
      <c r="O29" s="1"/>
      <c r="P29" s="1"/>
      <c r="Q29" s="1"/>
      <c r="R29" s="1"/>
      <c r="S29" s="1"/>
      <c r="T29" s="1"/>
      <c r="U29" s="1"/>
      <c r="V29" s="1"/>
      <c r="W29" s="1"/>
      <c r="X29" s="1"/>
      <c r="Y29" s="1"/>
      <c r="Z29" s="1"/>
    </row>
    <row r="30" spans="1:26" ht="14.4">
      <c r="A30" s="1"/>
      <c r="B30" s="15"/>
      <c r="C30" s="15"/>
      <c r="D30" s="15"/>
      <c r="E30" s="15"/>
      <c r="F30" s="15"/>
      <c r="G30" s="15"/>
      <c r="H30" s="1"/>
      <c r="I30" s="1"/>
      <c r="J30" s="1"/>
      <c r="K30" s="1"/>
      <c r="L30" s="1"/>
      <c r="M30" s="1"/>
      <c r="N30" s="1"/>
      <c r="O30" s="1"/>
      <c r="P30" s="1"/>
      <c r="Q30" s="1"/>
      <c r="R30" s="1"/>
      <c r="S30" s="1"/>
      <c r="T30" s="1"/>
      <c r="U30" s="1"/>
      <c r="V30" s="1"/>
      <c r="W30" s="1"/>
      <c r="X30" s="1"/>
      <c r="Y30" s="1"/>
      <c r="Z30" s="1"/>
    </row>
    <row r="31" spans="1:26" ht="14.4">
      <c r="A31" s="1"/>
      <c r="B31" s="4" t="s">
        <v>407</v>
      </c>
      <c r="C31" s="1"/>
      <c r="D31" s="1"/>
      <c r="E31" s="1"/>
      <c r="F31" s="1"/>
      <c r="G31" s="1"/>
      <c r="H31" s="1"/>
      <c r="I31" s="1"/>
      <c r="J31" s="1"/>
      <c r="K31" s="1"/>
      <c r="L31" s="1"/>
      <c r="M31" s="1"/>
      <c r="N31" s="1"/>
      <c r="O31" s="1"/>
      <c r="P31" s="1"/>
      <c r="Q31" s="1"/>
      <c r="R31" s="1"/>
      <c r="S31" s="1"/>
      <c r="T31" s="1"/>
      <c r="U31" s="1"/>
      <c r="V31" s="1"/>
      <c r="W31" s="1"/>
      <c r="X31" s="1"/>
      <c r="Y31" s="1"/>
      <c r="Z31" s="1"/>
    </row>
    <row r="32" spans="1:26" ht="14.4">
      <c r="A32" s="1"/>
      <c r="B32" s="1"/>
      <c r="C32" s="1"/>
      <c r="D32" s="1"/>
      <c r="E32" s="1"/>
      <c r="F32" s="219"/>
      <c r="G32" s="219"/>
      <c r="H32" s="1"/>
      <c r="I32" s="1"/>
      <c r="J32" s="1"/>
      <c r="K32" s="1"/>
      <c r="L32" s="1"/>
      <c r="M32" s="1"/>
      <c r="N32" s="1"/>
      <c r="O32" s="1"/>
      <c r="P32" s="1"/>
      <c r="Q32" s="1"/>
      <c r="R32" s="1"/>
      <c r="S32" s="1"/>
      <c r="T32" s="1"/>
      <c r="U32" s="1"/>
      <c r="V32" s="1"/>
      <c r="W32" s="1"/>
      <c r="X32" s="1"/>
      <c r="Y32" s="1"/>
      <c r="Z32" s="1"/>
    </row>
    <row r="33" spans="1:26" ht="14.4">
      <c r="A33" s="1"/>
      <c r="B33" s="1"/>
      <c r="C33" s="1"/>
      <c r="D33" s="1"/>
      <c r="E33" s="1"/>
      <c r="F33" s="677" t="s">
        <v>408</v>
      </c>
      <c r="G33" s="678">
        <v>0.75</v>
      </c>
      <c r="H33" s="1"/>
      <c r="I33" s="1"/>
      <c r="J33" s="1"/>
      <c r="K33" s="1"/>
      <c r="L33" s="679"/>
      <c r="M33" s="1"/>
      <c r="N33" s="1"/>
      <c r="O33" s="1"/>
      <c r="P33" s="1"/>
      <c r="Q33" s="1"/>
      <c r="R33" s="1"/>
      <c r="S33" s="1"/>
      <c r="T33" s="1"/>
      <c r="U33" s="1"/>
      <c r="V33" s="1"/>
      <c r="W33" s="1"/>
      <c r="X33" s="1"/>
      <c r="Y33" s="1"/>
      <c r="Z33" s="1"/>
    </row>
    <row r="34" spans="1:26" ht="14.4">
      <c r="A34" s="1"/>
      <c r="B34" s="1"/>
      <c r="C34" s="1"/>
      <c r="D34" s="1"/>
      <c r="E34" s="1"/>
      <c r="F34" s="680" t="s">
        <v>409</v>
      </c>
      <c r="G34" s="681">
        <f t="array" ref="G34">NPV(G33,D22:G22)</f>
        <v>1592952.4146294657</v>
      </c>
      <c r="H34" s="682"/>
      <c r="I34" s="1"/>
      <c r="J34" s="1"/>
      <c r="K34" s="1"/>
      <c r="L34" s="1"/>
      <c r="M34" s="1"/>
      <c r="N34" s="1"/>
      <c r="O34" s="1"/>
      <c r="P34" s="1"/>
      <c r="Q34" s="1"/>
      <c r="R34" s="1"/>
      <c r="S34" s="1"/>
      <c r="T34" s="1"/>
      <c r="U34" s="1"/>
      <c r="V34" s="1"/>
      <c r="W34" s="1"/>
      <c r="X34" s="1"/>
      <c r="Y34" s="1"/>
      <c r="Z34" s="1"/>
    </row>
    <row r="35" spans="1:26" ht="14.4">
      <c r="A35" s="1"/>
      <c r="B35" s="1"/>
      <c r="C35" s="1"/>
      <c r="D35" s="1"/>
      <c r="E35" s="1"/>
      <c r="F35" s="683" t="s">
        <v>410</v>
      </c>
      <c r="G35" s="684">
        <f>IRR(D22:G22,G33)</f>
        <v>0.80761755415521908</v>
      </c>
      <c r="H35" s="679"/>
      <c r="I35" s="1"/>
      <c r="J35" s="1"/>
      <c r="K35" s="1"/>
      <c r="L35" s="1"/>
      <c r="M35" s="1"/>
      <c r="N35" s="1"/>
      <c r="O35" s="1"/>
      <c r="P35" s="1"/>
      <c r="Q35" s="1"/>
      <c r="R35" s="1"/>
      <c r="S35" s="1"/>
      <c r="T35" s="1"/>
      <c r="U35" s="1"/>
      <c r="V35" s="1"/>
      <c r="W35" s="1"/>
      <c r="X35" s="1"/>
      <c r="Y35" s="1"/>
      <c r="Z35" s="1"/>
    </row>
    <row r="36" spans="1:26" ht="14.4">
      <c r="A36" s="1"/>
      <c r="B36" s="1"/>
      <c r="C36" s="1"/>
      <c r="D36" s="1"/>
      <c r="E36" s="1"/>
      <c r="F36" s="1"/>
      <c r="G36" s="1"/>
      <c r="H36" s="1"/>
      <c r="I36" s="1"/>
      <c r="J36" s="679"/>
      <c r="K36" s="1"/>
      <c r="L36" s="1"/>
      <c r="M36" s="1"/>
      <c r="N36" s="1"/>
      <c r="O36" s="1"/>
      <c r="P36" s="1"/>
      <c r="Q36" s="1"/>
      <c r="R36" s="1"/>
      <c r="S36" s="1"/>
      <c r="T36" s="1"/>
      <c r="U36" s="1"/>
      <c r="V36" s="1"/>
      <c r="W36" s="1"/>
      <c r="X36" s="1"/>
      <c r="Y36" s="1"/>
      <c r="Z36" s="1"/>
    </row>
    <row r="37" spans="1:26" ht="14.4">
      <c r="A37" s="1"/>
      <c r="B37" s="1"/>
      <c r="C37" s="1"/>
      <c r="D37" s="1"/>
      <c r="E37" s="1"/>
      <c r="F37" s="1"/>
      <c r="G37" s="1"/>
      <c r="H37" s="1"/>
      <c r="I37" s="1"/>
      <c r="J37" s="679"/>
      <c r="K37" s="1"/>
      <c r="L37" s="1"/>
      <c r="M37" s="1"/>
      <c r="N37" s="1"/>
      <c r="O37" s="1"/>
      <c r="P37" s="1"/>
      <c r="Q37" s="1"/>
      <c r="R37" s="1"/>
      <c r="S37" s="1"/>
      <c r="T37" s="1"/>
      <c r="U37" s="1"/>
      <c r="V37" s="1"/>
      <c r="W37" s="1"/>
      <c r="X37" s="1"/>
      <c r="Y37" s="1"/>
      <c r="Z37" s="1"/>
    </row>
    <row r="38" spans="1:26" ht="14.4">
      <c r="A38" s="1"/>
      <c r="B38" s="1"/>
      <c r="C38" s="1"/>
      <c r="D38" s="1"/>
      <c r="E38" s="1"/>
      <c r="F38" s="1"/>
      <c r="G38" s="1"/>
      <c r="H38" s="1"/>
      <c r="I38" s="685"/>
      <c r="J38" s="1"/>
      <c r="K38" s="1"/>
      <c r="L38" s="1"/>
      <c r="M38" s="1"/>
      <c r="N38" s="1"/>
      <c r="O38" s="1"/>
      <c r="P38" s="1"/>
      <c r="Q38" s="1"/>
      <c r="R38" s="1"/>
      <c r="S38" s="1"/>
      <c r="T38" s="1"/>
      <c r="U38" s="1"/>
      <c r="V38" s="1"/>
      <c r="W38" s="1"/>
      <c r="X38" s="1"/>
      <c r="Y38" s="1"/>
      <c r="Z38" s="1"/>
    </row>
    <row r="39" spans="1:26" ht="14.4">
      <c r="A39" s="1"/>
      <c r="B39" s="1"/>
      <c r="C39" s="1"/>
      <c r="D39" s="1"/>
      <c r="E39" s="1"/>
      <c r="F39" s="1"/>
      <c r="G39" s="682"/>
      <c r="H39" s="1"/>
      <c r="I39" s="685"/>
      <c r="J39" s="1"/>
      <c r="K39" s="1"/>
      <c r="L39" s="1"/>
      <c r="M39" s="1"/>
      <c r="N39" s="1"/>
      <c r="O39" s="1"/>
      <c r="P39" s="1"/>
      <c r="Q39" s="1"/>
      <c r="R39" s="1"/>
      <c r="S39" s="1"/>
      <c r="T39" s="1"/>
      <c r="U39" s="1"/>
      <c r="V39" s="1"/>
      <c r="W39" s="1"/>
      <c r="X39" s="1"/>
      <c r="Y39" s="1"/>
      <c r="Z39" s="1"/>
    </row>
    <row r="40" spans="1:26" ht="14.4">
      <c r="A40" s="1"/>
      <c r="B40" s="1"/>
      <c r="C40" s="1"/>
      <c r="D40" s="1"/>
      <c r="E40" s="1"/>
      <c r="F40" s="1"/>
      <c r="G40" s="679"/>
      <c r="H40" s="1"/>
      <c r="I40" s="1"/>
      <c r="J40" s="1"/>
      <c r="K40" s="1"/>
      <c r="L40" s="1"/>
      <c r="M40" s="1"/>
      <c r="N40" s="1"/>
      <c r="O40" s="1"/>
      <c r="P40" s="1"/>
      <c r="Q40" s="1"/>
      <c r="R40" s="1"/>
      <c r="S40" s="1"/>
      <c r="T40" s="1"/>
      <c r="U40" s="1"/>
      <c r="V40" s="1"/>
      <c r="W40" s="1"/>
      <c r="X40" s="1"/>
      <c r="Y40" s="1"/>
      <c r="Z40" s="1"/>
    </row>
    <row r="41" spans="1:26" ht="14.4">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4">
      <c r="A42" s="1"/>
      <c r="B42" s="1"/>
      <c r="C42" s="1"/>
      <c r="D42" s="4"/>
      <c r="E42" s="1"/>
      <c r="F42" s="1"/>
      <c r="G42" s="1"/>
      <c r="H42" s="1"/>
      <c r="I42" s="1"/>
      <c r="J42" s="1"/>
      <c r="K42" s="1"/>
      <c r="L42" s="1"/>
      <c r="M42" s="1"/>
      <c r="N42" s="1"/>
      <c r="O42" s="1"/>
      <c r="P42" s="1"/>
      <c r="Q42" s="1"/>
      <c r="R42" s="1"/>
      <c r="S42" s="1"/>
      <c r="T42" s="1"/>
      <c r="U42" s="1"/>
      <c r="V42" s="1"/>
      <c r="W42" s="1"/>
      <c r="X42" s="1"/>
      <c r="Y42" s="1"/>
      <c r="Z42" s="1"/>
    </row>
    <row r="43" spans="1:26" ht="14.4">
      <c r="A43" s="1"/>
      <c r="B43" s="1"/>
      <c r="C43" s="1"/>
      <c r="D43" s="686"/>
      <c r="E43" s="172"/>
      <c r="F43" s="172"/>
      <c r="G43" s="172"/>
      <c r="H43" s="1"/>
      <c r="I43" s="144"/>
      <c r="J43" s="1"/>
      <c r="K43" s="1"/>
      <c r="L43" s="1"/>
      <c r="M43" s="1"/>
      <c r="N43" s="1"/>
      <c r="O43" s="1"/>
      <c r="P43" s="1"/>
      <c r="Q43" s="1"/>
      <c r="R43" s="1"/>
      <c r="S43" s="1"/>
      <c r="T43" s="1"/>
      <c r="U43" s="1"/>
      <c r="V43" s="1"/>
      <c r="W43" s="1"/>
      <c r="X43" s="1"/>
      <c r="Y43" s="1"/>
      <c r="Z43" s="1"/>
    </row>
    <row r="44" spans="1:26" ht="14.4">
      <c r="A44" s="1"/>
      <c r="B44" s="1"/>
      <c r="D44" s="1"/>
      <c r="E44" s="1"/>
      <c r="F44" s="1"/>
      <c r="G44" s="1"/>
      <c r="H44" s="1"/>
      <c r="I44" s="144"/>
      <c r="J44" s="1"/>
      <c r="K44" s="1"/>
      <c r="L44" s="1"/>
      <c r="M44" s="1"/>
      <c r="N44" s="1"/>
      <c r="O44" s="1"/>
      <c r="P44" s="1"/>
      <c r="Q44" s="1"/>
      <c r="R44" s="1"/>
      <c r="S44" s="1"/>
      <c r="T44" s="1"/>
      <c r="U44" s="1"/>
      <c r="V44" s="1"/>
      <c r="W44" s="1"/>
      <c r="X44" s="1"/>
      <c r="Y44" s="1"/>
      <c r="Z44" s="1"/>
    </row>
    <row r="45" spans="1:26" ht="14.4">
      <c r="A45" s="1"/>
      <c r="B45" s="1"/>
      <c r="C45" s="1"/>
      <c r="D45" s="1"/>
      <c r="E45" s="1"/>
      <c r="F45" s="1"/>
      <c r="G45" s="1"/>
      <c r="H45" s="682"/>
      <c r="I45" s="1"/>
      <c r="J45" s="1"/>
      <c r="K45" s="1"/>
      <c r="L45" s="1"/>
      <c r="M45" s="1"/>
      <c r="N45" s="1"/>
      <c r="O45" s="1"/>
      <c r="P45" s="1"/>
      <c r="Q45" s="1"/>
      <c r="R45" s="1"/>
      <c r="S45" s="1"/>
      <c r="T45" s="1"/>
      <c r="U45" s="1"/>
      <c r="V45" s="1"/>
      <c r="W45" s="1"/>
      <c r="X45" s="1"/>
      <c r="Y45" s="1"/>
      <c r="Z45" s="1"/>
    </row>
    <row r="46" spans="1:26" ht="14.4">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4">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4">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4">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4">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4">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4">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4">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4">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4">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4">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4">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4">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4">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4">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4">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4">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4">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4">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4">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4">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4">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4">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4">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4">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4">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4">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4">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4">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4">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4">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4">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4">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4">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4">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4">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4">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sheetData>
  <mergeCells count="19">
    <mergeCell ref="B28:C28"/>
    <mergeCell ref="B29:C29"/>
    <mergeCell ref="B16:C16"/>
    <mergeCell ref="B17:C17"/>
    <mergeCell ref="J18:M18"/>
    <mergeCell ref="B19:C19"/>
    <mergeCell ref="B20:C20"/>
    <mergeCell ref="B21:C21"/>
    <mergeCell ref="I23:J23"/>
    <mergeCell ref="B13:B15"/>
    <mergeCell ref="K14:M14"/>
    <mergeCell ref="B22:C22"/>
    <mergeCell ref="B24:C24"/>
    <mergeCell ref="B27:C27"/>
    <mergeCell ref="K3:M3"/>
    <mergeCell ref="K8:M8"/>
    <mergeCell ref="B10:G10"/>
    <mergeCell ref="B11:C11"/>
    <mergeCell ref="B12:C12"/>
  </mergeCells>
  <pageMargins left="0.7" right="0.7" top="0.75" bottom="0.75" header="0" footer="0"/>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000"/>
  <sheetViews>
    <sheetView workbookViewId="0"/>
  </sheetViews>
  <sheetFormatPr baseColWidth="10" defaultColWidth="12.59765625" defaultRowHeight="15" customHeight="1"/>
  <cols>
    <col min="1" max="1" width="7.69921875" customWidth="1"/>
    <col min="2" max="2" width="86.3984375" customWidth="1"/>
    <col min="3" max="3" width="4.59765625" customWidth="1"/>
    <col min="4" max="4" width="5" customWidth="1"/>
    <col min="5" max="5" width="12.59765625" customWidth="1"/>
    <col min="6" max="6" width="12.5" customWidth="1"/>
    <col min="7" max="7" width="11.59765625" customWidth="1"/>
    <col min="8" max="8" width="10.19921875" customWidth="1"/>
    <col min="9" max="9" width="9.09765625" customWidth="1"/>
    <col min="10" max="10" width="10.5" customWidth="1"/>
    <col min="11" max="26" width="7.69921875" customWidth="1"/>
  </cols>
  <sheetData>
    <row r="1" spans="2:3" ht="14.25" customHeight="1"/>
    <row r="2" spans="2:3" ht="33" customHeight="1">
      <c r="B2" s="1006" t="s">
        <v>411</v>
      </c>
      <c r="C2" s="981"/>
    </row>
    <row r="3" spans="2:3" ht="14.25" customHeight="1">
      <c r="B3" s="687"/>
    </row>
    <row r="4" spans="2:3" ht="14.25" customHeight="1">
      <c r="B4" s="688" t="s">
        <v>412</v>
      </c>
    </row>
    <row r="5" spans="2:3" ht="14.25" customHeight="1">
      <c r="B5" s="689" t="s">
        <v>413</v>
      </c>
    </row>
    <row r="6" spans="2:3" ht="14.25" customHeight="1">
      <c r="B6" s="689" t="s">
        <v>414</v>
      </c>
    </row>
    <row r="7" spans="2:3" ht="14.25" customHeight="1">
      <c r="B7" s="689" t="s">
        <v>415</v>
      </c>
    </row>
    <row r="8" spans="2:3" ht="14.25" customHeight="1">
      <c r="B8" s="689" t="s">
        <v>416</v>
      </c>
    </row>
    <row r="9" spans="2:3" ht="14.25" customHeight="1">
      <c r="B9" s="689" t="s">
        <v>417</v>
      </c>
    </row>
    <row r="10" spans="2:3" ht="14.25" customHeight="1">
      <c r="B10" s="688" t="s">
        <v>418</v>
      </c>
    </row>
    <row r="11" spans="2:3" ht="14.25" customHeight="1">
      <c r="B11" s="689" t="s">
        <v>419</v>
      </c>
    </row>
    <row r="12" spans="2:3" ht="14.25" customHeight="1">
      <c r="B12" s="689" t="s">
        <v>420</v>
      </c>
    </row>
    <row r="13" spans="2:3" ht="14.25" customHeight="1">
      <c r="B13" s="689" t="s">
        <v>421</v>
      </c>
    </row>
    <row r="14" spans="2:3" ht="14.25" customHeight="1">
      <c r="B14" s="689" t="s">
        <v>422</v>
      </c>
    </row>
    <row r="15" spans="2:3" ht="14.25" customHeight="1">
      <c r="B15" s="689" t="s">
        <v>423</v>
      </c>
    </row>
    <row r="16" spans="2:3" ht="14.25" customHeight="1"/>
    <row r="17" spans="2:10" ht="30" customHeight="1">
      <c r="B17" s="1007" t="s">
        <v>424</v>
      </c>
      <c r="C17" s="981"/>
    </row>
    <row r="18" spans="2:10" ht="14.25" customHeight="1">
      <c r="B18" s="690"/>
    </row>
    <row r="19" spans="2:10" ht="14.25" customHeight="1">
      <c r="B19" s="691" t="s">
        <v>425</v>
      </c>
    </row>
    <row r="20" spans="2:10" ht="14.25" customHeight="1">
      <c r="B20" s="692" t="s">
        <v>426</v>
      </c>
    </row>
    <row r="21" spans="2:10" ht="14.25" customHeight="1">
      <c r="B21" s="691" t="s">
        <v>427</v>
      </c>
    </row>
    <row r="22" spans="2:10" ht="14.25" customHeight="1">
      <c r="B22" s="690"/>
    </row>
    <row r="23" spans="2:10" ht="27.75" customHeight="1">
      <c r="B23" s="1006" t="s">
        <v>428</v>
      </c>
      <c r="C23" s="981"/>
      <c r="E23" s="693" t="s">
        <v>429</v>
      </c>
      <c r="F23" s="694" t="s">
        <v>430</v>
      </c>
      <c r="G23" s="695" t="s">
        <v>431</v>
      </c>
      <c r="H23" s="696" t="s">
        <v>432</v>
      </c>
      <c r="I23" s="697" t="s">
        <v>433</v>
      </c>
      <c r="J23" s="694" t="s">
        <v>434</v>
      </c>
    </row>
    <row r="24" spans="2:10" ht="19.5" customHeight="1">
      <c r="B24" s="687"/>
      <c r="E24" s="698" t="s">
        <v>435</v>
      </c>
      <c r="F24" s="699"/>
      <c r="G24" s="700"/>
      <c r="H24" s="701"/>
      <c r="I24" s="702"/>
      <c r="J24" s="703"/>
    </row>
    <row r="25" spans="2:10" ht="14.25" customHeight="1">
      <c r="B25" s="704" t="s">
        <v>436</v>
      </c>
      <c r="C25" s="705"/>
      <c r="E25" s="698" t="s">
        <v>437</v>
      </c>
      <c r="F25" s="706"/>
      <c r="G25" s="700"/>
      <c r="H25" s="700"/>
      <c r="I25" s="702"/>
      <c r="J25" s="702"/>
    </row>
    <row r="26" spans="2:10" ht="14.25" customHeight="1">
      <c r="B26" s="704" t="s">
        <v>438</v>
      </c>
      <c r="C26" s="707"/>
      <c r="E26" s="698" t="s">
        <v>439</v>
      </c>
      <c r="F26" s="706"/>
      <c r="G26" s="706"/>
      <c r="H26" s="700"/>
      <c r="I26" s="700"/>
      <c r="J26" s="702"/>
    </row>
    <row r="27" spans="2:10" ht="20.25" customHeight="1">
      <c r="B27" s="704" t="s">
        <v>440</v>
      </c>
      <c r="C27" s="708"/>
      <c r="E27" s="698" t="s">
        <v>441</v>
      </c>
      <c r="F27" s="706"/>
      <c r="G27" s="706"/>
      <c r="H27" s="706"/>
      <c r="I27" s="700"/>
      <c r="J27" s="700"/>
    </row>
    <row r="28" spans="2:10" ht="37.5" customHeight="1">
      <c r="B28" s="704" t="s">
        <v>442</v>
      </c>
      <c r="C28" s="709"/>
      <c r="E28" s="698" t="s">
        <v>443</v>
      </c>
      <c r="F28" s="706"/>
      <c r="G28" s="706"/>
      <c r="H28" s="706"/>
      <c r="I28" s="706"/>
      <c r="J28" s="706"/>
    </row>
    <row r="29" spans="2:10" ht="14.25" customHeight="1"/>
    <row r="30" spans="2:10" ht="14.25" customHeight="1"/>
    <row r="31" spans="2:10" ht="14.25" customHeight="1"/>
    <row r="32" spans="2: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2:C2"/>
    <mergeCell ref="B17:C17"/>
    <mergeCell ref="B23:C23"/>
  </mergeCells>
  <pageMargins left="0.7" right="0.7" top="0.75" bottom="0.75"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999"/>
  <sheetViews>
    <sheetView workbookViewId="0"/>
  </sheetViews>
  <sheetFormatPr baseColWidth="10" defaultColWidth="12.59765625" defaultRowHeight="15" customHeight="1"/>
  <cols>
    <col min="1" max="1" width="9.3984375" customWidth="1"/>
    <col min="2" max="2" width="64.59765625" customWidth="1"/>
    <col min="3" max="26" width="9.3984375" customWidth="1"/>
  </cols>
  <sheetData>
    <row r="1" spans="2:2" ht="14.25" customHeight="1"/>
    <row r="2" spans="2:2" ht="30.75" customHeight="1">
      <c r="B2" s="710" t="s">
        <v>444</v>
      </c>
    </row>
    <row r="3" spans="2:2" ht="14.25" hidden="1" customHeight="1">
      <c r="B3" s="711"/>
    </row>
    <row r="4" spans="2:2" ht="29.25" customHeight="1">
      <c r="B4" s="712" t="s">
        <v>445</v>
      </c>
    </row>
    <row r="5" spans="2:2" ht="29.25" customHeight="1">
      <c r="B5" s="712" t="s">
        <v>446</v>
      </c>
    </row>
    <row r="6" spans="2:2" ht="29.25" customHeight="1">
      <c r="B6" s="712" t="s">
        <v>447</v>
      </c>
    </row>
    <row r="7" spans="2:2" ht="29.25" customHeight="1">
      <c r="B7" s="712" t="s">
        <v>448</v>
      </c>
    </row>
    <row r="8" spans="2:2" ht="29.25" customHeight="1">
      <c r="B8" s="712" t="s">
        <v>449</v>
      </c>
    </row>
    <row r="9" spans="2:2" ht="29.25" customHeight="1">
      <c r="B9" s="712" t="s">
        <v>450</v>
      </c>
    </row>
    <row r="10" spans="2:2" ht="29.25" customHeight="1">
      <c r="B10" s="712" t="s">
        <v>451</v>
      </c>
    </row>
    <row r="11" spans="2:2" ht="29.25" customHeight="1">
      <c r="B11" s="712" t="s">
        <v>452</v>
      </c>
    </row>
    <row r="12" spans="2:2" ht="29.25" customHeight="1">
      <c r="B12" s="712" t="s">
        <v>453</v>
      </c>
    </row>
    <row r="13" spans="2:2" ht="29.25" customHeight="1">
      <c r="B13" s="712" t="s">
        <v>454</v>
      </c>
    </row>
    <row r="16" spans="2: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Z1007"/>
  <sheetViews>
    <sheetView topLeftCell="A22" workbookViewId="0"/>
  </sheetViews>
  <sheetFormatPr baseColWidth="10" defaultColWidth="12.59765625" defaultRowHeight="15" customHeight="1"/>
  <cols>
    <col min="1" max="1" width="6.3984375" customWidth="1"/>
    <col min="2" max="2" width="9.09765625" customWidth="1"/>
    <col min="3" max="3" width="29.69921875" customWidth="1"/>
    <col min="4" max="4" width="24.09765625" customWidth="1"/>
    <col min="5" max="5" width="26.8984375" customWidth="1"/>
    <col min="6" max="6" width="30.59765625" customWidth="1"/>
    <col min="7" max="7" width="16.3984375" customWidth="1"/>
    <col min="8" max="8" width="14.3984375" customWidth="1"/>
    <col min="9" max="9" width="20.19921875" customWidth="1"/>
    <col min="10" max="11" width="9.3984375" customWidth="1"/>
    <col min="12" max="12" width="21.69921875" customWidth="1"/>
    <col min="13" max="13" width="25.09765625" customWidth="1"/>
    <col min="14" max="26" width="9.3984375" customWidth="1"/>
  </cols>
  <sheetData>
    <row r="1" spans="1:26" ht="14.25" customHeight="1"/>
    <row r="2" spans="1:26" ht="14.25" customHeight="1">
      <c r="A2" s="713"/>
      <c r="B2" s="714" t="s">
        <v>455</v>
      </c>
      <c r="C2" s="715" t="s">
        <v>178</v>
      </c>
      <c r="D2" s="715" t="s">
        <v>456</v>
      </c>
      <c r="E2" s="715" t="s">
        <v>457</v>
      </c>
      <c r="F2" s="716" t="s">
        <v>458</v>
      </c>
      <c r="G2" s="715" t="s">
        <v>459</v>
      </c>
      <c r="H2" s="715" t="s">
        <v>460</v>
      </c>
      <c r="I2" s="717" t="s">
        <v>461</v>
      </c>
      <c r="J2" s="713"/>
      <c r="K2" s="713"/>
      <c r="L2" s="713"/>
      <c r="M2" s="713"/>
      <c r="N2" s="713"/>
      <c r="O2" s="713"/>
      <c r="P2" s="713"/>
      <c r="Q2" s="713"/>
      <c r="R2" s="713"/>
      <c r="S2" s="713"/>
      <c r="T2" s="713"/>
      <c r="U2" s="713"/>
      <c r="V2" s="713"/>
      <c r="W2" s="713"/>
      <c r="X2" s="713"/>
      <c r="Y2" s="713"/>
      <c r="Z2" s="713"/>
    </row>
    <row r="3" spans="1:26" ht="41.25" customHeight="1">
      <c r="B3" s="718" t="s">
        <v>462</v>
      </c>
      <c r="C3" s="719" t="s">
        <v>463</v>
      </c>
      <c r="D3" s="719" t="s">
        <v>464</v>
      </c>
      <c r="E3" s="720" t="s">
        <v>465</v>
      </c>
      <c r="F3" s="721" t="s">
        <v>466</v>
      </c>
      <c r="G3" s="722">
        <v>4</v>
      </c>
      <c r="H3" s="723">
        <v>5</v>
      </c>
      <c r="I3" s="724">
        <f t="shared" ref="I3:I4" si="0">+G3*H3</f>
        <v>20</v>
      </c>
      <c r="L3" s="688" t="s">
        <v>412</v>
      </c>
      <c r="M3" s="688" t="s">
        <v>418</v>
      </c>
      <c r="N3" s="693" t="s">
        <v>429</v>
      </c>
      <c r="O3" s="694" t="s">
        <v>430</v>
      </c>
      <c r="P3" s="695" t="s">
        <v>431</v>
      </c>
      <c r="Q3" s="696" t="s">
        <v>432</v>
      </c>
      <c r="R3" s="697" t="s">
        <v>433</v>
      </c>
      <c r="S3" s="694" t="s">
        <v>434</v>
      </c>
    </row>
    <row r="4" spans="1:26" ht="41.25" customHeight="1">
      <c r="B4" s="725"/>
      <c r="C4" s="726"/>
      <c r="D4" s="727" t="s">
        <v>467</v>
      </c>
      <c r="E4" s="728"/>
      <c r="F4" s="727" t="s">
        <v>468</v>
      </c>
      <c r="G4" s="729">
        <v>4</v>
      </c>
      <c r="H4" s="725">
        <v>5</v>
      </c>
      <c r="I4" s="730">
        <f t="shared" si="0"/>
        <v>20</v>
      </c>
      <c r="L4" s="689" t="s">
        <v>413</v>
      </c>
      <c r="M4" s="689" t="s">
        <v>419</v>
      </c>
      <c r="N4" s="698" t="s">
        <v>435</v>
      </c>
      <c r="O4" s="699"/>
      <c r="P4" s="700"/>
      <c r="Q4" s="701"/>
      <c r="R4" s="702"/>
      <c r="S4" s="703"/>
    </row>
    <row r="5" spans="1:26" ht="41.25" customHeight="1">
      <c r="B5" s="725"/>
      <c r="C5" s="726"/>
      <c r="D5" s="727" t="s">
        <v>469</v>
      </c>
      <c r="E5" s="728"/>
      <c r="F5" s="731" t="s">
        <v>470</v>
      </c>
      <c r="G5" s="729">
        <v>4</v>
      </c>
      <c r="H5" s="725">
        <v>5</v>
      </c>
      <c r="I5" s="732">
        <f>+H5*G5</f>
        <v>20</v>
      </c>
      <c r="L5" s="689" t="s">
        <v>414</v>
      </c>
      <c r="M5" s="689" t="s">
        <v>420</v>
      </c>
      <c r="N5" s="698" t="s">
        <v>437</v>
      </c>
      <c r="O5" s="706"/>
      <c r="P5" s="700"/>
      <c r="Q5" s="700"/>
      <c r="R5" s="702"/>
      <c r="S5" s="702"/>
    </row>
    <row r="6" spans="1:26" ht="54.75" customHeight="1">
      <c r="B6" s="718" t="s">
        <v>471</v>
      </c>
      <c r="C6" s="733" t="s">
        <v>472</v>
      </c>
      <c r="D6" s="733" t="s">
        <v>473</v>
      </c>
      <c r="E6" s="733" t="s">
        <v>474</v>
      </c>
      <c r="F6" s="727" t="s">
        <v>475</v>
      </c>
      <c r="G6" s="718">
        <v>4</v>
      </c>
      <c r="H6" s="718">
        <v>4</v>
      </c>
      <c r="I6" s="724">
        <f t="shared" ref="I6:I7" si="1">+G6*H6</f>
        <v>16</v>
      </c>
      <c r="L6" s="689" t="s">
        <v>415</v>
      </c>
      <c r="M6" s="689" t="s">
        <v>421</v>
      </c>
      <c r="N6" s="698" t="s">
        <v>439</v>
      </c>
      <c r="O6" s="706"/>
      <c r="P6" s="706"/>
      <c r="Q6" s="700"/>
      <c r="R6" s="700"/>
      <c r="S6" s="702"/>
    </row>
    <row r="7" spans="1:26" ht="54.75" customHeight="1">
      <c r="B7" s="725"/>
      <c r="C7" s="727"/>
      <c r="D7" s="727" t="s">
        <v>476</v>
      </c>
      <c r="E7" s="726"/>
      <c r="F7" s="727" t="s">
        <v>477</v>
      </c>
      <c r="G7" s="725">
        <v>4</v>
      </c>
      <c r="H7" s="725">
        <v>4</v>
      </c>
      <c r="I7" s="734">
        <f t="shared" si="1"/>
        <v>16</v>
      </c>
      <c r="L7" s="689" t="s">
        <v>416</v>
      </c>
      <c r="M7" s="689" t="s">
        <v>422</v>
      </c>
      <c r="N7" s="698" t="s">
        <v>441</v>
      </c>
      <c r="O7" s="706"/>
      <c r="P7" s="706"/>
      <c r="Q7" s="706"/>
      <c r="R7" s="700"/>
      <c r="S7" s="700"/>
    </row>
    <row r="8" spans="1:26" ht="54.75" customHeight="1">
      <c r="B8" s="725"/>
      <c r="C8" s="727"/>
      <c r="D8" s="727" t="s">
        <v>478</v>
      </c>
      <c r="E8" s="726"/>
      <c r="F8" s="726"/>
      <c r="G8" s="725">
        <v>4</v>
      </c>
      <c r="H8" s="725">
        <v>4</v>
      </c>
      <c r="I8" s="734">
        <f t="shared" ref="I8:I12" si="2">+H8*G8</f>
        <v>16</v>
      </c>
      <c r="L8" s="735" t="s">
        <v>417</v>
      </c>
      <c r="M8" s="735" t="s">
        <v>423</v>
      </c>
    </row>
    <row r="9" spans="1:26" ht="54.75" customHeight="1">
      <c r="B9" s="718" t="s">
        <v>479</v>
      </c>
      <c r="C9" s="733" t="s">
        <v>480</v>
      </c>
      <c r="D9" s="733" t="s">
        <v>481</v>
      </c>
      <c r="E9" s="733" t="s">
        <v>482</v>
      </c>
      <c r="F9" s="719"/>
      <c r="G9" s="718">
        <v>4</v>
      </c>
      <c r="H9" s="718">
        <v>4</v>
      </c>
      <c r="I9" s="736">
        <f t="shared" si="2"/>
        <v>16</v>
      </c>
      <c r="L9" s="689"/>
      <c r="M9" s="689"/>
      <c r="N9" s="705"/>
      <c r="O9" s="1008" t="s">
        <v>483</v>
      </c>
      <c r="P9" s="808"/>
      <c r="Q9" s="808"/>
      <c r="R9" s="808"/>
      <c r="S9" s="809"/>
    </row>
    <row r="10" spans="1:26" ht="55.5" customHeight="1">
      <c r="B10" s="737"/>
      <c r="C10" s="738"/>
      <c r="D10" s="738" t="s">
        <v>484</v>
      </c>
      <c r="E10" s="739"/>
      <c r="F10" s="738" t="s">
        <v>485</v>
      </c>
      <c r="G10" s="737">
        <v>4</v>
      </c>
      <c r="H10" s="737">
        <v>4</v>
      </c>
      <c r="I10" s="740">
        <f t="shared" si="2"/>
        <v>16</v>
      </c>
      <c r="N10" s="707"/>
      <c r="O10" s="1008" t="s">
        <v>486</v>
      </c>
      <c r="P10" s="808"/>
      <c r="Q10" s="808"/>
      <c r="R10" s="808"/>
      <c r="S10" s="809"/>
    </row>
    <row r="11" spans="1:26" ht="55.5" customHeight="1">
      <c r="B11" s="725" t="s">
        <v>487</v>
      </c>
      <c r="C11" s="727" t="s">
        <v>488</v>
      </c>
      <c r="D11" s="727" t="s">
        <v>489</v>
      </c>
      <c r="E11" s="727" t="s">
        <v>490</v>
      </c>
      <c r="F11" s="727" t="s">
        <v>491</v>
      </c>
      <c r="G11" s="725">
        <v>5</v>
      </c>
      <c r="H11" s="725">
        <v>5</v>
      </c>
      <c r="I11" s="741">
        <f t="shared" si="2"/>
        <v>25</v>
      </c>
      <c r="L11" s="689"/>
      <c r="M11" s="689"/>
      <c r="N11" s="708"/>
      <c r="O11" s="1008" t="s">
        <v>492</v>
      </c>
      <c r="P11" s="808"/>
      <c r="Q11" s="808"/>
      <c r="R11" s="808"/>
      <c r="S11" s="809"/>
    </row>
    <row r="12" spans="1:26" ht="55.5" customHeight="1">
      <c r="B12" s="725"/>
      <c r="C12" s="727"/>
      <c r="D12" s="727" t="s">
        <v>493</v>
      </c>
      <c r="E12" s="726"/>
      <c r="F12" s="727" t="s">
        <v>494</v>
      </c>
      <c r="G12" s="725">
        <v>5</v>
      </c>
      <c r="H12" s="725">
        <v>5</v>
      </c>
      <c r="I12" s="741">
        <f t="shared" si="2"/>
        <v>25</v>
      </c>
      <c r="L12" s="689"/>
      <c r="M12" s="689"/>
      <c r="N12" s="709"/>
      <c r="O12" s="1008" t="s">
        <v>495</v>
      </c>
      <c r="P12" s="808"/>
      <c r="Q12" s="808"/>
      <c r="R12" s="808"/>
      <c r="S12" s="809"/>
    </row>
    <row r="13" spans="1:26" ht="51" hidden="1" customHeight="1">
      <c r="B13" s="723" t="s">
        <v>471</v>
      </c>
      <c r="C13" s="719" t="s">
        <v>496</v>
      </c>
      <c r="D13" s="719" t="s">
        <v>497</v>
      </c>
      <c r="E13" s="719" t="s">
        <v>498</v>
      </c>
      <c r="F13" s="719" t="s">
        <v>499</v>
      </c>
      <c r="G13" s="723" t="s">
        <v>500</v>
      </c>
      <c r="H13" s="723">
        <v>4</v>
      </c>
      <c r="I13" s="742">
        <v>12</v>
      </c>
      <c r="L13" s="689" t="s">
        <v>417</v>
      </c>
      <c r="M13" s="689" t="s">
        <v>423</v>
      </c>
      <c r="N13" s="698" t="s">
        <v>443</v>
      </c>
      <c r="O13" s="706"/>
      <c r="P13" s="706"/>
      <c r="Q13" s="706"/>
      <c r="R13" s="706"/>
      <c r="S13" s="706"/>
    </row>
    <row r="14" spans="1:26" ht="63.75" hidden="1" customHeight="1">
      <c r="B14" s="743"/>
      <c r="C14" s="726"/>
      <c r="D14" s="726" t="s">
        <v>501</v>
      </c>
      <c r="F14" s="726" t="s">
        <v>502</v>
      </c>
      <c r="G14" s="743">
        <v>3</v>
      </c>
      <c r="H14" s="743">
        <v>3</v>
      </c>
      <c r="I14" s="744">
        <f>+G14*H14</f>
        <v>9</v>
      </c>
    </row>
    <row r="15" spans="1:26" ht="55.5" customHeight="1">
      <c r="B15" s="737"/>
      <c r="C15" s="738"/>
      <c r="D15" s="738" t="s">
        <v>503</v>
      </c>
      <c r="E15" s="727" t="s">
        <v>504</v>
      </c>
      <c r="F15" s="727" t="s">
        <v>505</v>
      </c>
      <c r="G15" s="737">
        <v>5</v>
      </c>
      <c r="H15" s="737">
        <v>5</v>
      </c>
      <c r="I15" s="745">
        <f t="shared" ref="I15:I17" si="3">+H15*G15</f>
        <v>25</v>
      </c>
    </row>
    <row r="16" spans="1:26" ht="82.5" customHeight="1">
      <c r="B16" s="718" t="s">
        <v>506</v>
      </c>
      <c r="C16" s="733" t="s">
        <v>507</v>
      </c>
      <c r="D16" s="733" t="s">
        <v>508</v>
      </c>
      <c r="E16" s="733" t="s">
        <v>509</v>
      </c>
      <c r="F16" s="733" t="s">
        <v>510</v>
      </c>
      <c r="G16" s="718">
        <v>3</v>
      </c>
      <c r="H16" s="723">
        <v>4</v>
      </c>
      <c r="I16" s="742">
        <f t="shared" si="3"/>
        <v>12</v>
      </c>
    </row>
    <row r="17" spans="2:9" ht="82.5" customHeight="1">
      <c r="B17" s="737"/>
      <c r="C17" s="738"/>
      <c r="D17" s="738" t="s">
        <v>511</v>
      </c>
      <c r="E17" s="746" t="s">
        <v>512</v>
      </c>
      <c r="F17" s="739"/>
      <c r="G17" s="737">
        <v>3</v>
      </c>
      <c r="H17" s="737">
        <v>4</v>
      </c>
      <c r="I17" s="747">
        <f t="shared" si="3"/>
        <v>12</v>
      </c>
    </row>
    <row r="18" spans="2:9" ht="54.75" customHeight="1">
      <c r="B18" s="725" t="s">
        <v>513</v>
      </c>
      <c r="C18" s="727" t="s">
        <v>514</v>
      </c>
      <c r="D18" s="727" t="s">
        <v>515</v>
      </c>
      <c r="E18" s="748" t="s">
        <v>516</v>
      </c>
      <c r="F18" s="727" t="s">
        <v>517</v>
      </c>
      <c r="G18" s="743">
        <v>4</v>
      </c>
      <c r="H18" s="743">
        <v>4</v>
      </c>
      <c r="I18" s="730">
        <f t="shared" ref="I18:I19" si="4">+G18*H18</f>
        <v>16</v>
      </c>
    </row>
    <row r="19" spans="2:9" ht="69" hidden="1" customHeight="1">
      <c r="B19" s="749"/>
      <c r="C19" s="739"/>
      <c r="D19" s="739" t="s">
        <v>518</v>
      </c>
      <c r="E19" s="726" t="s">
        <v>519</v>
      </c>
      <c r="F19" s="739"/>
      <c r="G19" s="749">
        <v>4</v>
      </c>
      <c r="H19" s="749">
        <v>3</v>
      </c>
      <c r="I19" s="750">
        <f t="shared" si="4"/>
        <v>12</v>
      </c>
    </row>
    <row r="20" spans="2:9" ht="54.75" customHeight="1">
      <c r="B20" s="718" t="s">
        <v>520</v>
      </c>
      <c r="C20" s="733" t="s">
        <v>521</v>
      </c>
      <c r="D20" s="720" t="s">
        <v>522</v>
      </c>
      <c r="E20" s="733" t="s">
        <v>523</v>
      </c>
      <c r="F20" s="751" t="s">
        <v>524</v>
      </c>
      <c r="G20" s="718">
        <v>4</v>
      </c>
      <c r="H20" s="723">
        <v>5</v>
      </c>
      <c r="I20" s="752">
        <f t="shared" ref="I20:I21" si="5">+H20*G20</f>
        <v>20</v>
      </c>
    </row>
    <row r="21" spans="2:9" ht="54.75" customHeight="1">
      <c r="B21" s="737"/>
      <c r="C21" s="738"/>
      <c r="D21" s="753" t="s">
        <v>525</v>
      </c>
      <c r="E21" s="738" t="s">
        <v>526</v>
      </c>
      <c r="F21" s="754"/>
      <c r="G21" s="737">
        <v>4</v>
      </c>
      <c r="H21" s="737">
        <v>5</v>
      </c>
      <c r="I21" s="755">
        <f t="shared" si="5"/>
        <v>20</v>
      </c>
    </row>
    <row r="22" spans="2:9" ht="69" customHeight="1">
      <c r="B22" s="725" t="s">
        <v>527</v>
      </c>
      <c r="C22" s="727" t="s">
        <v>528</v>
      </c>
      <c r="D22" s="756" t="s">
        <v>529</v>
      </c>
      <c r="E22" s="757" t="s">
        <v>530</v>
      </c>
      <c r="F22" s="758" t="s">
        <v>531</v>
      </c>
      <c r="G22" s="743">
        <v>5</v>
      </c>
      <c r="H22" s="743">
        <v>5</v>
      </c>
      <c r="I22" s="741">
        <f t="shared" ref="I22:I23" si="6">+G22*H22</f>
        <v>25</v>
      </c>
    </row>
    <row r="23" spans="2:9" ht="96.75" customHeight="1">
      <c r="B23" s="759" t="s">
        <v>532</v>
      </c>
      <c r="C23" s="760" t="s">
        <v>533</v>
      </c>
      <c r="D23" s="761" t="s">
        <v>534</v>
      </c>
      <c r="E23" s="760" t="s">
        <v>535</v>
      </c>
      <c r="F23" s="762" t="s">
        <v>536</v>
      </c>
      <c r="G23" s="759">
        <v>3</v>
      </c>
      <c r="H23" s="763">
        <v>5</v>
      </c>
      <c r="I23" s="764">
        <f t="shared" si="6"/>
        <v>15</v>
      </c>
    </row>
    <row r="24" spans="2:9" ht="96.75" customHeight="1">
      <c r="B24" s="759" t="s">
        <v>537</v>
      </c>
      <c r="C24" s="760" t="s">
        <v>538</v>
      </c>
      <c r="D24" s="761" t="s">
        <v>539</v>
      </c>
      <c r="E24" s="760" t="s">
        <v>540</v>
      </c>
      <c r="F24" s="762" t="s">
        <v>541</v>
      </c>
      <c r="G24" s="759">
        <v>5</v>
      </c>
      <c r="H24" s="759">
        <v>5</v>
      </c>
      <c r="I24" s="765">
        <f>+H24*G24</f>
        <v>25</v>
      </c>
    </row>
    <row r="25" spans="2:9" ht="54.75" hidden="1" customHeight="1">
      <c r="B25" s="723" t="s">
        <v>506</v>
      </c>
      <c r="C25" s="719" t="s">
        <v>542</v>
      </c>
      <c r="D25" s="719" t="s">
        <v>543</v>
      </c>
      <c r="E25" s="726" t="s">
        <v>544</v>
      </c>
      <c r="F25" s="719" t="s">
        <v>545</v>
      </c>
      <c r="G25" s="723">
        <v>3</v>
      </c>
      <c r="H25" s="723">
        <v>2</v>
      </c>
      <c r="I25" s="766">
        <f t="shared" ref="I25:I26" si="7">+G25*H25</f>
        <v>6</v>
      </c>
    </row>
    <row r="26" spans="2:9" ht="69" hidden="1" customHeight="1">
      <c r="B26" s="749"/>
      <c r="C26" s="739"/>
      <c r="D26" s="739" t="s">
        <v>546</v>
      </c>
      <c r="E26" s="739" t="s">
        <v>547</v>
      </c>
      <c r="F26" s="739" t="s">
        <v>548</v>
      </c>
      <c r="G26" s="749">
        <v>3</v>
      </c>
      <c r="H26" s="749">
        <v>3</v>
      </c>
      <c r="I26" s="750">
        <f t="shared" si="7"/>
        <v>9</v>
      </c>
    </row>
    <row r="27" spans="2:9" ht="96" hidden="1" customHeight="1">
      <c r="B27" s="723" t="s">
        <v>513</v>
      </c>
      <c r="C27" s="719" t="s">
        <v>549</v>
      </c>
      <c r="D27" s="719" t="s">
        <v>550</v>
      </c>
      <c r="E27" s="719" t="s">
        <v>551</v>
      </c>
      <c r="F27" s="719" t="s">
        <v>552</v>
      </c>
      <c r="G27" s="723" t="s">
        <v>500</v>
      </c>
      <c r="H27" s="723">
        <v>4</v>
      </c>
      <c r="I27" s="742">
        <v>12</v>
      </c>
    </row>
    <row r="28" spans="2:9" ht="83.25" hidden="1" customHeight="1">
      <c r="B28" s="749"/>
      <c r="C28" s="739"/>
      <c r="D28" s="739" t="s">
        <v>553</v>
      </c>
      <c r="E28" s="739" t="s">
        <v>554</v>
      </c>
      <c r="F28" s="726" t="s">
        <v>555</v>
      </c>
      <c r="G28" s="749">
        <v>3</v>
      </c>
      <c r="H28" s="749">
        <v>3</v>
      </c>
      <c r="I28" s="750">
        <f>+G28*H28</f>
        <v>9</v>
      </c>
    </row>
    <row r="29" spans="2:9" ht="45" hidden="1" customHeight="1">
      <c r="B29" s="723" t="s">
        <v>520</v>
      </c>
      <c r="C29" s="719" t="s">
        <v>556</v>
      </c>
      <c r="D29" s="719" t="s">
        <v>557</v>
      </c>
      <c r="E29" s="767" t="s">
        <v>558</v>
      </c>
      <c r="F29" s="768"/>
      <c r="G29" s="769" t="s">
        <v>559</v>
      </c>
      <c r="H29" s="723">
        <v>2</v>
      </c>
      <c r="I29" s="766">
        <v>2</v>
      </c>
    </row>
    <row r="30" spans="2:9" ht="69" hidden="1" customHeight="1">
      <c r="B30" s="749"/>
      <c r="C30" s="739"/>
      <c r="D30" s="739" t="s">
        <v>560</v>
      </c>
      <c r="E30" s="770"/>
      <c r="F30" s="739" t="s">
        <v>561</v>
      </c>
      <c r="G30" s="771"/>
      <c r="H30" s="749"/>
      <c r="I30" s="772"/>
    </row>
    <row r="31" spans="2:9" ht="14.25" customHeight="1"/>
    <row r="32" spans="2: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sheetData>
  <autoFilter ref="B2:I30">
    <filterColumn colId="7">
      <filters>
        <filter val="15"/>
        <filter val="16"/>
        <filter val="20"/>
        <filter val="25"/>
      </filters>
    </filterColumn>
  </autoFilter>
  <mergeCells count="4">
    <mergeCell ref="O9:S9"/>
    <mergeCell ref="O10:S10"/>
    <mergeCell ref="O11:S11"/>
    <mergeCell ref="O12:S12"/>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K1000"/>
  <sheetViews>
    <sheetView workbookViewId="0"/>
  </sheetViews>
  <sheetFormatPr baseColWidth="10" defaultColWidth="12.59765625" defaultRowHeight="15" customHeight="1"/>
  <cols>
    <col min="1" max="1" width="9.3984375" customWidth="1"/>
    <col min="2" max="2" width="3.09765625" customWidth="1"/>
    <col min="3" max="3" width="16.3984375" customWidth="1"/>
    <col min="4" max="4" width="15.09765625" customWidth="1"/>
    <col min="5" max="5" width="16" customWidth="1"/>
    <col min="6" max="6" width="15.3984375" customWidth="1"/>
    <col min="7" max="7" width="16.69921875" customWidth="1"/>
    <col min="8" max="8" width="16.8984375" customWidth="1"/>
    <col min="9" max="9" width="5.3984375" customWidth="1"/>
    <col min="10" max="10" width="3.8984375" customWidth="1"/>
    <col min="11" max="11" width="49.5" customWidth="1"/>
    <col min="12" max="26" width="9.3984375" customWidth="1"/>
  </cols>
  <sheetData>
    <row r="1" spans="3:11" ht="14.25" customHeight="1"/>
    <row r="2" spans="3:11" ht="14.25" customHeight="1"/>
    <row r="3" spans="3:11" ht="14.25" customHeight="1">
      <c r="C3" s="773" t="s">
        <v>429</v>
      </c>
      <c r="D3" s="774" t="s">
        <v>430</v>
      </c>
      <c r="E3" s="774" t="s">
        <v>431</v>
      </c>
      <c r="F3" s="774" t="s">
        <v>432</v>
      </c>
      <c r="G3" s="774" t="s">
        <v>433</v>
      </c>
      <c r="H3" s="775" t="s">
        <v>434</v>
      </c>
    </row>
    <row r="4" spans="3:11" ht="14.25" customHeight="1">
      <c r="C4" s="698" t="s">
        <v>435</v>
      </c>
      <c r="D4" s="706"/>
      <c r="E4" s="700"/>
      <c r="F4" s="776" t="s">
        <v>532</v>
      </c>
      <c r="G4" s="776" t="s">
        <v>562</v>
      </c>
      <c r="H4" s="777" t="s">
        <v>563</v>
      </c>
      <c r="J4" s="705"/>
      <c r="K4" s="704" t="s">
        <v>564</v>
      </c>
    </row>
    <row r="5" spans="3:11" ht="14.25" customHeight="1">
      <c r="C5" s="698" t="s">
        <v>437</v>
      </c>
      <c r="D5" s="706"/>
      <c r="E5" s="700"/>
      <c r="F5" s="778" t="s">
        <v>506</v>
      </c>
      <c r="G5" s="776" t="s">
        <v>565</v>
      </c>
      <c r="H5" s="702"/>
      <c r="J5" s="707"/>
      <c r="K5" s="704" t="s">
        <v>566</v>
      </c>
    </row>
    <row r="6" spans="3:11" ht="14.25" customHeight="1">
      <c r="C6" s="698" t="s">
        <v>439</v>
      </c>
      <c r="D6" s="706"/>
      <c r="E6" s="706"/>
      <c r="F6" s="700"/>
      <c r="G6" s="700"/>
      <c r="H6" s="702"/>
      <c r="J6" s="708"/>
      <c r="K6" s="704" t="s">
        <v>567</v>
      </c>
    </row>
    <row r="7" spans="3:11" ht="14.25" customHeight="1">
      <c r="C7" s="698" t="s">
        <v>441</v>
      </c>
      <c r="D7" s="706"/>
      <c r="E7" s="706"/>
      <c r="F7" s="706"/>
      <c r="G7" s="700"/>
      <c r="H7" s="700"/>
      <c r="J7" s="709"/>
      <c r="K7" s="704" t="s">
        <v>568</v>
      </c>
    </row>
    <row r="8" spans="3:11" ht="30" customHeight="1">
      <c r="C8" s="698" t="s">
        <v>443</v>
      </c>
      <c r="D8" s="706"/>
      <c r="E8" s="706"/>
      <c r="F8" s="706"/>
      <c r="G8" s="706"/>
      <c r="H8" s="706"/>
    </row>
    <row r="9" spans="3:11" ht="14.25" customHeight="1">
      <c r="C9" s="690"/>
    </row>
    <row r="10" spans="3:11" ht="14.25" customHeight="1"/>
    <row r="11" spans="3:11" ht="14.25" customHeight="1"/>
    <row r="12" spans="3:11" ht="14.25" customHeight="1"/>
    <row r="13" spans="3:11" ht="14.25" customHeight="1"/>
    <row r="14" spans="3:11" ht="14.25" customHeight="1"/>
    <row r="15" spans="3:11" ht="14.25" customHeight="1"/>
    <row r="16" spans="3: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C1" workbookViewId="0"/>
  </sheetViews>
  <sheetFormatPr baseColWidth="10" defaultColWidth="12.59765625" defaultRowHeight="15" customHeight="1"/>
  <cols>
    <col min="1" max="1" width="9.3984375" customWidth="1"/>
    <col min="2" max="2" width="33" customWidth="1"/>
    <col min="3" max="3" width="13.09765625" customWidth="1"/>
    <col min="4" max="4" width="13.59765625" customWidth="1"/>
    <col min="5" max="7" width="13.8984375" customWidth="1"/>
    <col min="8" max="8" width="4.09765625" customWidth="1"/>
    <col min="9" max="9" width="36.09765625" customWidth="1"/>
    <col min="10" max="10" width="13.8984375" customWidth="1"/>
    <col min="11" max="11" width="14.09765625" customWidth="1"/>
    <col min="12" max="12" width="16" customWidth="1"/>
    <col min="13" max="26" width="9.398437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815" t="s">
        <v>389</v>
      </c>
      <c r="C2" s="799"/>
      <c r="D2" s="799"/>
      <c r="E2" s="799"/>
      <c r="F2" s="799"/>
      <c r="G2" s="800"/>
      <c r="H2" s="1"/>
      <c r="I2" s="1"/>
      <c r="J2" s="1"/>
      <c r="K2" s="1"/>
      <c r="L2" s="1"/>
      <c r="M2" s="1"/>
      <c r="N2" s="1"/>
      <c r="O2" s="1"/>
      <c r="P2" s="1"/>
      <c r="Q2" s="1"/>
      <c r="R2" s="1"/>
      <c r="S2" s="1"/>
      <c r="T2" s="1"/>
      <c r="U2" s="1"/>
      <c r="V2" s="1"/>
      <c r="W2" s="1"/>
      <c r="X2" s="1"/>
      <c r="Y2" s="1"/>
      <c r="Z2" s="1"/>
    </row>
    <row r="3" spans="1:26" ht="14.25" customHeight="1">
      <c r="A3" s="1"/>
      <c r="B3" s="993" t="s">
        <v>392</v>
      </c>
      <c r="C3" s="800"/>
      <c r="D3" s="638" t="s">
        <v>569</v>
      </c>
      <c r="E3" s="779">
        <v>2025</v>
      </c>
      <c r="F3" s="779">
        <v>2026</v>
      </c>
      <c r="G3" s="780">
        <v>2027</v>
      </c>
      <c r="H3" s="1"/>
      <c r="I3" s="1014" t="s">
        <v>570</v>
      </c>
      <c r="J3" s="808"/>
      <c r="K3" s="808"/>
      <c r="L3" s="809"/>
      <c r="M3" s="1"/>
      <c r="N3" s="1"/>
      <c r="O3" s="1"/>
      <c r="P3" s="1"/>
      <c r="Q3" s="1"/>
      <c r="R3" s="1"/>
      <c r="S3" s="1"/>
      <c r="T3" s="1"/>
      <c r="U3" s="1"/>
      <c r="V3" s="1"/>
      <c r="W3" s="1"/>
      <c r="X3" s="1"/>
      <c r="Y3" s="1"/>
      <c r="Z3" s="1"/>
    </row>
    <row r="4" spans="1:26" ht="43.5" customHeight="1">
      <c r="A4" s="1"/>
      <c r="B4" s="1009" t="s">
        <v>71</v>
      </c>
      <c r="C4" s="885"/>
      <c r="D4" s="781" t="s">
        <v>393</v>
      </c>
      <c r="E4" s="337">
        <f>'Presupuesto financiero'!E12</f>
        <v>109050000</v>
      </c>
      <c r="F4" s="337">
        <f>'Presupuesto financiero'!F12</f>
        <v>281700000</v>
      </c>
      <c r="G4" s="782">
        <f>'Presupuesto financiero'!G12 - 30000000</f>
        <v>506880000</v>
      </c>
      <c r="H4" s="1"/>
      <c r="I4" s="1015" t="s">
        <v>571</v>
      </c>
      <c r="J4" s="1018" t="s">
        <v>503</v>
      </c>
      <c r="K4" s="1018" t="s">
        <v>504</v>
      </c>
      <c r="L4" s="1018" t="s">
        <v>505</v>
      </c>
      <c r="M4" s="1"/>
      <c r="N4" s="1"/>
      <c r="O4" s="1"/>
      <c r="P4" s="1"/>
      <c r="Q4" s="1"/>
      <c r="R4" s="1"/>
      <c r="S4" s="1"/>
      <c r="T4" s="1"/>
      <c r="U4" s="1"/>
      <c r="V4" s="1"/>
      <c r="W4" s="1"/>
      <c r="X4" s="1"/>
      <c r="Y4" s="1"/>
      <c r="Z4" s="1"/>
    </row>
    <row r="5" spans="1:26" ht="14.25" customHeight="1">
      <c r="A5" s="1"/>
      <c r="B5" s="995" t="s">
        <v>394</v>
      </c>
      <c r="C5" s="647" t="s">
        <v>391</v>
      </c>
      <c r="D5" s="648" t="s">
        <v>393</v>
      </c>
      <c r="E5" s="337">
        <f>'Presupuesto financiero'!E13</f>
        <v>26772000</v>
      </c>
      <c r="F5" s="337">
        <f>'Presupuesto financiero'!F13</f>
        <v>30638000</v>
      </c>
      <c r="G5" s="337">
        <f>'Presupuesto financiero'!G13</f>
        <v>37452000</v>
      </c>
      <c r="H5" s="1"/>
      <c r="I5" s="1016"/>
      <c r="J5" s="1016"/>
      <c r="K5" s="1016"/>
      <c r="L5" s="1016"/>
      <c r="M5" s="1"/>
      <c r="N5" s="1"/>
      <c r="O5" s="1"/>
      <c r="P5" s="1"/>
      <c r="Q5" s="1"/>
      <c r="R5" s="1"/>
      <c r="S5" s="1"/>
      <c r="T5" s="1"/>
      <c r="U5" s="1"/>
      <c r="V5" s="1"/>
      <c r="W5" s="1"/>
      <c r="X5" s="1"/>
      <c r="Y5" s="1"/>
      <c r="Z5" s="1"/>
    </row>
    <row r="6" spans="1:26" ht="14.25" customHeight="1">
      <c r="A6" s="1"/>
      <c r="B6" s="976"/>
      <c r="C6" s="647" t="s">
        <v>364</v>
      </c>
      <c r="D6" s="648" t="s">
        <v>393</v>
      </c>
      <c r="E6" s="337">
        <f>'Presupuesto financiero'!E14</f>
        <v>32918375</v>
      </c>
      <c r="F6" s="782">
        <f>'Presupuesto financiero'!F14 + 1000000</f>
        <v>60495000</v>
      </c>
      <c r="G6" s="337">
        <f>'Presupuesto financiero'!G14</f>
        <v>87758125</v>
      </c>
      <c r="H6" s="1"/>
      <c r="I6" s="1017"/>
      <c r="J6" s="1017"/>
      <c r="K6" s="1017"/>
      <c r="L6" s="1017"/>
      <c r="M6" s="1"/>
      <c r="N6" s="1"/>
      <c r="O6" s="1"/>
      <c r="P6" s="1"/>
      <c r="Q6" s="1"/>
      <c r="R6" s="1"/>
      <c r="S6" s="1"/>
      <c r="T6" s="1"/>
      <c r="U6" s="1"/>
      <c r="V6" s="1"/>
      <c r="W6" s="1"/>
      <c r="X6" s="1"/>
      <c r="Y6" s="1"/>
      <c r="Z6" s="1"/>
    </row>
    <row r="7" spans="1:26" ht="14.25" customHeight="1">
      <c r="A7" s="1"/>
      <c r="B7" s="969"/>
      <c r="C7" s="649" t="s">
        <v>365</v>
      </c>
      <c r="D7" s="650" t="s">
        <v>393</v>
      </c>
      <c r="E7" s="337">
        <f>'Presupuesto financiero'!E15</f>
        <v>77670013.524999991</v>
      </c>
      <c r="F7" s="337">
        <f>'Presupuesto financiero'!F15</f>
        <v>149731451.31999999</v>
      </c>
      <c r="G7" s="337">
        <f>'Presupuesto financiero'!G15</f>
        <v>221914893.39499998</v>
      </c>
      <c r="H7" s="1"/>
      <c r="I7" s="783"/>
      <c r="K7" s="533" t="s">
        <v>572</v>
      </c>
      <c r="L7" s="533" t="s">
        <v>573</v>
      </c>
      <c r="M7" s="1"/>
      <c r="N7" s="1"/>
      <c r="O7" s="1"/>
      <c r="P7" s="1"/>
      <c r="Q7" s="1"/>
      <c r="R7" s="1"/>
      <c r="S7" s="1"/>
      <c r="T7" s="1"/>
      <c r="U7" s="1"/>
      <c r="V7" s="1"/>
      <c r="W7" s="1"/>
      <c r="X7" s="1"/>
      <c r="Y7" s="1"/>
      <c r="Z7" s="1"/>
    </row>
    <row r="8" spans="1:26" ht="14.25" customHeight="1">
      <c r="A8" s="1"/>
      <c r="B8" s="1010" t="s">
        <v>395</v>
      </c>
      <c r="C8" s="800"/>
      <c r="D8" s="784" t="s">
        <v>393</v>
      </c>
      <c r="E8" s="785">
        <f t="shared" ref="E8:G8" si="0">+E4-E5-E6-E7</f>
        <v>-28310388.524999991</v>
      </c>
      <c r="F8" s="785">
        <f t="shared" si="0"/>
        <v>40835548.680000007</v>
      </c>
      <c r="G8" s="785">
        <f t="shared" si="0"/>
        <v>159754981.60500002</v>
      </c>
      <c r="H8" s="1"/>
      <c r="I8" s="1"/>
      <c r="J8" s="1"/>
      <c r="K8" s="1"/>
      <c r="L8" s="1"/>
      <c r="M8" s="1"/>
      <c r="N8" s="1"/>
      <c r="O8" s="1"/>
      <c r="P8" s="1"/>
      <c r="Q8" s="1"/>
      <c r="R8" s="1"/>
      <c r="S8" s="1"/>
      <c r="T8" s="1"/>
      <c r="U8" s="1"/>
      <c r="V8" s="1"/>
      <c r="W8" s="1"/>
      <c r="X8" s="1"/>
      <c r="Y8" s="1"/>
      <c r="Z8" s="1"/>
    </row>
    <row r="9" spans="1:26" ht="14.25" customHeight="1">
      <c r="A9" s="1"/>
      <c r="B9" s="786" t="s">
        <v>574</v>
      </c>
      <c r="C9" s="787">
        <v>0.03</v>
      </c>
      <c r="D9" s="781" t="s">
        <v>393</v>
      </c>
      <c r="E9" s="788">
        <f>+E4*C9</f>
        <v>3271500</v>
      </c>
      <c r="F9" s="788">
        <f>+F4*C9</f>
        <v>8451000</v>
      </c>
      <c r="G9" s="789">
        <f>+G4*C9</f>
        <v>15206400</v>
      </c>
      <c r="H9" s="1"/>
      <c r="I9" s="1"/>
      <c r="J9" s="1"/>
      <c r="K9" s="1"/>
      <c r="L9" s="1"/>
      <c r="M9" s="1"/>
      <c r="N9" s="1"/>
      <c r="O9" s="1"/>
      <c r="P9" s="1"/>
      <c r="Q9" s="1"/>
      <c r="R9" s="1"/>
      <c r="S9" s="1"/>
      <c r="T9" s="1"/>
      <c r="U9" s="1"/>
      <c r="V9" s="1"/>
      <c r="W9" s="1"/>
      <c r="X9" s="1"/>
      <c r="Y9" s="1"/>
      <c r="Z9" s="1"/>
    </row>
    <row r="10" spans="1:26" ht="14.25" customHeight="1">
      <c r="A10" s="1"/>
      <c r="B10" s="1011" t="s">
        <v>575</v>
      </c>
      <c r="C10" s="831"/>
      <c r="D10" s="648"/>
      <c r="E10" s="560">
        <f>'Presupuesto financiero'!E19</f>
        <v>0</v>
      </c>
      <c r="F10" s="560">
        <f>'Presupuesto financiero'!F19</f>
        <v>0</v>
      </c>
      <c r="G10" s="560">
        <f>'Presupuesto financiero'!G19</f>
        <v>11292778.704666669</v>
      </c>
      <c r="H10" s="1"/>
      <c r="I10" s="1"/>
      <c r="J10" s="1"/>
      <c r="K10" s="1"/>
      <c r="L10" s="1"/>
      <c r="M10" s="1"/>
      <c r="N10" s="1"/>
      <c r="O10" s="1"/>
      <c r="P10" s="1"/>
      <c r="Q10" s="1"/>
      <c r="R10" s="1"/>
      <c r="S10" s="1"/>
      <c r="T10" s="1"/>
      <c r="U10" s="1"/>
      <c r="V10" s="1"/>
      <c r="W10" s="1"/>
      <c r="X10" s="1"/>
      <c r="Y10" s="1"/>
      <c r="Z10" s="1"/>
    </row>
    <row r="11" spans="1:26" ht="14.25" customHeight="1">
      <c r="A11" s="1"/>
      <c r="B11" s="1012"/>
      <c r="C11" s="870"/>
      <c r="D11" s="650"/>
      <c r="E11" s="790"/>
      <c r="F11" s="790"/>
      <c r="G11" s="570"/>
      <c r="H11" s="1"/>
      <c r="I11" s="1"/>
      <c r="J11" s="1"/>
      <c r="K11" s="1"/>
      <c r="L11" s="1"/>
      <c r="M11" s="1"/>
      <c r="N11" s="1"/>
      <c r="O11" s="1"/>
      <c r="P11" s="1"/>
      <c r="Q11" s="1"/>
      <c r="R11" s="1"/>
      <c r="S11" s="1"/>
      <c r="T11" s="1"/>
      <c r="U11" s="1"/>
      <c r="V11" s="1"/>
      <c r="W11" s="1"/>
      <c r="X11" s="1"/>
      <c r="Y11" s="1"/>
      <c r="Z11" s="1"/>
    </row>
    <row r="12" spans="1:26" ht="14.25" customHeight="1">
      <c r="A12" s="1"/>
      <c r="B12" s="1010" t="s">
        <v>398</v>
      </c>
      <c r="C12" s="800"/>
      <c r="D12" s="784" t="s">
        <v>393</v>
      </c>
      <c r="E12" s="785">
        <f t="shared" ref="E12:G12" si="1">+E8-E9-E10-E11</f>
        <v>-31581888.524999991</v>
      </c>
      <c r="F12" s="785">
        <f t="shared" si="1"/>
        <v>32384548.680000007</v>
      </c>
      <c r="G12" s="785">
        <f t="shared" si="1"/>
        <v>133255802.90033334</v>
      </c>
      <c r="H12" s="1"/>
      <c r="I12" s="1"/>
      <c r="J12" s="1"/>
      <c r="K12" s="1"/>
      <c r="L12" s="1"/>
      <c r="M12" s="1"/>
      <c r="N12" s="1"/>
      <c r="O12" s="1"/>
      <c r="P12" s="1"/>
      <c r="Q12" s="1"/>
      <c r="R12" s="1"/>
      <c r="S12" s="1"/>
      <c r="T12" s="1"/>
      <c r="U12" s="1"/>
      <c r="V12" s="1"/>
      <c r="W12" s="1"/>
      <c r="X12" s="1"/>
      <c r="Y12" s="1"/>
      <c r="Z12" s="1"/>
    </row>
    <row r="13" spans="1:26" ht="14.25" customHeight="1">
      <c r="A13" s="1"/>
      <c r="B13" s="1004" t="s">
        <v>399</v>
      </c>
      <c r="C13" s="821"/>
      <c r="D13" s="661">
        <f>'Mod. inversión'!E28</f>
        <v>18499000</v>
      </c>
      <c r="E13" s="662">
        <f>'Mod. inversión'!E45</f>
        <v>800000</v>
      </c>
      <c r="F13" s="791">
        <f>'Mod. inversión'!E63</f>
        <v>1864000</v>
      </c>
      <c r="G13" s="663">
        <f>'Mod. inversión'!E81</f>
        <v>4264000</v>
      </c>
      <c r="H13" s="1"/>
      <c r="I13" s="1"/>
      <c r="J13" s="1"/>
      <c r="K13" s="1"/>
      <c r="L13" s="1"/>
      <c r="M13" s="1"/>
      <c r="N13" s="1"/>
      <c r="O13" s="1"/>
      <c r="P13" s="1"/>
      <c r="Q13" s="1"/>
      <c r="R13" s="1"/>
      <c r="S13" s="1"/>
      <c r="T13" s="1"/>
      <c r="U13" s="1"/>
      <c r="V13" s="1"/>
      <c r="W13" s="1"/>
      <c r="X13" s="1"/>
      <c r="Y13" s="1"/>
      <c r="Z13" s="1"/>
    </row>
    <row r="14" spans="1:26" ht="14.25" customHeight="1">
      <c r="A14" s="1"/>
      <c r="B14" s="1013" t="s">
        <v>400</v>
      </c>
      <c r="C14" s="800"/>
      <c r="D14" s="792">
        <f>+D13*-1</f>
        <v>-18499000</v>
      </c>
      <c r="E14" s="793">
        <f t="shared" ref="E14:G14" si="2">+E12-E13</f>
        <v>-32381888.524999991</v>
      </c>
      <c r="F14" s="793">
        <f t="shared" si="2"/>
        <v>30520548.680000007</v>
      </c>
      <c r="G14" s="793">
        <f t="shared" si="2"/>
        <v>128991802.90033334</v>
      </c>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677" t="s">
        <v>408</v>
      </c>
      <c r="F18" s="794">
        <f>'Presupuesto financiero'!G33</f>
        <v>0.75</v>
      </c>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680" t="s">
        <v>409</v>
      </c>
      <c r="F19" s="681">
        <f t="array" ref="F19">+NPV(F18,D14:G14)</f>
        <v>-1696343.711984447</v>
      </c>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683" t="s">
        <v>410</v>
      </c>
      <c r="F20" s="795">
        <f>IRR(D14:G14,F18)</f>
        <v>0.68490897303611886</v>
      </c>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I3:L3"/>
    <mergeCell ref="I4:I6"/>
    <mergeCell ref="J4:J6"/>
    <mergeCell ref="K4:K6"/>
    <mergeCell ref="L4:L6"/>
    <mergeCell ref="B12:C12"/>
    <mergeCell ref="B13:C13"/>
    <mergeCell ref="B14:C14"/>
    <mergeCell ref="B2:G2"/>
    <mergeCell ref="B3:C3"/>
    <mergeCell ref="B4:C4"/>
    <mergeCell ref="B5:B7"/>
    <mergeCell ref="B8:C8"/>
    <mergeCell ref="B10:C10"/>
    <mergeCell ref="B11:C11"/>
  </mergeCells>
  <pageMargins left="0.7" right="0.7" top="0.75" bottom="0.75" header="0" footer="0"/>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B1" workbookViewId="0"/>
  </sheetViews>
  <sheetFormatPr baseColWidth="10" defaultColWidth="12.59765625" defaultRowHeight="15" customHeight="1"/>
  <cols>
    <col min="1" max="1" width="9.3984375" customWidth="1"/>
    <col min="2" max="2" width="33" customWidth="1"/>
    <col min="3" max="3" width="13.09765625" customWidth="1"/>
    <col min="4" max="4" width="13.59765625" customWidth="1"/>
    <col min="5" max="7" width="13.8984375" customWidth="1"/>
    <col min="8" max="8" width="4.09765625" customWidth="1"/>
    <col min="9" max="9" width="36.09765625" customWidth="1"/>
    <col min="10" max="10" width="9.5" customWidth="1"/>
    <col min="11" max="11" width="13" customWidth="1"/>
    <col min="12" max="12" width="14.8984375" customWidth="1"/>
    <col min="13" max="26" width="9.398437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815" t="s">
        <v>389</v>
      </c>
      <c r="C2" s="799"/>
      <c r="D2" s="799"/>
      <c r="E2" s="799"/>
      <c r="F2" s="799"/>
      <c r="G2" s="800"/>
      <c r="H2" s="1"/>
      <c r="I2" s="1"/>
      <c r="J2" s="1"/>
      <c r="K2" s="1"/>
      <c r="L2" s="1"/>
      <c r="M2" s="1"/>
      <c r="N2" s="1"/>
      <c r="O2" s="1"/>
      <c r="P2" s="1"/>
      <c r="Q2" s="1"/>
      <c r="R2" s="1"/>
      <c r="S2" s="1"/>
      <c r="T2" s="1"/>
      <c r="U2" s="1"/>
      <c r="V2" s="1"/>
      <c r="W2" s="1"/>
      <c r="X2" s="1"/>
      <c r="Y2" s="1"/>
      <c r="Z2" s="1"/>
    </row>
    <row r="3" spans="1:26" ht="14.25" customHeight="1">
      <c r="A3" s="1"/>
      <c r="B3" s="993" t="s">
        <v>392</v>
      </c>
      <c r="C3" s="800"/>
      <c r="D3" s="638" t="s">
        <v>569</v>
      </c>
      <c r="E3" s="779">
        <v>2025</v>
      </c>
      <c r="F3" s="779">
        <v>2026</v>
      </c>
      <c r="G3" s="780">
        <v>2027</v>
      </c>
      <c r="H3" s="1"/>
      <c r="I3" s="1014" t="s">
        <v>576</v>
      </c>
      <c r="J3" s="808"/>
      <c r="K3" s="808"/>
      <c r="L3" s="809"/>
      <c r="M3" s="1"/>
      <c r="N3" s="1"/>
      <c r="O3" s="1"/>
      <c r="P3" s="1"/>
      <c r="Q3" s="1"/>
      <c r="R3" s="1"/>
      <c r="S3" s="1"/>
      <c r="T3" s="1"/>
      <c r="U3" s="1"/>
      <c r="V3" s="1"/>
      <c r="W3" s="1"/>
      <c r="X3" s="1"/>
      <c r="Y3" s="1"/>
      <c r="Z3" s="1"/>
    </row>
    <row r="4" spans="1:26" ht="54.75" customHeight="1">
      <c r="A4" s="1"/>
      <c r="B4" s="1009" t="s">
        <v>71</v>
      </c>
      <c r="C4" s="885"/>
      <c r="D4" s="781" t="s">
        <v>393</v>
      </c>
      <c r="E4" s="796">
        <f>'Presupuesto financiero'!E12</f>
        <v>109050000</v>
      </c>
      <c r="F4" s="337">
        <f>'Presupuesto financiero'!F12</f>
        <v>281700000</v>
      </c>
      <c r="G4" s="796">
        <f>'Presupuesto financiero'!G12</f>
        <v>536880000</v>
      </c>
      <c r="H4" s="1"/>
      <c r="I4" s="1015" t="s">
        <v>577</v>
      </c>
      <c r="J4" s="1018" t="s">
        <v>539</v>
      </c>
      <c r="K4" s="1018" t="s">
        <v>540</v>
      </c>
      <c r="L4" s="1018" t="s">
        <v>541</v>
      </c>
      <c r="M4" s="1"/>
      <c r="N4" s="1"/>
      <c r="O4" s="1"/>
      <c r="P4" s="1"/>
      <c r="Q4" s="1"/>
      <c r="R4" s="1"/>
      <c r="S4" s="1"/>
      <c r="T4" s="1"/>
      <c r="U4" s="1"/>
      <c r="V4" s="1"/>
      <c r="W4" s="1"/>
      <c r="X4" s="1"/>
      <c r="Y4" s="1"/>
      <c r="Z4" s="1"/>
    </row>
    <row r="5" spans="1:26" ht="14.25" customHeight="1">
      <c r="A5" s="1"/>
      <c r="B5" s="995" t="s">
        <v>394</v>
      </c>
      <c r="C5" s="647" t="s">
        <v>391</v>
      </c>
      <c r="D5" s="648" t="s">
        <v>393</v>
      </c>
      <c r="E5" s="337">
        <f>'Presupuesto financiero'!E13</f>
        <v>26772000</v>
      </c>
      <c r="F5" s="337">
        <f>'Presupuesto financiero'!F13</f>
        <v>30638000</v>
      </c>
      <c r="G5" s="337">
        <f>'Presupuesto financiero'!G13</f>
        <v>37452000</v>
      </c>
      <c r="H5" s="1"/>
      <c r="I5" s="1016"/>
      <c r="J5" s="1016"/>
      <c r="K5" s="1016"/>
      <c r="L5" s="1016"/>
      <c r="M5" s="1"/>
      <c r="N5" s="1"/>
      <c r="O5" s="1"/>
      <c r="P5" s="1"/>
      <c r="Q5" s="1"/>
      <c r="R5" s="1"/>
      <c r="S5" s="1"/>
      <c r="T5" s="1"/>
      <c r="U5" s="1"/>
      <c r="V5" s="1"/>
      <c r="W5" s="1"/>
      <c r="X5" s="1"/>
      <c r="Y5" s="1"/>
      <c r="Z5" s="1"/>
    </row>
    <row r="6" spans="1:26" ht="14.25" customHeight="1">
      <c r="A6" s="1"/>
      <c r="B6" s="976"/>
      <c r="C6" s="647" t="s">
        <v>364</v>
      </c>
      <c r="D6" s="648" t="s">
        <v>393</v>
      </c>
      <c r="E6" s="782">
        <f>'Presupuesto financiero'!E14 + 1500000 + 3000000</f>
        <v>37418375</v>
      </c>
      <c r="F6" s="796">
        <f>'Presupuesto financiero'!F14</f>
        <v>59495000</v>
      </c>
      <c r="G6" s="337">
        <f>'Presupuesto financiero'!G14</f>
        <v>87758125</v>
      </c>
      <c r="H6" s="1"/>
      <c r="I6" s="1017"/>
      <c r="J6" s="1017"/>
      <c r="K6" s="1017"/>
      <c r="L6" s="1017"/>
      <c r="M6" s="1"/>
      <c r="N6" s="1"/>
      <c r="O6" s="1"/>
      <c r="P6" s="1"/>
      <c r="Q6" s="1"/>
      <c r="R6" s="1"/>
      <c r="S6" s="1"/>
      <c r="T6" s="1"/>
      <c r="U6" s="1"/>
      <c r="V6" s="1"/>
      <c r="W6" s="1"/>
      <c r="X6" s="1"/>
      <c r="Y6" s="1"/>
      <c r="Z6" s="1"/>
    </row>
    <row r="7" spans="1:26" ht="14.25" customHeight="1">
      <c r="A7" s="1"/>
      <c r="B7" s="969"/>
      <c r="C7" s="649" t="s">
        <v>365</v>
      </c>
      <c r="D7" s="650" t="s">
        <v>393</v>
      </c>
      <c r="E7" s="337">
        <f>'Presupuesto financiero'!E15</f>
        <v>77670013.524999991</v>
      </c>
      <c r="F7" s="337">
        <f>'Presupuesto financiero'!F15</f>
        <v>149731451.31999999</v>
      </c>
      <c r="G7" s="337">
        <f>'Presupuesto financiero'!G15</f>
        <v>221914893.39499998</v>
      </c>
      <c r="H7" s="1"/>
      <c r="I7" s="1"/>
      <c r="J7" s="1"/>
      <c r="K7" s="531" t="s">
        <v>578</v>
      </c>
      <c r="L7" s="531" t="s">
        <v>578</v>
      </c>
      <c r="M7" s="1"/>
      <c r="N7" s="1"/>
      <c r="O7" s="1"/>
      <c r="P7" s="1"/>
      <c r="Q7" s="1"/>
      <c r="R7" s="1"/>
      <c r="S7" s="1"/>
      <c r="T7" s="1"/>
      <c r="U7" s="1"/>
      <c r="V7" s="1"/>
      <c r="W7" s="1"/>
      <c r="X7" s="1"/>
      <c r="Y7" s="1"/>
      <c r="Z7" s="1"/>
    </row>
    <row r="8" spans="1:26" ht="14.25" customHeight="1">
      <c r="A8" s="1"/>
      <c r="B8" s="1010" t="s">
        <v>395</v>
      </c>
      <c r="C8" s="800"/>
      <c r="D8" s="784" t="s">
        <v>393</v>
      </c>
      <c r="E8" s="785">
        <f t="shared" ref="E8:G8" si="0">+E4-E5-E6-E7</f>
        <v>-32810388.524999991</v>
      </c>
      <c r="F8" s="785">
        <f t="shared" si="0"/>
        <v>41835548.680000007</v>
      </c>
      <c r="G8" s="785">
        <f t="shared" si="0"/>
        <v>189754981.60500002</v>
      </c>
      <c r="H8" s="1"/>
      <c r="I8" s="1"/>
      <c r="J8" s="1"/>
      <c r="K8" s="1"/>
      <c r="L8" s="1"/>
      <c r="M8" s="1"/>
      <c r="N8" s="1"/>
      <c r="O8" s="1"/>
      <c r="P8" s="1"/>
      <c r="Q8" s="1"/>
      <c r="R8" s="1"/>
      <c r="S8" s="1"/>
      <c r="T8" s="1"/>
      <c r="U8" s="1"/>
      <c r="V8" s="1"/>
      <c r="W8" s="1"/>
      <c r="X8" s="1"/>
      <c r="Y8" s="1"/>
      <c r="Z8" s="1"/>
    </row>
    <row r="9" spans="1:26" ht="14.25" customHeight="1">
      <c r="A9" s="1"/>
      <c r="B9" s="786" t="s">
        <v>574</v>
      </c>
      <c r="C9" s="787">
        <v>0.03</v>
      </c>
      <c r="D9" s="781" t="s">
        <v>393</v>
      </c>
      <c r="E9" s="788">
        <f>+E4*C9</f>
        <v>3271500</v>
      </c>
      <c r="F9" s="788">
        <f>+F4*C9</f>
        <v>8451000</v>
      </c>
      <c r="G9" s="789">
        <f>+G4*C9</f>
        <v>16106400</v>
      </c>
      <c r="H9" s="1"/>
      <c r="I9" s="1"/>
      <c r="J9" s="1"/>
      <c r="K9" s="1"/>
      <c r="L9" s="1"/>
      <c r="M9" s="1"/>
      <c r="N9" s="1"/>
      <c r="O9" s="1"/>
      <c r="P9" s="1"/>
      <c r="Q9" s="1"/>
      <c r="R9" s="1"/>
      <c r="S9" s="1"/>
      <c r="T9" s="1"/>
      <c r="U9" s="1"/>
      <c r="V9" s="1"/>
      <c r="W9" s="1"/>
      <c r="X9" s="1"/>
      <c r="Y9" s="1"/>
      <c r="Z9" s="1"/>
    </row>
    <row r="10" spans="1:26" ht="14.25" customHeight="1">
      <c r="A10" s="1"/>
      <c r="B10" s="1011" t="s">
        <v>575</v>
      </c>
      <c r="C10" s="831"/>
      <c r="D10" s="648"/>
      <c r="E10" s="560">
        <f>'Presupuesto financiero'!E19</f>
        <v>0</v>
      </c>
      <c r="F10" s="560">
        <f>'Presupuesto financiero'!F19</f>
        <v>0</v>
      </c>
      <c r="G10" s="560">
        <f>'Presupuesto financiero'!G19</f>
        <v>11292778.704666669</v>
      </c>
      <c r="H10" s="1"/>
      <c r="I10" s="1"/>
      <c r="J10" s="1"/>
      <c r="K10" s="1"/>
      <c r="L10" s="1"/>
      <c r="M10" s="1"/>
      <c r="N10" s="1"/>
      <c r="O10" s="1"/>
      <c r="P10" s="1"/>
      <c r="Q10" s="1"/>
      <c r="R10" s="1"/>
      <c r="S10" s="1"/>
      <c r="T10" s="1"/>
      <c r="U10" s="1"/>
      <c r="V10" s="1"/>
      <c r="W10" s="1"/>
      <c r="X10" s="1"/>
      <c r="Y10" s="1"/>
      <c r="Z10" s="1"/>
    </row>
    <row r="11" spans="1:26" ht="14.25" customHeight="1">
      <c r="A11" s="1"/>
      <c r="B11" s="1012"/>
      <c r="C11" s="870"/>
      <c r="D11" s="650"/>
      <c r="E11" s="790"/>
      <c r="F11" s="790"/>
      <c r="G11" s="570"/>
      <c r="H11" s="1"/>
      <c r="I11" s="1"/>
      <c r="J11" s="1"/>
      <c r="K11" s="1"/>
      <c r="L11" s="1"/>
      <c r="M11" s="1"/>
      <c r="N11" s="1"/>
      <c r="O11" s="1"/>
      <c r="P11" s="1"/>
      <c r="Q11" s="1"/>
      <c r="R11" s="1"/>
      <c r="S11" s="1"/>
      <c r="T11" s="1"/>
      <c r="U11" s="1"/>
      <c r="V11" s="1"/>
      <c r="W11" s="1"/>
      <c r="X11" s="1"/>
      <c r="Y11" s="1"/>
      <c r="Z11" s="1"/>
    </row>
    <row r="12" spans="1:26" ht="14.25" customHeight="1">
      <c r="A12" s="1"/>
      <c r="B12" s="1010" t="s">
        <v>398</v>
      </c>
      <c r="C12" s="800"/>
      <c r="D12" s="784" t="s">
        <v>393</v>
      </c>
      <c r="E12" s="785">
        <f t="shared" ref="E12:G12" si="1">+E8-E9-E10-E11</f>
        <v>-36081888.524999991</v>
      </c>
      <c r="F12" s="785">
        <f t="shared" si="1"/>
        <v>33384548.680000007</v>
      </c>
      <c r="G12" s="785">
        <f t="shared" si="1"/>
        <v>162355802.90033334</v>
      </c>
      <c r="H12" s="1"/>
      <c r="I12" s="1"/>
      <c r="J12" s="1"/>
      <c r="K12" s="1"/>
      <c r="L12" s="1"/>
      <c r="M12" s="1"/>
      <c r="N12" s="1"/>
      <c r="O12" s="1"/>
      <c r="P12" s="1"/>
      <c r="Q12" s="1"/>
      <c r="R12" s="1"/>
      <c r="S12" s="1"/>
      <c r="T12" s="1"/>
      <c r="U12" s="1"/>
      <c r="V12" s="1"/>
      <c r="W12" s="1"/>
      <c r="X12" s="1"/>
      <c r="Y12" s="1"/>
      <c r="Z12" s="1"/>
    </row>
    <row r="13" spans="1:26" ht="14.25" customHeight="1">
      <c r="A13" s="1"/>
      <c r="B13" s="1004" t="s">
        <v>399</v>
      </c>
      <c r="C13" s="821"/>
      <c r="D13" s="661">
        <f>'Mod. inversión'!E28</f>
        <v>18499000</v>
      </c>
      <c r="E13" s="662">
        <f>'Mod. inversión'!E45</f>
        <v>800000</v>
      </c>
      <c r="F13" s="791">
        <f>'Mod. inversión'!E63</f>
        <v>1864000</v>
      </c>
      <c r="G13" s="663">
        <f>'Mod. inversión'!E81</f>
        <v>4264000</v>
      </c>
      <c r="H13" s="1"/>
      <c r="I13" s="1"/>
      <c r="J13" s="1"/>
      <c r="K13" s="1"/>
      <c r="L13" s="1"/>
      <c r="M13" s="1"/>
      <c r="N13" s="1"/>
      <c r="O13" s="1"/>
      <c r="P13" s="1"/>
      <c r="Q13" s="1"/>
      <c r="R13" s="1"/>
      <c r="S13" s="1"/>
      <c r="T13" s="1"/>
      <c r="U13" s="1"/>
      <c r="V13" s="1"/>
      <c r="W13" s="1"/>
      <c r="X13" s="1"/>
      <c r="Y13" s="1"/>
      <c r="Z13" s="1"/>
    </row>
    <row r="14" spans="1:26" ht="14.25" customHeight="1">
      <c r="A14" s="1"/>
      <c r="B14" s="1013" t="s">
        <v>400</v>
      </c>
      <c r="C14" s="800"/>
      <c r="D14" s="792">
        <f>+D13*-1</f>
        <v>-18499000</v>
      </c>
      <c r="E14" s="793">
        <f t="shared" ref="E14:G14" si="2">+E12-E13</f>
        <v>-36881888.524999991</v>
      </c>
      <c r="F14" s="793">
        <f t="shared" si="2"/>
        <v>31520548.680000007</v>
      </c>
      <c r="G14" s="793">
        <f t="shared" si="2"/>
        <v>158091802.90033334</v>
      </c>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677" t="s">
        <v>408</v>
      </c>
      <c r="F18" s="794">
        <f>'Presupuesto financiero'!G33</f>
        <v>0.75</v>
      </c>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680" t="s">
        <v>409</v>
      </c>
      <c r="F19" s="681">
        <f t="array" ref="F19">+NPV(F18,D14:G14)</f>
        <v>123564.65952742739</v>
      </c>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683" t="s">
        <v>410</v>
      </c>
      <c r="F20" s="795">
        <f>IRR(D14:G14,F18)</f>
        <v>0.75432256203470027</v>
      </c>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I3:L3"/>
    <mergeCell ref="I4:I6"/>
    <mergeCell ref="J4:J6"/>
    <mergeCell ref="K4:K6"/>
    <mergeCell ref="L4:L6"/>
    <mergeCell ref="B12:C12"/>
    <mergeCell ref="B13:C13"/>
    <mergeCell ref="B14:C14"/>
    <mergeCell ref="B2:G2"/>
    <mergeCell ref="B3:C3"/>
    <mergeCell ref="B4:C4"/>
    <mergeCell ref="B5:B7"/>
    <mergeCell ref="B8:C8"/>
    <mergeCell ref="B10:C10"/>
    <mergeCell ref="B11:C11"/>
  </mergeCell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C1" workbookViewId="0"/>
  </sheetViews>
  <sheetFormatPr baseColWidth="10" defaultColWidth="12.59765625" defaultRowHeight="15" customHeight="1"/>
  <cols>
    <col min="1" max="1" width="9.3984375" customWidth="1"/>
    <col min="2" max="2" width="33" customWidth="1"/>
    <col min="3" max="3" width="13.09765625" customWidth="1"/>
    <col min="4" max="4" width="13.59765625" customWidth="1"/>
    <col min="5" max="7" width="13.8984375" customWidth="1"/>
    <col min="8" max="8" width="4.09765625" customWidth="1"/>
    <col min="9" max="9" width="31.59765625" customWidth="1"/>
    <col min="10" max="10" width="14.69921875" customWidth="1"/>
    <col min="11" max="11" width="16.19921875" customWidth="1"/>
    <col min="12" max="12" width="15.59765625" customWidth="1"/>
    <col min="13" max="26" width="9.398437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815" t="s">
        <v>389</v>
      </c>
      <c r="C2" s="799"/>
      <c r="D2" s="799"/>
      <c r="E2" s="799"/>
      <c r="F2" s="799"/>
      <c r="G2" s="800"/>
      <c r="H2" s="1"/>
      <c r="I2" s="1"/>
      <c r="J2" s="1"/>
      <c r="K2" s="1"/>
      <c r="L2" s="1"/>
      <c r="M2" s="1"/>
      <c r="N2" s="1"/>
      <c r="O2" s="1"/>
      <c r="P2" s="1"/>
      <c r="Q2" s="1"/>
      <c r="R2" s="1"/>
      <c r="S2" s="1"/>
      <c r="T2" s="1"/>
      <c r="U2" s="1"/>
      <c r="V2" s="1"/>
      <c r="W2" s="1"/>
      <c r="X2" s="1"/>
      <c r="Y2" s="1"/>
      <c r="Z2" s="1"/>
    </row>
    <row r="3" spans="1:26" ht="14.25" customHeight="1">
      <c r="A3" s="1"/>
      <c r="B3" s="993" t="s">
        <v>392</v>
      </c>
      <c r="C3" s="800"/>
      <c r="D3" s="638" t="s">
        <v>569</v>
      </c>
      <c r="E3" s="779">
        <v>2025</v>
      </c>
      <c r="F3" s="779">
        <v>2026</v>
      </c>
      <c r="G3" s="780">
        <v>2027</v>
      </c>
      <c r="H3" s="1"/>
      <c r="I3" s="1014" t="s">
        <v>579</v>
      </c>
      <c r="J3" s="808"/>
      <c r="K3" s="808"/>
      <c r="L3" s="809"/>
      <c r="M3" s="1"/>
      <c r="N3" s="1"/>
      <c r="O3" s="1"/>
      <c r="P3" s="1"/>
      <c r="Q3" s="1"/>
      <c r="R3" s="1"/>
      <c r="S3" s="1"/>
      <c r="T3" s="1"/>
      <c r="U3" s="1"/>
      <c r="V3" s="1"/>
      <c r="W3" s="1"/>
      <c r="X3" s="1"/>
      <c r="Y3" s="1"/>
      <c r="Z3" s="1"/>
    </row>
    <row r="4" spans="1:26" ht="54" customHeight="1">
      <c r="A4" s="1"/>
      <c r="B4" s="1009" t="s">
        <v>71</v>
      </c>
      <c r="C4" s="885"/>
      <c r="D4" s="781" t="s">
        <v>393</v>
      </c>
      <c r="E4" s="782">
        <f>'Presupuesto financiero'!E12 - 5000000</f>
        <v>104050000</v>
      </c>
      <c r="F4" s="337">
        <f>'Presupuesto financiero'!F12</f>
        <v>281700000</v>
      </c>
      <c r="G4" s="796">
        <f>'Presupuesto financiero'!G12</f>
        <v>536880000</v>
      </c>
      <c r="H4" s="1"/>
      <c r="I4" s="1015" t="s">
        <v>580</v>
      </c>
      <c r="J4" s="1018" t="s">
        <v>529</v>
      </c>
      <c r="K4" s="1018" t="s">
        <v>530</v>
      </c>
      <c r="L4" s="1018" t="s">
        <v>581</v>
      </c>
      <c r="M4" s="1"/>
      <c r="N4" s="1"/>
      <c r="O4" s="1"/>
      <c r="P4" s="1"/>
      <c r="Q4" s="1"/>
      <c r="R4" s="1"/>
      <c r="S4" s="1"/>
      <c r="T4" s="1"/>
      <c r="U4" s="1"/>
      <c r="V4" s="1"/>
      <c r="W4" s="1"/>
      <c r="X4" s="1"/>
      <c r="Y4" s="1"/>
      <c r="Z4" s="1"/>
    </row>
    <row r="5" spans="1:26" ht="14.25" customHeight="1">
      <c r="A5" s="1"/>
      <c r="B5" s="995" t="s">
        <v>394</v>
      </c>
      <c r="C5" s="647" t="s">
        <v>391</v>
      </c>
      <c r="D5" s="648" t="s">
        <v>393</v>
      </c>
      <c r="E5" s="337">
        <f>'Presupuesto financiero'!E13</f>
        <v>26772000</v>
      </c>
      <c r="F5" s="337">
        <f>'Presupuesto financiero'!F13</f>
        <v>30638000</v>
      </c>
      <c r="G5" s="337">
        <f>'Presupuesto financiero'!G13</f>
        <v>37452000</v>
      </c>
      <c r="H5" s="1"/>
      <c r="I5" s="1016"/>
      <c r="J5" s="1016"/>
      <c r="K5" s="1016"/>
      <c r="L5" s="1016"/>
      <c r="M5" s="1"/>
      <c r="N5" s="1"/>
      <c r="O5" s="1"/>
      <c r="P5" s="1"/>
      <c r="Q5" s="1"/>
      <c r="R5" s="1"/>
      <c r="S5" s="1"/>
      <c r="T5" s="1"/>
      <c r="U5" s="1"/>
      <c r="V5" s="1"/>
      <c r="W5" s="1"/>
      <c r="X5" s="1"/>
      <c r="Y5" s="1"/>
      <c r="Z5" s="1"/>
    </row>
    <row r="6" spans="1:26" ht="14.25" customHeight="1">
      <c r="A6" s="1"/>
      <c r="B6" s="976"/>
      <c r="C6" s="647" t="s">
        <v>364</v>
      </c>
      <c r="D6" s="648" t="s">
        <v>393</v>
      </c>
      <c r="E6" s="782">
        <f>'Presupuesto financiero'!E14 + 1500000</f>
        <v>34418375</v>
      </c>
      <c r="F6" s="796">
        <f>'Presupuesto financiero'!F14</f>
        <v>59495000</v>
      </c>
      <c r="G6" s="337">
        <f>'Presupuesto financiero'!G14</f>
        <v>87758125</v>
      </c>
      <c r="H6" s="1"/>
      <c r="I6" s="1017"/>
      <c r="J6" s="1017"/>
      <c r="K6" s="1017"/>
      <c r="L6" s="1017"/>
      <c r="M6" s="1"/>
      <c r="N6" s="1"/>
      <c r="O6" s="1"/>
      <c r="P6" s="1"/>
      <c r="Q6" s="1"/>
      <c r="R6" s="1"/>
      <c r="S6" s="1"/>
      <c r="T6" s="1"/>
      <c r="U6" s="1"/>
      <c r="V6" s="1"/>
      <c r="W6" s="1"/>
      <c r="X6" s="1"/>
      <c r="Y6" s="1"/>
      <c r="Z6" s="1"/>
    </row>
    <row r="7" spans="1:26" ht="14.25" customHeight="1">
      <c r="A7" s="1"/>
      <c r="B7" s="969"/>
      <c r="C7" s="649" t="s">
        <v>365</v>
      </c>
      <c r="D7" s="650" t="s">
        <v>393</v>
      </c>
      <c r="E7" s="337">
        <f>'Presupuesto financiero'!E15</f>
        <v>77670013.524999991</v>
      </c>
      <c r="F7" s="337">
        <f>'Presupuesto financiero'!F15</f>
        <v>149731451.31999999</v>
      </c>
      <c r="G7" s="337">
        <f>'Presupuesto financiero'!G15</f>
        <v>221914893.39499998</v>
      </c>
      <c r="H7" s="1"/>
      <c r="I7" s="1"/>
      <c r="J7" s="1"/>
      <c r="K7" s="531" t="s">
        <v>578</v>
      </c>
      <c r="L7" s="531" t="s">
        <v>572</v>
      </c>
      <c r="M7" s="1"/>
      <c r="N7" s="1"/>
      <c r="O7" s="1"/>
      <c r="P7" s="1"/>
      <c r="Q7" s="1"/>
      <c r="R7" s="1"/>
      <c r="S7" s="1"/>
      <c r="T7" s="1"/>
      <c r="U7" s="1"/>
      <c r="V7" s="1"/>
      <c r="W7" s="1"/>
      <c r="X7" s="1"/>
      <c r="Y7" s="1"/>
      <c r="Z7" s="1"/>
    </row>
    <row r="8" spans="1:26" ht="14.25" customHeight="1">
      <c r="A8" s="1"/>
      <c r="B8" s="1010" t="s">
        <v>395</v>
      </c>
      <c r="C8" s="800"/>
      <c r="D8" s="784" t="s">
        <v>393</v>
      </c>
      <c r="E8" s="785">
        <f t="shared" ref="E8:G8" si="0">+E4-E5-E6-E7</f>
        <v>-34810388.524999991</v>
      </c>
      <c r="F8" s="785">
        <f t="shared" si="0"/>
        <v>41835548.680000007</v>
      </c>
      <c r="G8" s="785">
        <f t="shared" si="0"/>
        <v>189754981.60500002</v>
      </c>
      <c r="H8" s="1"/>
      <c r="I8" s="1"/>
      <c r="J8" s="1"/>
      <c r="K8" s="1"/>
      <c r="L8" s="1"/>
      <c r="M8" s="1"/>
      <c r="N8" s="1"/>
      <c r="O8" s="1"/>
      <c r="P8" s="1"/>
      <c r="Q8" s="1"/>
      <c r="R8" s="1"/>
      <c r="S8" s="1"/>
      <c r="T8" s="1"/>
      <c r="U8" s="1"/>
      <c r="V8" s="1"/>
      <c r="W8" s="1"/>
      <c r="X8" s="1"/>
      <c r="Y8" s="1"/>
      <c r="Z8" s="1"/>
    </row>
    <row r="9" spans="1:26" ht="14.25" customHeight="1">
      <c r="A9" s="1"/>
      <c r="B9" s="786" t="s">
        <v>574</v>
      </c>
      <c r="C9" s="787">
        <v>0.03</v>
      </c>
      <c r="D9" s="781" t="s">
        <v>393</v>
      </c>
      <c r="E9" s="788">
        <f>+E4*C9</f>
        <v>3121500</v>
      </c>
      <c r="F9" s="788">
        <f>+F4*C9</f>
        <v>8451000</v>
      </c>
      <c r="G9" s="789">
        <f>+G4*C9</f>
        <v>16106400</v>
      </c>
      <c r="H9" s="1"/>
      <c r="I9" s="1"/>
      <c r="J9" s="1"/>
      <c r="K9" s="1"/>
      <c r="L9" s="1"/>
      <c r="M9" s="1"/>
      <c r="N9" s="1"/>
      <c r="O9" s="1"/>
      <c r="P9" s="1"/>
      <c r="Q9" s="1"/>
      <c r="R9" s="1"/>
      <c r="S9" s="1"/>
      <c r="T9" s="1"/>
      <c r="U9" s="1"/>
      <c r="V9" s="1"/>
      <c r="W9" s="1"/>
      <c r="X9" s="1"/>
      <c r="Y9" s="1"/>
      <c r="Z9" s="1"/>
    </row>
    <row r="10" spans="1:26" ht="14.25" customHeight="1">
      <c r="A10" s="1"/>
      <c r="B10" s="1011" t="s">
        <v>575</v>
      </c>
      <c r="C10" s="831"/>
      <c r="D10" s="648"/>
      <c r="E10" s="560">
        <f>'Presupuesto financiero'!E19</f>
        <v>0</v>
      </c>
      <c r="F10" s="560">
        <f>'Presupuesto financiero'!F19</f>
        <v>0</v>
      </c>
      <c r="G10" s="560">
        <f>'Presupuesto financiero'!G19</f>
        <v>11292778.704666669</v>
      </c>
      <c r="H10" s="1"/>
      <c r="I10" s="1"/>
      <c r="J10" s="1"/>
      <c r="K10" s="1"/>
      <c r="L10" s="1"/>
      <c r="M10" s="1"/>
      <c r="N10" s="1"/>
      <c r="O10" s="1"/>
      <c r="P10" s="1"/>
      <c r="Q10" s="1"/>
      <c r="R10" s="1"/>
      <c r="S10" s="1"/>
      <c r="T10" s="1"/>
      <c r="U10" s="1"/>
      <c r="V10" s="1"/>
      <c r="W10" s="1"/>
      <c r="X10" s="1"/>
      <c r="Y10" s="1"/>
      <c r="Z10" s="1"/>
    </row>
    <row r="11" spans="1:26" ht="14.25" customHeight="1">
      <c r="A11" s="1"/>
      <c r="B11" s="1012"/>
      <c r="C11" s="870"/>
      <c r="D11" s="650"/>
      <c r="E11" s="790"/>
      <c r="F11" s="790"/>
      <c r="G11" s="570"/>
      <c r="H11" s="1"/>
      <c r="I11" s="1"/>
      <c r="J11" s="1"/>
      <c r="K11" s="1"/>
      <c r="L11" s="1"/>
      <c r="M11" s="1"/>
      <c r="N11" s="1"/>
      <c r="O11" s="1"/>
      <c r="P11" s="1"/>
      <c r="Q11" s="1"/>
      <c r="R11" s="1"/>
      <c r="S11" s="1"/>
      <c r="T11" s="1"/>
      <c r="U11" s="1"/>
      <c r="V11" s="1"/>
      <c r="W11" s="1"/>
      <c r="X11" s="1"/>
      <c r="Y11" s="1"/>
      <c r="Z11" s="1"/>
    </row>
    <row r="12" spans="1:26" ht="14.25" customHeight="1">
      <c r="A12" s="1"/>
      <c r="B12" s="1010" t="s">
        <v>398</v>
      </c>
      <c r="C12" s="800"/>
      <c r="D12" s="784" t="s">
        <v>393</v>
      </c>
      <c r="E12" s="785">
        <f t="shared" ref="E12:G12" si="1">+E8-E9-E10-E11</f>
        <v>-37931888.524999991</v>
      </c>
      <c r="F12" s="785">
        <f t="shared" si="1"/>
        <v>33384548.680000007</v>
      </c>
      <c r="G12" s="785">
        <f t="shared" si="1"/>
        <v>162355802.90033334</v>
      </c>
      <c r="H12" s="1"/>
      <c r="I12" s="1"/>
      <c r="J12" s="1"/>
      <c r="K12" s="1"/>
      <c r="L12" s="1"/>
      <c r="M12" s="1"/>
      <c r="N12" s="1"/>
      <c r="O12" s="1"/>
      <c r="P12" s="1"/>
      <c r="Q12" s="1"/>
      <c r="R12" s="1"/>
      <c r="S12" s="1"/>
      <c r="T12" s="1"/>
      <c r="U12" s="1"/>
      <c r="V12" s="1"/>
      <c r="W12" s="1"/>
      <c r="X12" s="1"/>
      <c r="Y12" s="1"/>
      <c r="Z12" s="1"/>
    </row>
    <row r="13" spans="1:26" ht="14.25" customHeight="1">
      <c r="A13" s="1"/>
      <c r="B13" s="1004" t="s">
        <v>399</v>
      </c>
      <c r="C13" s="821"/>
      <c r="D13" s="661">
        <f>'Mod. inversión'!E28</f>
        <v>18499000</v>
      </c>
      <c r="E13" s="662">
        <f>'Mod. inversión'!E45</f>
        <v>800000</v>
      </c>
      <c r="F13" s="791">
        <f>'Mod. inversión'!E63</f>
        <v>1864000</v>
      </c>
      <c r="G13" s="663">
        <f>'Mod. inversión'!E81</f>
        <v>4264000</v>
      </c>
      <c r="H13" s="1"/>
      <c r="I13" s="1"/>
      <c r="J13" s="1"/>
      <c r="K13" s="1"/>
      <c r="L13" s="1"/>
      <c r="M13" s="1"/>
      <c r="N13" s="1"/>
      <c r="O13" s="1"/>
      <c r="P13" s="1"/>
      <c r="Q13" s="1"/>
      <c r="R13" s="1"/>
      <c r="S13" s="1"/>
      <c r="T13" s="1"/>
      <c r="U13" s="1"/>
      <c r="V13" s="1"/>
      <c r="W13" s="1"/>
      <c r="X13" s="1"/>
      <c r="Y13" s="1"/>
      <c r="Z13" s="1"/>
    </row>
    <row r="14" spans="1:26" ht="14.25" customHeight="1">
      <c r="A14" s="1"/>
      <c r="B14" s="1013" t="s">
        <v>400</v>
      </c>
      <c r="C14" s="800"/>
      <c r="D14" s="792">
        <f>+D13*-1</f>
        <v>-18499000</v>
      </c>
      <c r="E14" s="793">
        <f t="shared" ref="E14:G14" si="2">+E12-E13</f>
        <v>-38731888.524999991</v>
      </c>
      <c r="F14" s="793">
        <f t="shared" si="2"/>
        <v>31520548.680000007</v>
      </c>
      <c r="G14" s="793">
        <f t="shared" si="2"/>
        <v>158091802.90033334</v>
      </c>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677" t="s">
        <v>408</v>
      </c>
      <c r="F18" s="794">
        <f>'Presupuesto financiero'!G33</f>
        <v>0.75</v>
      </c>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680" t="s">
        <v>409</v>
      </c>
      <c r="F19" s="681">
        <f t="array" ref="F19">+NPV(F18,D14:G14)</f>
        <v>-480516.97312563442</v>
      </c>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683" t="s">
        <v>410</v>
      </c>
      <c r="F20" s="795">
        <f>IRR(D14:G14,F18)</f>
        <v>0.73341608878265374</v>
      </c>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I3:L3"/>
    <mergeCell ref="I4:I6"/>
    <mergeCell ref="J4:J6"/>
    <mergeCell ref="K4:K6"/>
    <mergeCell ref="L4:L6"/>
    <mergeCell ref="B12:C12"/>
    <mergeCell ref="B13:C13"/>
    <mergeCell ref="B14:C14"/>
    <mergeCell ref="B2:G2"/>
    <mergeCell ref="B3:C3"/>
    <mergeCell ref="B4:C4"/>
    <mergeCell ref="B5:B7"/>
    <mergeCell ref="B8:C8"/>
    <mergeCell ref="B10:C10"/>
    <mergeCell ref="B11:C11"/>
  </mergeCell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77"/>
  <sheetViews>
    <sheetView tabSelected="1" workbookViewId="0"/>
  </sheetViews>
  <sheetFormatPr baseColWidth="10" defaultColWidth="12.59765625" defaultRowHeight="15" customHeight="1"/>
  <cols>
    <col min="1" max="1" width="9.3984375" customWidth="1"/>
    <col min="2" max="2" width="22.5" customWidth="1"/>
    <col min="3" max="3" width="24.8984375" customWidth="1"/>
    <col min="4" max="4" width="12.8984375" customWidth="1"/>
    <col min="5" max="5" width="13.69921875" customWidth="1"/>
    <col min="6" max="6" width="15.3984375" customWidth="1"/>
    <col min="7" max="7" width="17.8984375" customWidth="1"/>
    <col min="8" max="9" width="5.19921875" customWidth="1"/>
    <col min="10" max="10" width="17.8984375" customWidth="1"/>
    <col min="11" max="11" width="17" customWidth="1"/>
    <col min="12" max="12" width="18.09765625" customWidth="1"/>
    <col min="13" max="26" width="9.398437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1019" t="s">
        <v>582</v>
      </c>
      <c r="C2" s="808"/>
      <c r="D2" s="808"/>
      <c r="E2" s="808"/>
      <c r="F2" s="808"/>
      <c r="G2" s="808"/>
      <c r="H2" s="808"/>
      <c r="I2" s="808"/>
      <c r="J2" s="808"/>
      <c r="K2" s="808"/>
      <c r="L2" s="809"/>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020" t="s">
        <v>583</v>
      </c>
      <c r="C4" s="808"/>
      <c r="D4" s="809"/>
      <c r="E4" s="1"/>
      <c r="F4" s="1"/>
      <c r="G4" s="1"/>
      <c r="H4" s="1"/>
      <c r="I4" s="1"/>
      <c r="J4" s="1"/>
      <c r="K4" s="1"/>
      <c r="L4" s="1"/>
      <c r="M4" s="1"/>
      <c r="N4" s="1"/>
      <c r="O4" s="1"/>
      <c r="P4" s="1"/>
      <c r="Q4" s="1"/>
      <c r="R4" s="1"/>
      <c r="S4" s="1"/>
      <c r="T4" s="1"/>
      <c r="U4" s="1"/>
      <c r="V4" s="1"/>
      <c r="W4" s="1"/>
      <c r="X4" s="1"/>
      <c r="Y4" s="1"/>
      <c r="Z4" s="1"/>
    </row>
    <row r="5" spans="1:26" ht="14.25" customHeight="1">
      <c r="A5" s="1"/>
      <c r="B5" s="1021" t="s">
        <v>584</v>
      </c>
      <c r="C5" s="808"/>
      <c r="D5" s="809"/>
      <c r="E5" s="1"/>
      <c r="F5" s="1"/>
      <c r="G5" s="1"/>
      <c r="H5" s="1"/>
      <c r="I5" s="1"/>
      <c r="J5" s="1"/>
      <c r="K5" s="1"/>
      <c r="L5" s="1"/>
      <c r="M5" s="1"/>
      <c r="N5" s="1"/>
      <c r="O5" s="1"/>
      <c r="P5" s="1"/>
      <c r="Q5" s="1"/>
      <c r="R5" s="1"/>
      <c r="S5" s="1"/>
      <c r="T5" s="1"/>
      <c r="U5" s="1"/>
      <c r="V5" s="1"/>
      <c r="W5" s="1"/>
      <c r="X5" s="1"/>
      <c r="Y5" s="1"/>
      <c r="Z5" s="1"/>
    </row>
    <row r="6" spans="1:26" ht="14.25" customHeight="1">
      <c r="A6" s="1"/>
      <c r="B6" s="1021" t="s">
        <v>585</v>
      </c>
      <c r="C6" s="808"/>
      <c r="D6" s="809"/>
      <c r="E6" s="1"/>
      <c r="F6" s="1"/>
      <c r="G6" s="1"/>
      <c r="H6" s="1"/>
      <c r="I6" s="1"/>
      <c r="J6" s="1"/>
      <c r="K6" s="1"/>
      <c r="L6" s="1"/>
      <c r="M6" s="1"/>
      <c r="N6" s="1"/>
      <c r="O6" s="1"/>
      <c r="P6" s="1"/>
      <c r="Q6" s="1"/>
      <c r="R6" s="1"/>
      <c r="S6" s="1"/>
      <c r="T6" s="1"/>
      <c r="U6" s="1"/>
      <c r="V6" s="1"/>
      <c r="W6" s="1"/>
      <c r="X6" s="1"/>
      <c r="Y6" s="1"/>
      <c r="Z6" s="1"/>
    </row>
    <row r="7" spans="1:26" ht="14.25" customHeight="1">
      <c r="A7" s="1"/>
      <c r="B7" s="1021" t="s">
        <v>586</v>
      </c>
      <c r="C7" s="808"/>
      <c r="D7" s="809"/>
      <c r="E7" s="1"/>
      <c r="F7" s="1"/>
      <c r="G7" s="1"/>
      <c r="H7" s="1"/>
      <c r="I7" s="1"/>
      <c r="J7" s="1"/>
      <c r="K7" s="1"/>
      <c r="L7" s="1"/>
      <c r="M7" s="1"/>
      <c r="N7" s="1"/>
      <c r="O7" s="1"/>
      <c r="P7" s="1"/>
      <c r="Q7" s="1"/>
      <c r="R7" s="1"/>
      <c r="S7" s="1"/>
      <c r="T7" s="1"/>
      <c r="U7" s="1"/>
      <c r="V7" s="1"/>
      <c r="W7" s="1"/>
      <c r="X7" s="1"/>
      <c r="Y7" s="1"/>
      <c r="Z7" s="1"/>
    </row>
    <row r="8" spans="1:26" ht="14.4">
      <c r="A8" s="1"/>
      <c r="B8" s="1"/>
      <c r="C8" s="1"/>
      <c r="D8" s="1"/>
      <c r="E8" s="1"/>
      <c r="F8" s="1"/>
      <c r="G8" s="1"/>
      <c r="H8" s="1"/>
      <c r="I8" s="1"/>
      <c r="J8" s="1"/>
      <c r="K8" s="1"/>
      <c r="L8" s="1"/>
      <c r="M8" s="1"/>
      <c r="N8" s="1"/>
      <c r="O8" s="1"/>
      <c r="P8" s="1"/>
      <c r="Q8" s="1"/>
      <c r="R8" s="1"/>
      <c r="S8" s="1"/>
      <c r="T8" s="1"/>
      <c r="U8" s="1"/>
      <c r="V8" s="1"/>
      <c r="W8" s="1"/>
      <c r="X8" s="1"/>
      <c r="Y8" s="1"/>
      <c r="Z8" s="1"/>
    </row>
    <row r="9" spans="1:26" ht="14.25" customHeight="1">
      <c r="A9" s="1"/>
      <c r="B9" s="1"/>
      <c r="C9" s="1"/>
      <c r="D9" s="1"/>
      <c r="E9" s="1"/>
      <c r="F9" s="1"/>
      <c r="G9" s="1"/>
      <c r="H9" s="1"/>
      <c r="I9" s="1"/>
      <c r="J9" s="1"/>
      <c r="K9" s="1"/>
      <c r="L9" s="1"/>
      <c r="M9" s="1"/>
      <c r="N9" s="1"/>
      <c r="O9" s="1"/>
      <c r="P9" s="1"/>
      <c r="Q9" s="1"/>
      <c r="R9" s="1"/>
      <c r="S9" s="1"/>
      <c r="T9" s="1"/>
      <c r="U9" s="1"/>
      <c r="V9" s="1"/>
      <c r="W9" s="1"/>
      <c r="X9" s="1"/>
      <c r="Y9" s="1"/>
      <c r="Z9" s="1"/>
    </row>
    <row r="10" spans="1:26" ht="14.25" customHeight="1">
      <c r="A10" s="1"/>
      <c r="B10" s="815" t="s">
        <v>389</v>
      </c>
      <c r="C10" s="799"/>
      <c r="D10" s="799"/>
      <c r="E10" s="799"/>
      <c r="F10" s="799"/>
      <c r="G10" s="800"/>
      <c r="H10" s="1"/>
      <c r="J10" s="1"/>
      <c r="K10" s="1"/>
      <c r="L10" s="1"/>
      <c r="M10" s="1"/>
      <c r="N10" s="1"/>
      <c r="O10" s="1"/>
      <c r="P10" s="1"/>
      <c r="Q10" s="1"/>
      <c r="R10" s="1"/>
      <c r="S10" s="1"/>
      <c r="T10" s="1"/>
      <c r="U10" s="1"/>
      <c r="V10" s="1"/>
      <c r="W10" s="1"/>
      <c r="X10" s="1"/>
      <c r="Y10" s="1"/>
      <c r="Z10" s="1"/>
    </row>
    <row r="11" spans="1:26" ht="14.25" customHeight="1">
      <c r="A11" s="1"/>
      <c r="B11" s="993" t="s">
        <v>392</v>
      </c>
      <c r="C11" s="800"/>
      <c r="D11" s="638" t="s">
        <v>569</v>
      </c>
      <c r="E11" s="779">
        <v>2025</v>
      </c>
      <c r="F11" s="779">
        <v>2026</v>
      </c>
      <c r="G11" s="780">
        <v>2027</v>
      </c>
      <c r="H11" s="1"/>
      <c r="I11" s="1014" t="s">
        <v>570</v>
      </c>
      <c r="J11" s="808"/>
      <c r="K11" s="808"/>
      <c r="L11" s="809"/>
      <c r="M11" s="1"/>
      <c r="N11" s="1"/>
      <c r="O11" s="1"/>
      <c r="P11" s="1"/>
      <c r="Q11" s="1"/>
      <c r="R11" s="1"/>
      <c r="S11" s="1"/>
      <c r="T11" s="1"/>
      <c r="U11" s="1"/>
      <c r="V11" s="1"/>
      <c r="W11" s="1"/>
      <c r="X11" s="1"/>
      <c r="Y11" s="1"/>
      <c r="Z11" s="1"/>
    </row>
    <row r="12" spans="1:26" ht="14.25" customHeight="1">
      <c r="A12" s="1"/>
      <c r="B12" s="1009" t="s">
        <v>71</v>
      </c>
      <c r="C12" s="885"/>
      <c r="D12" s="781" t="s">
        <v>393</v>
      </c>
      <c r="E12" s="337">
        <f>'Presupuesto financiero'!E12</f>
        <v>109050000</v>
      </c>
      <c r="F12" s="797">
        <f>'Presupuesto financiero'!F12 + 5000000</f>
        <v>286700000</v>
      </c>
      <c r="G12" s="782">
        <f>'Presupuesto financiero'!G12 - 30000000 + 15000000</f>
        <v>521880000</v>
      </c>
      <c r="H12" s="1"/>
      <c r="I12" s="1015" t="s">
        <v>571</v>
      </c>
      <c r="J12" s="1018" t="s">
        <v>503</v>
      </c>
      <c r="K12" s="1018" t="s">
        <v>504</v>
      </c>
      <c r="L12" s="1018" t="s">
        <v>505</v>
      </c>
      <c r="M12" s="1"/>
      <c r="N12" s="1"/>
      <c r="O12" s="1"/>
      <c r="P12" s="1"/>
      <c r="Q12" s="1"/>
      <c r="R12" s="1"/>
      <c r="S12" s="1"/>
      <c r="T12" s="1"/>
      <c r="U12" s="1"/>
      <c r="V12" s="1"/>
      <c r="W12" s="1"/>
      <c r="X12" s="1"/>
      <c r="Y12" s="1"/>
      <c r="Z12" s="1"/>
    </row>
    <row r="13" spans="1:26" ht="14.25" customHeight="1">
      <c r="A13" s="1"/>
      <c r="B13" s="995" t="s">
        <v>394</v>
      </c>
      <c r="C13" s="647" t="s">
        <v>391</v>
      </c>
      <c r="D13" s="648" t="s">
        <v>393</v>
      </c>
      <c r="E13" s="337">
        <f>'Presupuesto financiero'!E13</f>
        <v>26772000</v>
      </c>
      <c r="F13" s="337">
        <f>'Presupuesto financiero'!F13</f>
        <v>30638000</v>
      </c>
      <c r="G13" s="337">
        <f>'Presupuesto financiero'!G13</f>
        <v>37452000</v>
      </c>
      <c r="H13" s="1"/>
      <c r="I13" s="1016"/>
      <c r="J13" s="1016"/>
      <c r="K13" s="1016"/>
      <c r="L13" s="1016"/>
      <c r="M13" s="1"/>
      <c r="N13" s="1"/>
      <c r="O13" s="1"/>
      <c r="P13" s="1"/>
      <c r="Q13" s="1"/>
      <c r="R13" s="1"/>
      <c r="S13" s="1"/>
      <c r="T13" s="1"/>
      <c r="U13" s="1"/>
      <c r="V13" s="1"/>
      <c r="W13" s="1"/>
      <c r="X13" s="1"/>
      <c r="Y13" s="1"/>
      <c r="Z13" s="1"/>
    </row>
    <row r="14" spans="1:26" ht="14.25" customHeight="1">
      <c r="A14" s="1"/>
      <c r="B14" s="976"/>
      <c r="C14" s="647" t="s">
        <v>364</v>
      </c>
      <c r="D14" s="648" t="s">
        <v>393</v>
      </c>
      <c r="E14" s="337">
        <f>'Presupuesto financiero'!E14</f>
        <v>32918375</v>
      </c>
      <c r="F14" s="782">
        <f>'Presupuesto financiero'!F14 + 1000000 + 500000 + 1000000</f>
        <v>61995000</v>
      </c>
      <c r="G14" s="797">
        <f>'Presupuesto financiero'!G14 + 500000</f>
        <v>88258125</v>
      </c>
      <c r="H14" s="1"/>
      <c r="I14" s="1017"/>
      <c r="J14" s="1017"/>
      <c r="K14" s="1017"/>
      <c r="L14" s="1017"/>
      <c r="M14" s="1"/>
      <c r="N14" s="1"/>
      <c r="O14" s="1"/>
      <c r="P14" s="1"/>
      <c r="Q14" s="1"/>
      <c r="R14" s="1"/>
      <c r="S14" s="1"/>
      <c r="T14" s="1"/>
      <c r="U14" s="1"/>
      <c r="V14" s="1"/>
      <c r="W14" s="1"/>
      <c r="X14" s="1"/>
      <c r="Y14" s="1"/>
      <c r="Z14" s="1"/>
    </row>
    <row r="15" spans="1:26" ht="14.25" customHeight="1">
      <c r="A15" s="1"/>
      <c r="B15" s="969"/>
      <c r="C15" s="649" t="s">
        <v>365</v>
      </c>
      <c r="D15" s="650" t="s">
        <v>393</v>
      </c>
      <c r="E15" s="337">
        <f>'Presupuesto financiero'!E15</f>
        <v>77670013.524999991</v>
      </c>
      <c r="F15" s="337">
        <f>'Presupuesto financiero'!F15</f>
        <v>149731451.31999999</v>
      </c>
      <c r="G15" s="337">
        <f>'Presupuesto financiero'!G15</f>
        <v>221914893.39499998</v>
      </c>
      <c r="H15" s="1"/>
      <c r="I15" s="1"/>
      <c r="J15" s="1"/>
      <c r="K15" s="533" t="s">
        <v>572</v>
      </c>
      <c r="L15" s="533" t="s">
        <v>573</v>
      </c>
      <c r="M15" s="1"/>
      <c r="N15" s="1"/>
      <c r="O15" s="1"/>
      <c r="P15" s="1"/>
      <c r="Q15" s="1"/>
      <c r="R15" s="1"/>
      <c r="S15" s="1"/>
      <c r="T15" s="1"/>
      <c r="U15" s="1"/>
      <c r="V15" s="1"/>
      <c r="W15" s="1"/>
      <c r="X15" s="1"/>
      <c r="Y15" s="1"/>
      <c r="Z15" s="1"/>
    </row>
    <row r="16" spans="1:26" ht="14.25" customHeight="1">
      <c r="A16" s="1"/>
      <c r="B16" s="1010" t="s">
        <v>395</v>
      </c>
      <c r="C16" s="800"/>
      <c r="D16" s="784" t="s">
        <v>393</v>
      </c>
      <c r="E16" s="785">
        <f t="shared" ref="E16:G16" si="0">+E12-E13-E14-E15</f>
        <v>-28310388.524999991</v>
      </c>
      <c r="F16" s="785">
        <f t="shared" si="0"/>
        <v>44335548.680000007</v>
      </c>
      <c r="G16" s="785">
        <f t="shared" si="0"/>
        <v>174254981.60500002</v>
      </c>
      <c r="H16" s="1"/>
      <c r="I16" s="1"/>
      <c r="J16" s="1"/>
      <c r="K16" s="1"/>
      <c r="L16" s="1"/>
      <c r="M16" s="1"/>
      <c r="N16" s="1"/>
      <c r="O16" s="1"/>
      <c r="P16" s="1"/>
      <c r="Q16" s="1"/>
      <c r="R16" s="1"/>
      <c r="S16" s="1"/>
      <c r="T16" s="1"/>
      <c r="U16" s="1"/>
      <c r="V16" s="1"/>
      <c r="W16" s="1"/>
      <c r="X16" s="1"/>
      <c r="Y16" s="1"/>
      <c r="Z16" s="1"/>
    </row>
    <row r="17" spans="1:26" ht="14.25" customHeight="1">
      <c r="A17" s="1"/>
      <c r="B17" s="786" t="s">
        <v>574</v>
      </c>
      <c r="C17" s="787">
        <v>0.03</v>
      </c>
      <c r="D17" s="781" t="s">
        <v>393</v>
      </c>
      <c r="E17" s="788">
        <f>+E12*C17</f>
        <v>3271500</v>
      </c>
      <c r="F17" s="788">
        <f>+F12*C17</f>
        <v>8601000</v>
      </c>
      <c r="G17" s="789">
        <f>+G12*C17</f>
        <v>15656400</v>
      </c>
      <c r="H17" s="1"/>
      <c r="I17" s="1022" t="s">
        <v>582</v>
      </c>
      <c r="J17" s="799"/>
      <c r="K17" s="799"/>
      <c r="L17" s="800"/>
      <c r="M17" s="1"/>
      <c r="N17" s="1"/>
      <c r="O17" s="1"/>
      <c r="P17" s="1"/>
      <c r="Q17" s="1"/>
      <c r="R17" s="1"/>
      <c r="S17" s="1"/>
      <c r="T17" s="1"/>
      <c r="U17" s="1"/>
      <c r="V17" s="1"/>
      <c r="W17" s="1"/>
      <c r="X17" s="1"/>
      <c r="Y17" s="1"/>
      <c r="Z17" s="1"/>
    </row>
    <row r="18" spans="1:26" ht="14.25" customHeight="1">
      <c r="A18" s="1"/>
      <c r="B18" s="1011" t="s">
        <v>575</v>
      </c>
      <c r="C18" s="831"/>
      <c r="D18" s="648"/>
      <c r="E18" s="560">
        <f>'Presupuesto financiero'!E19</f>
        <v>0</v>
      </c>
      <c r="F18" s="560">
        <f>'Presupuesto financiero'!F19</f>
        <v>0</v>
      </c>
      <c r="G18" s="560">
        <f>'Presupuesto financiero'!G19</f>
        <v>11292778.704666669</v>
      </c>
      <c r="H18" s="1"/>
      <c r="I18" s="1023" t="s">
        <v>587</v>
      </c>
      <c r="J18" s="932"/>
      <c r="K18" s="932"/>
      <c r="L18" s="933"/>
      <c r="M18" s="1"/>
      <c r="N18" s="1"/>
      <c r="O18" s="1"/>
      <c r="P18" s="1"/>
      <c r="Q18" s="1"/>
      <c r="R18" s="1"/>
      <c r="S18" s="1"/>
      <c r="T18" s="1"/>
      <c r="U18" s="1"/>
      <c r="V18" s="1"/>
      <c r="W18" s="1"/>
      <c r="X18" s="1"/>
      <c r="Y18" s="1"/>
      <c r="Z18" s="1"/>
    </row>
    <row r="19" spans="1:26" ht="14.25" customHeight="1">
      <c r="A19" s="1"/>
      <c r="B19" s="1012"/>
      <c r="C19" s="870"/>
      <c r="D19" s="650"/>
      <c r="E19" s="790"/>
      <c r="F19" s="790"/>
      <c r="G19" s="570"/>
      <c r="H19" s="1"/>
      <c r="I19" s="819"/>
      <c r="J19" s="820"/>
      <c r="K19" s="820"/>
      <c r="L19" s="821"/>
      <c r="M19" s="1"/>
      <c r="N19" s="1"/>
      <c r="O19" s="1"/>
      <c r="P19" s="1"/>
      <c r="Q19" s="1"/>
      <c r="R19" s="1"/>
      <c r="S19" s="1"/>
      <c r="T19" s="1"/>
      <c r="U19" s="1"/>
      <c r="V19" s="1"/>
      <c r="W19" s="1"/>
      <c r="X19" s="1"/>
      <c r="Y19" s="1"/>
      <c r="Z19" s="1"/>
    </row>
    <row r="20" spans="1:26" ht="14.25" customHeight="1">
      <c r="A20" s="1"/>
      <c r="B20" s="1010" t="s">
        <v>398</v>
      </c>
      <c r="C20" s="800"/>
      <c r="D20" s="784" t="s">
        <v>393</v>
      </c>
      <c r="E20" s="785">
        <f t="shared" ref="E20:G20" si="1">+E16-E17-E18-E19</f>
        <v>-31581888.524999991</v>
      </c>
      <c r="F20" s="785">
        <f t="shared" si="1"/>
        <v>35734548.680000007</v>
      </c>
      <c r="G20" s="785">
        <f t="shared" si="1"/>
        <v>147305802.90033334</v>
      </c>
      <c r="H20" s="1"/>
      <c r="I20" s="819"/>
      <c r="J20" s="820"/>
      <c r="K20" s="820"/>
      <c r="L20" s="821"/>
      <c r="M20" s="1"/>
      <c r="N20" s="1"/>
      <c r="O20" s="1"/>
      <c r="P20" s="1"/>
      <c r="Q20" s="1"/>
      <c r="R20" s="1"/>
      <c r="S20" s="1"/>
      <c r="T20" s="1"/>
      <c r="U20" s="1"/>
      <c r="V20" s="1"/>
      <c r="W20" s="1"/>
      <c r="X20" s="1"/>
      <c r="Y20" s="1"/>
      <c r="Z20" s="1"/>
    </row>
    <row r="21" spans="1:26" ht="14.25" customHeight="1">
      <c r="A21" s="1"/>
      <c r="B21" s="1004" t="s">
        <v>399</v>
      </c>
      <c r="C21" s="821"/>
      <c r="D21" s="661">
        <f>'Mod. inversión'!E28</f>
        <v>18499000</v>
      </c>
      <c r="E21" s="662">
        <f>'Mod. inversión'!E45</f>
        <v>800000</v>
      </c>
      <c r="F21" s="791">
        <f>'Mod. inversión'!E63</f>
        <v>1864000</v>
      </c>
      <c r="G21" s="663">
        <f>'Mod. inversión'!E81</f>
        <v>4264000</v>
      </c>
      <c r="H21" s="1"/>
      <c r="I21" s="819"/>
      <c r="J21" s="820"/>
      <c r="K21" s="820"/>
      <c r="L21" s="821"/>
      <c r="M21" s="1"/>
      <c r="N21" s="1"/>
      <c r="O21" s="1"/>
      <c r="P21" s="1"/>
      <c r="Q21" s="1"/>
      <c r="R21" s="1"/>
      <c r="S21" s="1"/>
      <c r="T21" s="1"/>
      <c r="U21" s="1"/>
      <c r="V21" s="1"/>
      <c r="W21" s="1"/>
      <c r="X21" s="1"/>
      <c r="Y21" s="1"/>
      <c r="Z21" s="1"/>
    </row>
    <row r="22" spans="1:26" ht="14.25" customHeight="1">
      <c r="A22" s="1"/>
      <c r="B22" s="1013" t="s">
        <v>400</v>
      </c>
      <c r="C22" s="800"/>
      <c r="D22" s="792">
        <f>+D21*-1</f>
        <v>-18499000</v>
      </c>
      <c r="E22" s="793">
        <f t="shared" ref="E22:G22" si="2">+E20-E21</f>
        <v>-32381888.524999991</v>
      </c>
      <c r="F22" s="793">
        <f t="shared" si="2"/>
        <v>33870548.680000007</v>
      </c>
      <c r="G22" s="793">
        <f t="shared" si="2"/>
        <v>143041802.90033334</v>
      </c>
      <c r="H22" s="1"/>
      <c r="I22" s="819"/>
      <c r="J22" s="820"/>
      <c r="K22" s="820"/>
      <c r="L22" s="821"/>
      <c r="M22" s="1"/>
      <c r="N22" s="1"/>
      <c r="O22" s="1"/>
      <c r="P22" s="1"/>
      <c r="Q22" s="1"/>
      <c r="R22" s="1"/>
      <c r="S22" s="1"/>
      <c r="T22" s="1"/>
      <c r="U22" s="1"/>
      <c r="V22" s="1"/>
      <c r="W22" s="1"/>
      <c r="X22" s="1"/>
      <c r="Y22" s="1"/>
      <c r="Z22" s="1"/>
    </row>
    <row r="23" spans="1:26" ht="14.25" customHeight="1">
      <c r="A23" s="1"/>
      <c r="B23" s="1"/>
      <c r="C23" s="1"/>
      <c r="D23" s="1"/>
      <c r="E23" s="1"/>
      <c r="F23" s="1"/>
      <c r="G23" s="1"/>
      <c r="H23" s="1"/>
      <c r="I23" s="819"/>
      <c r="J23" s="820"/>
      <c r="K23" s="820"/>
      <c r="L23" s="821"/>
      <c r="M23" s="1"/>
      <c r="N23" s="1"/>
      <c r="O23" s="1"/>
      <c r="P23" s="1"/>
      <c r="Q23" s="1"/>
      <c r="R23" s="1"/>
      <c r="S23" s="1"/>
      <c r="T23" s="1"/>
      <c r="U23" s="1"/>
      <c r="V23" s="1"/>
      <c r="W23" s="1"/>
      <c r="X23" s="1"/>
      <c r="Y23" s="1"/>
      <c r="Z23" s="1"/>
    </row>
    <row r="24" spans="1:26" ht="14.25" customHeight="1">
      <c r="A24" s="1"/>
      <c r="B24" s="1"/>
      <c r="C24" s="1"/>
      <c r="D24" s="1"/>
      <c r="E24" s="1"/>
      <c r="F24" s="1"/>
      <c r="G24" s="1"/>
      <c r="H24" s="1"/>
      <c r="I24" s="819"/>
      <c r="J24" s="820"/>
      <c r="K24" s="820"/>
      <c r="L24" s="821"/>
      <c r="M24" s="1"/>
      <c r="N24" s="1"/>
      <c r="O24" s="1"/>
      <c r="P24" s="1"/>
      <c r="Q24" s="1"/>
      <c r="R24" s="1"/>
      <c r="S24" s="1"/>
      <c r="T24" s="1"/>
      <c r="U24" s="1"/>
      <c r="V24" s="1"/>
      <c r="W24" s="1"/>
      <c r="X24" s="1"/>
      <c r="Y24" s="1"/>
      <c r="Z24" s="1"/>
    </row>
    <row r="25" spans="1:26" ht="14.25" customHeight="1">
      <c r="A25" s="1"/>
      <c r="B25" s="1"/>
      <c r="C25" s="1"/>
      <c r="D25" s="1"/>
      <c r="E25" s="1"/>
      <c r="F25" s="1"/>
      <c r="G25" s="1"/>
      <c r="H25" s="1"/>
      <c r="I25" s="819"/>
      <c r="J25" s="820"/>
      <c r="K25" s="820"/>
      <c r="L25" s="821"/>
      <c r="M25" s="1"/>
      <c r="N25" s="1"/>
      <c r="O25" s="1"/>
      <c r="P25" s="1"/>
      <c r="Q25" s="1"/>
      <c r="R25" s="1"/>
      <c r="S25" s="1"/>
      <c r="T25" s="1"/>
      <c r="U25" s="1"/>
      <c r="V25" s="1"/>
      <c r="W25" s="1"/>
      <c r="X25" s="1"/>
      <c r="Y25" s="1"/>
      <c r="Z25" s="1"/>
    </row>
    <row r="26" spans="1:26" ht="14.25" customHeight="1">
      <c r="A26" s="1"/>
      <c r="B26" s="1"/>
      <c r="C26" s="1"/>
      <c r="D26" s="1"/>
      <c r="E26" s="677" t="s">
        <v>408</v>
      </c>
      <c r="F26" s="794">
        <f>'Presupuesto financiero'!G33</f>
        <v>0.75</v>
      </c>
      <c r="G26" s="1"/>
      <c r="H26" s="1"/>
      <c r="I26" s="819"/>
      <c r="J26" s="820"/>
      <c r="K26" s="820"/>
      <c r="L26" s="821"/>
      <c r="M26" s="1"/>
      <c r="N26" s="1"/>
      <c r="O26" s="1"/>
      <c r="P26" s="1"/>
      <c r="Q26" s="1"/>
      <c r="R26" s="1"/>
      <c r="S26" s="1"/>
      <c r="T26" s="1"/>
      <c r="U26" s="1"/>
      <c r="V26" s="1"/>
      <c r="W26" s="1"/>
      <c r="X26" s="1"/>
      <c r="Y26" s="1"/>
      <c r="Z26" s="1"/>
    </row>
    <row r="27" spans="1:26" ht="14.25" customHeight="1">
      <c r="A27" s="1"/>
      <c r="B27" s="1"/>
      <c r="C27" s="1"/>
      <c r="D27" s="1"/>
      <c r="E27" s="680" t="s">
        <v>409</v>
      </c>
      <c r="F27" s="681">
        <f t="array" ref="F27">+NPV(F26,D22:G22)</f>
        <v>426771.6566119726</v>
      </c>
      <c r="G27" s="1"/>
      <c r="H27" s="1"/>
      <c r="I27" s="819"/>
      <c r="J27" s="820"/>
      <c r="K27" s="820"/>
      <c r="L27" s="821"/>
      <c r="M27" s="1"/>
      <c r="N27" s="1"/>
      <c r="O27" s="1"/>
      <c r="P27" s="1"/>
      <c r="Q27" s="1"/>
      <c r="R27" s="1"/>
      <c r="S27" s="1"/>
      <c r="T27" s="1"/>
      <c r="U27" s="1"/>
      <c r="V27" s="1"/>
      <c r="W27" s="1"/>
      <c r="X27" s="1"/>
      <c r="Y27" s="1"/>
      <c r="Z27" s="1"/>
    </row>
    <row r="28" spans="1:26" ht="14.25" customHeight="1">
      <c r="A28" s="1"/>
      <c r="B28" s="1"/>
      <c r="C28" s="1"/>
      <c r="D28" s="1"/>
      <c r="E28" s="683" t="s">
        <v>410</v>
      </c>
      <c r="F28" s="795">
        <f>IRR(D22:G22,F26)</f>
        <v>0.76591565812618945</v>
      </c>
      <c r="G28" s="1"/>
      <c r="H28" s="1"/>
      <c r="I28" s="819"/>
      <c r="J28" s="820"/>
      <c r="K28" s="820"/>
      <c r="L28" s="821"/>
      <c r="M28" s="1"/>
      <c r="N28" s="1"/>
      <c r="O28" s="1"/>
      <c r="P28" s="1"/>
      <c r="Q28" s="1"/>
      <c r="R28" s="1"/>
      <c r="S28" s="1"/>
      <c r="T28" s="1"/>
      <c r="U28" s="1"/>
      <c r="V28" s="1"/>
      <c r="W28" s="1"/>
      <c r="X28" s="1"/>
      <c r="Y28" s="1"/>
      <c r="Z28" s="1"/>
    </row>
    <row r="29" spans="1:26" ht="50.25" customHeight="1">
      <c r="A29" s="1"/>
      <c r="B29" s="1"/>
      <c r="C29" s="1"/>
      <c r="D29" s="1"/>
      <c r="E29" s="1"/>
      <c r="F29" s="1"/>
      <c r="G29" s="1"/>
      <c r="H29" s="1"/>
      <c r="I29" s="822"/>
      <c r="J29" s="823"/>
      <c r="K29" s="823"/>
      <c r="L29" s="824"/>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sheetData>
  <mergeCells count="22">
    <mergeCell ref="B13:B15"/>
    <mergeCell ref="B10:G10"/>
    <mergeCell ref="I11:L11"/>
    <mergeCell ref="B16:C16"/>
    <mergeCell ref="I17:L17"/>
    <mergeCell ref="B18:C18"/>
    <mergeCell ref="I18:L29"/>
    <mergeCell ref="B19:C19"/>
    <mergeCell ref="B20:C20"/>
    <mergeCell ref="B21:C21"/>
    <mergeCell ref="B22:C22"/>
    <mergeCell ref="B11:C11"/>
    <mergeCell ref="B12:C12"/>
    <mergeCell ref="I12:I14"/>
    <mergeCell ref="J12:J14"/>
    <mergeCell ref="K12:K14"/>
    <mergeCell ref="L12:L14"/>
    <mergeCell ref="B2:L2"/>
    <mergeCell ref="B4:D4"/>
    <mergeCell ref="B5:D5"/>
    <mergeCell ref="B6:D6"/>
    <mergeCell ref="B7:D7"/>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Portada</vt:lpstr>
      <vt:lpstr>Indice</vt:lpstr>
      <vt:lpstr>Hipótesis</vt:lpstr>
      <vt:lpstr>Proy. ventas</vt:lpstr>
      <vt:lpstr>Anexo capacidad operativa</vt:lpstr>
      <vt:lpstr>Mod. ingresos</vt:lpstr>
      <vt:lpstr>Costos fijos</vt:lpstr>
      <vt:lpstr>Costos variables</vt:lpstr>
      <vt:lpstr>Costos RRHH</vt:lpstr>
      <vt:lpstr>Mod. egresos</vt:lpstr>
      <vt:lpstr>Mod. inversión</vt:lpstr>
      <vt:lpstr>Amortizaciones</vt:lpstr>
      <vt:lpstr>Presupuesto financiero</vt:lpstr>
      <vt:lpstr>Estructura</vt:lpstr>
      <vt:lpstr>Riesgos</vt:lpstr>
      <vt:lpstr>Matriz de riesgos</vt:lpstr>
      <vt:lpstr>Cuadro de evaluación de riesgos</vt:lpstr>
      <vt:lpstr>Escenario 1</vt:lpstr>
      <vt:lpstr>Escenario 2</vt:lpstr>
      <vt:lpstr>Escenario 3</vt:lpstr>
      <vt:lpstr>Plan de Contingencia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dc:creator>
  <cp:lastModifiedBy>Jorge</cp:lastModifiedBy>
  <dcterms:created xsi:type="dcterms:W3CDTF">2026-08-25T21:11:59Z</dcterms:created>
  <dcterms:modified xsi:type="dcterms:W3CDTF">2026-08-25T21:14:01Z</dcterms:modified>
</cp:coreProperties>
</file>