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avier/workspace/uai/STF/ShopMetrics-Negocio/documento/"/>
    </mc:Choice>
  </mc:AlternateContent>
  <xr:revisionPtr revIDLastSave="0" documentId="13_ncr:1_{A89B1AA7-5E29-9240-8BBD-CF39E1574EF3}" xr6:coauthVersionLast="47" xr6:coauthVersionMax="47" xr10:uidLastSave="{00000000-0000-0000-0000-000000000000}"/>
  <bookViews>
    <workbookView xWindow="-38400" yWindow="-1360" windowWidth="38400" windowHeight="21000" tabRatio="500" activeTab="4" xr2:uid="{00000000-000D-0000-FFFF-FFFF00000000}"/>
  </bookViews>
  <sheets>
    <sheet name="Portada" sheetId="1" r:id="rId1"/>
    <sheet name="Indice" sheetId="2" r:id="rId2"/>
    <sheet name="Hipótesis" sheetId="3" r:id="rId3"/>
    <sheet name="Proy. ventas" sheetId="4" r:id="rId4"/>
    <sheet name="Anexo capacidad operativa" sheetId="5" r:id="rId5"/>
    <sheet name="Mod. ingresos" sheetId="6" r:id="rId6"/>
    <sheet name="Costos fijos" sheetId="7" r:id="rId7"/>
    <sheet name="Costos variables" sheetId="8" r:id="rId8"/>
    <sheet name="Costos RRHH" sheetId="9" r:id="rId9"/>
    <sheet name="Mod. egresos" sheetId="10" r:id="rId10"/>
    <sheet name="Mod. inversión" sheetId="11" r:id="rId11"/>
    <sheet name="Amortizaciones" sheetId="12" r:id="rId12"/>
    <sheet name="Presupuesto financiero" sheetId="13" r:id="rId13"/>
    <sheet name="Estructura" sheetId="14" r:id="rId14"/>
    <sheet name="Riesgos" sheetId="15" r:id="rId15"/>
    <sheet name="Matriz de riesgos" sheetId="16" r:id="rId16"/>
    <sheet name="Cuadro de evaluación de riesgos" sheetId="17" r:id="rId17"/>
    <sheet name="Escenario 1" sheetId="18" r:id="rId18"/>
    <sheet name="Escenario 2" sheetId="19" r:id="rId19"/>
    <sheet name="Escenario 3" sheetId="20" r:id="rId20"/>
    <sheet name="Plan de Contingencia" sheetId="21" r:id="rId2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0" i="16" l="1"/>
  <c r="I27" i="16"/>
  <c r="I24" i="16"/>
  <c r="I21" i="16"/>
  <c r="I18" i="16"/>
  <c r="I15" i="16"/>
  <c r="I12" i="16"/>
  <c r="I9" i="16"/>
  <c r="I6" i="16"/>
  <c r="I3" i="16"/>
  <c r="M5" i="13"/>
  <c r="L5" i="13"/>
  <c r="K5" i="13"/>
  <c r="E24" i="12"/>
  <c r="D24" i="12"/>
  <c r="H24" i="12" s="1"/>
  <c r="E23" i="12"/>
  <c r="D23" i="12"/>
  <c r="G23" i="12" s="1"/>
  <c r="E22" i="12"/>
  <c r="E21" i="12"/>
  <c r="D21" i="12"/>
  <c r="I21" i="12" s="1"/>
  <c r="E20" i="12"/>
  <c r="D20" i="12"/>
  <c r="H20" i="12" s="1"/>
  <c r="E19" i="12"/>
  <c r="D19" i="12"/>
  <c r="G19" i="12" s="1"/>
  <c r="E18" i="12"/>
  <c r="I17" i="12"/>
  <c r="E17" i="12"/>
  <c r="D17" i="12"/>
  <c r="E16" i="12"/>
  <c r="D16" i="12"/>
  <c r="H16" i="12" s="1"/>
  <c r="E15" i="12"/>
  <c r="D15" i="12"/>
  <c r="G15" i="12" s="1"/>
  <c r="E14" i="12"/>
  <c r="D14" i="12"/>
  <c r="J14" i="12" s="1"/>
  <c r="M14" i="12" s="1"/>
  <c r="E13" i="12"/>
  <c r="E12" i="12"/>
  <c r="E11" i="12"/>
  <c r="D11" i="12"/>
  <c r="G11" i="12" s="1"/>
  <c r="D5" i="12"/>
  <c r="C5" i="12"/>
  <c r="B5" i="12"/>
  <c r="C71" i="11"/>
  <c r="C70" i="11"/>
  <c r="E69" i="11"/>
  <c r="C51" i="11"/>
  <c r="C50" i="11"/>
  <c r="E50" i="11" s="1"/>
  <c r="C33" i="11"/>
  <c r="C32" i="11"/>
  <c r="E32" i="11" s="1"/>
  <c r="E20" i="11"/>
  <c r="E19" i="11"/>
  <c r="E18" i="11"/>
  <c r="E17" i="11"/>
  <c r="E16" i="11"/>
  <c r="E15" i="11"/>
  <c r="E14" i="11"/>
  <c r="E13" i="11"/>
  <c r="E12" i="11"/>
  <c r="E11" i="11"/>
  <c r="E28" i="11" s="1"/>
  <c r="G5" i="11" s="1"/>
  <c r="J20" i="13" s="1"/>
  <c r="D21" i="13" s="1"/>
  <c r="D22" i="13" s="1"/>
  <c r="D5" i="11"/>
  <c r="C5" i="11"/>
  <c r="B5" i="11"/>
  <c r="D5" i="10"/>
  <c r="C5" i="10"/>
  <c r="B5" i="10"/>
  <c r="Y88" i="9"/>
  <c r="W88" i="9"/>
  <c r="U88" i="9"/>
  <c r="S88" i="9"/>
  <c r="Q88" i="9"/>
  <c r="O88" i="9"/>
  <c r="M88" i="9"/>
  <c r="K88" i="9"/>
  <c r="I88" i="9"/>
  <c r="G88" i="9"/>
  <c r="E88" i="9"/>
  <c r="C88" i="9"/>
  <c r="Y67" i="9"/>
  <c r="W67" i="9"/>
  <c r="U67" i="9"/>
  <c r="S67" i="9"/>
  <c r="Q67" i="9"/>
  <c r="O67" i="9"/>
  <c r="M67" i="9"/>
  <c r="K67" i="9"/>
  <c r="I67" i="9"/>
  <c r="G67" i="9"/>
  <c r="E67" i="9"/>
  <c r="C67" i="9"/>
  <c r="Y46" i="9"/>
  <c r="W46" i="9"/>
  <c r="U46" i="9"/>
  <c r="S46" i="9"/>
  <c r="Q46" i="9"/>
  <c r="O46" i="9"/>
  <c r="M46" i="9"/>
  <c r="K46" i="9"/>
  <c r="I46" i="9"/>
  <c r="G46" i="9"/>
  <c r="E46" i="9"/>
  <c r="C46" i="9"/>
  <c r="K27" i="9"/>
  <c r="J27" i="9"/>
  <c r="I27" i="9"/>
  <c r="H27" i="9"/>
  <c r="G27" i="9"/>
  <c r="F27" i="9"/>
  <c r="E27" i="9"/>
  <c r="L27" i="9" s="1"/>
  <c r="M27" i="9" s="1"/>
  <c r="K26" i="9"/>
  <c r="J26" i="9"/>
  <c r="I26" i="9"/>
  <c r="H26" i="9"/>
  <c r="G26" i="9"/>
  <c r="F26" i="9"/>
  <c r="E26" i="9"/>
  <c r="L26" i="9" s="1"/>
  <c r="M26" i="9" s="1"/>
  <c r="K25" i="9"/>
  <c r="J25" i="9"/>
  <c r="I25" i="9"/>
  <c r="H25" i="9"/>
  <c r="G25" i="9"/>
  <c r="F25" i="9"/>
  <c r="E25" i="9"/>
  <c r="L25" i="9" s="1"/>
  <c r="M25" i="9" s="1"/>
  <c r="K24" i="9"/>
  <c r="J24" i="9"/>
  <c r="I24" i="9"/>
  <c r="H24" i="9"/>
  <c r="G24" i="9"/>
  <c r="F24" i="9"/>
  <c r="E24" i="9"/>
  <c r="L24" i="9" s="1"/>
  <c r="M24" i="9" s="1"/>
  <c r="K23" i="9"/>
  <c r="J23" i="9"/>
  <c r="I23" i="9"/>
  <c r="H23" i="9"/>
  <c r="G23" i="9"/>
  <c r="F23" i="9"/>
  <c r="E23" i="9"/>
  <c r="L23" i="9" s="1"/>
  <c r="M23" i="9" s="1"/>
  <c r="K22" i="9"/>
  <c r="J22" i="9"/>
  <c r="I22" i="9"/>
  <c r="H22" i="9"/>
  <c r="G22" i="9"/>
  <c r="F22" i="9"/>
  <c r="E22" i="9"/>
  <c r="L22" i="9" s="1"/>
  <c r="M22" i="9" s="1"/>
  <c r="K21" i="9"/>
  <c r="J21" i="9"/>
  <c r="L21" i="9" s="1"/>
  <c r="M21" i="9" s="1"/>
  <c r="I21" i="9"/>
  <c r="H21" i="9"/>
  <c r="G21" i="9"/>
  <c r="F21" i="9"/>
  <c r="E21" i="9"/>
  <c r="K20" i="9"/>
  <c r="J20" i="9"/>
  <c r="I20" i="9"/>
  <c r="H20" i="9"/>
  <c r="G20" i="9"/>
  <c r="F20" i="9"/>
  <c r="E20" i="9"/>
  <c r="L20" i="9" s="1"/>
  <c r="M20" i="9" s="1"/>
  <c r="K19" i="9"/>
  <c r="J19" i="9"/>
  <c r="I19" i="9"/>
  <c r="H19" i="9"/>
  <c r="G19" i="9"/>
  <c r="F19" i="9"/>
  <c r="E19" i="9"/>
  <c r="L19" i="9" s="1"/>
  <c r="M19" i="9" s="1"/>
  <c r="K18" i="9"/>
  <c r="J18" i="9"/>
  <c r="I18" i="9"/>
  <c r="H18" i="9"/>
  <c r="G18" i="9"/>
  <c r="F18" i="9"/>
  <c r="E18" i="9"/>
  <c r="L18" i="9" s="1"/>
  <c r="M18" i="9" s="1"/>
  <c r="K17" i="9"/>
  <c r="J17" i="9"/>
  <c r="I17" i="9"/>
  <c r="H17" i="9"/>
  <c r="G17" i="9"/>
  <c r="F17" i="9"/>
  <c r="E17" i="9"/>
  <c r="L17" i="9" s="1"/>
  <c r="M17" i="9" s="1"/>
  <c r="K16" i="9"/>
  <c r="J16" i="9"/>
  <c r="I16" i="9"/>
  <c r="H16" i="9"/>
  <c r="G16" i="9"/>
  <c r="F16" i="9"/>
  <c r="E16" i="9"/>
  <c r="L16" i="9" s="1"/>
  <c r="M16" i="9" s="1"/>
  <c r="L15" i="9"/>
  <c r="M15" i="9" s="1"/>
  <c r="K15" i="9"/>
  <c r="J15" i="9"/>
  <c r="I15" i="9"/>
  <c r="H15" i="9"/>
  <c r="G15" i="9"/>
  <c r="F15" i="9"/>
  <c r="E15" i="9"/>
  <c r="K14" i="9"/>
  <c r="J14" i="9"/>
  <c r="I14" i="9"/>
  <c r="H14" i="9"/>
  <c r="G14" i="9"/>
  <c r="F14" i="9"/>
  <c r="E14" i="9"/>
  <c r="L14" i="9" s="1"/>
  <c r="M14" i="9" s="1"/>
  <c r="D6" i="9"/>
  <c r="C6" i="9"/>
  <c r="B6" i="9"/>
  <c r="Z70" i="8"/>
  <c r="AA70" i="8" s="1"/>
  <c r="X70" i="8"/>
  <c r="Y70" i="8" s="1"/>
  <c r="V70" i="8"/>
  <c r="W70" i="8" s="1"/>
  <c r="T70" i="8"/>
  <c r="U70" i="8" s="1"/>
  <c r="R70" i="8"/>
  <c r="S70" i="8" s="1"/>
  <c r="P70" i="8"/>
  <c r="Q70" i="8" s="1"/>
  <c r="N70" i="8"/>
  <c r="O70" i="8" s="1"/>
  <c r="L70" i="8"/>
  <c r="M70" i="8" s="1"/>
  <c r="J70" i="8"/>
  <c r="K70" i="8" s="1"/>
  <c r="H70" i="8"/>
  <c r="I70" i="8" s="1"/>
  <c r="F70" i="8"/>
  <c r="G70" i="8" s="1"/>
  <c r="D70" i="8"/>
  <c r="E70" i="8" s="1"/>
  <c r="AB70" i="8" s="1"/>
  <c r="Z69" i="8"/>
  <c r="AA69" i="8" s="1"/>
  <c r="X69" i="8"/>
  <c r="Y69" i="8" s="1"/>
  <c r="V69" i="8"/>
  <c r="W69" i="8" s="1"/>
  <c r="T69" i="8"/>
  <c r="U69" i="8" s="1"/>
  <c r="R69" i="8"/>
  <c r="S69" i="8" s="1"/>
  <c r="P69" i="8"/>
  <c r="Q69" i="8" s="1"/>
  <c r="N69" i="8"/>
  <c r="O69" i="8" s="1"/>
  <c r="L69" i="8"/>
  <c r="M69" i="8" s="1"/>
  <c r="J69" i="8"/>
  <c r="K69" i="8" s="1"/>
  <c r="H69" i="8"/>
  <c r="I69" i="8" s="1"/>
  <c r="F69" i="8"/>
  <c r="G69" i="8" s="1"/>
  <c r="D69" i="8"/>
  <c r="E69" i="8" s="1"/>
  <c r="AB69" i="8" s="1"/>
  <c r="C69" i="8"/>
  <c r="Z68" i="8"/>
  <c r="AA68" i="8" s="1"/>
  <c r="X68" i="8"/>
  <c r="Y68" i="8" s="1"/>
  <c r="V68" i="8"/>
  <c r="W68" i="8" s="1"/>
  <c r="T68" i="8"/>
  <c r="U68" i="8" s="1"/>
  <c r="R68" i="8"/>
  <c r="S68" i="8" s="1"/>
  <c r="P68" i="8"/>
  <c r="Q68" i="8" s="1"/>
  <c r="N68" i="8"/>
  <c r="O68" i="8" s="1"/>
  <c r="L68" i="8"/>
  <c r="M68" i="8" s="1"/>
  <c r="J68" i="8"/>
  <c r="K68" i="8" s="1"/>
  <c r="H68" i="8"/>
  <c r="I68" i="8" s="1"/>
  <c r="F68" i="8"/>
  <c r="G68" i="8" s="1"/>
  <c r="D68" i="8"/>
  <c r="E68" i="8" s="1"/>
  <c r="AB68" i="8" s="1"/>
  <c r="C68" i="8"/>
  <c r="Z67" i="8"/>
  <c r="AA67" i="8" s="1"/>
  <c r="X67" i="8"/>
  <c r="Y67" i="8" s="1"/>
  <c r="V67" i="8"/>
  <c r="W67" i="8" s="1"/>
  <c r="T67" i="8"/>
  <c r="U67" i="8" s="1"/>
  <c r="R67" i="8"/>
  <c r="S67" i="8" s="1"/>
  <c r="P67" i="8"/>
  <c r="Q67" i="8" s="1"/>
  <c r="N67" i="8"/>
  <c r="O67" i="8" s="1"/>
  <c r="L67" i="8"/>
  <c r="M67" i="8" s="1"/>
  <c r="J67" i="8"/>
  <c r="K67" i="8" s="1"/>
  <c r="H67" i="8"/>
  <c r="I67" i="8" s="1"/>
  <c r="F67" i="8"/>
  <c r="G67" i="8" s="1"/>
  <c r="D67" i="8"/>
  <c r="E67" i="8" s="1"/>
  <c r="AB67" i="8" s="1"/>
  <c r="J10" i="8" s="1"/>
  <c r="G24" i="13" s="1"/>
  <c r="C67" i="8"/>
  <c r="Z66" i="8"/>
  <c r="AA66" i="8" s="1"/>
  <c r="X66" i="8"/>
  <c r="Y66" i="8" s="1"/>
  <c r="V66" i="8"/>
  <c r="W66" i="8" s="1"/>
  <c r="T66" i="8"/>
  <c r="U66" i="8" s="1"/>
  <c r="R66" i="8"/>
  <c r="S66" i="8" s="1"/>
  <c r="Q66" i="8"/>
  <c r="P66" i="8"/>
  <c r="N66" i="8"/>
  <c r="O66" i="8" s="1"/>
  <c r="L66" i="8"/>
  <c r="M66" i="8" s="1"/>
  <c r="J66" i="8"/>
  <c r="K66" i="8" s="1"/>
  <c r="H66" i="8"/>
  <c r="I66" i="8" s="1"/>
  <c r="F66" i="8"/>
  <c r="G66" i="8" s="1"/>
  <c r="D66" i="8"/>
  <c r="E66" i="8" s="1"/>
  <c r="AB66" i="8" s="1"/>
  <c r="Z62" i="8"/>
  <c r="AA62" i="8" s="1"/>
  <c r="X62" i="8"/>
  <c r="Y62" i="8" s="1"/>
  <c r="V62" i="8"/>
  <c r="W62" i="8" s="1"/>
  <c r="T62" i="8"/>
  <c r="U62" i="8" s="1"/>
  <c r="R62" i="8"/>
  <c r="S62" i="8" s="1"/>
  <c r="P62" i="8"/>
  <c r="Q62" i="8" s="1"/>
  <c r="N62" i="8"/>
  <c r="O62" i="8" s="1"/>
  <c r="L62" i="8"/>
  <c r="M62" i="8" s="1"/>
  <c r="J62" i="8"/>
  <c r="K62" i="8" s="1"/>
  <c r="H62" i="8"/>
  <c r="I62" i="8" s="1"/>
  <c r="F62" i="8"/>
  <c r="G62" i="8" s="1"/>
  <c r="D62" i="8"/>
  <c r="E62" i="8" s="1"/>
  <c r="AB62" i="8" s="1"/>
  <c r="Z61" i="8"/>
  <c r="AA61" i="8" s="1"/>
  <c r="X61" i="8"/>
  <c r="Y61" i="8" s="1"/>
  <c r="V61" i="8"/>
  <c r="W61" i="8" s="1"/>
  <c r="T61" i="8"/>
  <c r="U61" i="8" s="1"/>
  <c r="R61" i="8"/>
  <c r="S61" i="8" s="1"/>
  <c r="P61" i="8"/>
  <c r="Q61" i="8" s="1"/>
  <c r="N61" i="8"/>
  <c r="O61" i="8" s="1"/>
  <c r="L61" i="8"/>
  <c r="M61" i="8" s="1"/>
  <c r="J61" i="8"/>
  <c r="K61" i="8" s="1"/>
  <c r="H61" i="8"/>
  <c r="I61" i="8" s="1"/>
  <c r="F61" i="8"/>
  <c r="G61" i="8" s="1"/>
  <c r="D61" i="8"/>
  <c r="E61" i="8" s="1"/>
  <c r="Z47" i="8"/>
  <c r="AA47" i="8" s="1"/>
  <c r="X47" i="8"/>
  <c r="Y47" i="8" s="1"/>
  <c r="V47" i="8"/>
  <c r="W47" i="8" s="1"/>
  <c r="T47" i="8"/>
  <c r="U47" i="8" s="1"/>
  <c r="R47" i="8"/>
  <c r="S47" i="8" s="1"/>
  <c r="P47" i="8"/>
  <c r="Q47" i="8" s="1"/>
  <c r="N47" i="8"/>
  <c r="O47" i="8" s="1"/>
  <c r="L47" i="8"/>
  <c r="M47" i="8" s="1"/>
  <c r="J47" i="8"/>
  <c r="K47" i="8" s="1"/>
  <c r="H47" i="8"/>
  <c r="I47" i="8" s="1"/>
  <c r="F47" i="8"/>
  <c r="G47" i="8" s="1"/>
  <c r="D47" i="8"/>
  <c r="E47" i="8" s="1"/>
  <c r="AB47" i="8" s="1"/>
  <c r="Z46" i="8"/>
  <c r="AA46" i="8" s="1"/>
  <c r="X46" i="8"/>
  <c r="Y46" i="8" s="1"/>
  <c r="V46" i="8"/>
  <c r="W46" i="8" s="1"/>
  <c r="T46" i="8"/>
  <c r="U46" i="8" s="1"/>
  <c r="R46" i="8"/>
  <c r="S46" i="8" s="1"/>
  <c r="P46" i="8"/>
  <c r="Q46" i="8" s="1"/>
  <c r="N46" i="8"/>
  <c r="O46" i="8" s="1"/>
  <c r="L46" i="8"/>
  <c r="M46" i="8" s="1"/>
  <c r="J46" i="8"/>
  <c r="K46" i="8" s="1"/>
  <c r="H46" i="8"/>
  <c r="I46" i="8" s="1"/>
  <c r="F46" i="8"/>
  <c r="G46" i="8" s="1"/>
  <c r="D46" i="8"/>
  <c r="E46" i="8" s="1"/>
  <c r="AB46" i="8" s="1"/>
  <c r="C46" i="8"/>
  <c r="Z45" i="8"/>
  <c r="AA45" i="8" s="1"/>
  <c r="X45" i="8"/>
  <c r="Y45" i="8" s="1"/>
  <c r="V45" i="8"/>
  <c r="W45" i="8" s="1"/>
  <c r="T45" i="8"/>
  <c r="U45" i="8" s="1"/>
  <c r="R45" i="8"/>
  <c r="S45" i="8" s="1"/>
  <c r="P45" i="8"/>
  <c r="Q45" i="8" s="1"/>
  <c r="N45" i="8"/>
  <c r="O45" i="8" s="1"/>
  <c r="L45" i="8"/>
  <c r="M45" i="8" s="1"/>
  <c r="J45" i="8"/>
  <c r="K45" i="8" s="1"/>
  <c r="H45" i="8"/>
  <c r="I45" i="8" s="1"/>
  <c r="F45" i="8"/>
  <c r="G45" i="8" s="1"/>
  <c r="D45" i="8"/>
  <c r="E45" i="8" s="1"/>
  <c r="C45" i="8"/>
  <c r="Z44" i="8"/>
  <c r="AA44" i="8" s="1"/>
  <c r="X44" i="8"/>
  <c r="Y44" i="8" s="1"/>
  <c r="V44" i="8"/>
  <c r="W44" i="8" s="1"/>
  <c r="T44" i="8"/>
  <c r="U44" i="8" s="1"/>
  <c r="R44" i="8"/>
  <c r="S44" i="8" s="1"/>
  <c r="P44" i="8"/>
  <c r="Q44" i="8" s="1"/>
  <c r="N44" i="8"/>
  <c r="O44" i="8" s="1"/>
  <c r="L44" i="8"/>
  <c r="M44" i="8" s="1"/>
  <c r="J44" i="8"/>
  <c r="K44" i="8" s="1"/>
  <c r="H44" i="8"/>
  <c r="I44" i="8" s="1"/>
  <c r="F44" i="8"/>
  <c r="G44" i="8" s="1"/>
  <c r="D44" i="8"/>
  <c r="E44" i="8" s="1"/>
  <c r="AB44" i="8" s="1"/>
  <c r="C44" i="8"/>
  <c r="Z43" i="8"/>
  <c r="AA43" i="8" s="1"/>
  <c r="X43" i="8"/>
  <c r="Y43" i="8" s="1"/>
  <c r="V43" i="8"/>
  <c r="W43" i="8" s="1"/>
  <c r="T43" i="8"/>
  <c r="U43" i="8" s="1"/>
  <c r="R43" i="8"/>
  <c r="S43" i="8" s="1"/>
  <c r="P43" i="8"/>
  <c r="Q43" i="8" s="1"/>
  <c r="N43" i="8"/>
  <c r="O43" i="8" s="1"/>
  <c r="L43" i="8"/>
  <c r="M43" i="8" s="1"/>
  <c r="J43" i="8"/>
  <c r="K43" i="8" s="1"/>
  <c r="H43" i="8"/>
  <c r="I43" i="8" s="1"/>
  <c r="F43" i="8"/>
  <c r="G43" i="8" s="1"/>
  <c r="D43" i="8"/>
  <c r="E43" i="8" s="1"/>
  <c r="AB43" i="8" s="1"/>
  <c r="Z39" i="8"/>
  <c r="AA39" i="8" s="1"/>
  <c r="X39" i="8"/>
  <c r="Y39" i="8" s="1"/>
  <c r="V39" i="8"/>
  <c r="W39" i="8" s="1"/>
  <c r="T39" i="8"/>
  <c r="U39" i="8" s="1"/>
  <c r="R39" i="8"/>
  <c r="S39" i="8" s="1"/>
  <c r="P39" i="8"/>
  <c r="Q39" i="8" s="1"/>
  <c r="N39" i="8"/>
  <c r="O39" i="8" s="1"/>
  <c r="L39" i="8"/>
  <c r="M39" i="8" s="1"/>
  <c r="J39" i="8"/>
  <c r="K39" i="8" s="1"/>
  <c r="H39" i="8"/>
  <c r="I39" i="8" s="1"/>
  <c r="F39" i="8"/>
  <c r="G39" i="8" s="1"/>
  <c r="D39" i="8"/>
  <c r="E39" i="8" s="1"/>
  <c r="AB39" i="8" s="1"/>
  <c r="Z38" i="8"/>
  <c r="AA38" i="8" s="1"/>
  <c r="X38" i="8"/>
  <c r="Y38" i="8" s="1"/>
  <c r="V38" i="8"/>
  <c r="W38" i="8" s="1"/>
  <c r="T38" i="8"/>
  <c r="U38" i="8" s="1"/>
  <c r="R38" i="8"/>
  <c r="S38" i="8" s="1"/>
  <c r="P38" i="8"/>
  <c r="Q38" i="8" s="1"/>
  <c r="N38" i="8"/>
  <c r="O38" i="8" s="1"/>
  <c r="L38" i="8"/>
  <c r="M38" i="8" s="1"/>
  <c r="J38" i="8"/>
  <c r="K38" i="8" s="1"/>
  <c r="H38" i="8"/>
  <c r="I38" i="8" s="1"/>
  <c r="F38" i="8"/>
  <c r="G38" i="8" s="1"/>
  <c r="D38" i="8"/>
  <c r="E38" i="8" s="1"/>
  <c r="Z24" i="8"/>
  <c r="AA24" i="8" s="1"/>
  <c r="X24" i="8"/>
  <c r="Y24" i="8" s="1"/>
  <c r="V24" i="8"/>
  <c r="W24" i="8" s="1"/>
  <c r="T24" i="8"/>
  <c r="U24" i="8" s="1"/>
  <c r="R24" i="8"/>
  <c r="S24" i="8" s="1"/>
  <c r="P24" i="8"/>
  <c r="Q24" i="8" s="1"/>
  <c r="N24" i="8"/>
  <c r="O24" i="8" s="1"/>
  <c r="L24" i="8"/>
  <c r="M24" i="8" s="1"/>
  <c r="J24" i="8"/>
  <c r="K24" i="8" s="1"/>
  <c r="H24" i="8"/>
  <c r="I24" i="8" s="1"/>
  <c r="F24" i="8"/>
  <c r="G24" i="8" s="1"/>
  <c r="D24" i="8"/>
  <c r="E24" i="8" s="1"/>
  <c r="AB24" i="8" s="1"/>
  <c r="Z23" i="8"/>
  <c r="AA23" i="8" s="1"/>
  <c r="X23" i="8"/>
  <c r="Y23" i="8" s="1"/>
  <c r="V23" i="8"/>
  <c r="W23" i="8" s="1"/>
  <c r="T23" i="8"/>
  <c r="U23" i="8" s="1"/>
  <c r="R23" i="8"/>
  <c r="S23" i="8" s="1"/>
  <c r="P23" i="8"/>
  <c r="Q23" i="8" s="1"/>
  <c r="N23" i="8"/>
  <c r="O23" i="8" s="1"/>
  <c r="L23" i="8"/>
  <c r="M23" i="8" s="1"/>
  <c r="J23" i="8"/>
  <c r="K23" i="8" s="1"/>
  <c r="H23" i="8"/>
  <c r="I23" i="8" s="1"/>
  <c r="F23" i="8"/>
  <c r="G23" i="8" s="1"/>
  <c r="D23" i="8"/>
  <c r="E23" i="8" s="1"/>
  <c r="AB23" i="8" s="1"/>
  <c r="C23" i="8"/>
  <c r="Z22" i="8"/>
  <c r="AA22" i="8" s="1"/>
  <c r="X22" i="8"/>
  <c r="Y22" i="8" s="1"/>
  <c r="V22" i="8"/>
  <c r="W22" i="8" s="1"/>
  <c r="T22" i="8"/>
  <c r="U22" i="8" s="1"/>
  <c r="R22" i="8"/>
  <c r="S22" i="8" s="1"/>
  <c r="P22" i="8"/>
  <c r="Q22" i="8" s="1"/>
  <c r="N22" i="8"/>
  <c r="O22" i="8" s="1"/>
  <c r="L22" i="8"/>
  <c r="M22" i="8" s="1"/>
  <c r="J22" i="8"/>
  <c r="K22" i="8" s="1"/>
  <c r="H22" i="8"/>
  <c r="I22" i="8" s="1"/>
  <c r="F22" i="8"/>
  <c r="G22" i="8" s="1"/>
  <c r="D22" i="8"/>
  <c r="E22" i="8" s="1"/>
  <c r="AB22" i="8" s="1"/>
  <c r="C22" i="8"/>
  <c r="Z21" i="8"/>
  <c r="AA21" i="8" s="1"/>
  <c r="X21" i="8"/>
  <c r="Y21" i="8" s="1"/>
  <c r="V21" i="8"/>
  <c r="W21" i="8" s="1"/>
  <c r="T21" i="8"/>
  <c r="U21" i="8" s="1"/>
  <c r="R21" i="8"/>
  <c r="S21" i="8" s="1"/>
  <c r="P21" i="8"/>
  <c r="Q21" i="8" s="1"/>
  <c r="N21" i="8"/>
  <c r="O21" i="8" s="1"/>
  <c r="L21" i="8"/>
  <c r="M21" i="8" s="1"/>
  <c r="J21" i="8"/>
  <c r="K21" i="8" s="1"/>
  <c r="H21" i="8"/>
  <c r="I21" i="8" s="1"/>
  <c r="F21" i="8"/>
  <c r="G21" i="8" s="1"/>
  <c r="D21" i="8"/>
  <c r="E21" i="8" s="1"/>
  <c r="AB21" i="8" s="1"/>
  <c r="H10" i="8" s="1"/>
  <c r="E24" i="13" s="1"/>
  <c r="C21" i="8"/>
  <c r="Z20" i="8"/>
  <c r="AA20" i="8" s="1"/>
  <c r="X20" i="8"/>
  <c r="Y20" i="8" s="1"/>
  <c r="V20" i="8"/>
  <c r="W20" i="8" s="1"/>
  <c r="T20" i="8"/>
  <c r="U20" i="8" s="1"/>
  <c r="R20" i="8"/>
  <c r="S20" i="8" s="1"/>
  <c r="P20" i="8"/>
  <c r="Q20" i="8" s="1"/>
  <c r="N20" i="8"/>
  <c r="O20" i="8" s="1"/>
  <c r="L20" i="8"/>
  <c r="M20" i="8" s="1"/>
  <c r="J20" i="8"/>
  <c r="K20" i="8" s="1"/>
  <c r="H20" i="8"/>
  <c r="I20" i="8" s="1"/>
  <c r="F20" i="8"/>
  <c r="G20" i="8" s="1"/>
  <c r="D20" i="8"/>
  <c r="E20" i="8" s="1"/>
  <c r="AB20" i="8" s="1"/>
  <c r="D19" i="8"/>
  <c r="E19" i="8" s="1"/>
  <c r="D18" i="8"/>
  <c r="E18" i="8" s="1"/>
  <c r="D17" i="8"/>
  <c r="E17" i="8" s="1"/>
  <c r="Z16" i="8"/>
  <c r="AA16" i="8" s="1"/>
  <c r="X16" i="8"/>
  <c r="Y16" i="8" s="1"/>
  <c r="V16" i="8"/>
  <c r="W16" i="8" s="1"/>
  <c r="T16" i="8"/>
  <c r="U16" i="8" s="1"/>
  <c r="R16" i="8"/>
  <c r="S16" i="8" s="1"/>
  <c r="P16" i="8"/>
  <c r="Q16" i="8" s="1"/>
  <c r="N16" i="8"/>
  <c r="O16" i="8" s="1"/>
  <c r="L16" i="8"/>
  <c r="M16" i="8" s="1"/>
  <c r="J16" i="8"/>
  <c r="K16" i="8" s="1"/>
  <c r="H16" i="8"/>
  <c r="I16" i="8" s="1"/>
  <c r="F16" i="8"/>
  <c r="G16" i="8" s="1"/>
  <c r="D16" i="8"/>
  <c r="E16" i="8" s="1"/>
  <c r="AB16" i="8" s="1"/>
  <c r="Z15" i="8"/>
  <c r="AA15" i="8" s="1"/>
  <c r="X15" i="8"/>
  <c r="Y15" i="8" s="1"/>
  <c r="V15" i="8"/>
  <c r="W15" i="8" s="1"/>
  <c r="T15" i="8"/>
  <c r="U15" i="8" s="1"/>
  <c r="R15" i="8"/>
  <c r="S15" i="8" s="1"/>
  <c r="P15" i="8"/>
  <c r="Q15" i="8" s="1"/>
  <c r="N15" i="8"/>
  <c r="O15" i="8" s="1"/>
  <c r="L15" i="8"/>
  <c r="M15" i="8" s="1"/>
  <c r="J15" i="8"/>
  <c r="K15" i="8" s="1"/>
  <c r="H15" i="8"/>
  <c r="I15" i="8" s="1"/>
  <c r="F15" i="8"/>
  <c r="G15" i="8" s="1"/>
  <c r="D15" i="8"/>
  <c r="E15" i="8" s="1"/>
  <c r="D6" i="8"/>
  <c r="C6" i="8"/>
  <c r="B6" i="8"/>
  <c r="O63" i="7"/>
  <c r="N63" i="7"/>
  <c r="M63" i="7"/>
  <c r="L63" i="7"/>
  <c r="K63" i="7"/>
  <c r="J63" i="7"/>
  <c r="I63" i="7"/>
  <c r="H63" i="7"/>
  <c r="G63" i="7"/>
  <c r="F63" i="7"/>
  <c r="E63" i="7"/>
  <c r="D63" i="7"/>
  <c r="P63" i="7" s="1"/>
  <c r="I5" i="7" s="1"/>
  <c r="P62" i="7"/>
  <c r="P61" i="7"/>
  <c r="P60" i="7"/>
  <c r="P59" i="7"/>
  <c r="P58" i="7"/>
  <c r="P57" i="7"/>
  <c r="P56" i="7"/>
  <c r="P55" i="7"/>
  <c r="P54" i="7"/>
  <c r="P53" i="7"/>
  <c r="P52" i="7"/>
  <c r="P51" i="7"/>
  <c r="P50" i="7"/>
  <c r="O44" i="7"/>
  <c r="N44" i="7"/>
  <c r="M44" i="7"/>
  <c r="L44" i="7"/>
  <c r="K44" i="7"/>
  <c r="J44" i="7"/>
  <c r="I44" i="7"/>
  <c r="H44" i="7"/>
  <c r="G44" i="7"/>
  <c r="F44" i="7"/>
  <c r="E44" i="7"/>
  <c r="D44" i="7"/>
  <c r="P44" i="7" s="1"/>
  <c r="H5" i="7" s="1"/>
  <c r="P43" i="7"/>
  <c r="P42" i="7"/>
  <c r="P41" i="7"/>
  <c r="P40" i="7"/>
  <c r="P39" i="7"/>
  <c r="P38" i="7"/>
  <c r="P37" i="7"/>
  <c r="P36" i="7"/>
  <c r="P35" i="7"/>
  <c r="P34" i="7"/>
  <c r="P33" i="7"/>
  <c r="P32" i="7"/>
  <c r="P31" i="7"/>
  <c r="O26" i="7"/>
  <c r="N26" i="7"/>
  <c r="M26" i="7"/>
  <c r="L26" i="7"/>
  <c r="K26" i="7"/>
  <c r="J26" i="7"/>
  <c r="I26" i="7"/>
  <c r="H26" i="7"/>
  <c r="G26" i="7"/>
  <c r="F26" i="7"/>
  <c r="E26" i="7"/>
  <c r="D26" i="7"/>
  <c r="P26" i="7" s="1"/>
  <c r="G5" i="7" s="1"/>
  <c r="P25" i="7"/>
  <c r="P24" i="7"/>
  <c r="P23" i="7"/>
  <c r="P22" i="7"/>
  <c r="P21" i="7"/>
  <c r="P20" i="7"/>
  <c r="P19" i="7"/>
  <c r="P18" i="7"/>
  <c r="P17" i="7"/>
  <c r="P16" i="7"/>
  <c r="P15" i="7"/>
  <c r="P14" i="7"/>
  <c r="P13" i="7"/>
  <c r="I9" i="7"/>
  <c r="H9" i="7"/>
  <c r="G9" i="7"/>
  <c r="E5" i="7"/>
  <c r="D5" i="7"/>
  <c r="C5" i="7"/>
  <c r="B22" i="6"/>
  <c r="B21" i="6"/>
  <c r="B20" i="6"/>
  <c r="B19" i="6"/>
  <c r="B18" i="6"/>
  <c r="B17" i="6"/>
  <c r="D9" i="6"/>
  <c r="C9" i="6"/>
  <c r="B9" i="6"/>
  <c r="A107" i="5"/>
  <c r="A106" i="5"/>
  <c r="A105" i="5"/>
  <c r="Y104" i="5"/>
  <c r="W104" i="5"/>
  <c r="U104" i="5"/>
  <c r="S104" i="5"/>
  <c r="Q104" i="5"/>
  <c r="O104" i="5"/>
  <c r="M104" i="5"/>
  <c r="K104" i="5"/>
  <c r="I104" i="5"/>
  <c r="G104" i="5"/>
  <c r="E104" i="5"/>
  <c r="C104" i="5"/>
  <c r="A104" i="5"/>
  <c r="Y103" i="5"/>
  <c r="W103" i="5"/>
  <c r="U103" i="5"/>
  <c r="S103" i="5"/>
  <c r="Q103" i="5"/>
  <c r="O103" i="5"/>
  <c r="M103" i="5"/>
  <c r="K103" i="5"/>
  <c r="I103" i="5"/>
  <c r="G103" i="5"/>
  <c r="E103" i="5"/>
  <c r="C103" i="5"/>
  <c r="A103" i="5"/>
  <c r="Y102" i="5"/>
  <c r="W102" i="5"/>
  <c r="U102" i="5"/>
  <c r="S102" i="5"/>
  <c r="Q102" i="5"/>
  <c r="O102" i="5"/>
  <c r="M102" i="5"/>
  <c r="K102" i="5"/>
  <c r="I102" i="5"/>
  <c r="G102" i="5"/>
  <c r="E102" i="5"/>
  <c r="C102" i="5"/>
  <c r="A102" i="5"/>
  <c r="A96" i="5"/>
  <c r="A95" i="5"/>
  <c r="A94" i="5"/>
  <c r="Y93" i="5"/>
  <c r="Z93" i="5" s="1"/>
  <c r="W93" i="5"/>
  <c r="X93" i="5" s="1"/>
  <c r="U93" i="5"/>
  <c r="V93" i="5" s="1"/>
  <c r="S93" i="5"/>
  <c r="T93" i="5" s="1"/>
  <c r="Q93" i="5"/>
  <c r="R93" i="5" s="1"/>
  <c r="O93" i="5"/>
  <c r="P93" i="5" s="1"/>
  <c r="M93" i="5"/>
  <c r="N93" i="5" s="1"/>
  <c r="K93" i="5"/>
  <c r="L93" i="5" s="1"/>
  <c r="I93" i="5"/>
  <c r="J93" i="5" s="1"/>
  <c r="G93" i="5"/>
  <c r="H93" i="5" s="1"/>
  <c r="E93" i="5"/>
  <c r="F93" i="5" s="1"/>
  <c r="C93" i="5"/>
  <c r="D93" i="5" s="1"/>
  <c r="B93" i="5" s="1"/>
  <c r="A93" i="5"/>
  <c r="Y92" i="5"/>
  <c r="Z92" i="5" s="1"/>
  <c r="W92" i="5"/>
  <c r="X92" i="5" s="1"/>
  <c r="U92" i="5"/>
  <c r="V92" i="5" s="1"/>
  <c r="S92" i="5"/>
  <c r="T92" i="5" s="1"/>
  <c r="Q92" i="5"/>
  <c r="R92" i="5" s="1"/>
  <c r="O92" i="5"/>
  <c r="P92" i="5" s="1"/>
  <c r="M92" i="5"/>
  <c r="N92" i="5" s="1"/>
  <c r="K92" i="5"/>
  <c r="L92" i="5" s="1"/>
  <c r="I92" i="5"/>
  <c r="J92" i="5" s="1"/>
  <c r="G92" i="5"/>
  <c r="H92" i="5" s="1"/>
  <c r="E92" i="5"/>
  <c r="F92" i="5" s="1"/>
  <c r="C92" i="5"/>
  <c r="D92" i="5" s="1"/>
  <c r="B92" i="5" s="1"/>
  <c r="A92" i="5"/>
  <c r="Y91" i="5"/>
  <c r="Z91" i="5" s="1"/>
  <c r="W91" i="5"/>
  <c r="X91" i="5" s="1"/>
  <c r="U91" i="5"/>
  <c r="V91" i="5" s="1"/>
  <c r="S91" i="5"/>
  <c r="T91" i="5" s="1"/>
  <c r="Q91" i="5"/>
  <c r="R91" i="5" s="1"/>
  <c r="O91" i="5"/>
  <c r="P91" i="5" s="1"/>
  <c r="M91" i="5"/>
  <c r="N91" i="5" s="1"/>
  <c r="K91" i="5"/>
  <c r="L91" i="5" s="1"/>
  <c r="I91" i="5"/>
  <c r="J91" i="5" s="1"/>
  <c r="G91" i="5"/>
  <c r="H91" i="5" s="1"/>
  <c r="E91" i="5"/>
  <c r="F91" i="5" s="1"/>
  <c r="C91" i="5"/>
  <c r="D91" i="5" s="1"/>
  <c r="A91" i="5"/>
  <c r="C85" i="5"/>
  <c r="D85" i="5" s="1"/>
  <c r="A85" i="5"/>
  <c r="C84" i="5"/>
  <c r="D84" i="5" s="1"/>
  <c r="A84" i="5"/>
  <c r="A83" i="5"/>
  <c r="C82" i="5"/>
  <c r="D82" i="5" s="1"/>
  <c r="A82" i="5"/>
  <c r="C81" i="5"/>
  <c r="A81" i="5"/>
  <c r="C80" i="5"/>
  <c r="A80" i="5"/>
  <c r="E69" i="5"/>
  <c r="E68" i="5"/>
  <c r="E67" i="5"/>
  <c r="E66" i="5"/>
  <c r="L65" i="5"/>
  <c r="E65" i="5"/>
  <c r="L64" i="5"/>
  <c r="E64" i="5"/>
  <c r="L63" i="5"/>
  <c r="E63" i="5"/>
  <c r="V62" i="5"/>
  <c r="L62" i="5"/>
  <c r="E62" i="5"/>
  <c r="W61" i="5"/>
  <c r="L61" i="5"/>
  <c r="E61" i="5"/>
  <c r="W60" i="5"/>
  <c r="L60" i="5"/>
  <c r="E60" i="5"/>
  <c r="W59" i="5"/>
  <c r="L59" i="5"/>
  <c r="E59" i="5"/>
  <c r="AB58" i="5"/>
  <c r="W58" i="5"/>
  <c r="L58" i="5"/>
  <c r="L70" i="5" s="1"/>
  <c r="E58" i="5"/>
  <c r="E70" i="5" s="1"/>
  <c r="E50" i="5"/>
  <c r="E49" i="5"/>
  <c r="E48" i="5"/>
  <c r="E47" i="5"/>
  <c r="E46" i="5"/>
  <c r="E45" i="5"/>
  <c r="L44" i="5"/>
  <c r="E44" i="5"/>
  <c r="V43" i="5"/>
  <c r="L43" i="5"/>
  <c r="E43" i="5"/>
  <c r="W42" i="5"/>
  <c r="L42" i="5"/>
  <c r="E42" i="5"/>
  <c r="W41" i="5"/>
  <c r="L41" i="5"/>
  <c r="E41" i="5"/>
  <c r="W40" i="5"/>
  <c r="L40" i="5"/>
  <c r="E40" i="5"/>
  <c r="AB39" i="5"/>
  <c r="W39" i="5"/>
  <c r="L39" i="5"/>
  <c r="L51" i="5" s="1"/>
  <c r="E39" i="5"/>
  <c r="E51" i="5" s="1"/>
  <c r="E31" i="5"/>
  <c r="E30" i="5"/>
  <c r="E29" i="5"/>
  <c r="E28" i="5"/>
  <c r="E27" i="5"/>
  <c r="E26" i="5"/>
  <c r="E25" i="5"/>
  <c r="L24" i="5"/>
  <c r="E24" i="5"/>
  <c r="L23" i="5"/>
  <c r="E23" i="5"/>
  <c r="AB22" i="5"/>
  <c r="L22" i="5"/>
  <c r="E22" i="5"/>
  <c r="L21" i="5"/>
  <c r="E21" i="5"/>
  <c r="AB20" i="5"/>
  <c r="V20" i="5"/>
  <c r="L20" i="5"/>
  <c r="L32" i="5" s="1"/>
  <c r="E20" i="5"/>
  <c r="E32" i="5" s="1"/>
  <c r="B10" i="5"/>
  <c r="B12" i="5" s="1"/>
  <c r="AA163" i="4"/>
  <c r="Y163" i="4"/>
  <c r="W163" i="4"/>
  <c r="U163" i="4"/>
  <c r="S163" i="4"/>
  <c r="Q163" i="4"/>
  <c r="O163" i="4"/>
  <c r="M163" i="4"/>
  <c r="K163" i="4"/>
  <c r="I163" i="4"/>
  <c r="G163" i="4"/>
  <c r="E163" i="4"/>
  <c r="C163" i="4"/>
  <c r="AA162" i="4"/>
  <c r="Y162" i="4"/>
  <c r="W162" i="4"/>
  <c r="U162" i="4"/>
  <c r="S162" i="4"/>
  <c r="Q162" i="4"/>
  <c r="O162" i="4"/>
  <c r="M162" i="4"/>
  <c r="K162" i="4"/>
  <c r="I162" i="4"/>
  <c r="G162" i="4"/>
  <c r="E162" i="4"/>
  <c r="C162" i="4"/>
  <c r="AA160" i="4"/>
  <c r="Y160" i="4"/>
  <c r="W160" i="4"/>
  <c r="U160" i="4"/>
  <c r="S160" i="4"/>
  <c r="Q160" i="4"/>
  <c r="O160" i="4"/>
  <c r="M160" i="4"/>
  <c r="K160" i="4"/>
  <c r="I160" i="4"/>
  <c r="G160" i="4"/>
  <c r="E160" i="4"/>
  <c r="AA159" i="4"/>
  <c r="Y159" i="4"/>
  <c r="W159" i="4"/>
  <c r="U159" i="4"/>
  <c r="S159" i="4"/>
  <c r="Q159" i="4"/>
  <c r="O159" i="4"/>
  <c r="M159" i="4"/>
  <c r="K159" i="4"/>
  <c r="I159" i="4"/>
  <c r="G159" i="4"/>
  <c r="E159" i="4"/>
  <c r="AA158" i="4"/>
  <c r="Y158" i="4"/>
  <c r="W158" i="4"/>
  <c r="U158" i="4"/>
  <c r="S158" i="4"/>
  <c r="Q158" i="4"/>
  <c r="O158" i="4"/>
  <c r="M158" i="4"/>
  <c r="K158" i="4"/>
  <c r="I158" i="4"/>
  <c r="G158" i="4"/>
  <c r="E158" i="4"/>
  <c r="B149" i="4"/>
  <c r="A149" i="4"/>
  <c r="B148" i="4"/>
  <c r="A148" i="4"/>
  <c r="B147" i="4"/>
  <c r="A147" i="4"/>
  <c r="C146" i="4"/>
  <c r="C160" i="4" s="1"/>
  <c r="B146" i="4"/>
  <c r="A146" i="4"/>
  <c r="C145" i="4"/>
  <c r="C159" i="4" s="1"/>
  <c r="B145" i="4"/>
  <c r="A145" i="4"/>
  <c r="C144" i="4"/>
  <c r="C158" i="4" s="1"/>
  <c r="B144" i="4"/>
  <c r="A144" i="4"/>
  <c r="AA101" i="4"/>
  <c r="Y101" i="4"/>
  <c r="W101" i="4"/>
  <c r="U101" i="4"/>
  <c r="S101" i="4"/>
  <c r="Q101" i="4"/>
  <c r="O101" i="4"/>
  <c r="M101" i="4"/>
  <c r="K101" i="4"/>
  <c r="I101" i="4"/>
  <c r="G101" i="4"/>
  <c r="E101" i="4"/>
  <c r="C101" i="4"/>
  <c r="AA100" i="4"/>
  <c r="Y100" i="4"/>
  <c r="W100" i="4"/>
  <c r="U100" i="4"/>
  <c r="S100" i="4"/>
  <c r="Q100" i="4"/>
  <c r="O100" i="4"/>
  <c r="M100" i="4"/>
  <c r="K100" i="4"/>
  <c r="I100" i="4"/>
  <c r="G100" i="4"/>
  <c r="E100" i="4"/>
  <c r="C100" i="4"/>
  <c r="AA98" i="4"/>
  <c r="Y98" i="4"/>
  <c r="W98" i="4"/>
  <c r="U98" i="4"/>
  <c r="S98" i="4"/>
  <c r="Q98" i="4"/>
  <c r="O98" i="4"/>
  <c r="M98" i="4"/>
  <c r="K98" i="4"/>
  <c r="I98" i="4"/>
  <c r="G98" i="4"/>
  <c r="E98" i="4"/>
  <c r="AA97" i="4"/>
  <c r="Y97" i="4"/>
  <c r="W97" i="4"/>
  <c r="U97" i="4"/>
  <c r="S97" i="4"/>
  <c r="Q97" i="4"/>
  <c r="O97" i="4"/>
  <c r="M97" i="4"/>
  <c r="K97" i="4"/>
  <c r="I97" i="4"/>
  <c r="G97" i="4"/>
  <c r="E97" i="4"/>
  <c r="AA96" i="4"/>
  <c r="Y96" i="4"/>
  <c r="W96" i="4"/>
  <c r="U96" i="4"/>
  <c r="S96" i="4"/>
  <c r="Q96" i="4"/>
  <c r="O96" i="4"/>
  <c r="M96" i="4"/>
  <c r="K96" i="4"/>
  <c r="I96" i="4"/>
  <c r="G96" i="4"/>
  <c r="E96" i="4"/>
  <c r="B87" i="4"/>
  <c r="A87" i="4"/>
  <c r="B86" i="4"/>
  <c r="A86" i="4"/>
  <c r="B85" i="4"/>
  <c r="A85" i="4"/>
  <c r="C84" i="4"/>
  <c r="C98" i="4" s="1"/>
  <c r="B84" i="4"/>
  <c r="A84" i="4"/>
  <c r="C83" i="4"/>
  <c r="C97" i="4" s="1"/>
  <c r="B83" i="4"/>
  <c r="A83" i="4"/>
  <c r="C82" i="4"/>
  <c r="C96" i="4" s="1"/>
  <c r="B82" i="4"/>
  <c r="A82" i="4"/>
  <c r="AA38" i="4"/>
  <c r="Y38" i="4"/>
  <c r="W38" i="4"/>
  <c r="U38" i="4"/>
  <c r="S38" i="4"/>
  <c r="Q38" i="4"/>
  <c r="O38" i="4"/>
  <c r="M38" i="4"/>
  <c r="K38" i="4"/>
  <c r="I38" i="4"/>
  <c r="G38" i="4"/>
  <c r="E38" i="4"/>
  <c r="C38" i="4"/>
  <c r="AA37" i="4"/>
  <c r="Y37" i="4"/>
  <c r="W37" i="4"/>
  <c r="U37" i="4"/>
  <c r="S37" i="4"/>
  <c r="Q37" i="4"/>
  <c r="O37" i="4"/>
  <c r="M37" i="4"/>
  <c r="K37" i="4"/>
  <c r="I37" i="4"/>
  <c r="G37" i="4"/>
  <c r="E37" i="4"/>
  <c r="C37" i="4"/>
  <c r="AA35" i="4"/>
  <c r="Y82" i="5" s="1"/>
  <c r="Y35" i="4"/>
  <c r="W82" i="5" s="1"/>
  <c r="W35" i="4"/>
  <c r="U82" i="5" s="1"/>
  <c r="U35" i="4"/>
  <c r="S82" i="5" s="1"/>
  <c r="S35" i="4"/>
  <c r="Q82" i="5" s="1"/>
  <c r="Q35" i="4"/>
  <c r="O82" i="5" s="1"/>
  <c r="O35" i="4"/>
  <c r="M82" i="5" s="1"/>
  <c r="M35" i="4"/>
  <c r="K82" i="5" s="1"/>
  <c r="K35" i="4"/>
  <c r="I82" i="5" s="1"/>
  <c r="I35" i="4"/>
  <c r="G82" i="5" s="1"/>
  <c r="G35" i="4"/>
  <c r="E82" i="5" s="1"/>
  <c r="E35" i="4"/>
  <c r="AA34" i="4"/>
  <c r="Y81" i="5" s="1"/>
  <c r="Y34" i="4"/>
  <c r="W81" i="5" s="1"/>
  <c r="W34" i="4"/>
  <c r="U81" i="5" s="1"/>
  <c r="U34" i="4"/>
  <c r="S81" i="5" s="1"/>
  <c r="S34" i="4"/>
  <c r="Q81" i="5" s="1"/>
  <c r="Q34" i="4"/>
  <c r="O81" i="5" s="1"/>
  <c r="O34" i="4"/>
  <c r="M81" i="5" s="1"/>
  <c r="M34" i="4"/>
  <c r="K81" i="5" s="1"/>
  <c r="K34" i="4"/>
  <c r="I81" i="5" s="1"/>
  <c r="I34" i="4"/>
  <c r="G81" i="5" s="1"/>
  <c r="G34" i="4"/>
  <c r="E81" i="5" s="1"/>
  <c r="E34" i="4"/>
  <c r="AA33" i="4"/>
  <c r="Y80" i="5" s="1"/>
  <c r="Y33" i="4"/>
  <c r="W80" i="5" s="1"/>
  <c r="W33" i="4"/>
  <c r="U80" i="5" s="1"/>
  <c r="U33" i="4"/>
  <c r="S80" i="5" s="1"/>
  <c r="S33" i="4"/>
  <c r="Q80" i="5" s="1"/>
  <c r="Q33" i="4"/>
  <c r="O80" i="5" s="1"/>
  <c r="O33" i="4"/>
  <c r="M80" i="5" s="1"/>
  <c r="M33" i="4"/>
  <c r="K80" i="5" s="1"/>
  <c r="K33" i="4"/>
  <c r="I80" i="5" s="1"/>
  <c r="I33" i="4"/>
  <c r="G80" i="5" s="1"/>
  <c r="G33" i="4"/>
  <c r="E80" i="5" s="1"/>
  <c r="E33" i="4"/>
  <c r="E24" i="4"/>
  <c r="B24" i="4"/>
  <c r="A24" i="4"/>
  <c r="E23" i="4"/>
  <c r="B23" i="4"/>
  <c r="A23" i="4"/>
  <c r="E22" i="4"/>
  <c r="B22" i="4"/>
  <c r="A22" i="4"/>
  <c r="C21" i="4"/>
  <c r="C35" i="4" s="1"/>
  <c r="B21" i="4"/>
  <c r="A21" i="4"/>
  <c r="C20" i="4"/>
  <c r="C34" i="4" s="1"/>
  <c r="B20" i="4"/>
  <c r="A20" i="4"/>
  <c r="C19" i="4"/>
  <c r="C33" i="4" s="1"/>
  <c r="B19" i="4"/>
  <c r="A19" i="4"/>
  <c r="D7" i="4"/>
  <c r="C7" i="4"/>
  <c r="B7" i="4"/>
  <c r="D12" i="3"/>
  <c r="L24" i="12" l="1"/>
  <c r="K24" i="12"/>
  <c r="M24" i="12"/>
  <c r="L23" i="12"/>
  <c r="K23" i="12"/>
  <c r="L21" i="12"/>
  <c r="M21" i="12"/>
  <c r="K20" i="12"/>
  <c r="L20" i="12"/>
  <c r="M20" i="12"/>
  <c r="L19" i="12"/>
  <c r="M19" i="12"/>
  <c r="K19" i="12"/>
  <c r="L17" i="12"/>
  <c r="M17" i="12"/>
  <c r="L16" i="12"/>
  <c r="K16" i="12"/>
  <c r="M16" i="12"/>
  <c r="K15" i="12"/>
  <c r="M15" i="12"/>
  <c r="L15" i="12"/>
  <c r="K11" i="12"/>
  <c r="L11" i="12"/>
  <c r="D22" i="12"/>
  <c r="J22" i="12" s="1"/>
  <c r="M22" i="12" s="1"/>
  <c r="E71" i="11"/>
  <c r="E70" i="11"/>
  <c r="E81" i="11" s="1"/>
  <c r="J5" i="11" s="1"/>
  <c r="M20" i="13" s="1"/>
  <c r="G21" i="13" s="1"/>
  <c r="D18" i="12"/>
  <c r="J18" i="12" s="1"/>
  <c r="M18" i="12" s="1"/>
  <c r="D13" i="12"/>
  <c r="I13" i="12" s="1"/>
  <c r="E51" i="11"/>
  <c r="E63" i="11" s="1"/>
  <c r="I5" i="11" s="1"/>
  <c r="L20" i="13" s="1"/>
  <c r="F21" i="13" s="1"/>
  <c r="E33" i="11"/>
  <c r="E45" i="11" s="1"/>
  <c r="H5" i="11" s="1"/>
  <c r="K20" i="13" s="1"/>
  <c r="E21" i="13" s="1"/>
  <c r="D12" i="12"/>
  <c r="H12" i="12" s="1"/>
  <c r="D45" i="9"/>
  <c r="F45" i="9"/>
  <c r="H45" i="9"/>
  <c r="J45" i="9"/>
  <c r="L45" i="9"/>
  <c r="N45" i="9"/>
  <c r="P45" i="9"/>
  <c r="R45" i="9"/>
  <c r="T45" i="9"/>
  <c r="V45" i="9"/>
  <c r="X45" i="9"/>
  <c r="Z45" i="9" s="1"/>
  <c r="D66" i="9"/>
  <c r="F66" i="9"/>
  <c r="H66" i="9"/>
  <c r="J66" i="9"/>
  <c r="L66" i="9"/>
  <c r="N66" i="9"/>
  <c r="P66" i="9"/>
  <c r="R66" i="9"/>
  <c r="T66" i="9"/>
  <c r="V66" i="9"/>
  <c r="X66" i="9"/>
  <c r="Z66" i="9"/>
  <c r="D87" i="9"/>
  <c r="F87" i="9"/>
  <c r="H87" i="9"/>
  <c r="J87" i="9"/>
  <c r="L87" i="9"/>
  <c r="N87" i="9"/>
  <c r="P87" i="9"/>
  <c r="R87" i="9"/>
  <c r="T87" i="9"/>
  <c r="V87" i="9"/>
  <c r="X87" i="9"/>
  <c r="Z87" i="9"/>
  <c r="D44" i="9"/>
  <c r="F44" i="9"/>
  <c r="H44" i="9"/>
  <c r="J44" i="9"/>
  <c r="L44" i="9"/>
  <c r="N44" i="9"/>
  <c r="P44" i="9"/>
  <c r="R44" i="9"/>
  <c r="T44" i="9"/>
  <c r="V44" i="9"/>
  <c r="X44" i="9"/>
  <c r="Z44" i="9"/>
  <c r="D65" i="9"/>
  <c r="F65" i="9"/>
  <c r="H65" i="9"/>
  <c r="J65" i="9"/>
  <c r="L65" i="9"/>
  <c r="N65" i="9"/>
  <c r="P65" i="9"/>
  <c r="R65" i="9"/>
  <c r="T65" i="9"/>
  <c r="V65" i="9"/>
  <c r="X65" i="9"/>
  <c r="Z65" i="9"/>
  <c r="D86" i="9"/>
  <c r="F86" i="9"/>
  <c r="H86" i="9"/>
  <c r="J86" i="9"/>
  <c r="L86" i="9"/>
  <c r="N86" i="9"/>
  <c r="P86" i="9"/>
  <c r="R86" i="9"/>
  <c r="T86" i="9"/>
  <c r="V86" i="9"/>
  <c r="X86" i="9"/>
  <c r="Z86" i="9"/>
  <c r="D43" i="9"/>
  <c r="F43" i="9"/>
  <c r="H43" i="9"/>
  <c r="J43" i="9"/>
  <c r="L43" i="9"/>
  <c r="N43" i="9"/>
  <c r="P43" i="9"/>
  <c r="R43" i="9"/>
  <c r="T43" i="9"/>
  <c r="V43" i="9"/>
  <c r="X43" i="9"/>
  <c r="Z43" i="9"/>
  <c r="D64" i="9"/>
  <c r="F64" i="9"/>
  <c r="H64" i="9"/>
  <c r="J64" i="9"/>
  <c r="L64" i="9"/>
  <c r="N64" i="9"/>
  <c r="P64" i="9"/>
  <c r="R64" i="9"/>
  <c r="T64" i="9"/>
  <c r="V64" i="9"/>
  <c r="X64" i="9"/>
  <c r="Z64" i="9"/>
  <c r="D85" i="9"/>
  <c r="F85" i="9"/>
  <c r="H85" i="9"/>
  <c r="J85" i="9"/>
  <c r="L85" i="9"/>
  <c r="N85" i="9"/>
  <c r="P85" i="9"/>
  <c r="R85" i="9"/>
  <c r="T85" i="9"/>
  <c r="V85" i="9"/>
  <c r="X85" i="9"/>
  <c r="Z85" i="9"/>
  <c r="D42" i="9"/>
  <c r="F42" i="9"/>
  <c r="H42" i="9"/>
  <c r="J42" i="9"/>
  <c r="L42" i="9"/>
  <c r="N42" i="9"/>
  <c r="P42" i="9"/>
  <c r="R42" i="9"/>
  <c r="T42" i="9"/>
  <c r="V42" i="9"/>
  <c r="X42" i="9"/>
  <c r="Z42" i="9"/>
  <c r="D63" i="9"/>
  <c r="F63" i="9"/>
  <c r="H63" i="9"/>
  <c r="J63" i="9"/>
  <c r="L63" i="9"/>
  <c r="N63" i="9" s="1"/>
  <c r="P63" i="9"/>
  <c r="R63" i="9"/>
  <c r="T63" i="9"/>
  <c r="V63" i="9"/>
  <c r="X63" i="9"/>
  <c r="Z63" i="9"/>
  <c r="D84" i="9"/>
  <c r="F84" i="9"/>
  <c r="H84" i="9"/>
  <c r="J84" i="9"/>
  <c r="L84" i="9"/>
  <c r="N84" i="9"/>
  <c r="P84" i="9"/>
  <c r="R84" i="9"/>
  <c r="T84" i="9"/>
  <c r="V84" i="9"/>
  <c r="X84" i="9"/>
  <c r="Z84" i="9"/>
  <c r="D41" i="9"/>
  <c r="F41" i="9"/>
  <c r="H41" i="9"/>
  <c r="J41" i="9"/>
  <c r="L41" i="9"/>
  <c r="N41" i="9"/>
  <c r="P41" i="9"/>
  <c r="R41" i="9"/>
  <c r="T41" i="9"/>
  <c r="V41" i="9"/>
  <c r="X41" i="9"/>
  <c r="Z41" i="9" s="1"/>
  <c r="D62" i="9"/>
  <c r="F62" i="9"/>
  <c r="H62" i="9"/>
  <c r="J62" i="9"/>
  <c r="L62" i="9"/>
  <c r="N62" i="9"/>
  <c r="P62" i="9"/>
  <c r="R62" i="9"/>
  <c r="T62" i="9"/>
  <c r="V62" i="9"/>
  <c r="X62" i="9"/>
  <c r="Z62" i="9"/>
  <c r="D83" i="9"/>
  <c r="F83" i="9"/>
  <c r="H83" i="9"/>
  <c r="J83" i="9"/>
  <c r="L83" i="9"/>
  <c r="N83" i="9" s="1"/>
  <c r="P83" i="9"/>
  <c r="R83" i="9"/>
  <c r="T83" i="9"/>
  <c r="V83" i="9"/>
  <c r="X83" i="9"/>
  <c r="Z83" i="9"/>
  <c r="D40" i="9"/>
  <c r="F40" i="9"/>
  <c r="H40" i="9"/>
  <c r="J40" i="9"/>
  <c r="L40" i="9"/>
  <c r="N40" i="9"/>
  <c r="P40" i="9"/>
  <c r="R40" i="9"/>
  <c r="T40" i="9"/>
  <c r="V40" i="9"/>
  <c r="X40" i="9"/>
  <c r="Z40" i="9"/>
  <c r="D61" i="9"/>
  <c r="F61" i="9"/>
  <c r="H61" i="9"/>
  <c r="J61" i="9"/>
  <c r="L61" i="9"/>
  <c r="N61" i="9"/>
  <c r="P61" i="9"/>
  <c r="R61" i="9"/>
  <c r="T61" i="9"/>
  <c r="V61" i="9"/>
  <c r="X61" i="9"/>
  <c r="Z61" i="9"/>
  <c r="D82" i="9"/>
  <c r="F82" i="9"/>
  <c r="H82" i="9"/>
  <c r="J82" i="9"/>
  <c r="L82" i="9"/>
  <c r="N82" i="9"/>
  <c r="P82" i="9"/>
  <c r="R82" i="9"/>
  <c r="T82" i="9"/>
  <c r="V82" i="9"/>
  <c r="X82" i="9"/>
  <c r="Z82" i="9"/>
  <c r="D39" i="9"/>
  <c r="F39" i="9"/>
  <c r="H39" i="9"/>
  <c r="J39" i="9"/>
  <c r="L39" i="9"/>
  <c r="N39" i="9"/>
  <c r="P39" i="9"/>
  <c r="R39" i="9"/>
  <c r="T39" i="9"/>
  <c r="V39" i="9"/>
  <c r="X39" i="9"/>
  <c r="Z39" i="9"/>
  <c r="D60" i="9"/>
  <c r="F60" i="9"/>
  <c r="H60" i="9"/>
  <c r="J60" i="9"/>
  <c r="L60" i="9"/>
  <c r="N60" i="9"/>
  <c r="P60" i="9"/>
  <c r="R60" i="9"/>
  <c r="T60" i="9"/>
  <c r="V60" i="9"/>
  <c r="X60" i="9"/>
  <c r="Z60" i="9"/>
  <c r="D81" i="9"/>
  <c r="F81" i="9"/>
  <c r="H81" i="9"/>
  <c r="J81" i="9"/>
  <c r="L81" i="9"/>
  <c r="N81" i="9"/>
  <c r="P81" i="9"/>
  <c r="R81" i="9"/>
  <c r="T81" i="9"/>
  <c r="V81" i="9"/>
  <c r="X81" i="9"/>
  <c r="Z81" i="9"/>
  <c r="D38" i="9"/>
  <c r="F38" i="9"/>
  <c r="H38" i="9"/>
  <c r="J38" i="9"/>
  <c r="L38" i="9"/>
  <c r="N38" i="9"/>
  <c r="P38" i="9"/>
  <c r="R38" i="9"/>
  <c r="T38" i="9"/>
  <c r="V38" i="9"/>
  <c r="X38" i="9"/>
  <c r="Z38" i="9"/>
  <c r="D59" i="9"/>
  <c r="AA59" i="9" s="1"/>
  <c r="F59" i="9"/>
  <c r="H59" i="9"/>
  <c r="J59" i="9"/>
  <c r="L59" i="9"/>
  <c r="N59" i="9"/>
  <c r="P59" i="9"/>
  <c r="R59" i="9"/>
  <c r="T59" i="9"/>
  <c r="V59" i="9"/>
  <c r="X59" i="9"/>
  <c r="Z59" i="9"/>
  <c r="D80" i="9"/>
  <c r="F80" i="9"/>
  <c r="H80" i="9"/>
  <c r="J80" i="9"/>
  <c r="L80" i="9"/>
  <c r="N80" i="9"/>
  <c r="P80" i="9"/>
  <c r="R80" i="9"/>
  <c r="T80" i="9"/>
  <c r="V80" i="9"/>
  <c r="X80" i="9"/>
  <c r="Z80" i="9"/>
  <c r="D37" i="9"/>
  <c r="F37" i="9"/>
  <c r="H37" i="9"/>
  <c r="J37" i="9"/>
  <c r="L37" i="9"/>
  <c r="N37" i="9"/>
  <c r="P37" i="9"/>
  <c r="R37" i="9"/>
  <c r="T37" i="9"/>
  <c r="V37" i="9"/>
  <c r="X37" i="9"/>
  <c r="Z37" i="9"/>
  <c r="D58" i="9"/>
  <c r="F58" i="9"/>
  <c r="H58" i="9"/>
  <c r="J58" i="9"/>
  <c r="L58" i="9"/>
  <c r="N58" i="9"/>
  <c r="P58" i="9"/>
  <c r="R58" i="9"/>
  <c r="T58" i="9"/>
  <c r="V58" i="9"/>
  <c r="X58" i="9"/>
  <c r="Z58" i="9"/>
  <c r="D79" i="9"/>
  <c r="F79" i="9"/>
  <c r="H79" i="9"/>
  <c r="J79" i="9"/>
  <c r="L79" i="9"/>
  <c r="N79" i="9"/>
  <c r="P79" i="9"/>
  <c r="R79" i="9"/>
  <c r="T79" i="9"/>
  <c r="V79" i="9"/>
  <c r="X79" i="9"/>
  <c r="Z79" i="9"/>
  <c r="D36" i="9"/>
  <c r="F36" i="9"/>
  <c r="H36" i="9"/>
  <c r="J36" i="9"/>
  <c r="L36" i="9"/>
  <c r="N36" i="9" s="1"/>
  <c r="P36" i="9"/>
  <c r="R36" i="9"/>
  <c r="T36" i="9"/>
  <c r="V36" i="9"/>
  <c r="X36" i="9"/>
  <c r="Z36" i="9"/>
  <c r="D57" i="9"/>
  <c r="F57" i="9"/>
  <c r="H57" i="9"/>
  <c r="J57" i="9"/>
  <c r="L57" i="9"/>
  <c r="N57" i="9"/>
  <c r="P57" i="9"/>
  <c r="R57" i="9"/>
  <c r="T57" i="9"/>
  <c r="V57" i="9"/>
  <c r="X57" i="9"/>
  <c r="Z57" i="9"/>
  <c r="D78" i="9"/>
  <c r="F78" i="9"/>
  <c r="H78" i="9"/>
  <c r="J78" i="9"/>
  <c r="L78" i="9"/>
  <c r="N78" i="9"/>
  <c r="P78" i="9"/>
  <c r="R78" i="9"/>
  <c r="T78" i="9"/>
  <c r="V78" i="9"/>
  <c r="X78" i="9"/>
  <c r="Z78" i="9"/>
  <c r="D35" i="9"/>
  <c r="F35" i="9"/>
  <c r="H35" i="9"/>
  <c r="J35" i="9"/>
  <c r="L35" i="9"/>
  <c r="N35" i="9"/>
  <c r="P35" i="9"/>
  <c r="R35" i="9"/>
  <c r="T35" i="9"/>
  <c r="V35" i="9"/>
  <c r="X35" i="9"/>
  <c r="Z35" i="9"/>
  <c r="D56" i="9"/>
  <c r="F56" i="9"/>
  <c r="H56" i="9"/>
  <c r="J56" i="9"/>
  <c r="L56" i="9"/>
  <c r="N56" i="9"/>
  <c r="P56" i="9"/>
  <c r="R56" i="9"/>
  <c r="T56" i="9"/>
  <c r="V56" i="9"/>
  <c r="X56" i="9"/>
  <c r="Z56" i="9"/>
  <c r="D77" i="9"/>
  <c r="F77" i="9"/>
  <c r="H77" i="9"/>
  <c r="J77" i="9"/>
  <c r="L77" i="9"/>
  <c r="N77" i="9"/>
  <c r="P77" i="9"/>
  <c r="R77" i="9"/>
  <c r="T77" i="9"/>
  <c r="V77" i="9"/>
  <c r="X77" i="9"/>
  <c r="Z77" i="9"/>
  <c r="D34" i="9"/>
  <c r="F34" i="9"/>
  <c r="H34" i="9"/>
  <c r="J34" i="9"/>
  <c r="L34" i="9"/>
  <c r="N34" i="9"/>
  <c r="P34" i="9"/>
  <c r="R34" i="9"/>
  <c r="T34" i="9"/>
  <c r="V34" i="9"/>
  <c r="X34" i="9"/>
  <c r="Z34" i="9"/>
  <c r="D55" i="9"/>
  <c r="F55" i="9"/>
  <c r="H55" i="9"/>
  <c r="J55" i="9"/>
  <c r="L55" i="9"/>
  <c r="N55" i="9"/>
  <c r="P55" i="9"/>
  <c r="R55" i="9"/>
  <c r="T55" i="9"/>
  <c r="V55" i="9"/>
  <c r="X55" i="9"/>
  <c r="Z55" i="9"/>
  <c r="D76" i="9"/>
  <c r="F76" i="9"/>
  <c r="H76" i="9"/>
  <c r="J76" i="9"/>
  <c r="L76" i="9"/>
  <c r="N76" i="9" s="1"/>
  <c r="P76" i="9"/>
  <c r="R76" i="9"/>
  <c r="T76" i="9"/>
  <c r="V76" i="9"/>
  <c r="X76" i="9"/>
  <c r="Z76" i="9"/>
  <c r="D33" i="9"/>
  <c r="F33" i="9"/>
  <c r="H33" i="9"/>
  <c r="J33" i="9"/>
  <c r="L33" i="9"/>
  <c r="N33" i="9"/>
  <c r="P33" i="9"/>
  <c r="R33" i="9"/>
  <c r="T33" i="9"/>
  <c r="V33" i="9"/>
  <c r="X33" i="9"/>
  <c r="Z33" i="9" s="1"/>
  <c r="D54" i="9"/>
  <c r="F54" i="9"/>
  <c r="H54" i="9"/>
  <c r="J54" i="9"/>
  <c r="L54" i="9"/>
  <c r="N54" i="9"/>
  <c r="P54" i="9"/>
  <c r="R54" i="9"/>
  <c r="T54" i="9"/>
  <c r="V54" i="9"/>
  <c r="X54" i="9"/>
  <c r="Z54" i="9"/>
  <c r="D75" i="9"/>
  <c r="F75" i="9"/>
  <c r="H75" i="9"/>
  <c r="J75" i="9"/>
  <c r="L75" i="9"/>
  <c r="N75" i="9"/>
  <c r="P75" i="9"/>
  <c r="R75" i="9"/>
  <c r="T75" i="9"/>
  <c r="V75" i="9"/>
  <c r="X75" i="9"/>
  <c r="Z75" i="9"/>
  <c r="D32" i="9"/>
  <c r="F32" i="9"/>
  <c r="H32" i="9"/>
  <c r="J32" i="9"/>
  <c r="L32" i="9"/>
  <c r="N32" i="9"/>
  <c r="P32" i="9"/>
  <c r="R32" i="9"/>
  <c r="T32" i="9"/>
  <c r="V32" i="9"/>
  <c r="X32" i="9"/>
  <c r="Z32" i="9"/>
  <c r="D53" i="9"/>
  <c r="F53" i="9"/>
  <c r="H53" i="9"/>
  <c r="J53" i="9"/>
  <c r="L53" i="9"/>
  <c r="N53" i="9"/>
  <c r="P53" i="9"/>
  <c r="R53" i="9"/>
  <c r="T53" i="9"/>
  <c r="V53" i="9"/>
  <c r="X53" i="9"/>
  <c r="X67" i="9" s="1"/>
  <c r="Z53" i="9"/>
  <c r="Z67" i="9" s="1"/>
  <c r="D74" i="9"/>
  <c r="F74" i="9"/>
  <c r="F88" i="9" s="1"/>
  <c r="H74" i="9"/>
  <c r="H88" i="9" s="1"/>
  <c r="J74" i="9"/>
  <c r="J88" i="9" s="1"/>
  <c r="L74" i="9"/>
  <c r="L88" i="9" s="1"/>
  <c r="N74" i="9"/>
  <c r="P74" i="9"/>
  <c r="P88" i="9" s="1"/>
  <c r="R74" i="9"/>
  <c r="R88" i="9" s="1"/>
  <c r="T74" i="9"/>
  <c r="T88" i="9" s="1"/>
  <c r="V74" i="9"/>
  <c r="V88" i="9" s="1"/>
  <c r="X74" i="9"/>
  <c r="X88" i="9" s="1"/>
  <c r="Z74" i="9"/>
  <c r="Z88" i="9" s="1"/>
  <c r="AB61" i="8"/>
  <c r="AB38" i="8"/>
  <c r="AB15" i="8"/>
  <c r="D10" i="10"/>
  <c r="M10" i="13"/>
  <c r="C10" i="10"/>
  <c r="L10" i="13"/>
  <c r="B10" i="10"/>
  <c r="K10" i="13"/>
  <c r="Z102" i="5"/>
  <c r="X102" i="5"/>
  <c r="V102" i="5"/>
  <c r="B91" i="5"/>
  <c r="L71" i="5"/>
  <c r="AA58" i="5"/>
  <c r="AC58" i="5" s="1"/>
  <c r="AC65" i="5" s="1"/>
  <c r="E71" i="5"/>
  <c r="F71" i="5"/>
  <c r="U62" i="5"/>
  <c r="W62" i="5" s="1"/>
  <c r="W65" i="5" s="1"/>
  <c r="L52" i="5"/>
  <c r="AA39" i="5"/>
  <c r="AC39" i="5" s="1"/>
  <c r="AC47" i="5" s="1"/>
  <c r="E52" i="5"/>
  <c r="F52" i="5"/>
  <c r="U43" i="5"/>
  <c r="W43" i="5" s="1"/>
  <c r="W47" i="5" s="1"/>
  <c r="L33" i="5"/>
  <c r="AA20" i="5"/>
  <c r="AC20" i="5" s="1"/>
  <c r="AC28" i="5" s="1"/>
  <c r="E33" i="5"/>
  <c r="F33" i="5"/>
  <c r="U20" i="5"/>
  <c r="W20" i="5" s="1"/>
  <c r="W28" i="5" s="1"/>
  <c r="X146" i="4"/>
  <c r="V146" i="4"/>
  <c r="T146" i="4"/>
  <c r="R146" i="4"/>
  <c r="P146" i="4"/>
  <c r="N146" i="4"/>
  <c r="L146" i="4"/>
  <c r="J146" i="4"/>
  <c r="H146" i="4"/>
  <c r="F146" i="4"/>
  <c r="D146" i="4"/>
  <c r="E19" i="6" s="1"/>
  <c r="AB146" i="4"/>
  <c r="Z146" i="4"/>
  <c r="T145" i="4"/>
  <c r="D145" i="4"/>
  <c r="E18" i="6" s="1"/>
  <c r="F145" i="4"/>
  <c r="H145" i="4"/>
  <c r="J145" i="4"/>
  <c r="L145" i="4"/>
  <c r="N145" i="4"/>
  <c r="P145" i="4"/>
  <c r="R145" i="4"/>
  <c r="AB145" i="4"/>
  <c r="Z145" i="4"/>
  <c r="X145" i="4"/>
  <c r="V145" i="4"/>
  <c r="X144" i="4"/>
  <c r="L144" i="4"/>
  <c r="J144" i="4"/>
  <c r="F144" i="4"/>
  <c r="D144" i="4"/>
  <c r="H144" i="4"/>
  <c r="AB144" i="4"/>
  <c r="Z144" i="4"/>
  <c r="N144" i="4"/>
  <c r="P144" i="4"/>
  <c r="R144" i="4"/>
  <c r="T144" i="4"/>
  <c r="V144" i="4"/>
  <c r="AB84" i="4"/>
  <c r="Z84" i="4"/>
  <c r="X84" i="4"/>
  <c r="V84" i="4"/>
  <c r="T84" i="4"/>
  <c r="R84" i="4"/>
  <c r="P84" i="4"/>
  <c r="N84" i="4"/>
  <c r="L84" i="4"/>
  <c r="J84" i="4"/>
  <c r="H84" i="4"/>
  <c r="F84" i="4"/>
  <c r="D84" i="4"/>
  <c r="D19" i="6" s="1"/>
  <c r="J83" i="4"/>
  <c r="D83" i="4"/>
  <c r="D18" i="6" s="1"/>
  <c r="F83" i="4"/>
  <c r="H83" i="4"/>
  <c r="L83" i="4"/>
  <c r="N83" i="4"/>
  <c r="P83" i="4"/>
  <c r="R83" i="4"/>
  <c r="T83" i="4"/>
  <c r="V83" i="4"/>
  <c r="X83" i="4"/>
  <c r="Z83" i="4"/>
  <c r="AB83" i="4"/>
  <c r="N82" i="4"/>
  <c r="D82" i="4"/>
  <c r="F82" i="4"/>
  <c r="H82" i="4"/>
  <c r="J82" i="4"/>
  <c r="L82" i="4"/>
  <c r="Z82" i="4"/>
  <c r="P82" i="4"/>
  <c r="R82" i="4"/>
  <c r="T82" i="4"/>
  <c r="V82" i="4"/>
  <c r="X82" i="4"/>
  <c r="AB82" i="4"/>
  <c r="Z80" i="5"/>
  <c r="X80" i="5"/>
  <c r="V80" i="5"/>
  <c r="T80" i="5"/>
  <c r="R80" i="5"/>
  <c r="P80" i="5"/>
  <c r="N80" i="5"/>
  <c r="L80" i="5"/>
  <c r="J80" i="5"/>
  <c r="H80" i="5"/>
  <c r="F80" i="5"/>
  <c r="G24" i="4"/>
  <c r="F24" i="4"/>
  <c r="G23" i="4"/>
  <c r="F23" i="4"/>
  <c r="E36" i="4"/>
  <c r="C83" i="5"/>
  <c r="G22" i="4"/>
  <c r="F22" i="4"/>
  <c r="P21" i="4"/>
  <c r="Z21" i="4"/>
  <c r="X21" i="4"/>
  <c r="V21" i="4"/>
  <c r="T21" i="4"/>
  <c r="R21" i="4"/>
  <c r="AB21" i="4"/>
  <c r="N21" i="4"/>
  <c r="L21" i="4"/>
  <c r="J21" i="4"/>
  <c r="H21" i="4"/>
  <c r="F21" i="4"/>
  <c r="D21" i="4"/>
  <c r="C19" i="6" s="1"/>
  <c r="J20" i="4"/>
  <c r="X20" i="4"/>
  <c r="AB20" i="4"/>
  <c r="T20" i="4"/>
  <c r="R20" i="4"/>
  <c r="P20" i="4"/>
  <c r="N20" i="4"/>
  <c r="L20" i="4"/>
  <c r="Z20" i="4"/>
  <c r="H20" i="4"/>
  <c r="F20" i="4"/>
  <c r="D20" i="4"/>
  <c r="C18" i="6" s="1"/>
  <c r="V20" i="4"/>
  <c r="Z19" i="4"/>
  <c r="X19" i="4"/>
  <c r="AB19" i="4"/>
  <c r="T19" i="4"/>
  <c r="R19" i="4"/>
  <c r="P19" i="4"/>
  <c r="N19" i="4"/>
  <c r="L19" i="4"/>
  <c r="J19" i="4"/>
  <c r="H19" i="4"/>
  <c r="F19" i="4"/>
  <c r="F32" i="4" s="1"/>
  <c r="D19" i="4"/>
  <c r="V19" i="4"/>
  <c r="D26" i="3"/>
  <c r="D25" i="3"/>
  <c r="D24" i="3"/>
  <c r="AB45" i="8"/>
  <c r="I10" i="8" s="1"/>
  <c r="F24" i="13" s="1"/>
  <c r="Z104" i="5"/>
  <c r="X104" i="5"/>
  <c r="V104" i="5"/>
  <c r="T104" i="5"/>
  <c r="R104" i="5"/>
  <c r="P104" i="5"/>
  <c r="N104" i="5"/>
  <c r="L104" i="5"/>
  <c r="J104" i="5"/>
  <c r="H104" i="5"/>
  <c r="F104" i="5"/>
  <c r="D104" i="5"/>
  <c r="B104" i="5" s="1"/>
  <c r="Z103" i="5"/>
  <c r="X103" i="5"/>
  <c r="V103" i="5"/>
  <c r="T103" i="5"/>
  <c r="R103" i="5"/>
  <c r="P103" i="5"/>
  <c r="N103" i="5"/>
  <c r="L103" i="5"/>
  <c r="J103" i="5"/>
  <c r="H103" i="5"/>
  <c r="F103" i="5"/>
  <c r="D103" i="5"/>
  <c r="B103" i="5" s="1"/>
  <c r="T102" i="5"/>
  <c r="R102" i="5"/>
  <c r="P102" i="5"/>
  <c r="N102" i="5"/>
  <c r="L102" i="5"/>
  <c r="J102" i="5"/>
  <c r="H102" i="5"/>
  <c r="F102" i="5"/>
  <c r="D102" i="5"/>
  <c r="D81" i="5"/>
  <c r="D80" i="5"/>
  <c r="Z82" i="5"/>
  <c r="X82" i="5"/>
  <c r="V82" i="5"/>
  <c r="T82" i="5"/>
  <c r="R82" i="5"/>
  <c r="P82" i="5"/>
  <c r="T81" i="5"/>
  <c r="P81" i="5"/>
  <c r="N81" i="5"/>
  <c r="L81" i="5"/>
  <c r="H81" i="5"/>
  <c r="F81" i="5"/>
  <c r="N82" i="5"/>
  <c r="L82" i="5"/>
  <c r="J82" i="5"/>
  <c r="H82" i="5"/>
  <c r="F82" i="5"/>
  <c r="B82" i="5" s="1"/>
  <c r="Z81" i="5"/>
  <c r="X81" i="5"/>
  <c r="V81" i="5"/>
  <c r="R81" i="5"/>
  <c r="J81" i="5"/>
  <c r="L13" i="12" l="1"/>
  <c r="M13" i="12"/>
  <c r="M12" i="12"/>
  <c r="M27" i="12" s="1"/>
  <c r="K5" i="12" s="1"/>
  <c r="M16" i="13" s="1"/>
  <c r="K12" i="12"/>
  <c r="K27" i="12" s="1"/>
  <c r="I5" i="12" s="1"/>
  <c r="K16" i="13" s="1"/>
  <c r="L12" i="12"/>
  <c r="L27" i="12" s="1"/>
  <c r="J5" i="12" s="1"/>
  <c r="L16" i="13" s="1"/>
  <c r="AA32" i="9"/>
  <c r="D46" i="9"/>
  <c r="AA53" i="9"/>
  <c r="D67" i="9"/>
  <c r="AA74" i="9"/>
  <c r="D88" i="9"/>
  <c r="G13" i="13"/>
  <c r="F13" i="13"/>
  <c r="E13" i="13"/>
  <c r="E17" i="6"/>
  <c r="D17" i="6"/>
  <c r="H24" i="4"/>
  <c r="I24" i="4"/>
  <c r="E85" i="5"/>
  <c r="F85" i="5" s="1"/>
  <c r="H23" i="4"/>
  <c r="I23" i="4"/>
  <c r="E84" i="5"/>
  <c r="F84" i="5" s="1"/>
  <c r="D83" i="5"/>
  <c r="C86" i="5"/>
  <c r="H22" i="4"/>
  <c r="H32" i="4" s="1"/>
  <c r="I22" i="4"/>
  <c r="G36" i="4"/>
  <c r="E83" i="5"/>
  <c r="F17" i="8"/>
  <c r="G17" i="8" s="1"/>
  <c r="F19" i="8"/>
  <c r="G19" i="8" s="1"/>
  <c r="F18" i="8"/>
  <c r="G18" i="8" s="1"/>
  <c r="C17" i="6"/>
  <c r="D6" i="11"/>
  <c r="D10" i="6"/>
  <c r="E6" i="7"/>
  <c r="D7" i="8"/>
  <c r="D7" i="9"/>
  <c r="D6" i="10"/>
  <c r="D8" i="4"/>
  <c r="D6" i="12"/>
  <c r="M6" i="13"/>
  <c r="C6" i="12"/>
  <c r="C10" i="6"/>
  <c r="D6" i="7"/>
  <c r="C7" i="8"/>
  <c r="C7" i="9"/>
  <c r="C6" i="11"/>
  <c r="C6" i="10"/>
  <c r="L6" i="13"/>
  <c r="C8" i="4"/>
  <c r="B6" i="11"/>
  <c r="B10" i="6"/>
  <c r="C6" i="7"/>
  <c r="B7" i="8"/>
  <c r="B7" i="9"/>
  <c r="B6" i="10"/>
  <c r="B8" i="4"/>
  <c r="K6" i="13"/>
  <c r="B6" i="12"/>
  <c r="B102" i="5"/>
  <c r="B80" i="5"/>
  <c r="D86" i="5"/>
  <c r="AA45" i="9"/>
  <c r="AA61" i="9"/>
  <c r="AA66" i="9"/>
  <c r="AA87" i="9"/>
  <c r="AA44" i="9"/>
  <c r="AA65" i="9"/>
  <c r="AA86" i="9"/>
  <c r="AA43" i="9"/>
  <c r="AA63" i="9"/>
  <c r="AA84" i="9"/>
  <c r="AA40" i="9"/>
  <c r="AA64" i="9"/>
  <c r="AA85" i="9"/>
  <c r="AA42" i="9"/>
  <c r="AA41" i="9"/>
  <c r="AA62" i="9"/>
  <c r="AA83" i="9"/>
  <c r="AA82" i="9"/>
  <c r="AA39" i="9"/>
  <c r="AA60" i="9"/>
  <c r="AA81" i="9"/>
  <c r="AA38" i="9"/>
  <c r="AA33" i="9"/>
  <c r="AA54" i="9"/>
  <c r="AA75" i="9"/>
  <c r="J46" i="9"/>
  <c r="P46" i="9"/>
  <c r="X46" i="9"/>
  <c r="F67" i="9"/>
  <c r="N67" i="9"/>
  <c r="V67" i="9"/>
  <c r="N88" i="9"/>
  <c r="B81" i="5"/>
  <c r="AA80" i="9"/>
  <c r="AA37" i="9"/>
  <c r="AA58" i="9"/>
  <c r="AA79" i="9"/>
  <c r="AA36" i="9"/>
  <c r="AA56" i="9"/>
  <c r="AA77" i="9"/>
  <c r="AA34" i="9"/>
  <c r="AA55" i="9"/>
  <c r="H46" i="9"/>
  <c r="N46" i="9"/>
  <c r="T46" i="9"/>
  <c r="H67" i="9"/>
  <c r="L67" i="9"/>
  <c r="R67" i="9"/>
  <c r="AA57" i="9"/>
  <c r="AA78" i="9"/>
  <c r="AA35" i="9"/>
  <c r="AA76" i="9"/>
  <c r="F46" i="9"/>
  <c r="L46" i="9"/>
  <c r="R46" i="9"/>
  <c r="V46" i="9"/>
  <c r="J67" i="9"/>
  <c r="P67" i="9"/>
  <c r="T67" i="9"/>
  <c r="Z46" i="9"/>
  <c r="J24" i="4" l="1"/>
  <c r="K24" i="4"/>
  <c r="G85" i="5"/>
  <c r="H85" i="5" s="1"/>
  <c r="J23" i="4"/>
  <c r="K23" i="4"/>
  <c r="G84" i="5"/>
  <c r="H84" i="5" s="1"/>
  <c r="J22" i="4"/>
  <c r="K22" i="4"/>
  <c r="I36" i="4"/>
  <c r="G83" i="5"/>
  <c r="H17" i="8"/>
  <c r="I17" i="8" s="1"/>
  <c r="H18" i="8"/>
  <c r="I18" i="8" s="1"/>
  <c r="H19" i="8"/>
  <c r="I19" i="8" s="1"/>
  <c r="E86" i="5"/>
  <c r="F83" i="5"/>
  <c r="D87" i="5"/>
  <c r="AA46" i="9"/>
  <c r="H6" i="9" s="1"/>
  <c r="AA67" i="9"/>
  <c r="I6" i="9" s="1"/>
  <c r="AA88" i="9"/>
  <c r="J6" i="9" s="1"/>
  <c r="L24" i="4" l="1"/>
  <c r="M24" i="4"/>
  <c r="I85" i="5"/>
  <c r="J85" i="5" s="1"/>
  <c r="L23" i="4"/>
  <c r="M23" i="4"/>
  <c r="I84" i="5"/>
  <c r="J84" i="5" s="1"/>
  <c r="L22" i="4"/>
  <c r="L32" i="4" s="1"/>
  <c r="M22" i="4"/>
  <c r="K36" i="4"/>
  <c r="I83" i="5"/>
  <c r="J18" i="8"/>
  <c r="K18" i="8" s="1"/>
  <c r="J17" i="8"/>
  <c r="K17" i="8" s="1"/>
  <c r="J19" i="8"/>
  <c r="K19" i="8" s="1"/>
  <c r="G86" i="5"/>
  <c r="H83" i="5"/>
  <c r="H86" i="5" s="1"/>
  <c r="H87" i="5" s="1"/>
  <c r="F86" i="5"/>
  <c r="D88" i="5"/>
  <c r="D25" i="8"/>
  <c r="E25" i="8" s="1"/>
  <c r="B12" i="10"/>
  <c r="K12" i="13"/>
  <c r="C12" i="10"/>
  <c r="L12" i="13"/>
  <c r="D12" i="10"/>
  <c r="M12" i="13"/>
  <c r="J32" i="4"/>
  <c r="N24" i="4" l="1"/>
  <c r="O24" i="4"/>
  <c r="K85" i="5"/>
  <c r="L85" i="5" s="1"/>
  <c r="N23" i="4"/>
  <c r="O23" i="4"/>
  <c r="K84" i="5"/>
  <c r="L84" i="5" s="1"/>
  <c r="N22" i="4"/>
  <c r="N32" i="4" s="1"/>
  <c r="O22" i="4"/>
  <c r="M36" i="4"/>
  <c r="K83" i="5"/>
  <c r="L17" i="8"/>
  <c r="M17" i="8" s="1"/>
  <c r="L19" i="8"/>
  <c r="M19" i="8" s="1"/>
  <c r="L18" i="8"/>
  <c r="M18" i="8" s="1"/>
  <c r="I86" i="5"/>
  <c r="J83" i="5"/>
  <c r="H88" i="5"/>
  <c r="H25" i="8"/>
  <c r="I25" i="8" s="1"/>
  <c r="I32" i="8" s="1"/>
  <c r="F87" i="5"/>
  <c r="E32" i="8"/>
  <c r="E15" i="13"/>
  <c r="F15" i="13"/>
  <c r="G15" i="13"/>
  <c r="P24" i="4" l="1"/>
  <c r="Q24" i="4"/>
  <c r="M85" i="5"/>
  <c r="N85" i="5" s="1"/>
  <c r="P23" i="4"/>
  <c r="Q23" i="4"/>
  <c r="M84" i="5"/>
  <c r="N84" i="5" s="1"/>
  <c r="P22" i="4"/>
  <c r="Q22" i="4"/>
  <c r="O36" i="4"/>
  <c r="M83" i="5"/>
  <c r="N19" i="8"/>
  <c r="O19" i="8" s="1"/>
  <c r="N17" i="8"/>
  <c r="O17" i="8" s="1"/>
  <c r="N18" i="8"/>
  <c r="O18" i="8" s="1"/>
  <c r="K86" i="5"/>
  <c r="L83" i="5"/>
  <c r="L86" i="5" s="1"/>
  <c r="L87" i="5" s="1"/>
  <c r="J86" i="5"/>
  <c r="F88" i="5"/>
  <c r="F25" i="8"/>
  <c r="G25" i="8" s="1"/>
  <c r="R24" i="4" l="1"/>
  <c r="S24" i="4"/>
  <c r="O85" i="5"/>
  <c r="P85" i="5" s="1"/>
  <c r="R23" i="4"/>
  <c r="S23" i="4"/>
  <c r="O84" i="5"/>
  <c r="P84" i="5" s="1"/>
  <c r="R22" i="4"/>
  <c r="S22" i="4"/>
  <c r="Q36" i="4"/>
  <c r="O83" i="5"/>
  <c r="P19" i="8"/>
  <c r="Q19" i="8" s="1"/>
  <c r="P17" i="8"/>
  <c r="Q17" i="8" s="1"/>
  <c r="P18" i="8"/>
  <c r="Q18" i="8" s="1"/>
  <c r="M86" i="5"/>
  <c r="N83" i="5"/>
  <c r="L88" i="5"/>
  <c r="L25" i="8"/>
  <c r="M25" i="8" s="1"/>
  <c r="M32" i="8" s="1"/>
  <c r="J87" i="5"/>
  <c r="G32" i="8"/>
  <c r="P32" i="4"/>
  <c r="T24" i="4" l="1"/>
  <c r="U24" i="4"/>
  <c r="Q85" i="5"/>
  <c r="R85" i="5" s="1"/>
  <c r="T23" i="4"/>
  <c r="U23" i="4"/>
  <c r="Q84" i="5"/>
  <c r="R84" i="5" s="1"/>
  <c r="T22" i="4"/>
  <c r="U22" i="4"/>
  <c r="S36" i="4"/>
  <c r="Q83" i="5"/>
  <c r="R19" i="8"/>
  <c r="S19" i="8" s="1"/>
  <c r="R17" i="8"/>
  <c r="S17" i="8" s="1"/>
  <c r="R18" i="8"/>
  <c r="S18" i="8" s="1"/>
  <c r="O86" i="5"/>
  <c r="P83" i="5"/>
  <c r="N86" i="5"/>
  <c r="J88" i="5"/>
  <c r="J25" i="8"/>
  <c r="K25" i="8" s="1"/>
  <c r="R32" i="4"/>
  <c r="V24" i="4" l="1"/>
  <c r="W24" i="4"/>
  <c r="S85" i="5"/>
  <c r="T85" i="5" s="1"/>
  <c r="V23" i="4"/>
  <c r="W23" i="4"/>
  <c r="S84" i="5"/>
  <c r="T84" i="5" s="1"/>
  <c r="V22" i="4"/>
  <c r="W22" i="4"/>
  <c r="U36" i="4"/>
  <c r="S83" i="5"/>
  <c r="T19" i="8"/>
  <c r="U19" i="8" s="1"/>
  <c r="T17" i="8"/>
  <c r="U17" i="8" s="1"/>
  <c r="T18" i="8"/>
  <c r="U18" i="8" s="1"/>
  <c r="Q86" i="5"/>
  <c r="R83" i="5"/>
  <c r="N87" i="5"/>
  <c r="K32" i="8"/>
  <c r="T32" i="4"/>
  <c r="P86" i="5"/>
  <c r="P87" i="5" s="1"/>
  <c r="X24" i="4" l="1"/>
  <c r="Y24" i="4"/>
  <c r="U85" i="5"/>
  <c r="V85" i="5" s="1"/>
  <c r="X23" i="4"/>
  <c r="Y23" i="4"/>
  <c r="U84" i="5"/>
  <c r="V84" i="5" s="1"/>
  <c r="X22" i="4"/>
  <c r="Y22" i="4"/>
  <c r="W36" i="4"/>
  <c r="U83" i="5"/>
  <c r="V19" i="8"/>
  <c r="W19" i="8" s="1"/>
  <c r="V17" i="8"/>
  <c r="W17" i="8" s="1"/>
  <c r="V18" i="8"/>
  <c r="W18" i="8" s="1"/>
  <c r="S86" i="5"/>
  <c r="T83" i="5"/>
  <c r="T86" i="5" s="1"/>
  <c r="N88" i="5"/>
  <c r="N25" i="8"/>
  <c r="O25" i="8" s="1"/>
  <c r="P25" i="8"/>
  <c r="Q25" i="8" s="1"/>
  <c r="Q32" i="8" s="1"/>
  <c r="P88" i="5"/>
  <c r="V32" i="4"/>
  <c r="R86" i="5"/>
  <c r="R87" i="5" s="1"/>
  <c r="Z24" i="4" l="1"/>
  <c r="AA24" i="4"/>
  <c r="W85" i="5"/>
  <c r="X85" i="5" s="1"/>
  <c r="Z23" i="4"/>
  <c r="AA23" i="4"/>
  <c r="W84" i="5"/>
  <c r="X84" i="5" s="1"/>
  <c r="Z22" i="4"/>
  <c r="Z32" i="4" s="1"/>
  <c r="AA22" i="4"/>
  <c r="Y36" i="4"/>
  <c r="W83" i="5"/>
  <c r="X19" i="8"/>
  <c r="Y19" i="8" s="1"/>
  <c r="X17" i="8"/>
  <c r="Y17" i="8" s="1"/>
  <c r="X18" i="8"/>
  <c r="Y18" i="8" s="1"/>
  <c r="U86" i="5"/>
  <c r="V83" i="5"/>
  <c r="T87" i="5"/>
  <c r="O32" i="8"/>
  <c r="R25" i="8"/>
  <c r="S25" i="8" s="1"/>
  <c r="R88" i="5"/>
  <c r="X32" i="4"/>
  <c r="C24" i="4" l="1"/>
  <c r="D24" i="4" s="1"/>
  <c r="C22" i="6" s="1"/>
  <c r="AB24" i="4"/>
  <c r="E87" i="4"/>
  <c r="Y85" i="5"/>
  <c r="Z85" i="5" s="1"/>
  <c r="B85" i="5" s="1"/>
  <c r="C23" i="4"/>
  <c r="D23" i="4" s="1"/>
  <c r="C21" i="6" s="1"/>
  <c r="AB23" i="4"/>
  <c r="E86" i="4"/>
  <c r="Y84" i="5"/>
  <c r="Z84" i="5" s="1"/>
  <c r="B84" i="5" s="1"/>
  <c r="C22" i="4"/>
  <c r="AB22" i="4"/>
  <c r="AB32" i="4" s="1"/>
  <c r="E24" i="3" s="1"/>
  <c r="AA36" i="4"/>
  <c r="B24" i="3" s="1"/>
  <c r="E85" i="4"/>
  <c r="Y83" i="5"/>
  <c r="Z19" i="8"/>
  <c r="AA19" i="8" s="1"/>
  <c r="AB19" i="8" s="1"/>
  <c r="Z17" i="8"/>
  <c r="AA17" i="8" s="1"/>
  <c r="Z18" i="8"/>
  <c r="AA18" i="8" s="1"/>
  <c r="AB18" i="8" s="1"/>
  <c r="W86" i="5"/>
  <c r="X83" i="5"/>
  <c r="X86" i="5" s="1"/>
  <c r="X87" i="5" s="1"/>
  <c r="V86" i="5"/>
  <c r="T88" i="5"/>
  <c r="T25" i="8"/>
  <c r="U25" i="8" s="1"/>
  <c r="U32" i="8" s="1"/>
  <c r="S32" i="8"/>
  <c r="F87" i="4" l="1"/>
  <c r="G87" i="4"/>
  <c r="C96" i="5"/>
  <c r="D96" i="5" s="1"/>
  <c r="F86" i="4"/>
  <c r="G86" i="4"/>
  <c r="C95" i="5"/>
  <c r="D95" i="5" s="1"/>
  <c r="C36" i="4"/>
  <c r="D22" i="4"/>
  <c r="F85" i="4"/>
  <c r="G85" i="4"/>
  <c r="E99" i="4"/>
  <c r="C94" i="5"/>
  <c r="D40" i="8"/>
  <c r="E40" i="8" s="1"/>
  <c r="D41" i="8"/>
  <c r="E41" i="8" s="1"/>
  <c r="D42" i="8"/>
  <c r="E42" i="8" s="1"/>
  <c r="Y86" i="5"/>
  <c r="Z83" i="5"/>
  <c r="AB17" i="8"/>
  <c r="X88" i="5"/>
  <c r="X25" i="8"/>
  <c r="Y25" i="8" s="1"/>
  <c r="Y32" i="8" s="1"/>
  <c r="V87" i="5"/>
  <c r="H87" i="4" l="1"/>
  <c r="I87" i="4"/>
  <c r="E96" i="5"/>
  <c r="F96" i="5" s="1"/>
  <c r="H86" i="4"/>
  <c r="I86" i="4"/>
  <c r="E95" i="5"/>
  <c r="F95" i="5" s="1"/>
  <c r="D32" i="4"/>
  <c r="C20" i="6"/>
  <c r="C30" i="6" s="1"/>
  <c r="H85" i="4"/>
  <c r="I85" i="4"/>
  <c r="G99" i="4"/>
  <c r="E94" i="5"/>
  <c r="F40" i="8"/>
  <c r="G40" i="8" s="1"/>
  <c r="F41" i="8"/>
  <c r="G41" i="8" s="1"/>
  <c r="F42" i="8"/>
  <c r="G42" i="8" s="1"/>
  <c r="D94" i="5"/>
  <c r="C97" i="5"/>
  <c r="B83" i="5"/>
  <c r="Z86" i="5"/>
  <c r="V88" i="5"/>
  <c r="V25" i="8"/>
  <c r="W25" i="8" s="1"/>
  <c r="F95" i="4"/>
  <c r="J87" i="4" l="1"/>
  <c r="K87" i="4"/>
  <c r="G96" i="5"/>
  <c r="H96" i="5" s="1"/>
  <c r="J86" i="4"/>
  <c r="K86" i="4"/>
  <c r="G95" i="5"/>
  <c r="H95" i="5" s="1"/>
  <c r="AA17" i="4"/>
  <c r="W17" i="4"/>
  <c r="Y17" i="4"/>
  <c r="U17" i="4"/>
  <c r="S17" i="4"/>
  <c r="Q17" i="4"/>
  <c r="O17" i="4"/>
  <c r="M17" i="4"/>
  <c r="I17" i="4"/>
  <c r="K17" i="4"/>
  <c r="G17" i="4"/>
  <c r="E17" i="4"/>
  <c r="B14" i="10"/>
  <c r="E12" i="13"/>
  <c r="J85" i="4"/>
  <c r="K85" i="4"/>
  <c r="I99" i="4"/>
  <c r="G94" i="5"/>
  <c r="H40" i="8"/>
  <c r="I40" i="8" s="1"/>
  <c r="H41" i="8"/>
  <c r="I41" i="8" s="1"/>
  <c r="H42" i="8"/>
  <c r="I42" i="8" s="1"/>
  <c r="F94" i="5"/>
  <c r="F97" i="5" s="1"/>
  <c r="F98" i="5" s="1"/>
  <c r="E97" i="5"/>
  <c r="D97" i="5"/>
  <c r="B86" i="5"/>
  <c r="Z87" i="5"/>
  <c r="W32" i="8"/>
  <c r="H95" i="4"/>
  <c r="L87" i="4" l="1"/>
  <c r="M87" i="4"/>
  <c r="I96" i="5"/>
  <c r="J96" i="5" s="1"/>
  <c r="L86" i="4"/>
  <c r="M86" i="4"/>
  <c r="I95" i="5"/>
  <c r="J95" i="5" s="1"/>
  <c r="E29" i="13"/>
  <c r="E27" i="13"/>
  <c r="E25" i="13"/>
  <c r="E17" i="13"/>
  <c r="L85" i="4"/>
  <c r="L95" i="4" s="1"/>
  <c r="M85" i="4"/>
  <c r="K99" i="4"/>
  <c r="I94" i="5"/>
  <c r="J40" i="8"/>
  <c r="K40" i="8" s="1"/>
  <c r="J41" i="8"/>
  <c r="K41" i="8" s="1"/>
  <c r="J42" i="8"/>
  <c r="K42" i="8" s="1"/>
  <c r="H94" i="5"/>
  <c r="G97" i="5"/>
  <c r="F48" i="8"/>
  <c r="G48" i="8" s="1"/>
  <c r="G55" i="8" s="1"/>
  <c r="F99" i="5"/>
  <c r="D98" i="5"/>
  <c r="B87" i="5"/>
  <c r="B88" i="5" s="1"/>
  <c r="Z88" i="5"/>
  <c r="Z25" i="8"/>
  <c r="AA25" i="8" s="1"/>
  <c r="J95" i="4"/>
  <c r="N87" i="4" l="1"/>
  <c r="O87" i="4"/>
  <c r="K96" i="5"/>
  <c r="L96" i="5" s="1"/>
  <c r="N86" i="4"/>
  <c r="O86" i="4"/>
  <c r="K95" i="5"/>
  <c r="L95" i="5" s="1"/>
  <c r="N85" i="4"/>
  <c r="N95" i="4" s="1"/>
  <c r="O85" i="4"/>
  <c r="M99" i="4"/>
  <c r="K94" i="5"/>
  <c r="L40" i="8"/>
  <c r="M40" i="8" s="1"/>
  <c r="L41" i="8"/>
  <c r="M41" i="8" s="1"/>
  <c r="L42" i="8"/>
  <c r="M42" i="8" s="1"/>
  <c r="J94" i="5"/>
  <c r="I97" i="5"/>
  <c r="H97" i="5"/>
  <c r="D99" i="5"/>
  <c r="D48" i="8"/>
  <c r="E48" i="8" s="1"/>
  <c r="AB25" i="8"/>
  <c r="AB32" i="8" s="1"/>
  <c r="H6" i="8" s="1"/>
  <c r="AA32" i="8"/>
  <c r="P87" i="4" l="1"/>
  <c r="Q87" i="4"/>
  <c r="M96" i="5"/>
  <c r="N96" i="5" s="1"/>
  <c r="P86" i="4"/>
  <c r="Q86" i="4"/>
  <c r="M95" i="5"/>
  <c r="N95" i="5" s="1"/>
  <c r="P85" i="4"/>
  <c r="P95" i="4" s="1"/>
  <c r="Q85" i="4"/>
  <c r="O99" i="4"/>
  <c r="M94" i="5"/>
  <c r="N40" i="8"/>
  <c r="O40" i="8" s="1"/>
  <c r="N41" i="8"/>
  <c r="O41" i="8" s="1"/>
  <c r="N42" i="8"/>
  <c r="O42" i="8" s="1"/>
  <c r="L94" i="5"/>
  <c r="L97" i="5" s="1"/>
  <c r="L98" i="5" s="1"/>
  <c r="K97" i="5"/>
  <c r="H98" i="5"/>
  <c r="E55" i="8"/>
  <c r="B11" i="10"/>
  <c r="K11" i="13"/>
  <c r="J97" i="5"/>
  <c r="J98" i="5" s="1"/>
  <c r="R87" i="4" l="1"/>
  <c r="S87" i="4"/>
  <c r="O96" i="5"/>
  <c r="P96" i="5" s="1"/>
  <c r="R86" i="4"/>
  <c r="S86" i="4"/>
  <c r="O95" i="5"/>
  <c r="P95" i="5" s="1"/>
  <c r="R85" i="4"/>
  <c r="R95" i="4" s="1"/>
  <c r="S85" i="4"/>
  <c r="Q99" i="4"/>
  <c r="O94" i="5"/>
  <c r="P40" i="8"/>
  <c r="Q40" i="8" s="1"/>
  <c r="P41" i="8"/>
  <c r="Q41" i="8" s="1"/>
  <c r="P42" i="8"/>
  <c r="Q42" i="8" s="1"/>
  <c r="N94" i="5"/>
  <c r="M97" i="5"/>
  <c r="L48" i="8"/>
  <c r="M48" i="8" s="1"/>
  <c r="M55" i="8" s="1"/>
  <c r="L99" i="5"/>
  <c r="H48" i="8"/>
  <c r="I48" i="8" s="1"/>
  <c r="H99" i="5"/>
  <c r="B13" i="10"/>
  <c r="E14" i="13"/>
  <c r="B21" i="10"/>
  <c r="J99" i="5"/>
  <c r="J48" i="8"/>
  <c r="K48" i="8" s="1"/>
  <c r="K55" i="8" s="1"/>
  <c r="T87" i="4" l="1"/>
  <c r="U87" i="4"/>
  <c r="Q96" i="5"/>
  <c r="R96" i="5" s="1"/>
  <c r="T86" i="4"/>
  <c r="U86" i="4"/>
  <c r="Q95" i="5"/>
  <c r="R95" i="5" s="1"/>
  <c r="T85" i="4"/>
  <c r="T95" i="4" s="1"/>
  <c r="U85" i="4"/>
  <c r="S99" i="4"/>
  <c r="Q94" i="5"/>
  <c r="R40" i="8"/>
  <c r="S40" i="8" s="1"/>
  <c r="R41" i="8"/>
  <c r="S41" i="8" s="1"/>
  <c r="R42" i="8"/>
  <c r="S42" i="8" s="1"/>
  <c r="P94" i="5"/>
  <c r="O97" i="5"/>
  <c r="N97" i="5"/>
  <c r="I55" i="8"/>
  <c r="B15" i="10"/>
  <c r="B22" i="10"/>
  <c r="B20" i="10"/>
  <c r="B16" i="10"/>
  <c r="E16" i="13"/>
  <c r="E28" i="13"/>
  <c r="V87" i="4" l="1"/>
  <c r="W87" i="4"/>
  <c r="S96" i="5"/>
  <c r="T96" i="5" s="1"/>
  <c r="V86" i="4"/>
  <c r="W86" i="4"/>
  <c r="S95" i="5"/>
  <c r="T95" i="5" s="1"/>
  <c r="V85" i="4"/>
  <c r="W85" i="4"/>
  <c r="U99" i="4"/>
  <c r="S94" i="5"/>
  <c r="T40" i="8"/>
  <c r="U40" i="8" s="1"/>
  <c r="T41" i="8"/>
  <c r="U41" i="8" s="1"/>
  <c r="T42" i="8"/>
  <c r="U42" i="8" s="1"/>
  <c r="R94" i="5"/>
  <c r="Q97" i="5"/>
  <c r="N98" i="5"/>
  <c r="L23" i="13"/>
  <c r="F19" i="13" s="1"/>
  <c r="E20" i="13"/>
  <c r="E22" i="13" s="1"/>
  <c r="P97" i="5"/>
  <c r="P98" i="5" s="1"/>
  <c r="X87" i="4" l="1"/>
  <c r="Y87" i="4"/>
  <c r="U96" i="5"/>
  <c r="V96" i="5" s="1"/>
  <c r="X86" i="4"/>
  <c r="Y86" i="4"/>
  <c r="U95" i="5"/>
  <c r="V95" i="5" s="1"/>
  <c r="X85" i="4"/>
  <c r="X95" i="4" s="1"/>
  <c r="Y85" i="4"/>
  <c r="W99" i="4"/>
  <c r="U94" i="5"/>
  <c r="V40" i="8"/>
  <c r="W40" i="8" s="1"/>
  <c r="V41" i="8"/>
  <c r="W41" i="8" s="1"/>
  <c r="V42" i="8"/>
  <c r="W42" i="8" s="1"/>
  <c r="T94" i="5"/>
  <c r="T97" i="5" s="1"/>
  <c r="S97" i="5"/>
  <c r="N48" i="8"/>
  <c r="O48" i="8" s="1"/>
  <c r="N99" i="5"/>
  <c r="P99" i="5"/>
  <c r="P48" i="8"/>
  <c r="Q48" i="8" s="1"/>
  <c r="Q55" i="8" s="1"/>
  <c r="V95" i="4"/>
  <c r="R97" i="5"/>
  <c r="R98" i="5" s="1"/>
  <c r="Z87" i="4" l="1"/>
  <c r="AA87" i="4"/>
  <c r="C87" i="4" s="1"/>
  <c r="D87" i="4" s="1"/>
  <c r="D22" i="6" s="1"/>
  <c r="W96" i="5"/>
  <c r="X96" i="5" s="1"/>
  <c r="Z86" i="4"/>
  <c r="AA86" i="4"/>
  <c r="C86" i="4" s="1"/>
  <c r="D86" i="4" s="1"/>
  <c r="D21" i="6" s="1"/>
  <c r="W95" i="5"/>
  <c r="X95" i="5" s="1"/>
  <c r="Z85" i="4"/>
  <c r="AA85" i="4"/>
  <c r="C85" i="4" s="1"/>
  <c r="Y99" i="4"/>
  <c r="W94" i="5"/>
  <c r="X40" i="8"/>
  <c r="Y40" i="8" s="1"/>
  <c r="X41" i="8"/>
  <c r="Y41" i="8" s="1"/>
  <c r="X42" i="8"/>
  <c r="Y42" i="8" s="1"/>
  <c r="V94" i="5"/>
  <c r="U97" i="5"/>
  <c r="T98" i="5"/>
  <c r="O55" i="8"/>
  <c r="R99" i="5"/>
  <c r="R48" i="8"/>
  <c r="S48" i="8" s="1"/>
  <c r="AB87" i="4" l="1"/>
  <c r="E149" i="4"/>
  <c r="Y96" i="5"/>
  <c r="Z96" i="5" s="1"/>
  <c r="B96" i="5" s="1"/>
  <c r="AB86" i="4"/>
  <c r="E148" i="4"/>
  <c r="Y95" i="5"/>
  <c r="Z95" i="5" s="1"/>
  <c r="B95" i="5" s="1"/>
  <c r="C99" i="4"/>
  <c r="D85" i="4"/>
  <c r="AB85" i="4"/>
  <c r="AB95" i="4" s="1"/>
  <c r="AA99" i="4"/>
  <c r="B25" i="3" s="1"/>
  <c r="E147" i="4"/>
  <c r="Y94" i="5"/>
  <c r="Z40" i="8"/>
  <c r="AA40" i="8" s="1"/>
  <c r="Z41" i="8"/>
  <c r="AA41" i="8" s="1"/>
  <c r="AB41" i="8" s="1"/>
  <c r="Z42" i="8"/>
  <c r="AA42" i="8" s="1"/>
  <c r="AB42" i="8" s="1"/>
  <c r="X94" i="5"/>
  <c r="X97" i="5" s="1"/>
  <c r="X98" i="5" s="1"/>
  <c r="W97" i="5"/>
  <c r="AB40" i="8"/>
  <c r="V97" i="5"/>
  <c r="T48" i="8"/>
  <c r="U48" i="8" s="1"/>
  <c r="T99" i="5"/>
  <c r="Z95" i="4"/>
  <c r="S55" i="8"/>
  <c r="F149" i="4" l="1"/>
  <c r="G149" i="4"/>
  <c r="C107" i="5"/>
  <c r="D107" i="5" s="1"/>
  <c r="F148" i="4"/>
  <c r="G148" i="4"/>
  <c r="C106" i="5"/>
  <c r="D106" i="5" s="1"/>
  <c r="D95" i="4"/>
  <c r="D20" i="6"/>
  <c r="D30" i="6" s="1"/>
  <c r="F147" i="4"/>
  <c r="G147" i="4"/>
  <c r="C105" i="5"/>
  <c r="D63" i="8"/>
  <c r="E63" i="8" s="1"/>
  <c r="D64" i="8"/>
  <c r="E64" i="8" s="1"/>
  <c r="D65" i="8"/>
  <c r="E65" i="8" s="1"/>
  <c r="E161" i="4"/>
  <c r="Z94" i="5"/>
  <c r="Y97" i="5"/>
  <c r="X48" i="8"/>
  <c r="Y48" i="8" s="1"/>
  <c r="Y55" i="8" s="1"/>
  <c r="X99" i="5"/>
  <c r="V98" i="5"/>
  <c r="E25" i="3"/>
  <c r="Y80" i="4"/>
  <c r="U55" i="8"/>
  <c r="H149" i="4" l="1"/>
  <c r="I149" i="4"/>
  <c r="E107" i="5"/>
  <c r="F107" i="5" s="1"/>
  <c r="H148" i="4"/>
  <c r="I148" i="4"/>
  <c r="E106" i="5"/>
  <c r="F106" i="5" s="1"/>
  <c r="AA80" i="4"/>
  <c r="U80" i="4"/>
  <c r="W80" i="4"/>
  <c r="S80" i="4"/>
  <c r="O80" i="4"/>
  <c r="Q80" i="4"/>
  <c r="I80" i="4"/>
  <c r="M80" i="4"/>
  <c r="K80" i="4"/>
  <c r="G80" i="4"/>
  <c r="E80" i="4"/>
  <c r="F12" i="13"/>
  <c r="C14" i="10"/>
  <c r="H147" i="4"/>
  <c r="H157" i="4" s="1"/>
  <c r="I147" i="4"/>
  <c r="E105" i="5"/>
  <c r="F63" i="8"/>
  <c r="G63" i="8" s="1"/>
  <c r="F64" i="8"/>
  <c r="G64" i="8" s="1"/>
  <c r="F65" i="8"/>
  <c r="G65" i="8" s="1"/>
  <c r="G161" i="4"/>
  <c r="D105" i="5"/>
  <c r="C108" i="5"/>
  <c r="B94" i="5"/>
  <c r="Z97" i="5"/>
  <c r="V48" i="8"/>
  <c r="W48" i="8" s="1"/>
  <c r="V99" i="5"/>
  <c r="F157" i="4"/>
  <c r="J149" i="4" l="1"/>
  <c r="K149" i="4"/>
  <c r="G107" i="5"/>
  <c r="H107" i="5" s="1"/>
  <c r="J148" i="4"/>
  <c r="K148" i="4"/>
  <c r="G106" i="5"/>
  <c r="H106" i="5" s="1"/>
  <c r="F29" i="13"/>
  <c r="F27" i="13"/>
  <c r="F25" i="13"/>
  <c r="F17" i="13"/>
  <c r="J147" i="4"/>
  <c r="J157" i="4" s="1"/>
  <c r="G105" i="5"/>
  <c r="H63" i="8"/>
  <c r="I63" i="8" s="1"/>
  <c r="H64" i="8"/>
  <c r="I64" i="8" s="1"/>
  <c r="H65" i="8"/>
  <c r="I65" i="8" s="1"/>
  <c r="K147" i="4"/>
  <c r="I161" i="4"/>
  <c r="F105" i="5"/>
  <c r="E108" i="5"/>
  <c r="D108" i="5"/>
  <c r="B97" i="5"/>
  <c r="Z98" i="5"/>
  <c r="W55" i="8"/>
  <c r="L149" i="4" l="1"/>
  <c r="M149" i="4"/>
  <c r="I107" i="5"/>
  <c r="J107" i="5" s="1"/>
  <c r="L148" i="4"/>
  <c r="M148" i="4"/>
  <c r="I106" i="5"/>
  <c r="J106" i="5" s="1"/>
  <c r="H105" i="5"/>
  <c r="G108" i="5"/>
  <c r="M147" i="4"/>
  <c r="K161" i="4"/>
  <c r="L147" i="4"/>
  <c r="I105" i="5"/>
  <c r="J63" i="8"/>
  <c r="K63" i="8" s="1"/>
  <c r="J64" i="8"/>
  <c r="K64" i="8" s="1"/>
  <c r="J65" i="8"/>
  <c r="K65" i="8" s="1"/>
  <c r="D109" i="5"/>
  <c r="B98" i="5"/>
  <c r="B99" i="5" s="1"/>
  <c r="Z48" i="8"/>
  <c r="AA48" i="8" s="1"/>
  <c r="Z99" i="5"/>
  <c r="F108" i="5"/>
  <c r="F109" i="5" s="1"/>
  <c r="N149" i="4" l="1"/>
  <c r="O149" i="4"/>
  <c r="K107" i="5"/>
  <c r="L107" i="5" s="1"/>
  <c r="N148" i="4"/>
  <c r="O148" i="4"/>
  <c r="K106" i="5"/>
  <c r="L106" i="5" s="1"/>
  <c r="M161" i="4"/>
  <c r="N147" i="4"/>
  <c r="N157" i="4" s="1"/>
  <c r="O147" i="4"/>
  <c r="K105" i="5"/>
  <c r="L63" i="8"/>
  <c r="M63" i="8" s="1"/>
  <c r="L64" i="8"/>
  <c r="M64" i="8" s="1"/>
  <c r="L65" i="8"/>
  <c r="M65" i="8" s="1"/>
  <c r="J105" i="5"/>
  <c r="J108" i="5" s="1"/>
  <c r="I108" i="5"/>
  <c r="D110" i="5"/>
  <c r="D71" i="8"/>
  <c r="E71" i="8" s="1"/>
  <c r="AB48" i="8"/>
  <c r="AB55" i="8" s="1"/>
  <c r="I6" i="8" s="1"/>
  <c r="AA55" i="8"/>
  <c r="F71" i="8"/>
  <c r="G71" i="8" s="1"/>
  <c r="G78" i="8" s="1"/>
  <c r="F110" i="5"/>
  <c r="L157" i="4"/>
  <c r="H108" i="5"/>
  <c r="H109" i="5" s="1"/>
  <c r="P149" i="4" l="1"/>
  <c r="Q149" i="4"/>
  <c r="M107" i="5"/>
  <c r="N107" i="5" s="1"/>
  <c r="P148" i="4"/>
  <c r="Q148" i="4"/>
  <c r="M106" i="5"/>
  <c r="N106" i="5" s="1"/>
  <c r="Q147" i="4"/>
  <c r="M105" i="5"/>
  <c r="N63" i="8"/>
  <c r="O63" i="8" s="1"/>
  <c r="N64" i="8"/>
  <c r="O64" i="8" s="1"/>
  <c r="N65" i="8"/>
  <c r="O65" i="8" s="1"/>
  <c r="P147" i="4"/>
  <c r="P157" i="4" s="1"/>
  <c r="O161" i="4"/>
  <c r="L105" i="5"/>
  <c r="K108" i="5"/>
  <c r="J109" i="5"/>
  <c r="E78" i="8"/>
  <c r="L11" i="13"/>
  <c r="C11" i="10"/>
  <c r="H71" i="8"/>
  <c r="I71" i="8" s="1"/>
  <c r="I78" i="8" s="1"/>
  <c r="H110" i="5"/>
  <c r="R149" i="4" l="1"/>
  <c r="S149" i="4"/>
  <c r="O107" i="5"/>
  <c r="P107" i="5" s="1"/>
  <c r="R148" i="4"/>
  <c r="S148" i="4"/>
  <c r="O106" i="5"/>
  <c r="P106" i="5" s="1"/>
  <c r="O105" i="5"/>
  <c r="P63" i="8"/>
  <c r="Q63" i="8" s="1"/>
  <c r="P64" i="8"/>
  <c r="Q64" i="8" s="1"/>
  <c r="P65" i="8"/>
  <c r="Q65" i="8" s="1"/>
  <c r="R147" i="4"/>
  <c r="R157" i="4" s="1"/>
  <c r="S147" i="4"/>
  <c r="Q161" i="4"/>
  <c r="N105" i="5"/>
  <c r="N108" i="5" s="1"/>
  <c r="N109" i="5" s="1"/>
  <c r="M108" i="5"/>
  <c r="L108" i="5"/>
  <c r="J110" i="5"/>
  <c r="J71" i="8"/>
  <c r="K71" i="8" s="1"/>
  <c r="C13" i="10"/>
  <c r="F14" i="13"/>
  <c r="C21" i="10"/>
  <c r="T149" i="4" l="1"/>
  <c r="U149" i="4"/>
  <c r="Q107" i="5"/>
  <c r="R107" i="5" s="1"/>
  <c r="T148" i="4"/>
  <c r="U148" i="4"/>
  <c r="Q106" i="5"/>
  <c r="R106" i="5" s="1"/>
  <c r="P105" i="5"/>
  <c r="O108" i="5"/>
  <c r="T147" i="4"/>
  <c r="S161" i="4"/>
  <c r="U147" i="4"/>
  <c r="Q105" i="5"/>
  <c r="R63" i="8"/>
  <c r="S63" i="8" s="1"/>
  <c r="R64" i="8"/>
  <c r="S64" i="8" s="1"/>
  <c r="R65" i="8"/>
  <c r="S65" i="8" s="1"/>
  <c r="N110" i="5"/>
  <c r="N71" i="8"/>
  <c r="O71" i="8" s="1"/>
  <c r="O78" i="8" s="1"/>
  <c r="L109" i="5"/>
  <c r="K78" i="8"/>
  <c r="C15" i="10"/>
  <c r="C22" i="10"/>
  <c r="C20" i="10"/>
  <c r="C16" i="10"/>
  <c r="F16" i="13"/>
  <c r="F28" i="13"/>
  <c r="V149" i="4" l="1"/>
  <c r="W149" i="4"/>
  <c r="S107" i="5"/>
  <c r="T107" i="5" s="1"/>
  <c r="V148" i="4"/>
  <c r="W148" i="4"/>
  <c r="S106" i="5"/>
  <c r="T106" i="5" s="1"/>
  <c r="P108" i="5"/>
  <c r="V147" i="4"/>
  <c r="V157" i="4" s="1"/>
  <c r="W147" i="4"/>
  <c r="U161" i="4"/>
  <c r="S105" i="5"/>
  <c r="T63" i="8"/>
  <c r="U63" i="8" s="1"/>
  <c r="T64" i="8"/>
  <c r="U64" i="8" s="1"/>
  <c r="T65" i="8"/>
  <c r="U65" i="8" s="1"/>
  <c r="R105" i="5"/>
  <c r="Q108" i="5"/>
  <c r="L110" i="5"/>
  <c r="L71" i="8"/>
  <c r="M71" i="8" s="1"/>
  <c r="M23" i="13"/>
  <c r="G19" i="13" s="1"/>
  <c r="F20" i="13"/>
  <c r="F22" i="13" s="1"/>
  <c r="T157" i="4"/>
  <c r="X149" i="4" l="1"/>
  <c r="Y149" i="4"/>
  <c r="U107" i="5"/>
  <c r="V107" i="5" s="1"/>
  <c r="X148" i="4"/>
  <c r="Y148" i="4"/>
  <c r="U106" i="5"/>
  <c r="V106" i="5" s="1"/>
  <c r="P109" i="5"/>
  <c r="X147" i="4"/>
  <c r="Y147" i="4"/>
  <c r="W161" i="4"/>
  <c r="U105" i="5"/>
  <c r="V63" i="8"/>
  <c r="W63" i="8" s="1"/>
  <c r="V64" i="8"/>
  <c r="W64" i="8" s="1"/>
  <c r="V65" i="8"/>
  <c r="W65" i="8" s="1"/>
  <c r="T105" i="5"/>
  <c r="T108" i="5" s="1"/>
  <c r="S108" i="5"/>
  <c r="M78" i="8"/>
  <c r="R108" i="5"/>
  <c r="R109" i="5" s="1"/>
  <c r="Z149" i="4" l="1"/>
  <c r="AA149" i="4"/>
  <c r="C149" i="4" s="1"/>
  <c r="D149" i="4" s="1"/>
  <c r="E22" i="6" s="1"/>
  <c r="W107" i="5"/>
  <c r="X107" i="5" s="1"/>
  <c r="Z148" i="4"/>
  <c r="AA148" i="4"/>
  <c r="C148" i="4" s="1"/>
  <c r="D148" i="4" s="1"/>
  <c r="E21" i="6" s="1"/>
  <c r="W106" i="5"/>
  <c r="X106" i="5" s="1"/>
  <c r="P110" i="5"/>
  <c r="P71" i="8"/>
  <c r="Q71" i="8" s="1"/>
  <c r="C147" i="4"/>
  <c r="Y161" i="4"/>
  <c r="W105" i="5"/>
  <c r="X63" i="8"/>
  <c r="Y63" i="8" s="1"/>
  <c r="X64" i="8"/>
  <c r="Y64" i="8" s="1"/>
  <c r="X65" i="8"/>
  <c r="Y65" i="8" s="1"/>
  <c r="Z147" i="4"/>
  <c r="AA147" i="4"/>
  <c r="U108" i="5"/>
  <c r="V105" i="5"/>
  <c r="R71" i="8"/>
  <c r="S71" i="8" s="1"/>
  <c r="S78" i="8" s="1"/>
  <c r="R110" i="5"/>
  <c r="X157" i="4"/>
  <c r="T109" i="5"/>
  <c r="AB149" i="4" l="1"/>
  <c r="Y107" i="5"/>
  <c r="Z107" i="5" s="1"/>
  <c r="B107" i="5" s="1"/>
  <c r="AB148" i="4"/>
  <c r="Y106" i="5"/>
  <c r="Z106" i="5" s="1"/>
  <c r="B106" i="5" s="1"/>
  <c r="Q78" i="8"/>
  <c r="C161" i="4"/>
  <c r="D147" i="4"/>
  <c r="W108" i="5"/>
  <c r="X105" i="5"/>
  <c r="AB63" i="8"/>
  <c r="AB147" i="4"/>
  <c r="AA161" i="4"/>
  <c r="B26" i="3" s="1"/>
  <c r="Y105" i="5"/>
  <c r="Z63" i="8"/>
  <c r="AA63" i="8" s="1"/>
  <c r="Z64" i="8"/>
  <c r="AA64" i="8" s="1"/>
  <c r="AB64" i="8" s="1"/>
  <c r="Z65" i="8"/>
  <c r="AA65" i="8" s="1"/>
  <c r="AB65" i="8" s="1"/>
  <c r="V108" i="5"/>
  <c r="T71" i="8"/>
  <c r="U71" i="8" s="1"/>
  <c r="T110" i="5"/>
  <c r="Z157" i="4"/>
  <c r="D157" i="4" l="1"/>
  <c r="E20" i="6"/>
  <c r="E30" i="6" s="1"/>
  <c r="Y108" i="5"/>
  <c r="Z105" i="5"/>
  <c r="B108" i="5"/>
  <c r="V109" i="5"/>
  <c r="AB157" i="4"/>
  <c r="X108" i="5"/>
  <c r="X109" i="5" s="1"/>
  <c r="U78" i="8"/>
  <c r="Y142" i="4" l="1"/>
  <c r="W142" i="4"/>
  <c r="S142" i="4"/>
  <c r="U142" i="4"/>
  <c r="Q142" i="4"/>
  <c r="O142" i="4"/>
  <c r="K142" i="4"/>
  <c r="M142" i="4"/>
  <c r="E142" i="4"/>
  <c r="I142" i="4"/>
  <c r="G142" i="4"/>
  <c r="G12" i="13"/>
  <c r="D14" i="10"/>
  <c r="B109" i="5"/>
  <c r="B110" i="5" s="1"/>
  <c r="V110" i="5"/>
  <c r="V71" i="8"/>
  <c r="W71" i="8" s="1"/>
  <c r="E26" i="3"/>
  <c r="AA142" i="4"/>
  <c r="X71" i="8"/>
  <c r="Y71" i="8" s="1"/>
  <c r="Y78" i="8" s="1"/>
  <c r="X110" i="5"/>
  <c r="Z108" i="5"/>
  <c r="Z109" i="5" s="1"/>
  <c r="B105" i="5"/>
  <c r="G29" i="13" l="1"/>
  <c r="G27" i="13"/>
  <c r="G25" i="13"/>
  <c r="G17" i="13"/>
  <c r="W78" i="8"/>
  <c r="Z71" i="8"/>
  <c r="AA71" i="8" s="1"/>
  <c r="Z110" i="5"/>
  <c r="AA78" i="8" l="1"/>
  <c r="AB71" i="8"/>
  <c r="AB78" i="8" s="1"/>
  <c r="J6" i="8" s="1"/>
  <c r="M11" i="13" l="1"/>
  <c r="D11" i="10"/>
  <c r="D13" i="10" l="1"/>
  <c r="G14" i="13"/>
  <c r="D21" i="10"/>
  <c r="D15" i="10" l="1"/>
  <c r="D22" i="10"/>
  <c r="D20" i="10"/>
  <c r="D16" i="10"/>
  <c r="G16" i="13"/>
  <c r="G28" i="13"/>
  <c r="N23" i="13" l="1"/>
  <c r="G20" i="13"/>
  <c r="G22" i="13" s="1"/>
  <c r="G35" i="13" l="1"/>
  <c r="G34" i="13"/>
</calcChain>
</file>

<file path=xl/sharedStrings.xml><?xml version="1.0" encoding="utf-8"?>
<sst xmlns="http://schemas.openxmlformats.org/spreadsheetml/2006/main" count="2000" uniqueCount="528">
  <si>
    <t>TRABAJO FINAL DE INGENIERÍA</t>
  </si>
  <si>
    <t>Alumno: Gómez Avellaneda, Javier</t>
  </si>
  <si>
    <t>Legajo: B00074234-T1</t>
  </si>
  <si>
    <t>Docentes: Scali, Jorge — Vilaboa, Pablo</t>
  </si>
  <si>
    <t>Comisión: 5° A - Turno Noche</t>
  </si>
  <si>
    <t>Localización: Sede Centro</t>
  </si>
  <si>
    <t>Email: javieralejandro.gomezavellaneda@alumnos.uai.edu.ar</t>
  </si>
  <si>
    <t>Índice</t>
  </si>
  <si>
    <t>Hipótesis</t>
  </si>
  <si>
    <t>Proyección de ventas</t>
  </si>
  <si>
    <t>Anexo de capacidad operativa</t>
  </si>
  <si>
    <t>Modelo de ingresos</t>
  </si>
  <si>
    <t>Estructura de costos fijos</t>
  </si>
  <si>
    <t>Estructura de costos variables</t>
  </si>
  <si>
    <t>Estructura de costos de RRHH</t>
  </si>
  <si>
    <t>Modelo de egresos</t>
  </si>
  <si>
    <t>Modelo de inversión</t>
  </si>
  <si>
    <t>Amortizaciones</t>
  </si>
  <si>
    <t>Presupuesto financiero</t>
  </si>
  <si>
    <t>Matriz de riesgos</t>
  </si>
  <si>
    <t>Escenario 1</t>
  </si>
  <si>
    <t>Escenario 2</t>
  </si>
  <si>
    <t>Escenario 3</t>
  </si>
  <si>
    <t>Plan de contingencia</t>
  </si>
  <si>
    <t>1 - Descripción del negocio</t>
  </si>
  <si>
    <t>ShopMetrics es una Empresa de Base Tecnológica (EBT) que desarrolla y explota software propio bajo modalidad SaaS para el comercio minorista. El negocio no consiste en la venta de dispositivos de conteo, sino en la provisión de un ecosistema de medición del embudo comercial del local: cuántas personas pasan por delante, cuántas se detienen frente a la vidriera, cuántas entran y cuántas compran. Los datos se capturan con infraestructura propia instalada en el local (sensores de vidriera y contadores de puerta que publican únicamente cantidades, nunca imágenes) y se integran de forma automática con el sistema de punto de venta que el comercio ya utiliza; sobre esa base, modelos propios de Machine Learning convierten la medición en decisiones de exhibición, dotación de personal y horario de atención. El servicio se contrata con un abono mensual y un cargo de alta e instalación por única vez, y los equipos se entregan en comodato, de modo que el comercio no afronta inversión inicial. Todos los importes de este presupuesto están expresados en dólares.</t>
  </si>
  <si>
    <t>2 - Mercado meta</t>
  </si>
  <si>
    <t>Segmentación del mercado meta. El universo se segmenta por rubro sobre los 14.083 locales ocupados que el Instituto de Estadística y Censos de la Ciudad de Buenos Aires releva en los 53 ejes comerciales de mayor densidad (tercer cuatrimestre de 2025), redondeados a 14.000. Los tres segmentos comparten el mismo tramo de tamaño —de uno a cinco locales y hasta nueve ocupados— y por eso el gasto anual de referencia en herramientas de gestión, facturación electrónica y analítica es común, USD 960 por comercio; lo que los diferencia es la densidad de pares por eje y la prioridad comercial de ingreso.
Segmento A — Indumentaria, textiles y calzado: compuesto por 3.400 comercios, el 24,3% de los locales ocupados relevados; es el rubro de mayor concentración del relevamiento y la cabecera de entrada por el eje Avellaneda, que reúne 1.073 locales con la ocupación más alta del operativo, 96,6%. Con un gasto anual de USD 960 por comercio consolida un mercado direccionable de USD 3.264.000.
Segmento B — Alojamiento y comida: compuesto por 1.600 comercios, el 11,3% de los locales ocupados relevados; gastronomía con vidriera a la vereda, que comparte el mismo embudo de paso, detención e ingreso y la misma infraestructura de medición. Con un gasto anual de USD 960 por comercio consolida un mercado direccionable de USD 1.536.000.
Segmento C — Resto de rubros con vidriera: compuesto por 9.000 comercios, el 64,4% de los locales ocupados relevados; alimentos y bebidas, perfumería, calzado deportivo y servicios con local a la calle, que comparten la infraestructura de medición con menor densidad de pares por rubro. Con un gasto anual de USD 960 por comercio consolida un mercado direccionable de USD 8.640.000.
Total consolidado: los tres segmentos suman 14.000 comercios y un mercado direccionable de USD 13.440.000 anuales, que es el total que toma el cuadro siguiente. El universo del Gran Buenos Aires amplía esta cifra, pero no existe un operativo equivalente que lo mida con la misma fuente, de modo que queda fuera del dimensionamiento y dentro del plan de expansión.</t>
  </si>
  <si>
    <t>Comercios</t>
  </si>
  <si>
    <t>Gasto promedio anual (USD)</t>
  </si>
  <si>
    <t>Total mercado (USD)</t>
  </si>
  <si>
    <t>Los 14.000 comercios son los locales ocupados que el IDECBA releva en los 53 ejes comerciales de mayor densidad (tercer cuatrimestre de 2025). Todos tienen local a la calle y vidriera, que es la condición para instalar el servicio. El detalle por rubro y la ampliación al Gran Buenos Aires están en el punto 4 del informe.</t>
  </si>
  <si>
    <t>3 - Participación del mercado</t>
  </si>
  <si>
    <t>Participación del 5,2% del universo al cierre del tercer año, con una progresión del 0,8% el primer año, 2,9% el segundo y 5,2% el tercero. Es una progresión moderada: el rubro de arranque concentra el esfuerzo comercial del primer año y la ampliación a los otros rubros con vidriera de los mismos ejes recién se aborda una vez validado ese rubro, de modo que el universo crece más rápido que la captación.</t>
  </si>
  <si>
    <t>Evolución de la participación en el mercado</t>
  </si>
  <si>
    <t>Año</t>
  </si>
  <si>
    <t>Cantidad</t>
  </si>
  <si>
    <t>Porcentaje</t>
  </si>
  <si>
    <t>Valor del mercado captado (USD)</t>
  </si>
  <si>
    <t>Facturación proyectada (USD)</t>
  </si>
  <si>
    <t>2026</t>
  </si>
  <si>
    <t>2027</t>
  </si>
  <si>
    <t>2028</t>
  </si>
  <si>
    <t>El valor del mercado captado es el objetivo de facturación de cada año: participación por mercado total. La proyección de ventas se arma para alcanzarlo, y de ahí se obtiene la cantidad de comercios abonados que hace falta al cierre de cada año. La cantidad es mayor que la que resultaría de dividir el mercado captado por el gasto de referencia, porque el ticket promedio de la lista de precios es menor que ese gasto.</t>
  </si>
  <si>
    <t>Detalle: el gasto promedio anual de referencia son USD 960 (USD 80 mensuales), lo que un comercio minorista destina a software de gestión, facturación electrónica y analítica. Referencias 2026: planes de punto de venta con facturación electrónica y stock multi-tienda en el orden de USD 79 mensuales, y el plan de entrada de Fudo, uno de los sistemas con los que la plataforma se integra, en USD 40 mensuales por sucursal.</t>
  </si>
  <si>
    <t>4 - Otros datos</t>
  </si>
  <si>
    <t>Líneas de servicios</t>
  </si>
  <si>
    <t>VERSIONES DEL SERVICIO</t>
  </si>
  <si>
    <t>Alta e instalación</t>
  </si>
  <si>
    <t>Abono mensual</t>
  </si>
  <si>
    <t>PROFUNDIDAD DE LAS LÍNEAS DE SERVICIOS</t>
  </si>
  <si>
    <t>Plan Básico</t>
  </si>
  <si>
    <t>Plan Vidriera</t>
  </si>
  <si>
    <t>Plan Cadena</t>
  </si>
  <si>
    <t>Lista de precios (USD)</t>
  </si>
  <si>
    <t>Servicio</t>
  </si>
  <si>
    <t>Precio</t>
  </si>
  <si>
    <t>Detalle</t>
  </si>
  <si>
    <t>Modalidad de cobro</t>
  </si>
  <si>
    <t>Alta e instalación Plan Básico</t>
  </si>
  <si>
    <t>Por única vez. Alta remota: conexión con el sistema de punto de venta y verificación de datos. No requiere visita al local.</t>
  </si>
  <si>
    <t>Cobro por única vez</t>
  </si>
  <si>
    <t>Alta e instalación Plan Vidriera</t>
  </si>
  <si>
    <t>Por única vez. Visita al local: montaje del sensor de vidriera y del contador de puerta, conexión del punto de venta y prueba del embudo.</t>
  </si>
  <si>
    <t>Alta e instalación Plan Cadena</t>
  </si>
  <si>
    <t>Por única vez. Instalación en hasta cinco locales de una misma cadena.</t>
  </si>
  <si>
    <t>Abono Plan Básico</t>
  </si>
  <si>
    <t>Analítica de ventas por hora, ticket promedio y rotación, a partir del punto de venta. Sin dispositivos de conteo. Es la puerta de entrada comercial.</t>
  </si>
  <si>
    <t>Cobro mensual</t>
  </si>
  <si>
    <t>Abono Plan Vidriera</t>
  </si>
  <si>
    <t>Embudo completo del local: pasan, se detienen, entran y compran, más comparación anónima contra el rubro y alertas automáticas. Es el plan principal.</t>
  </si>
  <si>
    <t>Abono Plan Cadena</t>
  </si>
  <si>
    <t>Hasta cinco locales: embudo por local, comparación entre sucursales y consolidado de toda la red.</t>
  </si>
  <si>
    <t>Evolución de la participación</t>
  </si>
  <si>
    <t>Justificación ingresos</t>
  </si>
  <si>
    <t>La proyección se arma desde la facturación objetivo, que es el valor del mercado captado de la hoja Hipótesis (participación por mercado total: USD 105.754 en 2026, 385.805 en 2027 y 705.677 en 2028). Con la lista de precios fija, se calcula cuántas altas por mes hacen falta para llegar a ese número: el alta e instalación se cobra una sola vez y el abono es mensual y se acumula (el comercio que se da de alta en marzo sigue pagando en abril), de modo que el ingreso crece mes a mes aunque las altas sean parejas. El primer trimestre de 2026 tiene pocas altas porque se destina a los primeros comercios del eje Avellaneda; a partir de allí la captación crece de manera sostenida. Los porcentajes de cada mes son la proporción del total anual que se factura ese mes.</t>
  </si>
  <si>
    <t>.</t>
  </si>
  <si>
    <t>Proyección de ventas 2026</t>
  </si>
  <si>
    <t>Producto</t>
  </si>
  <si>
    <t>Anual</t>
  </si>
  <si>
    <t>Enero</t>
  </si>
  <si>
    <t>Febrero</t>
  </si>
  <si>
    <t>Marzo</t>
  </si>
  <si>
    <t>Abril</t>
  </si>
  <si>
    <t>Mayo</t>
  </si>
  <si>
    <t>Junio</t>
  </si>
  <si>
    <t>Julio</t>
  </si>
  <si>
    <t>Agosto</t>
  </si>
  <si>
    <t>Septiembre</t>
  </si>
  <si>
    <t>Octubre</t>
  </si>
  <si>
    <t>Noviembre</t>
  </si>
  <si>
    <t>Diciembre</t>
  </si>
  <si>
    <t>Ingresos</t>
  </si>
  <si>
    <t>Ingreso Total</t>
  </si>
  <si>
    <t>Capacidad operativa Kick off - Año 2026</t>
  </si>
  <si>
    <t>Comentarios</t>
  </si>
  <si>
    <t>* Se arranca sólo con los dos fundadores (gerencia general y gerencia de sistemas), que cubren entre ambos todos los puestos de la estructura. La instalación y el soporte se contratan por hora a técnicos freelance según las altas de cada mes, la venta se paga por comisión sobre cada alta y el desarrollo, la contabilidad y el marketing están tercerizados en los costos fijos.</t>
  </si>
  <si>
    <t>Concepto</t>
  </si>
  <si>
    <t>Año cero - Kick off</t>
  </si>
  <si>
    <t>Año 2026</t>
  </si>
  <si>
    <t>RRHH</t>
  </si>
  <si>
    <t>Gerente general</t>
  </si>
  <si>
    <t>Sin cambios</t>
  </si>
  <si>
    <t>Gerente de sistemas</t>
  </si>
  <si>
    <t>Desarrollador</t>
  </si>
  <si>
    <t>Tercerizado (costo fijo)</t>
  </si>
  <si>
    <t>Técnico de instalación y soporte</t>
  </si>
  <si>
    <t>Freelance por hora (costo variable)</t>
  </si>
  <si>
    <t>Vendedor</t>
  </si>
  <si>
    <t>Comisión por alta (costo variable)</t>
  </si>
  <si>
    <t>Infraestructura</t>
  </si>
  <si>
    <t>Oficina</t>
  </si>
  <si>
    <t>Oficina (+1 alquiler)</t>
  </si>
  <si>
    <t>Notebooks</t>
  </si>
  <si>
    <t>Escritorios</t>
  </si>
  <si>
    <t>Sillas de escritorio</t>
  </si>
  <si>
    <t>Capital de trabajo</t>
  </si>
  <si>
    <t>Sensores de vidriera</t>
  </si>
  <si>
    <t>Sensores de vidriera (+30)</t>
  </si>
  <si>
    <t>Contadores de puerta</t>
  </si>
  <si>
    <t>Contadores de puerta (+30)</t>
  </si>
  <si>
    <t>Gateways de conexión</t>
  </si>
  <si>
    <t>Gateways de conexión (+30)</t>
  </si>
  <si>
    <t>Kits de montaje</t>
  </si>
  <si>
    <t>Kits de montaje (+30)</t>
  </si>
  <si>
    <t>Proyección de ventas 2027</t>
  </si>
  <si>
    <t>Capacidad operativa - Año 2027</t>
  </si>
  <si>
    <t>* Sigue la estructura plana: los dos fundadores y todo lo demás tercerizado o por hora.</t>
  </si>
  <si>
    <t>Notebooks (+1)</t>
  </si>
  <si>
    <t>Escritorios (+1)</t>
  </si>
  <si>
    <t>Sillas de escritorio (+2)</t>
  </si>
  <si>
    <t>Sensores de vidriera (+50)</t>
  </si>
  <si>
    <t>Contadores de puerta (+50)</t>
  </si>
  <si>
    <t>Gateways de conexión (+50)</t>
  </si>
  <si>
    <t>Kits de montaje (+50)</t>
  </si>
  <si>
    <t>Proyección de ventas 2028</t>
  </si>
  <si>
    <t>Capacidad operativa - Año 2028</t>
  </si>
  <si>
    <t>Notebooks (+5)</t>
  </si>
  <si>
    <t>Sensores de vidriera (+80)</t>
  </si>
  <si>
    <t>Sensores de vidriera (+60)</t>
  </si>
  <si>
    <t>Contadores de puerta (+80)</t>
  </si>
  <si>
    <t>Contadores de puerta (+60)</t>
  </si>
  <si>
    <t>Gateways de conexión (+80)</t>
  </si>
  <si>
    <t>Gateways de conexión (+60)</t>
  </si>
  <si>
    <t>Kits de montaje (+80)</t>
  </si>
  <si>
    <t>Kits de montaje (+60)</t>
  </si>
  <si>
    <t>Anexo capacidad operativa</t>
  </si>
  <si>
    <t>Instalación y alta de los planes ShopMetrics</t>
  </si>
  <si>
    <t>Soporte mensual por plan</t>
  </si>
  <si>
    <t>Sueldo tecnico por hora:</t>
  </si>
  <si>
    <t>Coste del kit de instalación</t>
  </si>
  <si>
    <t>Coste del soporte mensual</t>
  </si>
  <si>
    <t>Cálculo de horas laborables de un empleado por mes</t>
  </si>
  <si>
    <t>Semanas por año</t>
  </si>
  <si>
    <t>semanas</t>
  </si>
  <si>
    <t>Semanas de licencias varias al año</t>
  </si>
  <si>
    <t>Días festivos</t>
  </si>
  <si>
    <t>días</t>
  </si>
  <si>
    <t>Días laborales totales</t>
  </si>
  <si>
    <t>Jornada laboral</t>
  </si>
  <si>
    <t>horas</t>
  </si>
  <si>
    <t>Alta remota: conexión con el punto de venta</t>
  </si>
  <si>
    <t>Horas laborables anuales por empleado</t>
  </si>
  <si>
    <t>Visita al local: sensor de vidriera + contador de puerta</t>
  </si>
  <si>
    <t>Consideraremos en promedio:</t>
  </si>
  <si>
    <t>Horas laborables anuales / empleado</t>
  </si>
  <si>
    <t>Instalación en hasta cinco locales de una cadena</t>
  </si>
  <si>
    <t>Horas laborables mensuales / empleado
[HsLaboralesXMes]</t>
  </si>
  <si>
    <t>Soporte mensual Plan Básico</t>
  </si>
  <si>
    <t>Kit Plan Básico</t>
  </si>
  <si>
    <t>N° de tarea</t>
  </si>
  <si>
    <t>Descripción</t>
  </si>
  <si>
    <t>Base horaria [BH]</t>
  </si>
  <si>
    <t>Cantidad requerida
[Cant]</t>
  </si>
  <si>
    <t>Horas por tarea
Fórmula = Cant * BH</t>
  </si>
  <si>
    <t>Componente</t>
  </si>
  <si>
    <t>Precio unitario</t>
  </si>
  <si>
    <t>Subtotal</t>
  </si>
  <si>
    <t>Contacto y coordinación</t>
  </si>
  <si>
    <t>Monitoreo de ingesta</t>
  </si>
  <si>
    <t>Instalación (mano de obra)</t>
  </si>
  <si>
    <t>Servicio técnico</t>
  </si>
  <si>
    <t>Alta en la plataforma</t>
  </si>
  <si>
    <t>Atención de consultas</t>
  </si>
  <si>
    <t>Conexión con el punto de venta</t>
  </si>
  <si>
    <t>Reporte mensual</t>
  </si>
  <si>
    <t>Verificación de los datos</t>
  </si>
  <si>
    <t>Capacitación remota</t>
  </si>
  <si>
    <t>Total</t>
  </si>
  <si>
    <t>Comentarios: el alta del Plan Básico es remota, no requiere visita.</t>
  </si>
  <si>
    <t>Horas totales por servicio
[HsTotalesXServicio]
Fórmula = Σ Horas por tarea del servicio</t>
  </si>
  <si>
    <t>Coste por instalación</t>
  </si>
  <si>
    <t>Comentarios: soporte enteramente remoto.</t>
  </si>
  <si>
    <t>Horas totales por servicio [HsTotalesXServicio]</t>
  </si>
  <si>
    <t xml:space="preserve">Capacidad operativa mensual por proyecto
Fórmula = HsTotalesXSer / HsLaboralesXMes </t>
  </si>
  <si>
    <t xml:space="preserve">Capacidad operativa mensual por proyecto
</t>
  </si>
  <si>
    <t>Soporte mensual Plan Vidriera</t>
  </si>
  <si>
    <t>Kit Plan Vidriera</t>
  </si>
  <si>
    <t>Coordinación y armado del kit</t>
  </si>
  <si>
    <t>Sensor de vidriera</t>
  </si>
  <si>
    <t>Traslado al local</t>
  </si>
  <si>
    <t>Control del sensor</t>
  </si>
  <si>
    <t>Contador de puerta</t>
  </si>
  <si>
    <t>Montaje del sensor de vidriera</t>
  </si>
  <si>
    <t>Gateway de conexión</t>
  </si>
  <si>
    <t>Instalación contador de puerta</t>
  </si>
  <si>
    <t>Kit de montaje</t>
  </si>
  <si>
    <t>Prueba del embudo</t>
  </si>
  <si>
    <t>Capacitación y cierre</t>
  </si>
  <si>
    <t>Comentarios: incluye traslado y montaje del equipamiento en vidriera.</t>
  </si>
  <si>
    <t>Comentarios: suma el control del sensor de vidriera.</t>
  </si>
  <si>
    <t xml:space="preserve">Capacidad operativa mensual por empleado
Fórmula = HsTotalesXSer / HsLaboralesXMes </t>
  </si>
  <si>
    <t>Soporte mensual Plan Cadena</t>
  </si>
  <si>
    <t>Kit Plan Cadena</t>
  </si>
  <si>
    <t>Relevamiento de la cadena</t>
  </si>
  <si>
    <t>Monitoreo por local</t>
  </si>
  <si>
    <t>Alta de cadena y sucursales</t>
  </si>
  <si>
    <t>Control de sensores</t>
  </si>
  <si>
    <t>Traslado entre locales</t>
  </si>
  <si>
    <t>Consultas del titular</t>
  </si>
  <si>
    <t>Montaje sensor de vidriera</t>
  </si>
  <si>
    <t>Reporte comparativo</t>
  </si>
  <si>
    <t>Conexión del punto de venta</t>
  </si>
  <si>
    <t>Prueba comparativa</t>
  </si>
  <si>
    <t>Capacitación del responsable</t>
  </si>
  <si>
    <t>Comentarios: cubre hasta cinco locales de una misma cadena.</t>
  </si>
  <si>
    <t>Comentarios: el monitoreo se repite por local.</t>
  </si>
  <si>
    <t>Detalle: el soporte por plan es mensual y se sostiene mientras el comercio permanece abonado.</t>
  </si>
  <si>
    <t>ANALISIS CAPACIDAD OPERATIVA ANUAL POR SERVICIO EN HORAS HOMBRE</t>
  </si>
  <si>
    <t>CAPACIDAD OPERATIVA AÑO 2026</t>
  </si>
  <si>
    <t>Unidades requeridas</t>
  </si>
  <si>
    <t>Horas Hombre requeridas</t>
  </si>
  <si>
    <t>Horas Hombre requeridos</t>
  </si>
  <si>
    <t>TOTALES</t>
  </si>
  <si>
    <t>Horas contratadas a técnicos freelance (por mes completo de 150 h, a demanda)</t>
  </si>
  <si>
    <t>Holgura (h) — negativo = capacidad excedida</t>
  </si>
  <si>
    <t>CAPACIDAD OPERATIVA AÑO 2027</t>
  </si>
  <si>
    <t>CAPACIDAD OPERATIVA AÑO 2028</t>
  </si>
  <si>
    <t>CONCLUSIÓN</t>
  </si>
  <si>
    <t>El anexo dimensiona la capacidad operativa desde la demanda. Cada plan tiene un consumo horario propio, obtenido de la suma de las tareas que requiere su alta, y un consumo mensual de soporte que se sostiene mientras el comercio permanece abonado: 0,50 h el Plan Básico, 3,00 h el Plan Vidriera y 12,00 h el Plan Cadena para el alta; 0,15 h, 0,25 h y 0,60 h al mes para el soporte.
Multiplicando esas bases horarias por las unidades de la proyección de ventas se obtienen las horas hombre requeridas mes a mes. El total asciende a 440,75 horas en 2026, 1.113,75 en 2027 y 1.982,10 en 2028, con picos mensuales de 87,50, 123,35 y 189,65 horas respectivamente. Contra las 150 horas laborables mensuales de un empleado, la dotación técnica necesaria es de un técnico en 2026 y 2027, y de dos a partir de marzo de 2028. El mes en que ese cociente supera la unidad es el que marca la incorporación en la estructura de costos de recursos humanos: la contratación no se decide por criterio, se desprende del volumen proyectado.
El costo de mano de obra por alta resulta de USD 3 en el Plan Básico, USD 18 en el Plan Vidriera y USD 72 en el Plan Cadena, contra precios de lista de USD 25, USD 60 y USD 250. Sumado el kit de equipamiento, el alta cubre el esfuerzo técnico comprometido en los tres planes.</t>
  </si>
  <si>
    <t>Ingresos por servicios</t>
  </si>
  <si>
    <t>Ingresos 2026</t>
  </si>
  <si>
    <t>Ingresos 2027</t>
  </si>
  <si>
    <t>Ingresos 2028</t>
  </si>
  <si>
    <t>Costos fijos - Totales</t>
  </si>
  <si>
    <t>Costos fijos de promoción - Totales</t>
  </si>
  <si>
    <t>Costos fijos - Año 2026</t>
  </si>
  <si>
    <t>Rubro</t>
  </si>
  <si>
    <t>Total anual</t>
  </si>
  <si>
    <t>Observaciones</t>
  </si>
  <si>
    <t>Servicios</t>
  </si>
  <si>
    <t>Luz</t>
  </si>
  <si>
    <t>Agua</t>
  </si>
  <si>
    <t>Internet y telefonía fija</t>
  </si>
  <si>
    <t>Telefonía móvil</t>
  </si>
  <si>
    <t>Una línea por técnico y por vendedor; escala con la dotación.</t>
  </si>
  <si>
    <t>Infraestructura cloud base</t>
  </si>
  <si>
    <t>Capacidad mínima para operar con independencia de la cantidad de comercios activos.</t>
  </si>
  <si>
    <t>Licencias de software</t>
  </si>
  <si>
    <t>Herramientas de desarrollo, monitoreo y productividad.</t>
  </si>
  <si>
    <t>Alquiler</t>
  </si>
  <si>
    <t>En 2028 se amplía el espacio por el crecimiento de la dotación.</t>
  </si>
  <si>
    <t>Auditoría y certificación ISO 27001</t>
  </si>
  <si>
    <t>Implementación durante 2027 y mantenimiento desde 2028.</t>
  </si>
  <si>
    <t>Honorarios</t>
  </si>
  <si>
    <t>Estudio Contable Externo</t>
  </si>
  <si>
    <t>Escala por tramos con la cantidad de empleados.</t>
  </si>
  <si>
    <t>Agencia de marketing</t>
  </si>
  <si>
    <t>Abono mensual; la pauta se imputa aparte.</t>
  </si>
  <si>
    <t>Publicidad online</t>
  </si>
  <si>
    <t>Campañas base en Meta y Google</t>
  </si>
  <si>
    <t>Pauta base permanente; las campañas de captación intensiva van en costos variables.</t>
  </si>
  <si>
    <t>Sitio web, SEO local y WhatsApp Business</t>
  </si>
  <si>
    <t>Desarrollo y mantenimiento tercerizado</t>
  </si>
  <si>
    <t>Free lance, 20/40/60 h por mes según el año. Sin cargas patronales.</t>
  </si>
  <si>
    <t>TOTAL</t>
  </si>
  <si>
    <t>Costos fijos - Año 2027</t>
  </si>
  <si>
    <t>Costos fijos - Año 2028</t>
  </si>
  <si>
    <t>Costos variables - Totales</t>
  </si>
  <si>
    <t>Costos de promoción variables - Totales</t>
  </si>
  <si>
    <t>Costos variables - Año 2026</t>
  </si>
  <si>
    <t>Costo unitario</t>
  </si>
  <si>
    <t>Cant.</t>
  </si>
  <si>
    <t>Costo</t>
  </si>
  <si>
    <t>Operación</t>
  </si>
  <si>
    <t>Comisión del vendedor freelance por alta concretada</t>
  </si>
  <si>
    <t>Movilidad y viáticos de instalación</t>
  </si>
  <si>
    <t>Consumo cloud por comercio activo</t>
  </si>
  <si>
    <t>Gateway de notificaciones</t>
  </si>
  <si>
    <t>Comisiones de medios de pago</t>
  </si>
  <si>
    <t>Reposición de equipamiento no recuperado</t>
  </si>
  <si>
    <t>Promoción</t>
  </si>
  <si>
    <t>Bonificación del alta - Plan Básico</t>
  </si>
  <si>
    <t>Bonificación del alta - Plan Vidriera</t>
  </si>
  <si>
    <t>Bonificación del alta - Plan Cadena</t>
  </si>
  <si>
    <t>Incentivo del programa de referidos</t>
  </si>
  <si>
    <t>Técnico freelance de instalación y soporte (por hora, según el Anexo de capacidad)</t>
  </si>
  <si>
    <t>Costos variables - Año 2027</t>
  </si>
  <si>
    <t>Costos variables - Año 2028</t>
  </si>
  <si>
    <t>Costos de RRHH - Totales</t>
  </si>
  <si>
    <t>Costo mensual por puesto</t>
  </si>
  <si>
    <t>Area</t>
  </si>
  <si>
    <t>Puesto</t>
  </si>
  <si>
    <t>Sueldo bruto</t>
  </si>
  <si>
    <t>Jubilación</t>
  </si>
  <si>
    <t>Ley 19032</t>
  </si>
  <si>
    <t>Obra social</t>
  </si>
  <si>
    <t>FNE</t>
  </si>
  <si>
    <t>AAFF</t>
  </si>
  <si>
    <t>S. de Vida</t>
  </si>
  <si>
    <t>ART (Aprox.)</t>
  </si>
  <si>
    <t>Total aportes</t>
  </si>
  <si>
    <t>Costo mensual para empresa</t>
  </si>
  <si>
    <t>Quién lo cubre y dónde se imputa el costo</t>
  </si>
  <si>
    <t>Gerencia</t>
  </si>
  <si>
    <t>Gerente General (Fundador / CEO)</t>
  </si>
  <si>
    <t>En relación de dependencia</t>
  </si>
  <si>
    <t>Gerente de Sistemas (Fundador / CTO)</t>
  </si>
  <si>
    <t>Administración</t>
  </si>
  <si>
    <t>Administrativo contable y de pagos</t>
  </si>
  <si>
    <t>Lo cubre el Gerente General</t>
  </si>
  <si>
    <t>Liquidación de sueldos e impuestos</t>
  </si>
  <si>
    <t>Estudio contable, abono mensual en costos fijos</t>
  </si>
  <si>
    <t>Administrativo de cobranzas</t>
  </si>
  <si>
    <t>Comercial</t>
  </si>
  <si>
    <t>Ejecutivo comercial de altas</t>
  </si>
  <si>
    <t>Freelance por comisión sobre cada alta, en costos variables</t>
  </si>
  <si>
    <t>Atención al cliente y posventa</t>
  </si>
  <si>
    <t>Marketing</t>
  </si>
  <si>
    <t>Gestión de campañas y contenidos</t>
  </si>
  <si>
    <t>Agencia de marketing, abono mensual en costos fijos</t>
  </si>
  <si>
    <t>Sistemas</t>
  </si>
  <si>
    <t>Arquitecto de software</t>
  </si>
  <si>
    <t>Contratado por proyecto; el desarrollo inicial es inversión</t>
  </si>
  <si>
    <t>Mantenimiento evolutivo contratado, en costos fijos</t>
  </si>
  <si>
    <t>Científico de datos</t>
  </si>
  <si>
    <t>Lo cubre el Gerente de Sistemas</t>
  </si>
  <si>
    <t>DevOps / infraestructura cloud</t>
  </si>
  <si>
    <t>Freelance por hora según el Anexo, en costos variables</t>
  </si>
  <si>
    <t>Operador de monitoreo de sensores</t>
  </si>
  <si>
    <t>Costos de RRHH - Año 2026</t>
  </si>
  <si>
    <t>Junio + SAC</t>
  </si>
  <si>
    <t>Diciembre + SAC</t>
  </si>
  <si>
    <t>Totales</t>
  </si>
  <si>
    <t>Costos de RRHH - Año 2027</t>
  </si>
  <si>
    <t>Costos de RRHH - Año 2028</t>
  </si>
  <si>
    <t>Costos totales (USD)</t>
  </si>
  <si>
    <t>Costos fijos</t>
  </si>
  <si>
    <t>Costos variables</t>
  </si>
  <si>
    <t>Costos de RRHH</t>
  </si>
  <si>
    <t>Egresos totales</t>
  </si>
  <si>
    <t>Ingresos proyectados</t>
  </si>
  <si>
    <t>Resultado operativo (antes de inversión, amortizaciones e impuestos)</t>
  </si>
  <si>
    <t>Egresos sobre ingresos</t>
  </si>
  <si>
    <t>Composición de los egresos</t>
  </si>
  <si>
    <t>Modelo de Inversión</t>
  </si>
  <si>
    <t>Inversión Inicial</t>
  </si>
  <si>
    <t>Inversión inicial - Año cero</t>
  </si>
  <si>
    <t>Referencia</t>
  </si>
  <si>
    <t>Desarrollo de la plataforma</t>
  </si>
  <si>
    <t>Cronograma en Microsoft Project: cuatro roles contratados, 2.324 h a valor hora de mercado (ver informe de recursos abajo)</t>
  </si>
  <si>
    <t>Acer Aspire Go 15, Ryzen 7, 16 GB / 512 GB. Mercado Libre 9/2026: $1.450.000 a $1.545 por dólar</t>
  </si>
  <si>
    <t>Escritorio de oficina 120×60. Mercado Libre 9/2026, en el orden de $150.000</t>
  </si>
  <si>
    <t>Silla ergonómica de malla. Mercado Libre 9/2026, entre $90.000 y $156.000</t>
  </si>
  <si>
    <t>Equipamiento de red y periféricos</t>
  </si>
  <si>
    <t>Router TP-Link Archer AX23 ($96.190) + switch 8 puertos + UPS 650 VA</t>
  </si>
  <si>
    <t>Registración de marca y constitución legal</t>
  </si>
  <si>
    <t>INPI, 2 clases con honorarios (~$170.000) + constitución de SAS (~$400.000)</t>
  </si>
  <si>
    <t>Inversión - Año 2026</t>
  </si>
  <si>
    <t>Dispositivos IoT en comodato - Plan Vidriera (sensor de vidriera, contador de puerta, gateway y kit de montaje)</t>
  </si>
  <si>
    <t>Una unidad por instalación del Plan Vidriera, según las altas de Proy. ventas. Se entrega en comodato, vuelve a la empresa en la baja y se reinstala: es stock que rota, no un bien de uso, y por eso no se amortiza.</t>
  </si>
  <si>
    <t>Dispositivos IoT en comodato - Plan Cadena (cinco locales por alta)</t>
  </si>
  <si>
    <t>Un kit de cinco locales por instalación del Plan Cadena, según las altas de Proy. ventas. Mismo criterio: comodato reutilizable, no se amortiza.</t>
  </si>
  <si>
    <t>Inversión - Año 2027</t>
  </si>
  <si>
    <t>Inversión - Año 2028</t>
  </si>
  <si>
    <t>Notebooks (renovación a los 3 años)</t>
  </si>
  <si>
    <t>Amortización
( en años )</t>
  </si>
  <si>
    <t>Valor de adquisiciones</t>
  </si>
  <si>
    <t>Amortización</t>
  </si>
  <si>
    <t>Año cero</t>
  </si>
  <si>
    <t>Año 2027</t>
  </si>
  <si>
    <t>Año 2028</t>
  </si>
  <si>
    <t>Informática y comunicaciones</t>
  </si>
  <si>
    <t>Muebles de oficina</t>
  </si>
  <si>
    <t>Equipamiento de red</t>
  </si>
  <si>
    <t>Red y periféricos</t>
  </si>
  <si>
    <t>Costos</t>
  </si>
  <si>
    <t>Ejercicio</t>
  </si>
  <si>
    <t>-</t>
  </si>
  <si>
    <t>Egresos</t>
  </si>
  <si>
    <t>Utilidad Antes de Impuestos (UAII)</t>
  </si>
  <si>
    <t>Impuesto Ingresos Brutos (3%) (IIB)</t>
  </si>
  <si>
    <t>Impuesto a las ganancias (35%) (IIGG)</t>
  </si>
  <si>
    <t>Utilidad despues de Impuestos (UDII)</t>
  </si>
  <si>
    <t>Inversión</t>
  </si>
  <si>
    <t>Flujo de Fondos (FF)</t>
  </si>
  <si>
    <t>Monto Imponible</t>
  </si>
  <si>
    <t>Costo de promoción y publicidad</t>
  </si>
  <si>
    <t>Costo de promocion relacionados con ventas</t>
  </si>
  <si>
    <t>Costos fijos relacionados con ingresos</t>
  </si>
  <si>
    <t>Costos variables relacionados con ingresos</t>
  </si>
  <si>
    <t>Costos de RRHH relacionados con ingresos</t>
  </si>
  <si>
    <t>Tasa de Corte</t>
  </si>
  <si>
    <t>VAN</t>
  </si>
  <si>
    <t>Se recupera la inversión en el 3er año</t>
  </si>
  <si>
    <t>TIR</t>
  </si>
  <si>
    <t>Riesgos</t>
  </si>
  <si>
    <t>Posibles riesgos</t>
  </si>
  <si>
    <t>R1: No alcanzar el volumen mínimo de comercios</t>
  </si>
  <si>
    <t>R2: Rotación de comercios antes de amortizar el alta</t>
  </si>
  <si>
    <t>R3: Ruptura de un conector con un sistema de punto de venta</t>
  </si>
  <si>
    <t>R4: Sostenibilidad financiera de los primeros 18 a 24 meses</t>
  </si>
  <si>
    <t>R5: Restricción a la importación de sensores y gateways</t>
  </si>
  <si>
    <t>R6: Salto cambiario o inflación por encima de lo proyectado</t>
  </si>
  <si>
    <t>R7: Incidente de privacidad o pérdida de datos del comercio</t>
  </si>
  <si>
    <t>R8: Pérdida, robo o rotura del equipamiento en comodato</t>
  </si>
  <si>
    <t>R9: Dependencia de los dos socios fundadores</t>
  </si>
  <si>
    <t>R10: Entrada de un competidor local con precio agresivo</t>
  </si>
  <si>
    <t>Riesgo</t>
  </si>
  <si>
    <t>Causas</t>
  </si>
  <si>
    <t>Efectos cuantitativos (USD)</t>
  </si>
  <si>
    <t>Efectos cualitativos</t>
  </si>
  <si>
    <t>Probabilidad (1-5)</t>
  </si>
  <si>
    <t>Impacto (1-5)</t>
  </si>
  <si>
    <t>Nivel de riesgo (P x I)</t>
  </si>
  <si>
    <t>Escalas de valoración</t>
  </si>
  <si>
    <t>R1</t>
  </si>
  <si>
    <t>No alcanzar el volumen mínimo de comercios. La captación queda por debajo de las 102, 272 y 510 altas acumuladas que proyecta el plan, de modo que el ingreso recurrente no llega a cubrir la estructura fija.</t>
  </si>
  <si>
    <t>- Tasa de conversión por visita menor a la prevista</t>
  </si>
  <si>
    <t>Cada 10% de desvío sobre las 510 altas del año 3 equivale a unos USD 16.000 de ingreso anual no realizado. Un desvío del 30% deja el ingreso 2028 en torno de USD 112.000, por debajo del costo de la dotación prevista.</t>
  </si>
  <si>
    <t>Estructura sobredimensionada frente al ingreso, necesidad de reducir dotación y pérdida de la masa crítica de pares que da valor al benchmarking.</t>
  </si>
  <si>
    <t>Probabilidad (1 a 5)</t>
  </si>
  <si>
    <t>Impacto (1 a 5)</t>
  </si>
  <si>
    <t>Impacto \ Probabilidad</t>
  </si>
  <si>
    <t>Muy improbable (1)</t>
  </si>
  <si>
    <t>No es probable (2)</t>
  </si>
  <si>
    <t>Posible (3)</t>
  </si>
  <si>
    <t>Probable (4)</t>
  </si>
  <si>
    <t>Muy probable (5)</t>
  </si>
  <si>
    <t>- Resistencia del comerciante a instalar equipos en su local</t>
  </si>
  <si>
    <t>1: Muy improbable</t>
  </si>
  <si>
    <t>1: Insignificante</t>
  </si>
  <si>
    <t>Catastrófico (5)</t>
  </si>
  <si>
    <t>R7</t>
  </si>
  <si>
    <t>R1 - R4</t>
  </si>
  <si>
    <t>- Densidad efectiva del eje menor a la relevada</t>
  </si>
  <si>
    <t>2: No es probable</t>
  </si>
  <si>
    <t>2: Menor</t>
  </si>
  <si>
    <t>Importante (4)</t>
  </si>
  <si>
    <t>R10</t>
  </si>
  <si>
    <t>R5 - R6 - R9</t>
  </si>
  <si>
    <t>R2 - R3</t>
  </si>
  <si>
    <t>R2</t>
  </si>
  <si>
    <t>Rotación de comercios antes de amortizar el alta. El comercio se da de baja antes de que el abono acumulado recupere el costo del alta y del equipamiento instalado en su local.</t>
  </si>
  <si>
    <t>- Alta rotación propia del comercio minorista</t>
  </si>
  <si>
    <t>Una baja del Plan Vidriera antes del mes doce deja sin recuperar los USD 60 del alta más las tres horas de técnico y el reacondicionamiento del equipo retirado.</t>
  </si>
  <si>
    <t>Erosión de la base instalada, mayor esfuerzo comercial para sostener el mismo stock de clientes y deterioro de la comparación sectorial.</t>
  </si>
  <si>
    <t>3: Posible</t>
  </si>
  <si>
    <t>3: Moderado</t>
  </si>
  <si>
    <t>Moderado (3)</t>
  </si>
  <si>
    <t>R8</t>
  </si>
  <si>
    <t>- Bajo uso de la plataforma tras las primeras semanas</t>
  </si>
  <si>
    <t>4: Probable</t>
  </si>
  <si>
    <t>4: Importante</t>
  </si>
  <si>
    <t>Menor (2)</t>
  </si>
  <si>
    <t>- Estacionalidad del rubro indumentaria</t>
  </si>
  <si>
    <t>5: Muy probable</t>
  </si>
  <si>
    <t>5: Catastrófico</t>
  </si>
  <si>
    <t>Insignificante (1)</t>
  </si>
  <si>
    <t>R3</t>
  </si>
  <si>
    <t>Ruptura de un conector con un sistema de punto de venta. Uno de los siete sistemas de punto de venta integrados cambia o deprecia su API y el conector deja de funcionar.</t>
  </si>
  <si>
    <t>- Deprecación de la API por el proveedor del punto de venta</t>
  </si>
  <si>
    <t>Horas del Desarrollador destinadas a rehacer el conector en lugar de al roadmap, más el ingreso en riesgo de los comercios que operan con ese sistema.</t>
  </si>
  <si>
    <t>Incumplimiento del acuerdo de nivel de servicio y pérdida de confianza en un diferencial que es la principal barrera de entrada de la empresa.</t>
  </si>
  <si>
    <t>Bajo (1-6): Riesgos que probablemente no sucederán o que, si lo hacen, no tendrán consecuencias significativas.</t>
  </si>
  <si>
    <t>- Cambio de versión sin aviso previo</t>
  </si>
  <si>
    <t>Moderado (7-12): Riesgos que pueden causar contratiempos, pero son manejables con medidas adecuadas.</t>
  </si>
  <si>
    <t>- Consolidación o discontinuidad de un proveedor</t>
  </si>
  <si>
    <t>Alto (13-20): Riesgos que requieren atención inmediata y estrategias de mitigación rigurosas.</t>
  </si>
  <si>
    <t>R4</t>
  </si>
  <si>
    <t>Sostenibilidad financiera de los primeros 18 a 24 meses. El déficit acumulado hasta alcanzar el punto de equilibrio supera la capacidad de aporte de los socios y la inversión inicial prevista.</t>
  </si>
  <si>
    <t>- Ingresos de USD 20.863 en 2026 contra una estructura fija muy superior</t>
  </si>
  <si>
    <t>El resultado operativo se mantiene negativo durante los dos primeros ejercicios; el déficit acumulado debe cubrirse con capital propio o financiamiento.</t>
  </si>
  <si>
    <t>Dependencia del aporte de los socios, pérdida de autonomía en la toma de decisiones y presión para acelerar la captación por encima de lo que soporta la capacidad operativa.</t>
  </si>
  <si>
    <t>Crítico (21-25): Riesgos que pueden poner en peligro la viabilidad del proyecto y requieren acciones urgentes.</t>
  </si>
  <si>
    <t>- Incorporaciones de dotación anteriores al ingreso que las financia</t>
  </si>
  <si>
    <t>- Demora en la cobranza y morosidad de los primeros clientes</t>
  </si>
  <si>
    <t>R5</t>
  </si>
  <si>
    <t>Restricción a la importación de sensores y gateways. El equipamiento de conteo, de origen importado, no puede reponerse en tiempo o su costo se incrementa de manera significativa.</t>
  </si>
  <si>
    <t>- Cambios en el régimen de importaciones y licencias no automáticas</t>
  </si>
  <si>
    <t>Mayor costo del capital de trabajo por lote de reposición y altas del Plan Vidriera postergadas por falta de stock, con el ingreso recurrente diferido.</t>
  </si>
  <si>
    <t>Incumplimiento de las fechas de instalación comprometidas por el vendedor y deterioro de la experiencia inicial del cliente.</t>
  </si>
  <si>
    <t>- Demoras aduaneras en la nacionalización</t>
  </si>
  <si>
    <t>- Aumento del costo en origen o del flete</t>
  </si>
  <si>
    <t>R6</t>
  </si>
  <si>
    <t>Salto cambiario o inflación por encima de lo proyectado. La lista de precios está denominada en dólares pero se cobra en pesos con ajuste por índice, mientras los sueldos se pagan en pesos.</t>
  </si>
  <si>
    <t>- Volatilidad cambiaria y ampliación de la brecha</t>
  </si>
  <si>
    <t>Erosión del valor real del abono cobrado entre la facturación y la cobranza, y aumento de la masa salarial por encima del ingreso ajustado.</t>
  </si>
  <si>
    <t>Necesidad de renegociar precios con la base instalada, con riesgo de bajas, y pérdida de previsibilidad en la planificación.</t>
  </si>
  <si>
    <t>- Inflación superior a la proyección del REM</t>
  </si>
  <si>
    <t>- Rezago del índice de ajuste frente a la suba de costos</t>
  </si>
  <si>
    <t>Incidente de privacidad o pérdida de datos del comercio. Acceso indebido, filtración o pérdida de los datos de ventas y de conteo que los comercios confían a la plataforma.</t>
  </si>
  <si>
    <t>- Vulnerabilidad en la plataforma o en un conector</t>
  </si>
  <si>
    <t>Costos de recuperación, notificación y eventual sanción bajo la Ley 25.326, más el ingreso perdido por las bajas que el incidente provoque.</t>
  </si>
  <si>
    <t>Daño reputacional severo en un negocio cuya propuesta de valor se apoya en la privacidad por diseño; pérdida de la principal respuesta a la objeción del comerciante.</t>
  </si>
  <si>
    <t>- Error humano en la gestión de credenciales</t>
  </si>
  <si>
    <t>- Falla en la política de respaldos</t>
  </si>
  <si>
    <t>Pérdida, robo o rotura del equipamiento en comodato. Los sensores, contadores y gateways entregados en comodato no se recuperan o se recuperan sin posibilidad de reacondicionamiento.</t>
  </si>
  <si>
    <t>- Cierre abrupto del local sin devolución del equipo</t>
  </si>
  <si>
    <t>Reposición del equipamiento no recuperado, que se suma al capital de trabajo del período sin generar una nueva alta.</t>
  </si>
  <si>
    <t>Deterioro de la rotación del capital de trabajo, que es una de las condiciones que vuelven viable el modelo de abono bajo.</t>
  </si>
  <si>
    <t>- Robo o daño en el punto de instalación</t>
  </si>
  <si>
    <t>- Desgaste por encima de la vida útil estimada</t>
  </si>
  <si>
    <t>R9</t>
  </si>
  <si>
    <t>Dependencia de los dos socios fundadores. La conducción estratégica, técnica y comercial se concentra en dos personas que además ejecutan tareas operativas.</t>
  </si>
  <si>
    <t>- Ausencia prolongada o desvinculación de un socio</t>
  </si>
  <si>
    <t>Detención del desarrollo o de la conducción comercial, con impacto directo sobre el ritmo de altas y sobre el mantenimiento de los conectores.</t>
  </si>
  <si>
    <t>Vulnerabilidad estructural de la organización y dificultad para incorporar inversores que evalúan la continuidad del equipo.</t>
  </si>
  <si>
    <t>- Concentración del conocimiento técnico sin documentar</t>
  </si>
  <si>
    <t>- Sobrecarga por acumulación de funciones</t>
  </si>
  <si>
    <t>Entrada de un competidor local con precio agresivo. Un competidor local replica la propuesta con un abono menor, apoyado en los mismos dispositivos de conteo disponibles en el mercado.</t>
  </si>
  <si>
    <t>- Baja barrera de entrada en la capa de hardware</t>
  </si>
  <si>
    <t>Presión a la baja sobre el abono y aumento del costo de adquisición por comercio en los ejes disputados.</t>
  </si>
  <si>
    <t>Pérdida de la ventaja de ser el primero en el corredor y erosión del margen que sostiene la estructura.</t>
  </si>
  <si>
    <t>- Imitación del modelo comercial una vez validado</t>
  </si>
  <si>
    <t>- Estrategia de precio por debajo del costo para ganar participación</t>
  </si>
  <si>
    <t>Cuadro de evaluación de riesgos</t>
  </si>
  <si>
    <t>Comercios minoristas con local a la calle y vidriera a la vereda, de entre uno y cinco locales y hasta nueve ocupados, ubicados en los ejes comerciales de mayor densidad del AMBA, que ya operan con alguno de los siete sistemas de punto de venta cubiertos por los conectores propios. El rubro de arranque es indumentaria, textiles y calzado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</si>
</sst>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 _€_-;\-* #,##0\ _€_-;_-* \-??\ _€_-;_-@"/>
    <numFmt numFmtId="165" formatCode="_-&quot;$ &quot;* #,##0.00_-;&quot;-$ &quot;* #,##0.00_-;_-&quot;$ &quot;* \-??_-;_-@"/>
    <numFmt numFmtId="166" formatCode="0.0%"/>
    <numFmt numFmtId="167" formatCode="_ [$$-2C0A]\ * #,##0.00_ ;_ [$$-2C0A]\ * \-#,##0.00_ ;_ [$$-2C0A]\ * \-??_ ;_ @_ "/>
    <numFmt numFmtId="168" formatCode="&quot;$ &quot;#,##0.00"/>
    <numFmt numFmtId="169" formatCode="_-* #,##0.00\ _€_-;\-* #,##0.00\ _€_-;_-* \-??\ _€_-;_-@"/>
    <numFmt numFmtId="170" formatCode="#,##0_ ;\-#,##0\ "/>
    <numFmt numFmtId="171" formatCode="\$#,##0"/>
    <numFmt numFmtId="172" formatCode="_(\$* #,##0.00_);_(\$* \(#,##0.00\);_(\$* \-??_);_(@_)"/>
    <numFmt numFmtId="173" formatCode="\$#,##0.00"/>
    <numFmt numFmtId="174" formatCode="0.000000"/>
    <numFmt numFmtId="175" formatCode="0.0000"/>
    <numFmt numFmtId="176" formatCode="&quot;$ &quot;#,##0.00&quot; c/u&quot;"/>
    <numFmt numFmtId="177" formatCode="_-&quot;$ &quot;* #,##0.00_-;&quot;-$ &quot;* #,##0.00_-;_-&quot;$ &quot;* \-??_-;_-@_-"/>
    <numFmt numFmtId="178" formatCode="\$#,##0;[Red]&quot;-$&quot;#,##0"/>
    <numFmt numFmtId="179" formatCode="&quot;$ &quot;#,##0.00;[Red]&quot;-$ &quot;#,##0.00"/>
    <numFmt numFmtId="180" formatCode="0.0000%"/>
  </numFmts>
  <fonts count="41">
    <font>
      <sz val="11"/>
      <color theme="1"/>
      <name val="Arial"/>
      <charset val="1"/>
    </font>
    <font>
      <sz val="11"/>
      <color theme="1"/>
      <name val="Calibri"/>
      <family val="2"/>
    </font>
    <font>
      <b/>
      <sz val="22"/>
      <color theme="1"/>
      <name val="Calibri"/>
      <family val="2"/>
    </font>
    <font>
      <b/>
      <sz val="14"/>
      <color theme="1"/>
      <name val="Arial"/>
      <family val="2"/>
    </font>
    <font>
      <b/>
      <sz val="16"/>
      <color theme="1"/>
      <name val="Calibri"/>
      <family val="2"/>
    </font>
    <font>
      <u/>
      <sz val="14"/>
      <color theme="1"/>
      <name val="Calibri"/>
      <family val="2"/>
    </font>
    <font>
      <b/>
      <sz val="36"/>
      <color theme="1"/>
      <name val="Calibri"/>
      <family val="2"/>
    </font>
    <font>
      <b/>
      <sz val="48"/>
      <color theme="1"/>
      <name val="Calibri"/>
      <family val="2"/>
    </font>
    <font>
      <b/>
      <sz val="20"/>
      <color theme="1"/>
      <name val="Calibri"/>
      <family val="2"/>
    </font>
    <font>
      <sz val="11"/>
      <color rgb="FF404040"/>
      <name val="Calibri"/>
      <family val="2"/>
    </font>
    <font>
      <sz val="14"/>
      <color theme="1"/>
      <name val="Calibri"/>
      <family val="2"/>
    </font>
    <font>
      <b/>
      <sz val="12"/>
      <color theme="1"/>
      <name val="Calibri"/>
      <family val="2"/>
    </font>
    <font>
      <b/>
      <sz val="14"/>
      <color theme="1"/>
      <name val="Calibri"/>
      <family val="2"/>
    </font>
    <font>
      <sz val="12"/>
      <color theme="1"/>
      <name val="Calibri"/>
      <family val="2"/>
    </font>
    <font>
      <b/>
      <sz val="12"/>
      <color theme="1"/>
      <name val="Arial"/>
      <family val="2"/>
    </font>
    <font>
      <b/>
      <sz val="12"/>
      <name val="Calibri"/>
      <family val="2"/>
    </font>
    <font>
      <sz val="11"/>
      <name val="Calibri"/>
      <family val="2"/>
    </font>
    <font>
      <b/>
      <sz val="48"/>
      <color theme="0"/>
      <name val="Calibri"/>
      <family val="2"/>
    </font>
    <font>
      <b/>
      <sz val="11"/>
      <color theme="1"/>
      <name val="Calibri"/>
      <family val="2"/>
    </font>
    <font>
      <u/>
      <sz val="12"/>
      <color theme="1"/>
      <name val="Calibri"/>
      <family val="2"/>
    </font>
    <font>
      <b/>
      <sz val="11"/>
      <color rgb="FF000000"/>
      <name val="Calibri"/>
      <family val="2"/>
    </font>
    <font>
      <b/>
      <sz val="11"/>
      <name val="Calibri"/>
      <family val="2"/>
    </font>
    <font>
      <b/>
      <sz val="36"/>
      <name val="Calibri"/>
      <family val="2"/>
    </font>
    <font>
      <b/>
      <sz val="14"/>
      <name val="Calibri"/>
      <family val="2"/>
    </font>
    <font>
      <sz val="11"/>
      <color theme="1"/>
      <name val="Calibri"/>
      <family val="2"/>
      <charset val="1"/>
    </font>
    <font>
      <b/>
      <sz val="36"/>
      <name val="Calibri"/>
      <family val="2"/>
      <charset val="1"/>
    </font>
    <font>
      <b/>
      <sz val="36"/>
      <color theme="0"/>
      <name val="Calibri"/>
      <family val="2"/>
      <charset val="1"/>
    </font>
    <font>
      <b/>
      <sz val="20"/>
      <name val="Calibri"/>
      <family val="2"/>
      <charset val="1"/>
    </font>
    <font>
      <b/>
      <sz val="11"/>
      <color theme="1"/>
      <name val="Calibri"/>
      <family val="2"/>
      <charset val="1"/>
    </font>
    <font>
      <sz val="11"/>
      <name val="Cambria"/>
      <family val="1"/>
    </font>
    <font>
      <b/>
      <sz val="12"/>
      <color theme="1"/>
      <name val="Calibri"/>
      <family val="2"/>
      <charset val="1"/>
    </font>
    <font>
      <u/>
      <sz val="11"/>
      <color theme="10"/>
      <name val="Calibri"/>
      <family val="2"/>
    </font>
    <font>
      <sz val="11"/>
      <color rgb="FF000000"/>
      <name val="Calibri"/>
      <family val="2"/>
    </font>
    <font>
      <sz val="18"/>
      <color theme="1"/>
      <name val="Var(--font-fk-grotesk)"/>
      <charset val="1"/>
    </font>
    <font>
      <b/>
      <sz val="11"/>
      <color theme="1"/>
      <name val="Quattrocento Sans"/>
      <charset val="1"/>
    </font>
    <font>
      <sz val="11"/>
      <color theme="1"/>
      <name val="Quattrocento Sans"/>
      <charset val="1"/>
    </font>
    <font>
      <sz val="13"/>
      <color theme="1"/>
      <name val="Times New Roman"/>
      <family val="1"/>
    </font>
    <font>
      <sz val="9"/>
      <color theme="1"/>
      <name val="Quattrocento Sans"/>
      <charset val="1"/>
    </font>
    <font>
      <sz val="10"/>
      <color theme="1"/>
      <name val="Quattrocento Sans"/>
      <charset val="1"/>
    </font>
    <font>
      <b/>
      <sz val="20"/>
      <name val="Calibri"/>
      <family val="2"/>
    </font>
    <font>
      <sz val="14"/>
      <color theme="1"/>
      <name val="Arial"/>
      <family val="2"/>
    </font>
  </fonts>
  <fills count="34">
    <fill>
      <patternFill patternType="none"/>
    </fill>
    <fill>
      <patternFill patternType="gray125"/>
    </fill>
    <fill>
      <patternFill patternType="solid">
        <fgColor theme="0"/>
        <bgColor rgb="FFFFF8E9"/>
      </patternFill>
    </fill>
    <fill>
      <patternFill patternType="solid">
        <fgColor rgb="FFFFC000"/>
        <bgColor rgb="FFFBBC04"/>
      </patternFill>
    </fill>
    <fill>
      <patternFill patternType="solid">
        <fgColor rgb="FFC5E0B3"/>
        <bgColor rgb="FFC6EFCE"/>
      </patternFill>
    </fill>
    <fill>
      <patternFill patternType="solid">
        <fgColor rgb="FFE2EFD9"/>
        <bgColor rgb="FFECECEC"/>
      </patternFill>
    </fill>
    <fill>
      <patternFill patternType="solid">
        <fgColor rgb="FFA8D08D"/>
        <bgColor rgb="FF92D050"/>
      </patternFill>
    </fill>
    <fill>
      <patternFill patternType="solid">
        <fgColor rgb="FFD9E2F3"/>
        <bgColor rgb="FFDEEAF6"/>
      </patternFill>
    </fill>
    <fill>
      <patternFill patternType="solid">
        <fgColor rgb="FFFBE4D5"/>
        <bgColor rgb="FFFCE5CD"/>
      </patternFill>
    </fill>
    <fill>
      <patternFill patternType="solid">
        <fgColor rgb="FFECECEC"/>
        <bgColor rgb="FFEEF4FB"/>
      </patternFill>
    </fill>
    <fill>
      <patternFill patternType="solid">
        <fgColor rgb="FFFEF2CB"/>
        <bgColor rgb="FFFFF2CC"/>
      </patternFill>
    </fill>
    <fill>
      <patternFill patternType="solid">
        <fgColor rgb="FF00B0F0"/>
        <bgColor rgb="FF46BDC6"/>
      </patternFill>
    </fill>
    <fill>
      <patternFill patternType="solid">
        <fgColor rgb="FFFFFF00"/>
        <bgColor rgb="FFFFC000"/>
      </patternFill>
    </fill>
    <fill>
      <patternFill patternType="solid">
        <fgColor theme="1"/>
        <bgColor rgb="FF0D1319"/>
      </patternFill>
    </fill>
    <fill>
      <patternFill patternType="solid">
        <fgColor rgb="FFEA9999"/>
        <bgColor rgb="FFF4B07C"/>
      </patternFill>
    </fill>
    <fill>
      <patternFill patternType="solid">
        <fgColor rgb="FFFF9900"/>
        <bgColor rgb="FFFBBC04"/>
      </patternFill>
    </fill>
    <fill>
      <patternFill patternType="solid">
        <fgColor rgb="FFF4CCCC"/>
        <bgColor rgb="FFFFC7CE"/>
      </patternFill>
    </fill>
    <fill>
      <patternFill patternType="solid">
        <fgColor rgb="FFFCE5CD"/>
        <bgColor rgb="FFFBE4D5"/>
      </patternFill>
    </fill>
    <fill>
      <patternFill patternType="solid">
        <fgColor rgb="FFDEEAF6"/>
        <bgColor rgb="FFDAF2F4"/>
      </patternFill>
    </fill>
    <fill>
      <patternFill patternType="solid">
        <fgColor rgb="FFFFF2CC"/>
        <bgColor rgb="FFFEF2CB"/>
      </patternFill>
    </fill>
    <fill>
      <patternFill patternType="solid">
        <fgColor rgb="FFF3F5F3"/>
        <bgColor rgb="FFEEF4FB"/>
      </patternFill>
    </fill>
    <fill>
      <patternFill patternType="solid">
        <fgColor theme="9" tint="0.59987182226020086"/>
        <bgColor rgb="FFB6DDEC"/>
      </patternFill>
    </fill>
    <fill>
      <patternFill patternType="solid">
        <fgColor theme="9" tint="0.79989013336588644"/>
        <bgColor rgb="FFDEEAF6"/>
      </patternFill>
    </fill>
    <fill>
      <patternFill patternType="solid">
        <fgColor rgb="FFCCCCCC"/>
        <bgColor rgb="FFDADADA"/>
      </patternFill>
    </fill>
    <fill>
      <patternFill patternType="solid">
        <fgColor rgb="FFC9DAF8"/>
        <bgColor rgb="FFD9E2F3"/>
      </patternFill>
    </fill>
    <fill>
      <patternFill patternType="solid">
        <fgColor rgb="FFF4B07C"/>
        <bgColor rgb="FFFABC73"/>
      </patternFill>
    </fill>
    <fill>
      <patternFill patternType="darkGray">
        <fgColor rgb="FFFABC73"/>
        <bgColor rgb="FFF4B07C"/>
      </patternFill>
    </fill>
    <fill>
      <patternFill patternType="solid">
        <fgColor rgb="FF92D050"/>
        <bgColor rgb="FFA8D08D"/>
      </patternFill>
    </fill>
    <fill>
      <patternFill patternType="solid">
        <fgColor rgb="FFFF0000"/>
        <bgColor rgb="FFF1393A"/>
      </patternFill>
    </fill>
    <fill>
      <patternFill patternType="solid">
        <fgColor rgb="FFF8CBAD"/>
        <bgColor rgb="FFF4CCCC"/>
      </patternFill>
    </fill>
    <fill>
      <patternFill patternType="solid">
        <fgColor rgb="FFC6EFCE"/>
        <bgColor rgb="FFC5E0B3"/>
      </patternFill>
    </fill>
    <fill>
      <patternFill patternType="solid">
        <fgColor rgb="FFFFEB9C"/>
        <bgColor rgb="FFFEF2CB"/>
      </patternFill>
    </fill>
    <fill>
      <patternFill patternType="solid">
        <fgColor rgb="FFFFC7CE"/>
        <bgColor rgb="FFF4CCCC"/>
      </patternFill>
    </fill>
    <fill>
      <patternFill patternType="solid">
        <fgColor rgb="FFB6DDEC"/>
        <bgColor rgb="FFB5E5E8"/>
      </patternFill>
    </fill>
  </fills>
  <borders count="90">
    <border>
      <left/>
      <right/>
      <top/>
      <bottom/>
      <diagonal/>
    </border>
    <border>
      <left style="medium">
        <color theme="9"/>
      </left>
      <right style="medium">
        <color theme="9"/>
      </right>
      <top style="medium">
        <color theme="9"/>
      </top>
      <bottom style="medium">
        <color theme="9"/>
      </bottom>
      <diagonal/>
    </border>
    <border>
      <left style="medium">
        <color theme="9"/>
      </left>
      <right style="medium">
        <color theme="9"/>
      </right>
      <top style="medium">
        <color theme="9"/>
      </top>
      <bottom/>
      <diagonal/>
    </border>
    <border>
      <left style="medium">
        <color theme="9"/>
      </left>
      <right style="medium">
        <color theme="9"/>
      </right>
      <top/>
      <bottom/>
      <diagonal/>
    </border>
    <border>
      <left style="medium">
        <color theme="9"/>
      </left>
      <right style="medium">
        <color theme="9"/>
      </right>
      <top/>
      <bottom style="medium">
        <color theme="9"/>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medium">
        <color auto="1"/>
      </left>
      <right style="medium">
        <color auto="1"/>
      </right>
      <top/>
      <bottom style="thin">
        <color auto="1"/>
      </bottom>
      <diagonal/>
    </border>
    <border>
      <left style="thin">
        <color auto="1"/>
      </left>
      <right/>
      <top style="medium">
        <color auto="1"/>
      </top>
      <bottom style="medium">
        <color auto="1"/>
      </bottom>
      <diagonal/>
    </border>
    <border>
      <left style="thin">
        <color auto="1"/>
      </left>
      <right/>
      <top/>
      <bottom/>
      <diagonal/>
    </border>
    <border>
      <left style="medium">
        <color auto="1"/>
      </left>
      <right style="medium">
        <color auto="1"/>
      </right>
      <top style="thin">
        <color auto="1"/>
      </top>
      <bottom/>
      <diagonal/>
    </border>
    <border>
      <left style="medium">
        <color auto="1"/>
      </left>
      <right/>
      <top/>
      <bottom style="medium">
        <color auto="1"/>
      </bottom>
      <diagonal/>
    </border>
    <border>
      <left style="thin">
        <color auto="1"/>
      </left>
      <right/>
      <top/>
      <bottom style="medium">
        <color auto="1"/>
      </bottom>
      <diagonal/>
    </border>
    <border>
      <left style="thin">
        <color auto="1"/>
      </left>
      <right style="thin">
        <color auto="1"/>
      </right>
      <top style="thin">
        <color auto="1"/>
      </top>
      <bottom/>
      <diagonal/>
    </border>
    <border>
      <left/>
      <right style="thin">
        <color auto="1"/>
      </right>
      <top style="medium">
        <color auto="1"/>
      </top>
      <bottom/>
      <diagonal/>
    </border>
    <border>
      <left style="thick">
        <color auto="1"/>
      </left>
      <right style="thick">
        <color auto="1"/>
      </right>
      <top style="thick">
        <color auto="1"/>
      </top>
      <bottom/>
      <diagonal/>
    </border>
    <border>
      <left style="thin">
        <color auto="1"/>
      </left>
      <right style="thin">
        <color auto="1"/>
      </right>
      <top style="medium">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style="thin">
        <color auto="1"/>
      </bottom>
      <diagonal/>
    </border>
    <border>
      <left/>
      <right style="thin">
        <color auto="1"/>
      </right>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thin">
        <color auto="1"/>
      </top>
      <bottom/>
      <diagonal/>
    </border>
    <border>
      <left style="medium">
        <color auto="1"/>
      </left>
      <right/>
      <top/>
      <bottom/>
      <diagonal/>
    </border>
    <border>
      <left/>
      <right style="thin">
        <color auto="1"/>
      </right>
      <top/>
      <bottom/>
      <diagonal/>
    </border>
    <border>
      <left/>
      <right style="thin">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s>
  <cellStyleXfs count="1">
    <xf numFmtId="0" fontId="0" fillId="0" borderId="0"/>
  </cellStyleXfs>
  <cellXfs count="742">
    <xf numFmtId="0" fontId="0" fillId="0" borderId="0" xfId="0"/>
    <xf numFmtId="0" fontId="8" fillId="4" borderId="5" xfId="0" applyFont="1" applyFill="1" applyBorder="1" applyAlignment="1">
      <alignment horizontal="center"/>
    </xf>
    <xf numFmtId="0" fontId="14" fillId="10" borderId="5" xfId="0" applyFont="1" applyFill="1" applyBorder="1" applyAlignment="1">
      <alignment horizontal="center" vertical="center" wrapText="1"/>
    </xf>
    <xf numFmtId="0" fontId="14" fillId="9" borderId="5"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5" borderId="5" xfId="0" applyFont="1" applyFill="1" applyBorder="1" applyAlignment="1">
      <alignment horizontal="center" vertical="center" textRotation="90" wrapText="1"/>
    </xf>
    <xf numFmtId="0" fontId="14" fillId="5" borderId="5" xfId="0" applyFont="1" applyFill="1" applyBorder="1" applyAlignment="1">
      <alignment horizontal="center" vertical="center" wrapText="1"/>
    </xf>
    <xf numFmtId="0" fontId="1" fillId="2" borderId="0" xfId="0" applyFont="1" applyFill="1" applyAlignment="1">
      <alignment horizontal="left" vertical="top" wrapText="1"/>
    </xf>
    <xf numFmtId="0" fontId="8" fillId="6" borderId="7" xfId="0" applyFont="1" applyFill="1" applyBorder="1" applyAlignment="1">
      <alignment horizontal="left" vertical="top" wrapText="1"/>
    </xf>
    <xf numFmtId="0" fontId="1" fillId="2" borderId="6" xfId="0" applyFont="1" applyFill="1" applyBorder="1" applyAlignment="1">
      <alignment horizontal="left" vertical="top" wrapText="1"/>
    </xf>
    <xf numFmtId="0" fontId="9" fillId="0" borderId="6" xfId="0" applyFont="1" applyBorder="1" applyAlignment="1">
      <alignment horizontal="left" vertical="top" wrapText="1"/>
    </xf>
    <xf numFmtId="0" fontId="8" fillId="4" borderId="5" xfId="0" applyFont="1" applyFill="1" applyBorder="1" applyAlignment="1">
      <alignment horizontal="left"/>
    </xf>
    <xf numFmtId="0" fontId="1" fillId="2" borderId="0" xfId="0" applyFont="1" applyFill="1"/>
    <xf numFmtId="0" fontId="2" fillId="2" borderId="0" xfId="0" applyFont="1" applyFill="1"/>
    <xf numFmtId="0" fontId="3" fillId="2" borderId="0" xfId="0" applyFont="1" applyFill="1" applyAlignment="1">
      <alignment horizontal="left" vertical="center"/>
    </xf>
    <xf numFmtId="0" fontId="4" fillId="0" borderId="1" xfId="0" applyFont="1" applyBorder="1" applyAlignment="1">
      <alignment horizont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 fillId="3" borderId="0" xfId="0" applyFont="1" applyFill="1"/>
    <xf numFmtId="0" fontId="6" fillId="3" borderId="0" xfId="0" applyFont="1" applyFill="1" applyAlignment="1">
      <alignment horizontal="center" vertical="center"/>
    </xf>
    <xf numFmtId="0" fontId="7" fillId="3" borderId="0" xfId="0" applyFont="1" applyFill="1" applyAlignment="1">
      <alignment horizontal="center" vertical="center"/>
    </xf>
    <xf numFmtId="0" fontId="1" fillId="2" borderId="0" xfId="0" applyFont="1" applyFill="1" applyAlignment="1">
      <alignment vertical="center" wrapText="1"/>
    </xf>
    <xf numFmtId="0" fontId="1" fillId="2" borderId="6" xfId="0" applyFont="1" applyFill="1" applyBorder="1" applyAlignment="1">
      <alignment horizontal="left" vertical="top" wrapText="1"/>
    </xf>
    <xf numFmtId="0" fontId="10" fillId="2" borderId="0" xfId="0" applyFont="1" applyFill="1" applyAlignment="1">
      <alignment horizontal="left" vertical="top" wrapText="1"/>
    </xf>
    <xf numFmtId="164" fontId="10" fillId="2" borderId="7" xfId="0" applyNumberFormat="1" applyFont="1" applyFill="1" applyBorder="1" applyAlignment="1">
      <alignment horizontal="left" vertical="top" wrapText="1"/>
    </xf>
    <xf numFmtId="0" fontId="11" fillId="5" borderId="7" xfId="0" applyFont="1" applyFill="1" applyBorder="1" applyAlignment="1">
      <alignment horizontal="center" vertical="center" wrapText="1"/>
    </xf>
    <xf numFmtId="165" fontId="12" fillId="4" borderId="7" xfId="0" applyNumberFormat="1" applyFont="1" applyFill="1" applyBorder="1" applyAlignment="1">
      <alignment horizontal="left" vertical="top" wrapText="1"/>
    </xf>
    <xf numFmtId="0" fontId="13" fillId="2" borderId="0" xfId="0" applyFont="1" applyFill="1" applyAlignment="1">
      <alignment horizontal="left" vertical="top" wrapText="1"/>
    </xf>
    <xf numFmtId="0" fontId="12" fillId="5" borderId="7" xfId="0" applyFont="1" applyFill="1" applyBorder="1" applyAlignment="1">
      <alignment horizontal="left" vertical="top" wrapText="1"/>
    </xf>
    <xf numFmtId="0" fontId="13" fillId="2" borderId="7" xfId="0" applyFont="1" applyFill="1" applyBorder="1" applyAlignment="1">
      <alignment horizontal="left" vertical="top" wrapText="1"/>
    </xf>
    <xf numFmtId="166" fontId="13" fillId="2" borderId="7" xfId="0" applyNumberFormat="1" applyFont="1" applyFill="1" applyBorder="1" applyAlignment="1">
      <alignment horizontal="left" vertical="top" wrapText="1"/>
    </xf>
    <xf numFmtId="165" fontId="13" fillId="2" borderId="7" xfId="0" applyNumberFormat="1" applyFont="1" applyFill="1" applyBorder="1" applyAlignment="1">
      <alignment horizontal="left" vertical="top" wrapText="1"/>
    </xf>
    <xf numFmtId="9" fontId="13" fillId="2" borderId="0" xfId="0" applyNumberFormat="1" applyFont="1" applyFill="1" applyAlignment="1">
      <alignment horizontal="left" vertical="top" wrapText="1"/>
    </xf>
    <xf numFmtId="165" fontId="13" fillId="2" borderId="0" xfId="0" applyNumberFormat="1" applyFont="1" applyFill="1" applyAlignment="1">
      <alignment horizontal="left" vertical="top" wrapText="1"/>
    </xf>
    <xf numFmtId="0" fontId="1" fillId="2" borderId="0" xfId="0" applyFont="1" applyFill="1" applyAlignment="1">
      <alignment horizontal="left" vertical="top" wrapText="1"/>
    </xf>
    <xf numFmtId="0" fontId="8" fillId="2" borderId="0" xfId="0" applyFont="1" applyFill="1" applyAlignment="1">
      <alignment horizontal="left"/>
    </xf>
    <xf numFmtId="0" fontId="14" fillId="2" borderId="0" xfId="0" applyFont="1" applyFill="1" applyAlignment="1">
      <alignment horizontal="right" vertical="center" textRotation="90" wrapText="1"/>
    </xf>
    <xf numFmtId="0" fontId="14" fillId="4" borderId="8"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1" fillId="5" borderId="10" xfId="0" applyFont="1" applyFill="1" applyBorder="1" applyAlignment="1">
      <alignment horizontal="center"/>
    </xf>
    <xf numFmtId="0" fontId="11" fillId="5" borderId="11" xfId="0" applyFont="1" applyFill="1" applyBorder="1" applyAlignment="1">
      <alignment horizontal="center"/>
    </xf>
    <xf numFmtId="0" fontId="11" fillId="5" borderId="12" xfId="0" applyFont="1" applyFill="1" applyBorder="1" applyAlignment="1">
      <alignment horizontal="center"/>
    </xf>
    <xf numFmtId="0" fontId="15" fillId="5" borderId="7" xfId="0" applyFont="1" applyFill="1" applyBorder="1" applyAlignment="1">
      <alignment horizontal="center" vertical="center" wrapText="1"/>
    </xf>
    <xf numFmtId="0" fontId="11" fillId="7" borderId="13" xfId="0" applyFont="1" applyFill="1" applyBorder="1" applyAlignment="1">
      <alignment horizontal="left" vertical="center" wrapText="1"/>
    </xf>
    <xf numFmtId="167" fontId="11" fillId="7" borderId="14" xfId="0" applyNumberFormat="1" applyFont="1" applyFill="1" applyBorder="1" applyAlignment="1">
      <alignment horizontal="center" vertical="center" wrapText="1"/>
    </xf>
    <xf numFmtId="0" fontId="1" fillId="7" borderId="15" xfId="0" applyFont="1" applyFill="1" applyBorder="1" applyAlignment="1">
      <alignment horizontal="left" vertical="center" wrapText="1"/>
    </xf>
    <xf numFmtId="0" fontId="16" fillId="7" borderId="7" xfId="0" applyFont="1" applyFill="1" applyBorder="1" applyAlignment="1">
      <alignment horizontal="center" vertical="center" wrapText="1"/>
    </xf>
    <xf numFmtId="0" fontId="11" fillId="7" borderId="16" xfId="0" applyFont="1" applyFill="1" applyBorder="1" applyAlignment="1">
      <alignment horizontal="left" vertical="center" wrapText="1"/>
    </xf>
    <xf numFmtId="167" fontId="11" fillId="7" borderId="7" xfId="0" applyNumberFormat="1" applyFont="1" applyFill="1" applyBorder="1" applyAlignment="1">
      <alignment horizontal="center" vertical="center" wrapText="1"/>
    </xf>
    <xf numFmtId="0" fontId="1" fillId="7" borderId="17" xfId="0" applyFont="1" applyFill="1" applyBorder="1" applyAlignment="1">
      <alignment horizontal="left" vertical="center" wrapText="1"/>
    </xf>
    <xf numFmtId="0" fontId="11" fillId="7" borderId="18" xfId="0" applyFont="1" applyFill="1" applyBorder="1" applyAlignment="1">
      <alignment horizontal="left" vertical="center" wrapText="1"/>
    </xf>
    <xf numFmtId="167" fontId="11" fillId="7" borderId="19" xfId="0" applyNumberFormat="1" applyFont="1" applyFill="1" applyBorder="1" applyAlignment="1">
      <alignment horizontal="center" vertical="center" wrapText="1"/>
    </xf>
    <xf numFmtId="0" fontId="1" fillId="7" borderId="20" xfId="0" applyFont="1" applyFill="1" applyBorder="1" applyAlignment="1">
      <alignment horizontal="left" vertical="center" wrapText="1"/>
    </xf>
    <xf numFmtId="0" fontId="11" fillId="8" borderId="13" xfId="0" applyFont="1" applyFill="1" applyBorder="1" applyAlignment="1">
      <alignment horizontal="left" vertical="center" wrapText="1"/>
    </xf>
    <xf numFmtId="167" fontId="11" fillId="8" borderId="14" xfId="0" applyNumberFormat="1" applyFont="1" applyFill="1" applyBorder="1" applyAlignment="1">
      <alignment horizontal="center" vertical="center" wrapText="1"/>
    </xf>
    <xf numFmtId="0" fontId="1" fillId="8" borderId="15" xfId="0" applyFont="1" applyFill="1" applyBorder="1" applyAlignment="1">
      <alignment horizontal="left" vertical="center" wrapText="1"/>
    </xf>
    <xf numFmtId="0" fontId="16" fillId="8" borderId="7" xfId="0" applyFont="1" applyFill="1" applyBorder="1" applyAlignment="1">
      <alignment horizontal="center" vertical="center" wrapText="1"/>
    </xf>
    <xf numFmtId="167" fontId="11" fillId="8" borderId="7" xfId="0" applyNumberFormat="1" applyFont="1" applyFill="1" applyBorder="1" applyAlignment="1">
      <alignment horizontal="center" vertical="center" wrapText="1"/>
    </xf>
    <xf numFmtId="0" fontId="11" fillId="8" borderId="18" xfId="0" applyFont="1" applyFill="1" applyBorder="1"/>
    <xf numFmtId="167" fontId="11" fillId="8" borderId="19" xfId="0" applyNumberFormat="1" applyFont="1" applyFill="1" applyBorder="1"/>
    <xf numFmtId="0" fontId="1" fillId="8" borderId="20" xfId="0" applyFont="1" applyFill="1" applyBorder="1"/>
    <xf numFmtId="0" fontId="11" fillId="9" borderId="13" xfId="0" applyFont="1" applyFill="1" applyBorder="1"/>
    <xf numFmtId="167" fontId="11" fillId="9" borderId="14" xfId="0" applyNumberFormat="1" applyFont="1" applyFill="1" applyBorder="1"/>
    <xf numFmtId="0" fontId="1" fillId="9" borderId="15" xfId="0" applyFont="1" applyFill="1" applyBorder="1"/>
    <xf numFmtId="0" fontId="11" fillId="9" borderId="16" xfId="0" applyFont="1" applyFill="1" applyBorder="1"/>
    <xf numFmtId="167" fontId="11" fillId="9" borderId="7" xfId="0" applyNumberFormat="1" applyFont="1" applyFill="1" applyBorder="1"/>
    <xf numFmtId="0" fontId="1" fillId="9" borderId="17" xfId="0" applyFont="1" applyFill="1" applyBorder="1"/>
    <xf numFmtId="0" fontId="11" fillId="9" borderId="18" xfId="0" applyFont="1" applyFill="1" applyBorder="1" applyAlignment="1">
      <alignment vertical="center" wrapText="1"/>
    </xf>
    <xf numFmtId="167" fontId="11" fillId="9" borderId="19" xfId="0" applyNumberFormat="1" applyFont="1" applyFill="1" applyBorder="1" applyAlignment="1">
      <alignment vertical="center"/>
    </xf>
    <xf numFmtId="0" fontId="1" fillId="9" borderId="20" xfId="0" applyFont="1" applyFill="1" applyBorder="1" applyAlignment="1">
      <alignment wrapText="1"/>
    </xf>
    <xf numFmtId="0" fontId="11" fillId="10" borderId="21" xfId="0" applyFont="1" applyFill="1" applyBorder="1" applyAlignment="1">
      <alignment vertical="center" wrapText="1"/>
    </xf>
    <xf numFmtId="167" fontId="11" fillId="10" borderId="22" xfId="0" applyNumberFormat="1" applyFont="1" applyFill="1" applyBorder="1"/>
    <xf numFmtId="0" fontId="1" fillId="10" borderId="23" xfId="0" applyFont="1" applyFill="1" applyBorder="1"/>
    <xf numFmtId="0" fontId="1" fillId="11" borderId="0" xfId="0" applyFont="1" applyFill="1"/>
    <xf numFmtId="0" fontId="6" fillId="11" borderId="0" xfId="0" applyFont="1" applyFill="1" applyAlignment="1">
      <alignment vertical="center"/>
    </xf>
    <xf numFmtId="0" fontId="17" fillId="11" borderId="0" xfId="0" applyFont="1" applyFill="1" applyAlignment="1">
      <alignment vertical="center"/>
    </xf>
    <xf numFmtId="0" fontId="1" fillId="2" borderId="0" xfId="0" applyFont="1" applyFill="1" applyAlignment="1">
      <alignment horizontal="center"/>
    </xf>
    <xf numFmtId="0" fontId="18" fillId="5" borderId="16" xfId="0" applyFont="1" applyFill="1" applyBorder="1" applyAlignment="1">
      <alignment horizontal="center"/>
    </xf>
    <xf numFmtId="0" fontId="18" fillId="5" borderId="7" xfId="0" applyFont="1" applyFill="1" applyBorder="1" applyAlignment="1">
      <alignment horizontal="center"/>
    </xf>
    <xf numFmtId="0" fontId="18" fillId="5" borderId="17" xfId="0" applyFont="1" applyFill="1" applyBorder="1" applyAlignment="1">
      <alignment horizontal="center"/>
    </xf>
    <xf numFmtId="9" fontId="1" fillId="2" borderId="16" xfId="0" applyNumberFormat="1" applyFont="1" applyFill="1" applyBorder="1" applyAlignment="1">
      <alignment horizontal="center"/>
    </xf>
    <xf numFmtId="9" fontId="1" fillId="2" borderId="7" xfId="0" applyNumberFormat="1" applyFont="1" applyFill="1" applyBorder="1" applyAlignment="1">
      <alignment horizontal="center"/>
    </xf>
    <xf numFmtId="9" fontId="1" fillId="2" borderId="17" xfId="0" applyNumberFormat="1" applyFont="1" applyFill="1" applyBorder="1" applyAlignment="1">
      <alignment horizontal="center"/>
    </xf>
    <xf numFmtId="168" fontId="1" fillId="2" borderId="18" xfId="0" applyNumberFormat="1" applyFont="1" applyFill="1" applyBorder="1" applyAlignment="1">
      <alignment horizontal="center"/>
    </xf>
    <xf numFmtId="168" fontId="1" fillId="2" borderId="19" xfId="0" applyNumberFormat="1" applyFont="1" applyFill="1" applyBorder="1" applyAlignment="1">
      <alignment horizontal="center"/>
    </xf>
    <xf numFmtId="168" fontId="1" fillId="2" borderId="20" xfId="0" applyNumberFormat="1" applyFont="1" applyFill="1" applyBorder="1" applyAlignment="1">
      <alignment horizontal="center"/>
    </xf>
    <xf numFmtId="0" fontId="19" fillId="0" borderId="0" xfId="0" applyFont="1" applyAlignment="1">
      <alignment horizontal="left"/>
    </xf>
    <xf numFmtId="0" fontId="10" fillId="2" borderId="0" xfId="0" applyFont="1" applyFill="1"/>
    <xf numFmtId="0" fontId="18" fillId="5" borderId="26" xfId="0" applyFont="1" applyFill="1" applyBorder="1" applyAlignment="1">
      <alignment horizontal="center" vertical="center" wrapText="1"/>
    </xf>
    <xf numFmtId="0" fontId="18" fillId="5" borderId="27" xfId="0" applyFont="1" applyFill="1" applyBorder="1" applyAlignment="1">
      <alignment horizontal="center" vertical="center" wrapText="1"/>
    </xf>
    <xf numFmtId="169" fontId="13" fillId="7" borderId="13" xfId="0" applyNumberFormat="1" applyFont="1" applyFill="1" applyBorder="1"/>
    <xf numFmtId="165" fontId="1" fillId="7" borderId="29" xfId="0" applyNumberFormat="1" applyFont="1" applyFill="1" applyBorder="1"/>
    <xf numFmtId="164" fontId="1" fillId="7" borderId="13" xfId="0" applyNumberFormat="1" applyFont="1" applyFill="1" applyBorder="1"/>
    <xf numFmtId="165" fontId="1" fillId="7" borderId="30" xfId="0" applyNumberFormat="1" applyFont="1" applyFill="1" applyBorder="1"/>
    <xf numFmtId="164" fontId="1" fillId="7" borderId="31" xfId="0" applyNumberFormat="1" applyFont="1" applyFill="1" applyBorder="1"/>
    <xf numFmtId="165" fontId="1" fillId="7" borderId="32" xfId="0" applyNumberFormat="1" applyFont="1" applyFill="1" applyBorder="1"/>
    <xf numFmtId="165" fontId="1" fillId="7" borderId="33" xfId="0" applyNumberFormat="1" applyFont="1" applyFill="1" applyBorder="1"/>
    <xf numFmtId="164" fontId="1" fillId="7" borderId="16" xfId="0" applyNumberFormat="1" applyFont="1" applyFill="1" applyBorder="1"/>
    <xf numFmtId="165" fontId="1" fillId="7" borderId="34" xfId="0" applyNumberFormat="1" applyFont="1" applyFill="1" applyBorder="1"/>
    <xf numFmtId="165" fontId="1" fillId="7" borderId="17" xfId="0" applyNumberFormat="1" applyFont="1" applyFill="1" applyBorder="1"/>
    <xf numFmtId="165" fontId="1" fillId="7" borderId="35" xfId="0" applyNumberFormat="1" applyFont="1" applyFill="1" applyBorder="1"/>
    <xf numFmtId="164" fontId="1" fillId="7" borderId="18" xfId="0" applyNumberFormat="1" applyFont="1" applyFill="1" applyBorder="1"/>
    <xf numFmtId="164" fontId="1" fillId="7" borderId="26" xfId="0" applyNumberFormat="1" applyFont="1" applyFill="1" applyBorder="1"/>
    <xf numFmtId="165" fontId="1" fillId="7" borderId="27" xfId="0" applyNumberFormat="1" applyFont="1" applyFill="1" applyBorder="1"/>
    <xf numFmtId="169" fontId="13" fillId="8" borderId="13" xfId="0" applyNumberFormat="1" applyFont="1" applyFill="1" applyBorder="1"/>
    <xf numFmtId="165" fontId="1" fillId="8" borderId="29" xfId="0" applyNumberFormat="1" applyFont="1" applyFill="1" applyBorder="1"/>
    <xf numFmtId="164" fontId="1" fillId="8" borderId="36" xfId="0" applyNumberFormat="1" applyFont="1" applyFill="1" applyBorder="1"/>
    <xf numFmtId="164" fontId="1" fillId="8" borderId="13" xfId="0" applyNumberFormat="1" applyFont="1" applyFill="1" applyBorder="1"/>
    <xf numFmtId="165" fontId="1" fillId="8" borderId="15" xfId="0" applyNumberFormat="1" applyFont="1" applyFill="1" applyBorder="1"/>
    <xf numFmtId="165" fontId="1" fillId="8" borderId="33" xfId="0" applyNumberFormat="1" applyFont="1" applyFill="1" applyBorder="1"/>
    <xf numFmtId="164" fontId="1" fillId="8" borderId="16" xfId="0" applyNumberFormat="1" applyFont="1" applyFill="1" applyBorder="1"/>
    <xf numFmtId="165" fontId="1" fillId="8" borderId="17" xfId="0" applyNumberFormat="1" applyFont="1" applyFill="1" applyBorder="1"/>
    <xf numFmtId="169" fontId="13" fillId="8" borderId="18" xfId="0" applyNumberFormat="1" applyFont="1" applyFill="1" applyBorder="1"/>
    <xf numFmtId="165" fontId="1" fillId="8" borderId="35" xfId="0" applyNumberFormat="1" applyFont="1" applyFill="1" applyBorder="1"/>
    <xf numFmtId="164" fontId="1" fillId="8" borderId="18" xfId="0" applyNumberFormat="1" applyFont="1" applyFill="1" applyBorder="1"/>
    <xf numFmtId="165" fontId="1" fillId="8" borderId="20" xfId="0" applyNumberFormat="1" applyFont="1" applyFill="1" applyBorder="1"/>
    <xf numFmtId="169" fontId="13" fillId="9" borderId="13" xfId="0" applyNumberFormat="1" applyFont="1" applyFill="1" applyBorder="1"/>
    <xf numFmtId="165" fontId="1" fillId="9" borderId="29" xfId="0" applyNumberFormat="1" applyFont="1" applyFill="1" applyBorder="1"/>
    <xf numFmtId="164" fontId="1" fillId="9" borderId="13" xfId="0" applyNumberFormat="1" applyFont="1" applyFill="1" applyBorder="1"/>
    <xf numFmtId="165" fontId="1" fillId="9" borderId="15" xfId="0" applyNumberFormat="1" applyFont="1" applyFill="1" applyBorder="1"/>
    <xf numFmtId="164" fontId="1" fillId="9" borderId="36" xfId="0" applyNumberFormat="1" applyFont="1" applyFill="1" applyBorder="1"/>
    <xf numFmtId="165" fontId="1" fillId="9" borderId="37" xfId="0" applyNumberFormat="1" applyFont="1" applyFill="1" applyBorder="1"/>
    <xf numFmtId="169" fontId="13" fillId="9" borderId="16" xfId="0" applyNumberFormat="1" applyFont="1" applyFill="1" applyBorder="1"/>
    <xf numFmtId="165" fontId="1" fillId="9" borderId="33" xfId="0" applyNumberFormat="1" applyFont="1" applyFill="1" applyBorder="1"/>
    <xf numFmtId="164" fontId="1" fillId="9" borderId="16" xfId="0" applyNumberFormat="1" applyFont="1" applyFill="1" applyBorder="1"/>
    <xf numFmtId="165" fontId="1" fillId="9" borderId="17" xfId="0" applyNumberFormat="1" applyFont="1" applyFill="1" applyBorder="1"/>
    <xf numFmtId="169" fontId="13" fillId="9" borderId="18" xfId="0" applyNumberFormat="1" applyFont="1" applyFill="1" applyBorder="1" applyAlignment="1">
      <alignment vertical="center" wrapText="1"/>
    </xf>
    <xf numFmtId="165" fontId="1" fillId="9" borderId="35" xfId="0" applyNumberFormat="1" applyFont="1" applyFill="1" applyBorder="1"/>
    <xf numFmtId="164" fontId="1" fillId="9" borderId="18" xfId="0" applyNumberFormat="1" applyFont="1" applyFill="1" applyBorder="1"/>
    <xf numFmtId="165" fontId="1" fillId="9" borderId="20" xfId="0" applyNumberFormat="1" applyFont="1" applyFill="1" applyBorder="1"/>
    <xf numFmtId="169" fontId="13" fillId="10" borderId="31" xfId="0" applyNumberFormat="1" applyFont="1" applyFill="1" applyBorder="1" applyAlignment="1">
      <alignment vertical="center" wrapText="1"/>
    </xf>
    <xf numFmtId="165" fontId="1" fillId="10" borderId="24" xfId="0" applyNumberFormat="1" applyFont="1" applyFill="1" applyBorder="1"/>
    <xf numFmtId="164" fontId="1" fillId="10" borderId="31" xfId="0" applyNumberFormat="1" applyFont="1" applyFill="1" applyBorder="1"/>
    <xf numFmtId="165" fontId="1" fillId="10" borderId="32" xfId="0" applyNumberFormat="1" applyFont="1" applyFill="1" applyBorder="1"/>
    <xf numFmtId="164" fontId="1" fillId="10" borderId="38" xfId="0" applyNumberFormat="1" applyFont="1" applyFill="1" applyBorder="1"/>
    <xf numFmtId="165" fontId="1" fillId="10" borderId="39" xfId="0" applyNumberFormat="1" applyFont="1" applyFill="1" applyBorder="1"/>
    <xf numFmtId="0" fontId="1" fillId="13" borderId="40" xfId="0" applyFont="1" applyFill="1" applyBorder="1"/>
    <xf numFmtId="165" fontId="18" fillId="2" borderId="32" xfId="0" applyNumberFormat="1" applyFont="1" applyFill="1" applyBorder="1"/>
    <xf numFmtId="164" fontId="18" fillId="13" borderId="10" xfId="0" applyNumberFormat="1" applyFont="1" applyFill="1" applyBorder="1"/>
    <xf numFmtId="165" fontId="18" fillId="2" borderId="12" xfId="0" applyNumberFormat="1" applyFont="1" applyFill="1" applyBorder="1"/>
    <xf numFmtId="165" fontId="1" fillId="2" borderId="0" xfId="0" applyNumberFormat="1" applyFont="1" applyFill="1"/>
    <xf numFmtId="170" fontId="11" fillId="7" borderId="41" xfId="0" applyNumberFormat="1" applyFont="1" applyFill="1" applyBorder="1" applyAlignment="1">
      <alignment vertical="center"/>
    </xf>
    <xf numFmtId="169" fontId="13" fillId="13" borderId="15" xfId="0" applyNumberFormat="1" applyFont="1" applyFill="1" applyBorder="1"/>
    <xf numFmtId="170" fontId="11" fillId="7" borderId="13" xfId="0" applyNumberFormat="1" applyFont="1" applyFill="1" applyBorder="1" applyAlignment="1">
      <alignment vertical="center"/>
    </xf>
    <xf numFmtId="169" fontId="13" fillId="13" borderId="14" xfId="0" applyNumberFormat="1" applyFont="1" applyFill="1" applyBorder="1"/>
    <xf numFmtId="170" fontId="11" fillId="7" borderId="42" xfId="0" applyNumberFormat="1" applyFont="1" applyFill="1" applyBorder="1" applyAlignment="1">
      <alignment vertical="center"/>
    </xf>
    <xf numFmtId="169" fontId="13" fillId="13" borderId="17" xfId="0" applyNumberFormat="1" applyFont="1" applyFill="1" applyBorder="1"/>
    <xf numFmtId="170" fontId="11" fillId="7" borderId="16" xfId="0" applyNumberFormat="1" applyFont="1" applyFill="1" applyBorder="1" applyAlignment="1">
      <alignment vertical="center"/>
    </xf>
    <xf numFmtId="169" fontId="13" fillId="13" borderId="7" xfId="0" applyNumberFormat="1" applyFont="1" applyFill="1" applyBorder="1"/>
    <xf numFmtId="170" fontId="11" fillId="7" borderId="44" xfId="0" applyNumberFormat="1" applyFont="1" applyFill="1" applyBorder="1" applyAlignment="1">
      <alignment vertical="center"/>
    </xf>
    <xf numFmtId="169" fontId="13" fillId="13" borderId="20" xfId="0" applyNumberFormat="1" applyFont="1" applyFill="1" applyBorder="1"/>
    <xf numFmtId="170" fontId="11" fillId="7" borderId="18" xfId="0" applyNumberFormat="1" applyFont="1" applyFill="1" applyBorder="1" applyAlignment="1">
      <alignment vertical="center"/>
    </xf>
    <xf numFmtId="169" fontId="13" fillId="13" borderId="19" xfId="0" applyNumberFormat="1" applyFont="1" applyFill="1" applyBorder="1"/>
    <xf numFmtId="170" fontId="11" fillId="8" borderId="45" xfId="0" applyNumberFormat="1" applyFont="1" applyFill="1" applyBorder="1" applyAlignment="1">
      <alignment vertical="center" wrapText="1"/>
    </xf>
    <xf numFmtId="169" fontId="13" fillId="13" borderId="46" xfId="0" applyNumberFormat="1" applyFont="1" applyFill="1" applyBorder="1" applyAlignment="1">
      <alignment wrapText="1"/>
    </xf>
    <xf numFmtId="170" fontId="11" fillId="8" borderId="46" xfId="0" applyNumberFormat="1" applyFont="1" applyFill="1" applyBorder="1" applyAlignment="1">
      <alignment vertical="center" wrapText="1"/>
    </xf>
    <xf numFmtId="169" fontId="13" fillId="13" borderId="47" xfId="0" applyNumberFormat="1" applyFont="1" applyFill="1" applyBorder="1" applyAlignment="1">
      <alignment wrapText="1"/>
    </xf>
    <xf numFmtId="169" fontId="13" fillId="13" borderId="45" xfId="0" applyNumberFormat="1" applyFont="1" applyFill="1" applyBorder="1" applyAlignment="1">
      <alignment wrapText="1"/>
    </xf>
    <xf numFmtId="170" fontId="11" fillId="9" borderId="0" xfId="0" applyNumberFormat="1" applyFont="1" applyFill="1" applyAlignment="1">
      <alignment vertical="center"/>
    </xf>
    <xf numFmtId="169" fontId="13" fillId="13" borderId="49" xfId="0" applyNumberFormat="1" applyFont="1" applyFill="1" applyBorder="1"/>
    <xf numFmtId="170" fontId="11" fillId="9" borderId="46" xfId="0" applyNumberFormat="1" applyFont="1" applyFill="1" applyBorder="1" applyAlignment="1">
      <alignment vertical="center"/>
    </xf>
    <xf numFmtId="169" fontId="13" fillId="13" borderId="47" xfId="0" applyNumberFormat="1" applyFont="1" applyFill="1" applyBorder="1"/>
    <xf numFmtId="169" fontId="13" fillId="13" borderId="45" xfId="0" applyNumberFormat="1" applyFont="1" applyFill="1" applyBorder="1"/>
    <xf numFmtId="170" fontId="11" fillId="10" borderId="47" xfId="0" applyNumberFormat="1" applyFont="1" applyFill="1" applyBorder="1" applyAlignment="1">
      <alignment vertical="center" wrapText="1"/>
    </xf>
    <xf numFmtId="169" fontId="13" fillId="13" borderId="5" xfId="0" applyNumberFormat="1" applyFont="1" applyFill="1" applyBorder="1" applyAlignment="1">
      <alignment vertical="center" wrapText="1"/>
    </xf>
    <xf numFmtId="170" fontId="11" fillId="10" borderId="46" xfId="0" applyNumberFormat="1" applyFont="1" applyFill="1" applyBorder="1" applyAlignment="1">
      <alignment vertical="center" wrapText="1"/>
    </xf>
    <xf numFmtId="169" fontId="13" fillId="13" borderId="47" xfId="0" applyNumberFormat="1" applyFont="1" applyFill="1" applyBorder="1" applyAlignment="1">
      <alignment vertical="center" wrapText="1"/>
    </xf>
    <xf numFmtId="169" fontId="13" fillId="13" borderId="45" xfId="0" applyNumberFormat="1" applyFont="1" applyFill="1" applyBorder="1" applyAlignment="1">
      <alignment vertical="center" wrapText="1"/>
    </xf>
    <xf numFmtId="168" fontId="1" fillId="2" borderId="0" xfId="0" applyNumberFormat="1" applyFont="1" applyFill="1"/>
    <xf numFmtId="164" fontId="1" fillId="2" borderId="0" xfId="0" applyNumberFormat="1" applyFont="1" applyFill="1"/>
    <xf numFmtId="0" fontId="8" fillId="4" borderId="5" xfId="0" applyFont="1" applyFill="1" applyBorder="1" applyAlignment="1">
      <alignment horizontal="center" vertical="center"/>
    </xf>
    <xf numFmtId="0" fontId="8" fillId="2" borderId="0" xfId="0" applyFont="1" applyFill="1" applyAlignment="1">
      <alignment horizontal="center" vertical="center"/>
    </xf>
    <xf numFmtId="0" fontId="1" fillId="2" borderId="0" xfId="0" applyFont="1" applyFill="1" applyAlignment="1">
      <alignment horizontal="center" vertical="center"/>
    </xf>
    <xf numFmtId="0" fontId="8" fillId="13" borderId="0" xfId="0" applyFont="1" applyFill="1" applyAlignment="1">
      <alignment horizontal="center" vertical="center"/>
    </xf>
    <xf numFmtId="0" fontId="1" fillId="13" borderId="0" xfId="0" applyFont="1" applyFill="1"/>
    <xf numFmtId="168" fontId="1" fillId="13" borderId="0" xfId="0" applyNumberFormat="1" applyFont="1" applyFill="1"/>
    <xf numFmtId="0" fontId="1" fillId="13" borderId="0" xfId="0" applyFont="1" applyFill="1" applyAlignment="1">
      <alignment horizontal="center" vertical="center"/>
    </xf>
    <xf numFmtId="0" fontId="18" fillId="5" borderId="18" xfId="0" applyFont="1" applyFill="1" applyBorder="1" applyAlignment="1">
      <alignment horizontal="center" vertical="center" wrapText="1"/>
    </xf>
    <xf numFmtId="0" fontId="18" fillId="5" borderId="20" xfId="0" applyFont="1" applyFill="1" applyBorder="1" applyAlignment="1">
      <alignment horizontal="center" vertical="center" wrapText="1"/>
    </xf>
    <xf numFmtId="165" fontId="1" fillId="7" borderId="15" xfId="0" applyNumberFormat="1" applyFont="1" applyFill="1" applyBorder="1"/>
    <xf numFmtId="165" fontId="1" fillId="7" borderId="20" xfId="0" applyNumberFormat="1" applyFont="1" applyFill="1" applyBorder="1"/>
    <xf numFmtId="165" fontId="1" fillId="8" borderId="52" xfId="0" applyNumberFormat="1" applyFont="1" applyFill="1" applyBorder="1"/>
    <xf numFmtId="165" fontId="1" fillId="8" borderId="53" xfId="0" applyNumberFormat="1" applyFont="1" applyFill="1" applyBorder="1"/>
    <xf numFmtId="164" fontId="1" fillId="8" borderId="18" xfId="0" applyNumberFormat="1" applyFont="1" applyFill="1" applyBorder="1" applyAlignment="1">
      <alignment horizontal="center"/>
    </xf>
    <xf numFmtId="164" fontId="1" fillId="9" borderId="13" xfId="0" applyNumberFormat="1" applyFont="1" applyFill="1" applyBorder="1" applyAlignment="1">
      <alignment horizontal="center"/>
    </xf>
    <xf numFmtId="164" fontId="1" fillId="9" borderId="15" xfId="0" applyNumberFormat="1" applyFont="1" applyFill="1" applyBorder="1"/>
    <xf numFmtId="164" fontId="1" fillId="9" borderId="16" xfId="0" applyNumberFormat="1" applyFont="1" applyFill="1" applyBorder="1" applyAlignment="1">
      <alignment horizontal="center"/>
    </xf>
    <xf numFmtId="164" fontId="1" fillId="9" borderId="17" xfId="0" applyNumberFormat="1" applyFont="1" applyFill="1" applyBorder="1"/>
    <xf numFmtId="164" fontId="1" fillId="9" borderId="18" xfId="0" applyNumberFormat="1" applyFont="1" applyFill="1" applyBorder="1" applyAlignment="1">
      <alignment horizontal="center"/>
    </xf>
    <xf numFmtId="164" fontId="1" fillId="9" borderId="20" xfId="0" applyNumberFormat="1" applyFont="1" applyFill="1" applyBorder="1"/>
    <xf numFmtId="169" fontId="13" fillId="8" borderId="10" xfId="0" applyNumberFormat="1" applyFont="1" applyFill="1" applyBorder="1" applyAlignment="1">
      <alignment vertical="center" wrapText="1"/>
    </xf>
    <xf numFmtId="165" fontId="1" fillId="8" borderId="58" xfId="0" applyNumberFormat="1" applyFont="1" applyFill="1" applyBorder="1"/>
    <xf numFmtId="164" fontId="1" fillId="8" borderId="21" xfId="0" applyNumberFormat="1" applyFont="1" applyFill="1" applyBorder="1" applyAlignment="1">
      <alignment horizontal="center"/>
    </xf>
    <xf numFmtId="165" fontId="1" fillId="8" borderId="23" xfId="0" applyNumberFormat="1" applyFont="1" applyFill="1" applyBorder="1"/>
    <xf numFmtId="164" fontId="1" fillId="8" borderId="21" xfId="0" applyNumberFormat="1" applyFont="1" applyFill="1" applyBorder="1"/>
    <xf numFmtId="164" fontId="1" fillId="8" borderId="23" xfId="0" applyNumberFormat="1" applyFont="1" applyFill="1" applyBorder="1"/>
    <xf numFmtId="170" fontId="11" fillId="8" borderId="47" xfId="0" applyNumberFormat="1" applyFont="1" applyFill="1" applyBorder="1" applyAlignment="1">
      <alignment vertical="center" wrapText="1"/>
    </xf>
    <xf numFmtId="170" fontId="11" fillId="9" borderId="47" xfId="0" applyNumberFormat="1" applyFont="1" applyFill="1" applyBorder="1" applyAlignment="1">
      <alignment vertical="center"/>
    </xf>
    <xf numFmtId="169" fontId="13" fillId="13" borderId="46" xfId="0" applyNumberFormat="1" applyFont="1" applyFill="1" applyBorder="1"/>
    <xf numFmtId="169" fontId="13" fillId="13" borderId="46" xfId="0" applyNumberFormat="1" applyFont="1" applyFill="1" applyBorder="1" applyAlignment="1">
      <alignment vertical="center" wrapText="1"/>
    </xf>
    <xf numFmtId="169" fontId="13" fillId="10" borderId="10" xfId="0" applyNumberFormat="1" applyFont="1" applyFill="1" applyBorder="1" applyAlignment="1">
      <alignment vertical="center" wrapText="1"/>
    </xf>
    <xf numFmtId="165" fontId="1" fillId="10" borderId="58" xfId="0" applyNumberFormat="1" applyFont="1" applyFill="1" applyBorder="1"/>
    <xf numFmtId="164" fontId="1" fillId="10" borderId="21" xfId="0" applyNumberFormat="1" applyFont="1" applyFill="1" applyBorder="1"/>
    <xf numFmtId="165" fontId="1" fillId="10" borderId="23" xfId="0" applyNumberFormat="1" applyFont="1" applyFill="1" applyBorder="1"/>
    <xf numFmtId="164" fontId="1" fillId="10" borderId="23" xfId="0" applyNumberFormat="1" applyFont="1" applyFill="1" applyBorder="1"/>
    <xf numFmtId="0" fontId="1" fillId="3" borderId="0" xfId="0" applyFont="1" applyFill="1" applyAlignment="1">
      <alignment wrapText="1"/>
    </xf>
    <xf numFmtId="0" fontId="6" fillId="3" borderId="0" xfId="0" applyFont="1" applyFill="1" applyAlignment="1">
      <alignment vertical="center"/>
    </xf>
    <xf numFmtId="0" fontId="1" fillId="2" borderId="0" xfId="0" applyFont="1" applyFill="1" applyAlignment="1">
      <alignment wrapText="1"/>
    </xf>
    <xf numFmtId="171" fontId="1" fillId="2" borderId="0" xfId="0" applyNumberFormat="1" applyFont="1" applyFill="1"/>
    <xf numFmtId="0" fontId="8" fillId="2" borderId="0" xfId="0" applyFont="1" applyFill="1"/>
    <xf numFmtId="0" fontId="1" fillId="2" borderId="7" xfId="0" applyFont="1" applyFill="1" applyBorder="1" applyAlignment="1">
      <alignment wrapText="1"/>
    </xf>
    <xf numFmtId="0" fontId="1" fillId="2" borderId="7" xfId="0" applyFont="1" applyFill="1" applyBorder="1" applyAlignment="1">
      <alignment horizontal="center" wrapText="1"/>
    </xf>
    <xf numFmtId="0" fontId="1" fillId="2" borderId="7" xfId="0" applyFont="1" applyFill="1" applyBorder="1"/>
    <xf numFmtId="0" fontId="1" fillId="7" borderId="15" xfId="0" applyFont="1" applyFill="1" applyBorder="1" applyAlignment="1">
      <alignment wrapText="1"/>
    </xf>
    <xf numFmtId="0" fontId="1" fillId="2" borderId="62" xfId="0" applyFont="1" applyFill="1" applyBorder="1" applyAlignment="1">
      <alignment wrapText="1"/>
    </xf>
    <xf numFmtId="0" fontId="1" fillId="2" borderId="62" xfId="0" applyFont="1" applyFill="1" applyBorder="1" applyAlignment="1">
      <alignment horizontal="center" wrapText="1"/>
    </xf>
    <xf numFmtId="0" fontId="1" fillId="2" borderId="62" xfId="0" applyFont="1" applyFill="1" applyBorder="1"/>
    <xf numFmtId="0" fontId="1" fillId="7" borderId="17" xfId="0" applyFont="1" applyFill="1" applyBorder="1" applyAlignment="1">
      <alignment wrapText="1"/>
    </xf>
    <xf numFmtId="0" fontId="18" fillId="2" borderId="63" xfId="0" applyFont="1" applyFill="1" applyBorder="1" applyAlignment="1">
      <alignment horizontal="center" vertical="center" wrapText="1"/>
    </xf>
    <xf numFmtId="0" fontId="18" fillId="2" borderId="32" xfId="0" applyFont="1" applyFill="1" applyBorder="1" applyAlignment="1">
      <alignment horizontal="center" vertical="top" wrapText="1"/>
    </xf>
    <xf numFmtId="0" fontId="1" fillId="7" borderId="20" xfId="0" applyFont="1" applyFill="1" applyBorder="1" applyAlignment="1">
      <alignment wrapText="1"/>
    </xf>
    <xf numFmtId="0" fontId="18" fillId="12" borderId="38" xfId="0" applyFont="1" applyFill="1" applyBorder="1" applyAlignment="1">
      <alignment horizontal="center" vertical="center" wrapText="1"/>
    </xf>
    <xf numFmtId="0" fontId="18" fillId="12" borderId="39" xfId="0" applyFont="1" applyFill="1" applyBorder="1" applyAlignment="1">
      <alignment horizontal="center" vertical="center" wrapText="1"/>
    </xf>
    <xf numFmtId="0" fontId="1" fillId="2" borderId="0" xfId="0" applyFont="1" applyFill="1" applyAlignment="1">
      <alignment horizontal="center" vertical="center" wrapText="1"/>
    </xf>
    <xf numFmtId="0" fontId="18" fillId="2" borderId="0" xfId="0" applyFont="1" applyFill="1" applyAlignment="1">
      <alignment horizontal="center" vertical="center" wrapText="1"/>
    </xf>
    <xf numFmtId="0" fontId="18" fillId="2" borderId="0" xfId="0" applyFont="1" applyFill="1" applyAlignment="1">
      <alignment horizontal="center" wrapText="1"/>
    </xf>
    <xf numFmtId="0" fontId="1" fillId="13" borderId="0" xfId="0" applyFont="1" applyFill="1" applyAlignment="1">
      <alignment horizontal="center" vertical="center" wrapText="1"/>
    </xf>
    <xf numFmtId="0" fontId="18" fillId="13" borderId="0" xfId="0" applyFont="1" applyFill="1" applyAlignment="1">
      <alignment horizontal="center" vertical="center" wrapText="1"/>
    </xf>
    <xf numFmtId="0" fontId="18" fillId="13" borderId="0" xfId="0" applyFont="1" applyFill="1" applyAlignment="1">
      <alignment horizontal="center" wrapText="1"/>
    </xf>
    <xf numFmtId="0" fontId="18" fillId="4" borderId="31" xfId="0" applyFont="1" applyFill="1" applyBorder="1" applyAlignment="1">
      <alignment horizontal="center" vertical="center" wrapText="1"/>
    </xf>
    <xf numFmtId="0" fontId="18" fillId="4" borderId="65"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18" fillId="16" borderId="31" xfId="0" applyFont="1" applyFill="1" applyBorder="1" applyAlignment="1">
      <alignment horizontal="center" vertical="center" wrapText="1"/>
    </xf>
    <xf numFmtId="0" fontId="18" fillId="16" borderId="65" xfId="0" applyFont="1" applyFill="1" applyBorder="1" applyAlignment="1">
      <alignment horizontal="center" vertical="center" wrapText="1"/>
    </xf>
    <xf numFmtId="0" fontId="18" fillId="16" borderId="32" xfId="0" applyFont="1" applyFill="1" applyBorder="1" applyAlignment="1">
      <alignment horizontal="center" vertical="center" wrapText="1"/>
    </xf>
    <xf numFmtId="0" fontId="18" fillId="17" borderId="65" xfId="0" applyFont="1" applyFill="1" applyBorder="1"/>
    <xf numFmtId="0" fontId="18" fillId="17" borderId="67" xfId="0" applyFont="1" applyFill="1" applyBorder="1"/>
    <xf numFmtId="0" fontId="1" fillId="2" borderId="13" xfId="0" applyFont="1" applyFill="1" applyBorder="1" applyAlignment="1">
      <alignment horizontal="center" vertical="center"/>
    </xf>
    <xf numFmtId="0" fontId="1" fillId="2" borderId="14" xfId="0" applyFont="1" applyFill="1" applyBorder="1" applyAlignment="1">
      <alignment horizontal="left"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2" fontId="1" fillId="2" borderId="14" xfId="0" applyNumberFormat="1" applyFont="1" applyFill="1" applyBorder="1"/>
    <xf numFmtId="172" fontId="1" fillId="2" borderId="14" xfId="0" applyNumberFormat="1" applyFont="1" applyFill="1" applyBorder="1"/>
    <xf numFmtId="172" fontId="1" fillId="2" borderId="69" xfId="0" applyNumberFormat="1" applyFont="1" applyFill="1" applyBorder="1"/>
    <xf numFmtId="171" fontId="1" fillId="2" borderId="14" xfId="0" applyNumberFormat="1" applyFont="1" applyFill="1" applyBorder="1"/>
    <xf numFmtId="171" fontId="1" fillId="2" borderId="69" xfId="0" applyNumberFormat="1" applyFont="1" applyFill="1" applyBorder="1"/>
    <xf numFmtId="0" fontId="1" fillId="2" borderId="36" xfId="0" applyFont="1" applyFill="1" applyBorder="1" applyAlignment="1">
      <alignment horizontal="center" vertical="center"/>
    </xf>
    <xf numFmtId="0" fontId="1" fillId="2" borderId="6" xfId="0" applyFont="1" applyFill="1" applyBorder="1" applyAlignment="1">
      <alignment vertical="center" wrapText="1"/>
    </xf>
    <xf numFmtId="0" fontId="1" fillId="2" borderId="6" xfId="0" applyFont="1" applyFill="1" applyBorder="1" applyAlignment="1">
      <alignment horizontal="center" vertical="center"/>
    </xf>
    <xf numFmtId="0" fontId="1" fillId="2" borderId="70" xfId="0" applyFont="1" applyFill="1" applyBorder="1"/>
    <xf numFmtId="172" fontId="1" fillId="2" borderId="7" xfId="0" applyNumberFormat="1" applyFont="1" applyFill="1" applyBorder="1"/>
    <xf numFmtId="172" fontId="1" fillId="2" borderId="71" xfId="0" applyNumberFormat="1" applyFont="1" applyFill="1" applyBorder="1"/>
    <xf numFmtId="0" fontId="1" fillId="2" borderId="71" xfId="0" applyFont="1" applyFill="1" applyBorder="1"/>
    <xf numFmtId="2" fontId="1" fillId="2" borderId="7" xfId="0" applyNumberFormat="1" applyFont="1" applyFill="1" applyBorder="1"/>
    <xf numFmtId="0" fontId="1" fillId="2" borderId="16" xfId="0" applyFont="1" applyFill="1" applyBorder="1" applyAlignment="1">
      <alignment horizontal="center" vertical="center"/>
    </xf>
    <xf numFmtId="0" fontId="1" fillId="2" borderId="7" xfId="0" applyFont="1" applyFill="1" applyBorder="1" applyAlignment="1">
      <alignment vertical="center" wrapText="1"/>
    </xf>
    <xf numFmtId="0" fontId="1" fillId="2" borderId="7" xfId="0" applyFont="1" applyFill="1" applyBorder="1" applyAlignment="1">
      <alignment horizontal="center" vertical="center"/>
    </xf>
    <xf numFmtId="0" fontId="1" fillId="2" borderId="19" xfId="0" applyFont="1" applyFill="1" applyBorder="1"/>
    <xf numFmtId="0" fontId="1" fillId="2" borderId="73" xfId="0" applyFont="1" applyFill="1" applyBorder="1"/>
    <xf numFmtId="0" fontId="1" fillId="2" borderId="75" xfId="0" applyFont="1" applyFill="1" applyBorder="1"/>
    <xf numFmtId="173" fontId="1" fillId="2" borderId="76" xfId="0" applyNumberFormat="1" applyFont="1" applyFill="1" applyBorder="1"/>
    <xf numFmtId="171" fontId="1" fillId="2" borderId="76" xfId="0" applyNumberFormat="1" applyFont="1" applyFill="1" applyBorder="1"/>
    <xf numFmtId="0" fontId="1" fillId="2" borderId="26" xfId="0" applyFont="1" applyFill="1" applyBorder="1" applyAlignment="1">
      <alignment horizontal="center" vertical="center"/>
    </xf>
    <xf numFmtId="0" fontId="1" fillId="2" borderId="62" xfId="0" applyFont="1" applyFill="1" applyBorder="1" applyAlignment="1">
      <alignment vertical="center" wrapText="1"/>
    </xf>
    <xf numFmtId="0" fontId="1" fillId="2" borderId="6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9" xfId="0" applyFont="1" applyFill="1" applyBorder="1" applyAlignment="1">
      <alignment vertical="center" wrapText="1"/>
    </xf>
    <xf numFmtId="0" fontId="1" fillId="2" borderId="19" xfId="0" applyFont="1" applyFill="1" applyBorder="1" applyAlignment="1">
      <alignment horizontal="center" vertical="center"/>
    </xf>
    <xf numFmtId="2" fontId="18" fillId="2" borderId="32" xfId="0" applyNumberFormat="1" applyFont="1" applyFill="1" applyBorder="1" applyAlignment="1">
      <alignment horizontal="center" vertical="center"/>
    </xf>
    <xf numFmtId="174" fontId="18" fillId="2" borderId="39" xfId="0" applyNumberFormat="1" applyFont="1" applyFill="1" applyBorder="1" applyAlignment="1">
      <alignment horizontal="center" vertical="center"/>
    </xf>
    <xf numFmtId="171" fontId="1" fillId="2" borderId="0" xfId="0" applyNumberFormat="1" applyFont="1" applyFill="1" applyAlignment="1">
      <alignment horizontal="left" vertical="center"/>
    </xf>
    <xf numFmtId="0" fontId="1" fillId="2" borderId="0" xfId="0" applyFont="1" applyFill="1" applyAlignment="1">
      <alignment horizontal="left" vertical="center"/>
    </xf>
    <xf numFmtId="0" fontId="18" fillId="2" borderId="0" xfId="0" applyFont="1" applyFill="1" applyAlignment="1">
      <alignment horizontal="center"/>
    </xf>
    <xf numFmtId="1" fontId="18" fillId="2" borderId="0" xfId="0" applyNumberFormat="1" applyFont="1" applyFill="1" applyAlignment="1">
      <alignment horizontal="center"/>
    </xf>
    <xf numFmtId="0" fontId="1" fillId="13" borderId="0" xfId="0" applyFont="1" applyFill="1" applyAlignment="1">
      <alignment wrapText="1"/>
    </xf>
    <xf numFmtId="0" fontId="18" fillId="13" borderId="0" xfId="0" applyFont="1" applyFill="1" applyAlignment="1">
      <alignment horizontal="center"/>
    </xf>
    <xf numFmtId="1" fontId="18" fillId="13" borderId="0" xfId="0" applyNumberFormat="1" applyFont="1" applyFill="1" applyAlignment="1">
      <alignment horizontal="center"/>
    </xf>
    <xf numFmtId="0" fontId="1" fillId="2" borderId="14" xfId="0" applyFont="1" applyFill="1" applyBorder="1"/>
    <xf numFmtId="0" fontId="0" fillId="0" borderId="7" xfId="0" applyBorder="1"/>
    <xf numFmtId="2" fontId="1" fillId="2" borderId="12" xfId="0" applyNumberFormat="1" applyFont="1" applyFill="1" applyBorder="1" applyAlignment="1">
      <alignment horizontal="center" vertical="center"/>
    </xf>
    <xf numFmtId="175" fontId="18" fillId="2" borderId="39" xfId="0" applyNumberFormat="1" applyFont="1" applyFill="1" applyBorder="1" applyAlignment="1">
      <alignment horizontal="center" vertical="center"/>
    </xf>
    <xf numFmtId="2" fontId="1" fillId="2" borderId="19" xfId="0" applyNumberFormat="1" applyFont="1" applyFill="1" applyBorder="1"/>
    <xf numFmtId="171" fontId="1" fillId="2" borderId="19" xfId="0" applyNumberFormat="1" applyFont="1" applyFill="1" applyBorder="1"/>
    <xf numFmtId="171" fontId="1" fillId="2" borderId="73" xfId="0" applyNumberFormat="1" applyFont="1" applyFill="1" applyBorder="1"/>
    <xf numFmtId="0" fontId="1" fillId="2" borderId="78" xfId="0" applyFont="1" applyFill="1" applyBorder="1"/>
    <xf numFmtId="172" fontId="1" fillId="2" borderId="79" xfId="0" applyNumberFormat="1" applyFont="1" applyFill="1" applyBorder="1"/>
    <xf numFmtId="171" fontId="1" fillId="2" borderId="79" xfId="0" applyNumberFormat="1" applyFont="1" applyFill="1" applyBorder="1"/>
    <xf numFmtId="1" fontId="18" fillId="2" borderId="0" xfId="0" applyNumberFormat="1" applyFont="1" applyFill="1" applyAlignment="1">
      <alignment horizontal="center" vertical="center"/>
    </xf>
    <xf numFmtId="0" fontId="2" fillId="4" borderId="7" xfId="0" applyFont="1" applyFill="1" applyBorder="1" applyAlignment="1">
      <alignment horizontal="center" vertical="center"/>
    </xf>
    <xf numFmtId="0" fontId="18" fillId="4" borderId="7" xfId="0" applyFont="1" applyFill="1" applyBorder="1" applyAlignment="1">
      <alignment horizontal="center" vertical="center"/>
    </xf>
    <xf numFmtId="0" fontId="18" fillId="4" borderId="0" xfId="0" applyFont="1" applyFill="1" applyAlignment="1">
      <alignment horizontal="center" vertical="center"/>
    </xf>
    <xf numFmtId="0" fontId="18" fillId="4" borderId="7" xfId="0" applyFont="1" applyFill="1" applyBorder="1" applyAlignment="1">
      <alignment horizontal="center" vertical="center" wrapText="1"/>
    </xf>
    <xf numFmtId="0" fontId="18" fillId="4" borderId="0" xfId="0" applyFont="1" applyFill="1" applyAlignment="1">
      <alignment horizontal="center" vertical="center" wrapText="1"/>
    </xf>
    <xf numFmtId="169" fontId="13" fillId="7" borderId="25" xfId="0" applyNumberFormat="1" applyFont="1" applyFill="1" applyBorder="1"/>
    <xf numFmtId="0" fontId="18" fillId="12" borderId="42" xfId="0" applyFont="1" applyFill="1" applyBorder="1" applyAlignment="1">
      <alignment horizontal="left"/>
    </xf>
    <xf numFmtId="170" fontId="1" fillId="2" borderId="42" xfId="0" applyNumberFormat="1" applyFont="1" applyFill="1" applyBorder="1"/>
    <xf numFmtId="1" fontId="1" fillId="2" borderId="7" xfId="0" applyNumberFormat="1" applyFont="1" applyFill="1" applyBorder="1"/>
    <xf numFmtId="169" fontId="13" fillId="7" borderId="28" xfId="0" applyNumberFormat="1" applyFont="1" applyFill="1" applyBorder="1"/>
    <xf numFmtId="169" fontId="13" fillId="7" borderId="59" xfId="0" applyNumberFormat="1" applyFont="1" applyFill="1" applyBorder="1"/>
    <xf numFmtId="169" fontId="13" fillId="8" borderId="25" xfId="0" applyNumberFormat="1" applyFont="1" applyFill="1" applyBorder="1"/>
    <xf numFmtId="169" fontId="13" fillId="8" borderId="28" xfId="0" applyNumberFormat="1" applyFont="1" applyFill="1" applyBorder="1"/>
    <xf numFmtId="169" fontId="13" fillId="8" borderId="43" xfId="0" applyNumberFormat="1" applyFont="1" applyFill="1" applyBorder="1"/>
    <xf numFmtId="0" fontId="18" fillId="12" borderId="80" xfId="0" applyFont="1" applyFill="1" applyBorder="1" applyAlignment="1">
      <alignment horizontal="left"/>
    </xf>
    <xf numFmtId="2" fontId="18" fillId="12" borderId="42" xfId="0" applyNumberFormat="1" applyFont="1" applyFill="1" applyBorder="1" applyAlignment="1">
      <alignment horizontal="left"/>
    </xf>
    <xf numFmtId="2" fontId="18" fillId="12" borderId="7" xfId="0" applyNumberFormat="1" applyFont="1" applyFill="1" applyBorder="1"/>
    <xf numFmtId="2" fontId="18" fillId="12" borderId="0" xfId="0" applyNumberFormat="1" applyFont="1" applyFill="1"/>
    <xf numFmtId="169" fontId="13" fillId="8" borderId="59" xfId="0" applyNumberFormat="1" applyFont="1" applyFill="1" applyBorder="1"/>
    <xf numFmtId="0" fontId="18" fillId="12" borderId="33" xfId="0" applyFont="1" applyFill="1" applyBorder="1" applyAlignment="1">
      <alignment horizontal="left"/>
    </xf>
    <xf numFmtId="0" fontId="1" fillId="2" borderId="58" xfId="0" applyFont="1" applyFill="1" applyBorder="1" applyAlignment="1">
      <alignment horizontal="left" vertical="center" wrapText="1"/>
    </xf>
    <xf numFmtId="0" fontId="8" fillId="6" borderId="49" xfId="0" applyFont="1" applyFill="1" applyBorder="1" applyAlignment="1">
      <alignment horizontal="center"/>
    </xf>
    <xf numFmtId="0" fontId="17" fillId="3" borderId="0" xfId="0" applyFont="1" applyFill="1" applyAlignment="1">
      <alignment vertical="center"/>
    </xf>
    <xf numFmtId="168" fontId="1" fillId="2" borderId="7" xfId="0" applyNumberFormat="1" applyFont="1" applyFill="1" applyBorder="1" applyAlignment="1">
      <alignment horizontal="center"/>
    </xf>
    <xf numFmtId="169" fontId="11" fillId="5" borderId="10" xfId="0" applyNumberFormat="1" applyFont="1" applyFill="1" applyBorder="1" applyAlignment="1">
      <alignment horizontal="center" wrapText="1"/>
    </xf>
    <xf numFmtId="169" fontId="20" fillId="5" borderId="11" xfId="0" applyNumberFormat="1" applyFont="1" applyFill="1" applyBorder="1" applyAlignment="1">
      <alignment horizontal="center" vertical="center" wrapText="1"/>
    </xf>
    <xf numFmtId="169" fontId="20" fillId="5" borderId="12" xfId="0" applyNumberFormat="1" applyFont="1" applyFill="1" applyBorder="1" applyAlignment="1">
      <alignment horizontal="center" vertical="center" wrapText="1"/>
    </xf>
    <xf numFmtId="165" fontId="1" fillId="18" borderId="14" xfId="0" applyNumberFormat="1" applyFont="1" applyFill="1" applyBorder="1" applyAlignment="1">
      <alignment wrapText="1"/>
    </xf>
    <xf numFmtId="165" fontId="1" fillId="18" borderId="15" xfId="0" applyNumberFormat="1" applyFont="1" applyFill="1" applyBorder="1" applyAlignment="1">
      <alignment wrapText="1"/>
    </xf>
    <xf numFmtId="165" fontId="1" fillId="18" borderId="7" xfId="0" applyNumberFormat="1" applyFont="1" applyFill="1" applyBorder="1" applyAlignment="1">
      <alignment wrapText="1"/>
    </xf>
    <xf numFmtId="165" fontId="1" fillId="18" borderId="17" xfId="0" applyNumberFormat="1" applyFont="1" applyFill="1" applyBorder="1" applyAlignment="1">
      <alignment wrapText="1"/>
    </xf>
    <xf numFmtId="165" fontId="1" fillId="18" borderId="19" xfId="0" applyNumberFormat="1" applyFont="1" applyFill="1" applyBorder="1" applyAlignment="1">
      <alignment wrapText="1"/>
    </xf>
    <xf numFmtId="165" fontId="1" fillId="18" borderId="20" xfId="0" applyNumberFormat="1" applyFont="1" applyFill="1" applyBorder="1" applyAlignment="1">
      <alignment wrapText="1"/>
    </xf>
    <xf numFmtId="165" fontId="1" fillId="8" borderId="14" xfId="0" applyNumberFormat="1" applyFont="1" applyFill="1" applyBorder="1" applyAlignment="1">
      <alignment wrapText="1"/>
    </xf>
    <xf numFmtId="165" fontId="1" fillId="8" borderId="15" xfId="0" applyNumberFormat="1" applyFont="1" applyFill="1" applyBorder="1" applyAlignment="1">
      <alignment wrapText="1"/>
    </xf>
    <xf numFmtId="165" fontId="1" fillId="8" borderId="7" xfId="0" applyNumberFormat="1" applyFont="1" applyFill="1" applyBorder="1" applyAlignment="1">
      <alignment wrapText="1"/>
    </xf>
    <xf numFmtId="165" fontId="1" fillId="8" borderId="17" xfId="0" applyNumberFormat="1" applyFont="1" applyFill="1" applyBorder="1" applyAlignment="1">
      <alignment wrapText="1"/>
    </xf>
    <xf numFmtId="169" fontId="11" fillId="8" borderId="18" xfId="0" applyNumberFormat="1" applyFont="1" applyFill="1" applyBorder="1" applyAlignment="1">
      <alignment horizontal="left" wrapText="1"/>
    </xf>
    <xf numFmtId="165" fontId="1" fillId="8" borderId="19" xfId="0" applyNumberFormat="1" applyFont="1" applyFill="1" applyBorder="1" applyAlignment="1">
      <alignment wrapText="1"/>
    </xf>
    <xf numFmtId="165" fontId="1" fillId="8" borderId="20" xfId="0" applyNumberFormat="1" applyFont="1" applyFill="1" applyBorder="1" applyAlignment="1">
      <alignment wrapText="1"/>
    </xf>
    <xf numFmtId="169" fontId="11" fillId="5" borderId="13" xfId="0" applyNumberFormat="1" applyFont="1" applyFill="1" applyBorder="1" applyAlignment="1">
      <alignment horizontal="left" wrapText="1"/>
    </xf>
    <xf numFmtId="165" fontId="1" fillId="5" borderId="14" xfId="0" applyNumberFormat="1" applyFont="1" applyFill="1" applyBorder="1" applyAlignment="1">
      <alignment wrapText="1"/>
    </xf>
    <xf numFmtId="165" fontId="1" fillId="5" borderId="15" xfId="0" applyNumberFormat="1" applyFont="1" applyFill="1" applyBorder="1" applyAlignment="1">
      <alignment wrapText="1"/>
    </xf>
    <xf numFmtId="169" fontId="11" fillId="5" borderId="16" xfId="0" applyNumberFormat="1" applyFont="1" applyFill="1" applyBorder="1" applyAlignment="1">
      <alignment horizontal="left" wrapText="1"/>
    </xf>
    <xf numFmtId="165" fontId="1" fillId="5" borderId="7" xfId="0" applyNumberFormat="1" applyFont="1" applyFill="1" applyBorder="1" applyAlignment="1">
      <alignment wrapText="1"/>
    </xf>
    <xf numFmtId="165" fontId="1" fillId="5" borderId="17" xfId="0" applyNumberFormat="1" applyFont="1" applyFill="1" applyBorder="1" applyAlignment="1">
      <alignment wrapText="1"/>
    </xf>
    <xf numFmtId="169" fontId="11" fillId="5" borderId="18" xfId="0" applyNumberFormat="1" applyFont="1" applyFill="1" applyBorder="1" applyAlignment="1">
      <alignment horizontal="left" vertical="center" wrapText="1"/>
    </xf>
    <xf numFmtId="165" fontId="1" fillId="5" borderId="19" xfId="0" applyNumberFormat="1" applyFont="1" applyFill="1" applyBorder="1" applyAlignment="1">
      <alignment wrapText="1"/>
    </xf>
    <xf numFmtId="165" fontId="1" fillId="5" borderId="20" xfId="0" applyNumberFormat="1" applyFont="1" applyFill="1" applyBorder="1" applyAlignment="1">
      <alignment wrapText="1"/>
    </xf>
    <xf numFmtId="169" fontId="11" fillId="10" borderId="36" xfId="0" applyNumberFormat="1" applyFont="1" applyFill="1" applyBorder="1" applyAlignment="1">
      <alignment horizontal="left" vertical="center" wrapText="1"/>
    </xf>
    <xf numFmtId="165" fontId="1" fillId="10" borderId="6" xfId="0" applyNumberFormat="1" applyFont="1" applyFill="1" applyBorder="1" applyAlignment="1">
      <alignment wrapText="1"/>
    </xf>
    <xf numFmtId="165" fontId="1" fillId="10" borderId="37" xfId="0" applyNumberFormat="1" applyFont="1" applyFill="1" applyBorder="1" applyAlignment="1">
      <alignment wrapText="1"/>
    </xf>
    <xf numFmtId="169" fontId="15" fillId="7" borderId="13" xfId="0" applyNumberFormat="1" applyFont="1" applyFill="1" applyBorder="1"/>
    <xf numFmtId="165" fontId="21" fillId="18" borderId="14" xfId="0" applyNumberFormat="1" applyFont="1" applyFill="1" applyBorder="1" applyAlignment="1">
      <alignment wrapText="1"/>
    </xf>
    <xf numFmtId="0" fontId="22" fillId="3" borderId="0" xfId="0" applyFont="1" applyFill="1" applyAlignment="1">
      <alignment horizontal="center" vertical="center"/>
    </xf>
    <xf numFmtId="0" fontId="23" fillId="4" borderId="5" xfId="0" applyFont="1" applyFill="1" applyBorder="1" applyAlignment="1">
      <alignment horizontal="center" vertical="center"/>
    </xf>
    <xf numFmtId="0" fontId="21" fillId="5" borderId="7" xfId="0" applyFont="1" applyFill="1" applyBorder="1" applyAlignment="1">
      <alignment horizontal="center" vertical="center" wrapText="1"/>
    </xf>
    <xf numFmtId="10" fontId="16" fillId="7" borderId="7" xfId="0" applyNumberFormat="1" applyFont="1" applyFill="1" applyBorder="1" applyAlignment="1">
      <alignment horizontal="center" vertical="center"/>
    </xf>
    <xf numFmtId="167" fontId="21" fillId="7" borderId="7" xfId="0" applyNumberFormat="1" applyFont="1" applyFill="1" applyBorder="1" applyAlignment="1">
      <alignment horizontal="center" vertical="center"/>
    </xf>
    <xf numFmtId="167" fontId="16" fillId="7" borderId="7" xfId="0" applyNumberFormat="1" applyFont="1" applyFill="1" applyBorder="1" applyAlignment="1">
      <alignment horizontal="center" vertical="center"/>
    </xf>
    <xf numFmtId="168" fontId="1" fillId="2" borderId="0" xfId="0" applyNumberFormat="1" applyFont="1" applyFill="1" applyAlignment="1">
      <alignment horizontal="center"/>
    </xf>
    <xf numFmtId="0" fontId="16" fillId="7" borderId="7" xfId="0" applyFont="1" applyFill="1" applyBorder="1" applyAlignment="1">
      <alignment horizontal="left" vertical="center"/>
    </xf>
    <xf numFmtId="167" fontId="21" fillId="19" borderId="7" xfId="0" applyNumberFormat="1" applyFont="1" applyFill="1" applyBorder="1" applyAlignment="1">
      <alignment horizontal="center" vertical="center"/>
    </xf>
    <xf numFmtId="0" fontId="16" fillId="20" borderId="7" xfId="0" applyFont="1" applyFill="1" applyBorder="1" applyAlignment="1">
      <alignment horizontal="left" vertical="center"/>
    </xf>
    <xf numFmtId="0" fontId="0" fillId="0" borderId="6" xfId="0" applyBorder="1"/>
    <xf numFmtId="0" fontId="21" fillId="5" borderId="7" xfId="0" applyFont="1" applyFill="1" applyBorder="1" applyAlignment="1">
      <alignment horizontal="left" vertical="center"/>
    </xf>
    <xf numFmtId="0" fontId="16" fillId="5" borderId="7" xfId="0" applyFont="1" applyFill="1" applyBorder="1" applyAlignment="1">
      <alignment horizontal="center" vertical="center"/>
    </xf>
    <xf numFmtId="167" fontId="21" fillId="5" borderId="7" xfId="0" applyNumberFormat="1" applyFont="1" applyFill="1" applyBorder="1" applyAlignment="1">
      <alignment horizontal="center" vertical="center"/>
    </xf>
    <xf numFmtId="9" fontId="1" fillId="2" borderId="0" xfId="0" applyNumberFormat="1" applyFont="1" applyFill="1" applyAlignment="1">
      <alignment horizontal="center"/>
    </xf>
    <xf numFmtId="0" fontId="21" fillId="20" borderId="7" xfId="0" applyFont="1" applyFill="1" applyBorder="1" applyAlignment="1">
      <alignment horizontal="center" vertical="center" wrapText="1"/>
    </xf>
    <xf numFmtId="167" fontId="16" fillId="19" borderId="7" xfId="0" applyNumberFormat="1" applyFont="1" applyFill="1" applyBorder="1" applyAlignment="1">
      <alignment horizontal="center" vertical="center"/>
    </xf>
    <xf numFmtId="3" fontId="16" fillId="7" borderId="7" xfId="0" applyNumberFormat="1" applyFont="1" applyFill="1" applyBorder="1" applyAlignment="1">
      <alignment horizontal="center" vertical="center"/>
    </xf>
    <xf numFmtId="0" fontId="1" fillId="0" borderId="10" xfId="0" applyFont="1" applyBorder="1" applyAlignment="1">
      <alignment horizontal="left" vertical="center" wrapText="1"/>
    </xf>
    <xf numFmtId="173" fontId="1" fillId="0" borderId="58" xfId="0" applyNumberFormat="1" applyFont="1" applyBorder="1" applyAlignment="1">
      <alignment horizontal="center"/>
    </xf>
    <xf numFmtId="1" fontId="1" fillId="0" borderId="81" xfId="0" applyNumberFormat="1" applyFont="1" applyBorder="1" applyAlignment="1">
      <alignment horizontal="center"/>
    </xf>
    <xf numFmtId="165" fontId="1" fillId="0" borderId="61" xfId="0" applyNumberFormat="1" applyFont="1" applyBorder="1" applyAlignment="1">
      <alignment horizontal="center"/>
    </xf>
    <xf numFmtId="165" fontId="1" fillId="5" borderId="53" xfId="0" applyNumberFormat="1" applyFont="1" applyFill="1" applyBorder="1"/>
    <xf numFmtId="0" fontId="1" fillId="0" borderId="18" xfId="0" applyFont="1" applyBorder="1" applyAlignment="1">
      <alignment horizontal="left" vertical="center" wrapText="1"/>
    </xf>
    <xf numFmtId="173" fontId="1" fillId="13" borderId="20" xfId="0" applyNumberFormat="1" applyFont="1" applyFill="1" applyBorder="1" applyAlignment="1">
      <alignment horizontal="center"/>
    </xf>
    <xf numFmtId="1" fontId="1" fillId="13" borderId="81" xfId="0" applyNumberFormat="1" applyFont="1" applyFill="1" applyBorder="1" applyAlignment="1">
      <alignment horizontal="center"/>
    </xf>
    <xf numFmtId="165" fontId="1" fillId="0" borderId="22" xfId="0" applyNumberFormat="1" applyFont="1" applyBorder="1" applyAlignment="1">
      <alignment horizontal="center"/>
    </xf>
    <xf numFmtId="1" fontId="1" fillId="13" borderId="22" xfId="0" applyNumberFormat="1" applyFont="1" applyFill="1" applyBorder="1" applyAlignment="1">
      <alignment horizontal="center"/>
    </xf>
    <xf numFmtId="165" fontId="1" fillId="5" borderId="43" xfId="0" applyNumberFormat="1" applyFont="1" applyFill="1" applyBorder="1"/>
    <xf numFmtId="0" fontId="18" fillId="4" borderId="46" xfId="0" applyFont="1" applyFill="1" applyBorder="1" applyAlignment="1">
      <alignment horizontal="center" vertical="center" wrapText="1"/>
    </xf>
    <xf numFmtId="0" fontId="1" fillId="0" borderId="38" xfId="0" applyFont="1" applyBorder="1" applyAlignment="1">
      <alignment horizontal="left" vertical="center"/>
    </xf>
    <xf numFmtId="173" fontId="1" fillId="13" borderId="39" xfId="0" applyNumberFormat="1" applyFont="1" applyFill="1" applyBorder="1" applyAlignment="1">
      <alignment horizontal="center"/>
    </xf>
    <xf numFmtId="1" fontId="1" fillId="13" borderId="82" xfId="0" applyNumberFormat="1" applyFont="1" applyFill="1" applyBorder="1" applyAlignment="1">
      <alignment horizontal="center"/>
    </xf>
    <xf numFmtId="165" fontId="1" fillId="0" borderId="83" xfId="0" applyNumberFormat="1" applyFont="1" applyBorder="1" applyAlignment="1">
      <alignment horizontal="center"/>
    </xf>
    <xf numFmtId="1" fontId="1" fillId="13" borderId="83" xfId="0" applyNumberFormat="1" applyFont="1" applyFill="1" applyBorder="1" applyAlignment="1">
      <alignment horizontal="center"/>
    </xf>
    <xf numFmtId="1" fontId="16" fillId="5" borderId="7" xfId="0" applyNumberFormat="1" applyFont="1" applyFill="1" applyBorder="1" applyAlignment="1">
      <alignment horizontal="center" vertical="center"/>
    </xf>
    <xf numFmtId="0" fontId="1" fillId="0" borderId="21" xfId="0" applyFont="1" applyBorder="1" applyAlignment="1">
      <alignment horizontal="left" vertical="center" wrapText="1"/>
    </xf>
    <xf numFmtId="173" fontId="1" fillId="13" borderId="23" xfId="0" applyNumberFormat="1" applyFont="1" applyFill="1" applyBorder="1" applyAlignment="1">
      <alignment horizontal="center"/>
    </xf>
    <xf numFmtId="165" fontId="1" fillId="5" borderId="8" xfId="0" applyNumberFormat="1" applyFont="1" applyFill="1" applyBorder="1"/>
    <xf numFmtId="0" fontId="24" fillId="3" borderId="0" xfId="0" applyFont="1" applyFill="1"/>
    <xf numFmtId="0" fontId="25" fillId="3" borderId="0" xfId="0" applyFont="1" applyFill="1" applyAlignment="1">
      <alignment vertical="center"/>
    </xf>
    <xf numFmtId="0" fontId="26" fillId="3" borderId="0" xfId="0" applyFont="1" applyFill="1" applyAlignment="1">
      <alignment vertical="center"/>
    </xf>
    <xf numFmtId="0" fontId="27" fillId="2" borderId="0" xfId="0" applyFont="1" applyFill="1" applyAlignment="1">
      <alignment horizontal="left"/>
    </xf>
    <xf numFmtId="1" fontId="28" fillId="22" borderId="7" xfId="0" applyNumberFormat="1" applyFont="1" applyFill="1" applyBorder="1" applyAlignment="1">
      <alignment horizontal="center"/>
    </xf>
    <xf numFmtId="0" fontId="28" fillId="2" borderId="0" xfId="0" applyFont="1" applyFill="1" applyAlignment="1">
      <alignment horizontal="center"/>
    </xf>
    <xf numFmtId="166" fontId="24" fillId="2" borderId="7" xfId="0" applyNumberFormat="1" applyFont="1" applyFill="1" applyBorder="1" applyAlignment="1">
      <alignment horizontal="center"/>
    </xf>
    <xf numFmtId="9" fontId="24" fillId="2" borderId="0" xfId="0" applyNumberFormat="1" applyFont="1" applyFill="1" applyAlignment="1">
      <alignment horizontal="center"/>
    </xf>
    <xf numFmtId="168" fontId="24" fillId="2" borderId="18" xfId="0" applyNumberFormat="1" applyFont="1" applyFill="1" applyBorder="1" applyAlignment="1">
      <alignment horizontal="center"/>
    </xf>
    <xf numFmtId="168" fontId="24" fillId="2" borderId="19" xfId="0" applyNumberFormat="1" applyFont="1" applyFill="1" applyBorder="1" applyAlignment="1">
      <alignment horizontal="center"/>
    </xf>
    <xf numFmtId="168" fontId="24" fillId="2" borderId="20" xfId="0" applyNumberFormat="1" applyFont="1" applyFill="1" applyBorder="1" applyAlignment="1">
      <alignment horizontal="center"/>
    </xf>
    <xf numFmtId="168" fontId="24" fillId="2" borderId="7" xfId="0" applyNumberFormat="1" applyFont="1" applyFill="1" applyBorder="1" applyAlignment="1">
      <alignment horizontal="center"/>
    </xf>
    <xf numFmtId="168" fontId="24" fillId="2" borderId="0" xfId="0" applyNumberFormat="1" applyFont="1" applyFill="1" applyAlignment="1">
      <alignment horizontal="center"/>
    </xf>
    <xf numFmtId="0" fontId="29" fillId="0" borderId="0" xfId="0" applyFont="1"/>
    <xf numFmtId="0" fontId="30" fillId="22" borderId="14" xfId="0" applyFont="1" applyFill="1" applyBorder="1" applyAlignment="1">
      <alignment horizontal="center" vertical="center"/>
    </xf>
    <xf numFmtId="10" fontId="30" fillId="22" borderId="84" xfId="0" applyNumberFormat="1" applyFont="1" applyFill="1" applyBorder="1" applyAlignment="1">
      <alignment horizontal="center" vertical="center"/>
    </xf>
    <xf numFmtId="176" fontId="30" fillId="22" borderId="84" xfId="0" applyNumberFormat="1" applyFont="1" applyFill="1" applyBorder="1" applyAlignment="1">
      <alignment horizontal="center" vertical="center"/>
    </xf>
    <xf numFmtId="0" fontId="24" fillId="0" borderId="38" xfId="0" applyFont="1" applyBorder="1" applyAlignment="1">
      <alignment horizontal="center" vertical="center"/>
    </xf>
    <xf numFmtId="0" fontId="24" fillId="2" borderId="83" xfId="0" applyFont="1" applyFill="1" applyBorder="1" applyAlignment="1">
      <alignment vertical="center"/>
    </xf>
    <xf numFmtId="177" fontId="24" fillId="0" borderId="39" xfId="0" applyNumberFormat="1" applyFont="1" applyBorder="1" applyAlignment="1">
      <alignment horizontal="left" vertical="center"/>
    </xf>
    <xf numFmtId="177" fontId="24" fillId="0" borderId="82" xfId="0" applyNumberFormat="1" applyFont="1" applyBorder="1" applyAlignment="1">
      <alignment horizontal="center"/>
    </xf>
    <xf numFmtId="177" fontId="24" fillId="0" borderId="83" xfId="0" applyNumberFormat="1" applyFont="1" applyBorder="1" applyAlignment="1">
      <alignment horizontal="center"/>
    </xf>
    <xf numFmtId="177" fontId="24" fillId="0" borderId="5" xfId="0" applyNumberFormat="1" applyFont="1" applyBorder="1" applyAlignment="1">
      <alignment horizontal="center"/>
    </xf>
    <xf numFmtId="177" fontId="28" fillId="22" borderId="5" xfId="0" applyNumberFormat="1" applyFont="1" applyFill="1" applyBorder="1"/>
    <xf numFmtId="0" fontId="30" fillId="22" borderId="7" xfId="0" applyFont="1" applyFill="1" applyBorder="1" applyAlignment="1">
      <alignment horizontal="center" vertical="center"/>
    </xf>
    <xf numFmtId="0" fontId="24" fillId="2" borderId="16" xfId="0" applyFont="1" applyFill="1" applyBorder="1"/>
    <xf numFmtId="0" fontId="24" fillId="0" borderId="7" xfId="0" applyFont="1" applyBorder="1" applyAlignment="1">
      <alignment horizontal="center"/>
    </xf>
    <xf numFmtId="173" fontId="24" fillId="0" borderId="7" xfId="0" applyNumberFormat="1" applyFont="1" applyBorder="1" applyAlignment="1">
      <alignment horizontal="center"/>
    </xf>
    <xf numFmtId="0" fontId="30" fillId="22" borderId="18" xfId="0" applyFont="1" applyFill="1" applyBorder="1" applyAlignment="1">
      <alignment horizontal="center" vertical="center"/>
    </xf>
    <xf numFmtId="1" fontId="28" fillId="22" borderId="19" xfId="0" applyNumberFormat="1" applyFont="1" applyFill="1" applyBorder="1" applyAlignment="1">
      <alignment horizontal="center"/>
    </xf>
    <xf numFmtId="0" fontId="28" fillId="22" borderId="19" xfId="0" applyFont="1" applyFill="1" applyBorder="1" applyAlignment="1">
      <alignment horizontal="center"/>
    </xf>
    <xf numFmtId="0" fontId="21" fillId="19" borderId="7" xfId="0" applyFont="1" applyFill="1" applyBorder="1" applyAlignment="1">
      <alignment horizontal="left" vertical="center"/>
    </xf>
    <xf numFmtId="0" fontId="21" fillId="4" borderId="7" xfId="0" applyFont="1" applyFill="1" applyBorder="1" applyAlignment="1">
      <alignment horizontal="left" vertical="center"/>
    </xf>
    <xf numFmtId="167" fontId="21" fillId="4" borderId="7" xfId="0" applyNumberFormat="1" applyFont="1" applyFill="1" applyBorder="1" applyAlignment="1">
      <alignment horizontal="center" vertical="center"/>
    </xf>
    <xf numFmtId="10" fontId="16" fillId="20" borderId="7" xfId="0" applyNumberFormat="1" applyFont="1" applyFill="1" applyBorder="1" applyAlignment="1">
      <alignment horizontal="center" vertical="center"/>
    </xf>
    <xf numFmtId="0" fontId="18" fillId="5" borderId="36" xfId="0" applyFont="1" applyFill="1" applyBorder="1" applyAlignment="1">
      <alignment horizontal="center"/>
    </xf>
    <xf numFmtId="168" fontId="1" fillId="0" borderId="18" xfId="0" applyNumberFormat="1" applyFont="1" applyBorder="1" applyAlignment="1">
      <alignment horizontal="center"/>
    </xf>
    <xf numFmtId="168" fontId="1" fillId="0" borderId="19" xfId="0" applyNumberFormat="1" applyFont="1" applyBorder="1" applyAlignment="1">
      <alignment horizontal="center"/>
    </xf>
    <xf numFmtId="168" fontId="1" fillId="0" borderId="20" xfId="0" applyNumberFormat="1" applyFont="1" applyBorder="1" applyAlignment="1">
      <alignment horizontal="center"/>
    </xf>
    <xf numFmtId="0" fontId="11" fillId="5" borderId="36" xfId="0" applyFont="1" applyFill="1" applyBorder="1" applyAlignment="1">
      <alignment horizontal="center"/>
    </xf>
    <xf numFmtId="0" fontId="11" fillId="5" borderId="6" xfId="0" applyFont="1" applyFill="1" applyBorder="1" applyAlignment="1">
      <alignment horizontal="center"/>
    </xf>
    <xf numFmtId="0" fontId="1" fillId="0" borderId="16" xfId="0" applyFont="1" applyBorder="1" applyAlignment="1">
      <alignment vertical="center"/>
    </xf>
    <xf numFmtId="168" fontId="1" fillId="0" borderId="7" xfId="0" applyNumberFormat="1" applyFont="1" applyBorder="1" applyAlignment="1">
      <alignment horizontal="center"/>
    </xf>
    <xf numFmtId="168" fontId="1" fillId="0" borderId="33" xfId="0" applyNumberFormat="1" applyFont="1" applyBorder="1" applyAlignment="1">
      <alignment horizontal="center"/>
    </xf>
    <xf numFmtId="0" fontId="1" fillId="2" borderId="25" xfId="0" applyFont="1" applyFill="1" applyBorder="1" applyAlignment="1">
      <alignment vertical="center"/>
    </xf>
    <xf numFmtId="0" fontId="1" fillId="2" borderId="56" xfId="0" applyFont="1" applyFill="1" applyBorder="1" applyAlignment="1">
      <alignment vertical="center"/>
    </xf>
    <xf numFmtId="0" fontId="1" fillId="0" borderId="7" xfId="0" applyFont="1" applyBorder="1" applyAlignment="1">
      <alignment horizontal="center"/>
    </xf>
    <xf numFmtId="0" fontId="31" fillId="2" borderId="28" xfId="0" applyFont="1" applyFill="1" applyBorder="1"/>
    <xf numFmtId="0" fontId="31" fillId="0" borderId="28" xfId="0" applyFont="1" applyBorder="1"/>
    <xf numFmtId="0" fontId="1" fillId="0" borderId="0" xfId="0" applyFont="1"/>
    <xf numFmtId="0" fontId="32" fillId="0" borderId="48" xfId="0" applyFont="1" applyBorder="1"/>
    <xf numFmtId="0" fontId="1" fillId="0" borderId="18" xfId="0" applyFont="1" applyBorder="1" applyAlignment="1">
      <alignment vertical="center"/>
    </xf>
    <xf numFmtId="0" fontId="1" fillId="0" borderId="19" xfId="0" applyFont="1" applyBorder="1" applyAlignment="1">
      <alignment horizontal="center"/>
    </xf>
    <xf numFmtId="0" fontId="1" fillId="2" borderId="43" xfId="0" applyFont="1" applyFill="1" applyBorder="1"/>
    <xf numFmtId="168" fontId="18" fillId="12" borderId="8" xfId="0" applyNumberFormat="1" applyFont="1" applyFill="1" applyBorder="1" applyAlignment="1">
      <alignment horizontal="center"/>
    </xf>
    <xf numFmtId="0" fontId="8" fillId="0" borderId="0" xfId="0" applyFont="1"/>
    <xf numFmtId="0" fontId="11" fillId="5" borderId="37" xfId="0" applyFont="1" applyFill="1" applyBorder="1" applyAlignment="1">
      <alignment horizontal="center"/>
    </xf>
    <xf numFmtId="164" fontId="1" fillId="2" borderId="6" xfId="0" applyNumberFormat="1" applyFont="1" applyFill="1" applyBorder="1" applyAlignment="1">
      <alignment horizontal="center" vertical="center"/>
    </xf>
    <xf numFmtId="0" fontId="1" fillId="2" borderId="85" xfId="0" applyFont="1" applyFill="1" applyBorder="1"/>
    <xf numFmtId="0" fontId="18" fillId="0" borderId="7" xfId="0" applyFont="1" applyBorder="1" applyAlignment="1">
      <alignment horizontal="center"/>
    </xf>
    <xf numFmtId="168" fontId="1" fillId="0" borderId="17" xfId="0" applyNumberFormat="1" applyFont="1" applyBorder="1" applyAlignment="1">
      <alignment horizontal="center"/>
    </xf>
    <xf numFmtId="168" fontId="1" fillId="0" borderId="27" xfId="0" applyNumberFormat="1" applyFont="1" applyBorder="1" applyAlignment="1">
      <alignment horizontal="center"/>
    </xf>
    <xf numFmtId="168" fontId="18" fillId="12" borderId="5" xfId="0" applyNumberFormat="1" applyFont="1" applyFill="1" applyBorder="1" applyAlignment="1">
      <alignment horizontal="center"/>
    </xf>
    <xf numFmtId="0" fontId="18" fillId="5" borderId="84" xfId="0" applyFont="1" applyFill="1" applyBorder="1" applyAlignment="1">
      <alignment horizontal="center" vertical="center"/>
    </xf>
    <xf numFmtId="0" fontId="18" fillId="5" borderId="62" xfId="0" applyFont="1" applyFill="1" applyBorder="1" applyAlignment="1">
      <alignment horizontal="center" vertical="center"/>
    </xf>
    <xf numFmtId="0" fontId="18" fillId="5" borderId="27" xfId="0" applyFont="1" applyFill="1" applyBorder="1" applyAlignment="1">
      <alignment horizontal="center" vertical="center"/>
    </xf>
    <xf numFmtId="0" fontId="1" fillId="0" borderId="14" xfId="0" applyFont="1" applyBorder="1" applyAlignment="1">
      <alignment vertical="center"/>
    </xf>
    <xf numFmtId="0" fontId="1" fillId="0" borderId="14" xfId="0" applyFont="1" applyBorder="1" applyAlignment="1">
      <alignment horizontal="center"/>
    </xf>
    <xf numFmtId="168" fontId="1" fillId="0" borderId="14" xfId="0" applyNumberFormat="1" applyFont="1" applyBorder="1" applyAlignment="1">
      <alignment horizontal="center"/>
    </xf>
    <xf numFmtId="0" fontId="1" fillId="0" borderId="15" xfId="0" applyFont="1" applyBorder="1" applyAlignment="1">
      <alignment horizontal="center"/>
    </xf>
    <xf numFmtId="168" fontId="1" fillId="12" borderId="41" xfId="0" applyNumberFormat="1" applyFont="1" applyFill="1" applyBorder="1" applyAlignment="1">
      <alignment horizontal="center"/>
    </xf>
    <xf numFmtId="168" fontId="1" fillId="23" borderId="14" xfId="0" applyNumberFormat="1" applyFont="1" applyFill="1" applyBorder="1" applyAlignment="1">
      <alignment horizontal="center"/>
    </xf>
    <xf numFmtId="168" fontId="1" fillId="23" borderId="15" xfId="0" applyNumberFormat="1" applyFont="1" applyFill="1" applyBorder="1" applyAlignment="1">
      <alignment horizontal="center"/>
    </xf>
    <xf numFmtId="168" fontId="1" fillId="12" borderId="41" xfId="0" applyNumberFormat="1" applyFont="1" applyFill="1" applyBorder="1"/>
    <xf numFmtId="168" fontId="1" fillId="12" borderId="14" xfId="0" applyNumberFormat="1" applyFont="1" applyFill="1" applyBorder="1"/>
    <xf numFmtId="168" fontId="1" fillId="12" borderId="15" xfId="0" applyNumberFormat="1" applyFont="1" applyFill="1" applyBorder="1"/>
    <xf numFmtId="0" fontId="1" fillId="0" borderId="7" xfId="0" applyFont="1" applyBorder="1" applyAlignment="1">
      <alignment vertical="center"/>
    </xf>
    <xf numFmtId="164" fontId="1" fillId="0" borderId="7" xfId="0" applyNumberFormat="1" applyFont="1" applyBorder="1" applyAlignment="1">
      <alignment horizontal="center"/>
    </xf>
    <xf numFmtId="0" fontId="1" fillId="0" borderId="17" xfId="0" applyFont="1" applyBorder="1" applyAlignment="1">
      <alignment horizontal="center"/>
    </xf>
    <xf numFmtId="168" fontId="1" fillId="23" borderId="42" xfId="0" applyNumberFormat="1" applyFont="1" applyFill="1" applyBorder="1" applyAlignment="1">
      <alignment horizontal="center"/>
    </xf>
    <xf numFmtId="168" fontId="1" fillId="12" borderId="7" xfId="0" applyNumberFormat="1" applyFont="1" applyFill="1" applyBorder="1" applyAlignment="1">
      <alignment horizontal="center"/>
    </xf>
    <xf numFmtId="168" fontId="1" fillId="23" borderId="7" xfId="0" applyNumberFormat="1" applyFont="1" applyFill="1" applyBorder="1" applyAlignment="1">
      <alignment horizontal="center"/>
    </xf>
    <xf numFmtId="168" fontId="1" fillId="23" borderId="17" xfId="0" applyNumberFormat="1" applyFont="1" applyFill="1" applyBorder="1" applyAlignment="1">
      <alignment horizontal="center"/>
    </xf>
    <xf numFmtId="168" fontId="1" fillId="23" borderId="42" xfId="0" applyNumberFormat="1" applyFont="1" applyFill="1" applyBorder="1"/>
    <xf numFmtId="168" fontId="1" fillId="12" borderId="7" xfId="0" applyNumberFormat="1" applyFont="1" applyFill="1" applyBorder="1"/>
    <xf numFmtId="168" fontId="1" fillId="12" borderId="17" xfId="0" applyNumberFormat="1" applyFont="1" applyFill="1" applyBorder="1"/>
    <xf numFmtId="168" fontId="1" fillId="23" borderId="7" xfId="0" applyNumberFormat="1" applyFont="1" applyFill="1" applyBorder="1"/>
    <xf numFmtId="0" fontId="1" fillId="0" borderId="19" xfId="0" applyFont="1" applyBorder="1" applyAlignment="1">
      <alignment vertical="center"/>
    </xf>
    <xf numFmtId="0" fontId="1" fillId="0" borderId="20" xfId="0" applyFont="1" applyBorder="1" applyAlignment="1">
      <alignment horizontal="center"/>
    </xf>
    <xf numFmtId="168" fontId="1" fillId="23" borderId="44" xfId="0" applyNumberFormat="1" applyFont="1" applyFill="1" applyBorder="1" applyAlignment="1">
      <alignment horizontal="center"/>
    </xf>
    <xf numFmtId="168" fontId="1" fillId="23" borderId="19" xfId="0" applyNumberFormat="1" applyFont="1" applyFill="1" applyBorder="1" applyAlignment="1">
      <alignment horizontal="center"/>
    </xf>
    <xf numFmtId="168" fontId="1" fillId="12" borderId="20" xfId="0" applyNumberFormat="1" applyFont="1" applyFill="1" applyBorder="1" applyAlignment="1">
      <alignment horizontal="center"/>
    </xf>
    <xf numFmtId="168" fontId="1" fillId="23" borderId="44" xfId="0" applyNumberFormat="1" applyFont="1" applyFill="1" applyBorder="1"/>
    <xf numFmtId="168" fontId="1" fillId="23" borderId="19" xfId="0" applyNumberFormat="1" applyFont="1" applyFill="1" applyBorder="1"/>
    <xf numFmtId="168" fontId="1" fillId="23" borderId="20" xfId="0" applyNumberFormat="1" applyFont="1" applyFill="1" applyBorder="1"/>
    <xf numFmtId="168" fontId="1" fillId="12" borderId="17" xfId="0" applyNumberFormat="1" applyFont="1" applyFill="1" applyBorder="1" applyAlignment="1">
      <alignment horizontal="center"/>
    </xf>
    <xf numFmtId="168" fontId="1" fillId="23" borderId="17" xfId="0" applyNumberFormat="1" applyFont="1" applyFill="1" applyBorder="1"/>
    <xf numFmtId="168" fontId="1" fillId="12" borderId="42" xfId="0" applyNumberFormat="1" applyFont="1" applyFill="1" applyBorder="1" applyAlignment="1">
      <alignment horizontal="center"/>
    </xf>
    <xf numFmtId="168" fontId="1" fillId="12" borderId="42" xfId="0" applyNumberFormat="1" applyFont="1" applyFill="1" applyBorder="1"/>
    <xf numFmtId="0" fontId="1" fillId="0" borderId="7" xfId="0" applyFont="1" applyBorder="1" applyAlignment="1">
      <alignment horizontal="center" vertical="center"/>
    </xf>
    <xf numFmtId="168" fontId="1" fillId="12" borderId="44" xfId="0" applyNumberFormat="1" applyFont="1" applyFill="1" applyBorder="1" applyAlignment="1">
      <alignment horizontal="center"/>
    </xf>
    <xf numFmtId="168" fontId="1" fillId="23" borderId="20" xfId="0" applyNumberFormat="1" applyFont="1" applyFill="1" applyBorder="1" applyAlignment="1">
      <alignment horizontal="center"/>
    </xf>
    <xf numFmtId="168" fontId="1" fillId="12" borderId="44" xfId="0" applyNumberFormat="1" applyFont="1" applyFill="1" applyBorder="1"/>
    <xf numFmtId="168" fontId="1" fillId="12" borderId="19" xfId="0" applyNumberFormat="1" applyFont="1" applyFill="1" applyBorder="1"/>
    <xf numFmtId="168" fontId="1" fillId="12" borderId="20" xfId="0" applyNumberFormat="1" applyFont="1" applyFill="1" applyBorder="1"/>
    <xf numFmtId="168" fontId="11" fillId="12" borderId="82" xfId="0" applyNumberFormat="1" applyFont="1" applyFill="1" applyBorder="1"/>
    <xf numFmtId="168" fontId="11" fillId="12" borderId="83" xfId="0" applyNumberFormat="1" applyFont="1" applyFill="1" applyBorder="1"/>
    <xf numFmtId="168" fontId="11" fillId="12" borderId="39" xfId="0" applyNumberFormat="1" applyFont="1" applyFill="1" applyBorder="1"/>
    <xf numFmtId="0" fontId="18" fillId="5" borderId="13" xfId="0" applyFont="1" applyFill="1" applyBorder="1" applyAlignment="1">
      <alignment horizontal="center"/>
    </xf>
    <xf numFmtId="0" fontId="18" fillId="5" borderId="14" xfId="0" applyFont="1" applyFill="1" applyBorder="1" applyAlignment="1">
      <alignment horizontal="center"/>
    </xf>
    <xf numFmtId="0" fontId="18" fillId="5" borderId="15" xfId="0" applyFont="1" applyFill="1" applyBorder="1" applyAlignment="1">
      <alignment horizontal="center"/>
    </xf>
    <xf numFmtId="0" fontId="18" fillId="4" borderId="25" xfId="0" applyFont="1" applyFill="1" applyBorder="1"/>
    <xf numFmtId="168" fontId="1" fillId="2" borderId="36" xfId="0" applyNumberFormat="1" applyFont="1" applyFill="1" applyBorder="1" applyAlignment="1">
      <alignment horizontal="center"/>
    </xf>
    <xf numFmtId="168" fontId="1" fillId="2" borderId="6" xfId="0" applyNumberFormat="1" applyFont="1" applyFill="1" applyBorder="1" applyAlignment="1">
      <alignment horizontal="center"/>
    </xf>
    <xf numFmtId="168" fontId="1" fillId="2" borderId="37" xfId="0" applyNumberFormat="1" applyFont="1" applyFill="1" applyBorder="1" applyAlignment="1">
      <alignment horizontal="center"/>
    </xf>
    <xf numFmtId="0" fontId="18" fillId="5" borderId="82" xfId="0" applyFont="1" applyFill="1" applyBorder="1" applyAlignment="1">
      <alignment horizontal="center"/>
    </xf>
    <xf numFmtId="0" fontId="18" fillId="5" borderId="83" xfId="0" applyFont="1" applyFill="1" applyBorder="1" applyAlignment="1">
      <alignment horizontal="center"/>
    </xf>
    <xf numFmtId="0" fontId="18" fillId="5" borderId="39" xfId="0" applyFont="1" applyFill="1" applyBorder="1" applyAlignment="1">
      <alignment horizontal="center"/>
    </xf>
    <xf numFmtId="0" fontId="18" fillId="4" borderId="28" xfId="0" applyFont="1" applyFill="1" applyBorder="1"/>
    <xf numFmtId="168" fontId="1" fillId="2" borderId="16" xfId="0" applyNumberFormat="1" applyFont="1" applyFill="1" applyBorder="1" applyAlignment="1">
      <alignment horizontal="center"/>
    </xf>
    <xf numFmtId="168" fontId="1" fillId="2" borderId="17" xfId="0" applyNumberFormat="1" applyFont="1" applyFill="1" applyBorder="1" applyAlignment="1">
      <alignment horizontal="center"/>
    </xf>
    <xf numFmtId="0" fontId="1" fillId="0" borderId="41" xfId="0" applyFont="1" applyBorder="1" applyAlignment="1">
      <alignment horizontal="center"/>
    </xf>
    <xf numFmtId="168" fontId="1" fillId="0" borderId="15" xfId="0" applyNumberFormat="1" applyFont="1" applyBorder="1" applyAlignment="1">
      <alignment horizontal="center"/>
    </xf>
    <xf numFmtId="0" fontId="18" fillId="4" borderId="43" xfId="0" applyFont="1" applyFill="1" applyBorder="1"/>
    <xf numFmtId="0" fontId="1" fillId="0" borderId="17" xfId="0" applyFont="1" applyBorder="1"/>
    <xf numFmtId="0" fontId="1" fillId="0" borderId="42" xfId="0" applyFont="1" applyBorder="1" applyAlignment="1">
      <alignment horizontal="center"/>
    </xf>
    <xf numFmtId="0" fontId="1" fillId="0" borderId="27" xfId="0" applyFont="1" applyBorder="1"/>
    <xf numFmtId="0" fontId="1" fillId="0" borderId="84" xfId="0" applyFont="1" applyBorder="1" applyAlignment="1">
      <alignment horizontal="center"/>
    </xf>
    <xf numFmtId="0" fontId="1" fillId="17" borderId="5" xfId="0" applyFont="1" applyFill="1" applyBorder="1" applyAlignment="1">
      <alignment horizontal="left"/>
    </xf>
    <xf numFmtId="0" fontId="1" fillId="17" borderId="82" xfId="0" applyFont="1" applyFill="1" applyBorder="1" applyAlignment="1">
      <alignment horizontal="center"/>
    </xf>
    <xf numFmtId="168" fontId="1" fillId="17" borderId="83" xfId="0" applyNumberFormat="1" applyFont="1" applyFill="1" applyBorder="1" applyAlignment="1">
      <alignment horizontal="center"/>
    </xf>
    <xf numFmtId="168" fontId="1" fillId="17" borderId="39" xfId="0" applyNumberFormat="1" applyFont="1" applyFill="1" applyBorder="1" applyAlignment="1">
      <alignment horizontal="center"/>
    </xf>
    <xf numFmtId="0" fontId="1" fillId="0" borderId="81" xfId="0" applyFont="1" applyBorder="1" applyAlignment="1">
      <alignment horizontal="center"/>
    </xf>
    <xf numFmtId="168" fontId="1" fillId="0" borderId="22" xfId="0" applyNumberFormat="1" applyFont="1" applyBorder="1" applyAlignment="1">
      <alignment horizontal="center"/>
    </xf>
    <xf numFmtId="168" fontId="1" fillId="0" borderId="23" xfId="0" applyNumberFormat="1" applyFont="1" applyBorder="1" applyAlignment="1">
      <alignment horizontal="center"/>
    </xf>
    <xf numFmtId="0" fontId="1" fillId="0" borderId="50" xfId="0" applyFont="1" applyBorder="1" applyAlignment="1">
      <alignment horizontal="left"/>
    </xf>
    <xf numFmtId="0" fontId="1" fillId="0" borderId="63" xfId="0" applyFont="1" applyBorder="1" applyAlignment="1">
      <alignment horizontal="center"/>
    </xf>
    <xf numFmtId="168" fontId="1" fillId="0" borderId="65" xfId="0" applyNumberFormat="1" applyFont="1" applyBorder="1" applyAlignment="1">
      <alignment horizontal="center"/>
    </xf>
    <xf numFmtId="168" fontId="1" fillId="0" borderId="32" xfId="0" applyNumberFormat="1" applyFont="1" applyBorder="1" applyAlignment="1">
      <alignment horizontal="center"/>
    </xf>
    <xf numFmtId="0" fontId="1" fillId="0" borderId="48" xfId="0" applyFont="1" applyBorder="1" applyAlignment="1">
      <alignment horizontal="left"/>
    </xf>
    <xf numFmtId="168" fontId="1" fillId="0" borderId="86" xfId="0" applyNumberFormat="1" applyFont="1" applyBorder="1" applyAlignment="1">
      <alignment horizontal="center"/>
    </xf>
    <xf numFmtId="168" fontId="1" fillId="0" borderId="11" xfId="0" applyNumberFormat="1" applyFont="1" applyBorder="1" applyAlignment="1">
      <alignment horizontal="center"/>
    </xf>
    <xf numFmtId="168" fontId="1" fillId="0" borderId="12" xfId="0" applyNumberFormat="1" applyFont="1" applyBorder="1" applyAlignment="1">
      <alignment horizontal="center"/>
    </xf>
    <xf numFmtId="0" fontId="1" fillId="24" borderId="5" xfId="0" applyFont="1" applyFill="1" applyBorder="1" applyAlignment="1">
      <alignment horizontal="left"/>
    </xf>
    <xf numFmtId="168" fontId="1" fillId="24" borderId="82" xfId="0" applyNumberFormat="1" applyFont="1" applyFill="1" applyBorder="1" applyAlignment="1">
      <alignment horizontal="center"/>
    </xf>
    <xf numFmtId="168" fontId="1" fillId="24" borderId="83" xfId="0" applyNumberFormat="1" applyFont="1" applyFill="1" applyBorder="1" applyAlignment="1">
      <alignment horizontal="center"/>
    </xf>
    <xf numFmtId="168" fontId="1" fillId="24" borderId="39" xfId="0" applyNumberFormat="1" applyFont="1" applyFill="1" applyBorder="1" applyAlignment="1">
      <alignment horizontal="center"/>
    </xf>
    <xf numFmtId="0" fontId="1" fillId="25" borderId="42" xfId="0" applyFont="1" applyFill="1" applyBorder="1" applyAlignment="1">
      <alignment horizontal="center"/>
    </xf>
    <xf numFmtId="168" fontId="1" fillId="25" borderId="7" xfId="0" applyNumberFormat="1" applyFont="1" applyFill="1" applyBorder="1" applyAlignment="1">
      <alignment horizontal="center"/>
    </xf>
    <xf numFmtId="168" fontId="1" fillId="25" borderId="17" xfId="0" applyNumberFormat="1" applyFont="1" applyFill="1" applyBorder="1" applyAlignment="1">
      <alignment horizontal="center"/>
    </xf>
    <xf numFmtId="0" fontId="1" fillId="0" borderId="13" xfId="0" applyFont="1" applyBorder="1" applyAlignment="1">
      <alignment horizontal="left"/>
    </xf>
    <xf numFmtId="0" fontId="1" fillId="2" borderId="18" xfId="0" applyFont="1" applyFill="1" applyBorder="1"/>
    <xf numFmtId="10" fontId="1" fillId="2" borderId="19" xfId="0" applyNumberFormat="1" applyFont="1" applyFill="1" applyBorder="1"/>
    <xf numFmtId="0" fontId="1" fillId="2" borderId="13" xfId="0" applyFont="1" applyFill="1" applyBorder="1"/>
    <xf numFmtId="10" fontId="1" fillId="2" borderId="14" xfId="0" applyNumberFormat="1" applyFont="1" applyFill="1" applyBorder="1"/>
    <xf numFmtId="10" fontId="1" fillId="2" borderId="15" xfId="0" applyNumberFormat="1" applyFont="1" applyFill="1" applyBorder="1"/>
    <xf numFmtId="0" fontId="1" fillId="2" borderId="16" xfId="0" applyFont="1" applyFill="1" applyBorder="1"/>
    <xf numFmtId="10" fontId="1" fillId="2" borderId="7" xfId="0" applyNumberFormat="1" applyFont="1" applyFill="1" applyBorder="1"/>
    <xf numFmtId="10" fontId="1" fillId="2" borderId="17" xfId="0" applyNumberFormat="1" applyFont="1" applyFill="1" applyBorder="1"/>
    <xf numFmtId="10" fontId="1" fillId="2" borderId="20" xfId="0" applyNumberFormat="1" applyFont="1" applyFill="1" applyBorder="1"/>
    <xf numFmtId="168" fontId="18" fillId="12" borderId="13" xfId="0" applyNumberFormat="1" applyFont="1" applyFill="1" applyBorder="1"/>
    <xf numFmtId="10" fontId="18" fillId="10" borderId="15" xfId="0" applyNumberFormat="1" applyFont="1" applyFill="1" applyBorder="1" applyAlignment="1">
      <alignment horizontal="center"/>
    </xf>
    <xf numFmtId="9" fontId="1" fillId="2" borderId="0" xfId="0" applyNumberFormat="1" applyFont="1" applyFill="1"/>
    <xf numFmtId="168" fontId="18" fillId="12" borderId="16" xfId="0" applyNumberFormat="1" applyFont="1" applyFill="1" applyBorder="1"/>
    <xf numFmtId="178" fontId="18" fillId="10" borderId="17" xfId="0" applyNumberFormat="1" applyFont="1" applyFill="1" applyBorder="1" applyAlignment="1">
      <alignment horizontal="center"/>
    </xf>
    <xf numFmtId="179" fontId="1" fillId="2" borderId="0" xfId="0" applyNumberFormat="1" applyFont="1" applyFill="1"/>
    <xf numFmtId="168" fontId="18" fillId="12" borderId="18" xfId="0" applyNumberFormat="1" applyFont="1" applyFill="1" applyBorder="1"/>
    <xf numFmtId="180" fontId="18" fillId="10" borderId="20" xfId="0" applyNumberFormat="1" applyFont="1" applyFill="1" applyBorder="1" applyAlignment="1">
      <alignment horizontal="center"/>
    </xf>
    <xf numFmtId="165" fontId="18" fillId="2" borderId="0" xfId="0" applyNumberFormat="1" applyFont="1" applyFill="1" applyAlignment="1">
      <alignment horizontal="center"/>
    </xf>
    <xf numFmtId="0" fontId="1" fillId="0" borderId="0" xfId="0" applyFont="1" applyAlignment="1">
      <alignment horizontal="left" vertical="center" wrapText="1"/>
    </xf>
    <xf numFmtId="0" fontId="34" fillId="0" borderId="0" xfId="0" applyFont="1" applyAlignment="1">
      <alignment horizontal="left" vertical="center" wrapText="1"/>
    </xf>
    <xf numFmtId="0" fontId="35" fillId="0" borderId="0" xfId="0" applyFont="1" applyAlignment="1">
      <alignment horizontal="left" vertical="center" wrapText="1"/>
    </xf>
    <xf numFmtId="0" fontId="1"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7" fillId="0" borderId="49" xfId="0" applyFont="1" applyBorder="1" applyAlignment="1">
      <alignment horizontal="center" wrapText="1"/>
    </xf>
    <xf numFmtId="0" fontId="37" fillId="0" borderId="5" xfId="0" applyFont="1" applyBorder="1" applyAlignment="1">
      <alignment horizontal="center" wrapText="1"/>
    </xf>
    <xf numFmtId="0" fontId="37" fillId="0" borderId="40" xfId="0" applyFont="1" applyBorder="1" applyAlignment="1">
      <alignment horizontal="center" wrapText="1"/>
    </xf>
    <xf numFmtId="0" fontId="37" fillId="0" borderId="5"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5" xfId="0" applyFont="1" applyBorder="1" applyAlignment="1">
      <alignment vertical="center" wrapText="1"/>
    </xf>
    <xf numFmtId="0" fontId="37" fillId="27" borderId="8" xfId="0" applyFont="1" applyFill="1" applyBorder="1" applyAlignment="1">
      <alignment horizontal="center" vertical="center" wrapText="1"/>
    </xf>
    <xf numFmtId="0" fontId="37" fillId="11" borderId="5" xfId="0" applyFont="1" applyFill="1" applyBorder="1" applyAlignment="1">
      <alignment horizontal="center" vertical="center" wrapText="1"/>
    </xf>
    <xf numFmtId="0" fontId="37" fillId="3" borderId="8"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7" fillId="28" borderId="8" xfId="0" applyFont="1" applyFill="1" applyBorder="1" applyAlignment="1">
      <alignment horizontal="center" vertical="center" wrapText="1"/>
    </xf>
    <xf numFmtId="0" fontId="38" fillId="0" borderId="7" xfId="0" applyFont="1" applyBorder="1" applyAlignment="1">
      <alignment horizontal="left" vertical="center" wrapText="1"/>
    </xf>
    <xf numFmtId="0" fontId="1" fillId="27" borderId="7" xfId="0" applyFont="1" applyFill="1" applyBorder="1"/>
    <xf numFmtId="0" fontId="37" fillId="27" borderId="5" xfId="0" applyFont="1" applyFill="1" applyBorder="1" applyAlignment="1">
      <alignment horizontal="center" vertical="center" wrapText="1"/>
    </xf>
    <xf numFmtId="0" fontId="1" fillId="11" borderId="7" xfId="0" applyFont="1" applyFill="1" applyBorder="1"/>
    <xf numFmtId="0" fontId="1" fillId="3" borderId="7" xfId="0" applyFont="1" applyFill="1" applyBorder="1"/>
    <xf numFmtId="0" fontId="1" fillId="28" borderId="7" xfId="0" applyFont="1" applyFill="1" applyBorder="1"/>
    <xf numFmtId="0" fontId="33" fillId="3" borderId="7" xfId="0" applyFont="1" applyFill="1" applyBorder="1" applyAlignment="1">
      <alignment vertical="center" wrapText="1"/>
    </xf>
    <xf numFmtId="0" fontId="39" fillId="4" borderId="5" xfId="0" applyFont="1" applyFill="1" applyBorder="1" applyAlignment="1">
      <alignment horizontal="center" vertical="center"/>
    </xf>
    <xf numFmtId="0" fontId="35" fillId="0" borderId="7" xfId="0" applyFont="1" applyBorder="1" applyAlignment="1">
      <alignment horizontal="left" vertical="center" wrapText="1"/>
    </xf>
    <xf numFmtId="0" fontId="15" fillId="7" borderId="7" xfId="0" applyFont="1" applyFill="1" applyBorder="1" applyAlignment="1">
      <alignment horizontal="left" vertical="center" wrapText="1"/>
    </xf>
    <xf numFmtId="0" fontId="18" fillId="0" borderId="0" xfId="0" applyFont="1"/>
    <xf numFmtId="0" fontId="15" fillId="7" borderId="7" xfId="0" applyFont="1" applyFill="1" applyBorder="1" applyAlignment="1">
      <alignment horizontal="left" vertical="top" wrapText="1"/>
    </xf>
    <xf numFmtId="0" fontId="15" fillId="29" borderId="7" xfId="0" applyFont="1" applyFill="1" applyBorder="1" applyAlignment="1">
      <alignment horizontal="center" vertical="center" wrapText="1"/>
    </xf>
    <xf numFmtId="0" fontId="15" fillId="30" borderId="7" xfId="0" applyFont="1" applyFill="1" applyBorder="1" applyAlignment="1">
      <alignment horizontal="center" vertical="center" wrapText="1"/>
    </xf>
    <xf numFmtId="0" fontId="15" fillId="31" borderId="7" xfId="0" applyFont="1" applyFill="1" applyBorder="1" applyAlignment="1">
      <alignment horizontal="center" vertical="center" wrapText="1"/>
    </xf>
    <xf numFmtId="0" fontId="15" fillId="32" borderId="7" xfId="0" applyFont="1" applyFill="1" applyBorder="1" applyAlignment="1">
      <alignment horizontal="center" vertical="center" wrapText="1"/>
    </xf>
    <xf numFmtId="0" fontId="15" fillId="30" borderId="7" xfId="0" applyFont="1" applyFill="1" applyBorder="1" applyAlignment="1">
      <alignment horizontal="left" vertical="center" wrapText="1"/>
    </xf>
    <xf numFmtId="0" fontId="15" fillId="31" borderId="7" xfId="0" applyFont="1" applyFill="1" applyBorder="1" applyAlignment="1">
      <alignment horizontal="left" vertical="center" wrapText="1"/>
    </xf>
    <xf numFmtId="0" fontId="15" fillId="29" borderId="7" xfId="0" applyFont="1" applyFill="1" applyBorder="1" applyAlignment="1">
      <alignment horizontal="left" vertical="center" wrapText="1"/>
    </xf>
    <xf numFmtId="0" fontId="15" fillId="32" borderId="7" xfId="0" applyFont="1" applyFill="1" applyBorder="1" applyAlignment="1">
      <alignment horizontal="left" vertical="center" wrapText="1"/>
    </xf>
    <xf numFmtId="0" fontId="23" fillId="5" borderId="7" xfId="0" applyFont="1" applyFill="1" applyBorder="1" applyAlignment="1">
      <alignment horizontal="center" vertical="center" wrapText="1"/>
    </xf>
    <xf numFmtId="0" fontId="23" fillId="30" borderId="7" xfId="0" applyFont="1" applyFill="1" applyBorder="1" applyAlignment="1">
      <alignment horizontal="center" vertical="center" wrapText="1"/>
    </xf>
    <xf numFmtId="0" fontId="23" fillId="31" borderId="7" xfId="0" applyFont="1" applyFill="1" applyBorder="1" applyAlignment="1">
      <alignment horizontal="center" vertical="center" wrapText="1"/>
    </xf>
    <xf numFmtId="0" fontId="23" fillId="29" borderId="7" xfId="0" applyFont="1" applyFill="1" applyBorder="1" applyAlignment="1">
      <alignment horizontal="center" vertical="center" wrapText="1"/>
    </xf>
    <xf numFmtId="0" fontId="23" fillId="32" borderId="7" xfId="0" applyFont="1" applyFill="1" applyBorder="1" applyAlignment="1">
      <alignment horizontal="center" vertical="center" wrapText="1"/>
    </xf>
    <xf numFmtId="0" fontId="1" fillId="0" borderId="87" xfId="0" applyFont="1" applyBorder="1" applyAlignment="1">
      <alignment horizontal="center"/>
    </xf>
    <xf numFmtId="168" fontId="1" fillId="15" borderId="7" xfId="0" applyNumberFormat="1" applyFont="1" applyFill="1" applyBorder="1" applyAlignment="1">
      <alignment horizontal="center"/>
    </xf>
    <xf numFmtId="9" fontId="0" fillId="2" borderId="0" xfId="0" applyNumberFormat="1" applyFill="1"/>
    <xf numFmtId="0" fontId="1" fillId="12" borderId="82" xfId="0" applyFont="1" applyFill="1" applyBorder="1" applyAlignment="1">
      <alignment horizontal="center"/>
    </xf>
    <xf numFmtId="168" fontId="1" fillId="12" borderId="83" xfId="0" applyNumberFormat="1" applyFont="1" applyFill="1" applyBorder="1" applyAlignment="1">
      <alignment horizontal="center"/>
    </xf>
    <xf numFmtId="0" fontId="1" fillId="0" borderId="88" xfId="0" applyFont="1" applyBorder="1"/>
    <xf numFmtId="9" fontId="1" fillId="0" borderId="89" xfId="0" applyNumberFormat="1" applyFont="1" applyBorder="1"/>
    <xf numFmtId="168" fontId="1" fillId="0" borderId="6" xfId="0" applyNumberFormat="1" applyFont="1" applyBorder="1" applyAlignment="1">
      <alignment horizontal="center"/>
    </xf>
    <xf numFmtId="168" fontId="1" fillId="0" borderId="37" xfId="0" applyNumberFormat="1" applyFont="1" applyBorder="1" applyAlignment="1">
      <alignment horizontal="center"/>
    </xf>
    <xf numFmtId="168" fontId="1" fillId="0" borderId="62" xfId="0" applyNumberFormat="1" applyFont="1" applyBorder="1" applyAlignment="1">
      <alignment horizontal="center"/>
    </xf>
    <xf numFmtId="168" fontId="1" fillId="2" borderId="11" xfId="0" applyNumberFormat="1" applyFont="1" applyFill="1" applyBorder="1" applyAlignment="1">
      <alignment horizontal="center"/>
    </xf>
    <xf numFmtId="168" fontId="1" fillId="27" borderId="82" xfId="0" applyNumberFormat="1" applyFont="1" applyFill="1" applyBorder="1" applyAlignment="1">
      <alignment horizontal="center"/>
    </xf>
    <xf numFmtId="168" fontId="1" fillId="27" borderId="83" xfId="0" applyNumberFormat="1" applyFont="1" applyFill="1" applyBorder="1" applyAlignment="1">
      <alignment horizontal="center"/>
    </xf>
    <xf numFmtId="166" fontId="18" fillId="10" borderId="15" xfId="0" applyNumberFormat="1" applyFont="1" applyFill="1" applyBorder="1" applyAlignment="1">
      <alignment horizontal="center"/>
    </xf>
    <xf numFmtId="10" fontId="18" fillId="10" borderId="20" xfId="0" applyNumberFormat="1" applyFont="1" applyFill="1" applyBorder="1" applyAlignment="1">
      <alignment horizontal="center"/>
    </xf>
    <xf numFmtId="168" fontId="1" fillId="33" borderId="7" xfId="0" applyNumberFormat="1" applyFont="1" applyFill="1" applyBorder="1" applyAlignment="1">
      <alignment horizontal="center"/>
    </xf>
    <xf numFmtId="0" fontId="13" fillId="2" borderId="5" xfId="0" applyFont="1" applyFill="1" applyBorder="1" applyAlignment="1">
      <alignment horizontal="left" vertical="top" wrapText="1"/>
    </xf>
    <xf numFmtId="0" fontId="8" fillId="6" borderId="5" xfId="0" applyFont="1" applyFill="1" applyBorder="1" applyAlignment="1">
      <alignment horizontal="left"/>
    </xf>
    <xf numFmtId="169" fontId="20" fillId="5" borderId="24" xfId="0" applyNumberFormat="1" applyFont="1" applyFill="1" applyBorder="1" applyAlignment="1">
      <alignment horizontal="center" vertical="center"/>
    </xf>
    <xf numFmtId="169" fontId="20" fillId="5" borderId="25" xfId="0" applyNumberFormat="1" applyFont="1" applyFill="1" applyBorder="1" applyAlignment="1">
      <alignment horizontal="center" vertical="center"/>
    </xf>
    <xf numFmtId="0" fontId="18" fillId="5" borderId="25" xfId="0" applyFont="1" applyFill="1" applyBorder="1" applyAlignment="1">
      <alignment horizontal="center" vertical="center"/>
    </xf>
    <xf numFmtId="169" fontId="20" fillId="5" borderId="26" xfId="0" applyNumberFormat="1" applyFont="1" applyFill="1" applyBorder="1" applyAlignment="1">
      <alignment horizontal="center" vertical="center"/>
    </xf>
    <xf numFmtId="169" fontId="20" fillId="5" borderId="27" xfId="0" applyNumberFormat="1" applyFont="1" applyFill="1" applyBorder="1" applyAlignment="1">
      <alignment horizontal="center" vertical="center"/>
    </xf>
    <xf numFmtId="10" fontId="18" fillId="12" borderId="28" xfId="0" applyNumberFormat="1" applyFont="1" applyFill="1" applyBorder="1" applyAlignment="1">
      <alignment horizontal="center" vertical="center"/>
    </xf>
    <xf numFmtId="0" fontId="11" fillId="12" borderId="25" xfId="0" applyFont="1" applyFill="1" applyBorder="1" applyAlignment="1">
      <alignment horizontal="left"/>
    </xf>
    <xf numFmtId="169" fontId="11" fillId="7" borderId="28" xfId="0" applyNumberFormat="1" applyFont="1" applyFill="1" applyBorder="1" applyAlignment="1">
      <alignment horizontal="left"/>
    </xf>
    <xf numFmtId="169" fontId="11" fillId="7" borderId="43" xfId="0" applyNumberFormat="1" applyFont="1" applyFill="1" applyBorder="1" applyAlignment="1">
      <alignment horizontal="left"/>
    </xf>
    <xf numFmtId="169" fontId="11" fillId="8" borderId="5" xfId="0" applyNumberFormat="1" applyFont="1" applyFill="1" applyBorder="1" applyAlignment="1">
      <alignment horizontal="left" wrapText="1"/>
    </xf>
    <xf numFmtId="169" fontId="11" fillId="9" borderId="48" xfId="0" applyNumberFormat="1" applyFont="1" applyFill="1" applyBorder="1" applyAlignment="1">
      <alignment horizontal="left"/>
    </xf>
    <xf numFmtId="169" fontId="11" fillId="10" borderId="5" xfId="0" applyNumberFormat="1" applyFont="1" applyFill="1" applyBorder="1" applyAlignment="1">
      <alignment horizontal="left" vertical="center" wrapText="1"/>
    </xf>
    <xf numFmtId="0" fontId="12" fillId="2" borderId="5" xfId="0" applyFont="1" applyFill="1" applyBorder="1" applyAlignment="1">
      <alignment horizontal="left" vertical="top" wrapText="1"/>
    </xf>
    <xf numFmtId="0" fontId="4" fillId="4" borderId="50" xfId="0" applyFont="1" applyFill="1" applyBorder="1" applyAlignment="1">
      <alignment horizontal="center" vertical="center"/>
    </xf>
    <xf numFmtId="0" fontId="4" fillId="4" borderId="9" xfId="0" applyFont="1" applyFill="1" applyBorder="1" applyAlignment="1">
      <alignment horizontal="left"/>
    </xf>
    <xf numFmtId="0" fontId="18" fillId="4" borderId="51" xfId="0" applyFont="1" applyFill="1" applyBorder="1" applyAlignment="1">
      <alignment horizontal="center" vertical="center"/>
    </xf>
    <xf numFmtId="0" fontId="18" fillId="4" borderId="50" xfId="0" applyFont="1" applyFill="1" applyBorder="1" applyAlignment="1">
      <alignment horizontal="center" vertical="center"/>
    </xf>
    <xf numFmtId="0" fontId="8" fillId="4" borderId="5" xfId="0" applyFont="1" applyFill="1" applyBorder="1" applyAlignment="1">
      <alignment horizontal="center" vertical="center"/>
    </xf>
    <xf numFmtId="0" fontId="1" fillId="5" borderId="52" xfId="0" applyFont="1" applyFill="1" applyBorder="1" applyAlignment="1">
      <alignment horizontal="center" vertical="center"/>
    </xf>
    <xf numFmtId="0" fontId="1" fillId="12" borderId="52" xfId="0" applyFont="1" applyFill="1" applyBorder="1" applyAlignment="1">
      <alignment horizontal="center" vertical="center"/>
    </xf>
    <xf numFmtId="0" fontId="1" fillId="5" borderId="15" xfId="0" applyFont="1" applyFill="1" applyBorder="1" applyAlignment="1">
      <alignment horizontal="center" vertical="center"/>
    </xf>
    <xf numFmtId="0" fontId="1" fillId="5" borderId="17" xfId="0" applyFont="1" applyFill="1" applyBorder="1" applyAlignment="1">
      <alignment horizontal="center" vertical="center"/>
    </xf>
    <xf numFmtId="0" fontId="1" fillId="5" borderId="53" xfId="0" applyFont="1" applyFill="1" applyBorder="1" applyAlignment="1">
      <alignment horizontal="center" vertical="center"/>
    </xf>
    <xf numFmtId="0" fontId="1" fillId="12" borderId="53" xfId="0" applyFont="1" applyFill="1" applyBorder="1" applyAlignment="1">
      <alignment horizontal="center" vertical="center"/>
    </xf>
    <xf numFmtId="0" fontId="1" fillId="12" borderId="17" xfId="0" applyFont="1" applyFill="1" applyBorder="1" applyAlignment="1">
      <alignment horizontal="center" vertical="center"/>
    </xf>
    <xf numFmtId="0" fontId="1" fillId="5" borderId="17" xfId="0" applyFont="1" applyFill="1" applyBorder="1" applyAlignment="1">
      <alignment horizontal="center"/>
    </xf>
    <xf numFmtId="0" fontId="1" fillId="5" borderId="54" xfId="0" applyFont="1" applyFill="1" applyBorder="1" applyAlignment="1">
      <alignment horizontal="center" vertical="center"/>
    </xf>
    <xf numFmtId="0" fontId="1" fillId="5" borderId="55" xfId="0" applyFont="1" applyFill="1" applyBorder="1" applyAlignment="1">
      <alignment horizontal="center" vertical="center"/>
    </xf>
    <xf numFmtId="0" fontId="1" fillId="5" borderId="20" xfId="0" applyFont="1" applyFill="1" applyBorder="1" applyAlignment="1">
      <alignment horizontal="center" vertical="center"/>
    </xf>
    <xf numFmtId="0" fontId="8" fillId="4" borderId="50" xfId="0" applyFont="1" applyFill="1" applyBorder="1" applyAlignment="1">
      <alignment horizontal="center" vertical="center"/>
    </xf>
    <xf numFmtId="0" fontId="1" fillId="5" borderId="25"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43" xfId="0" applyFont="1" applyFill="1" applyBorder="1" applyAlignment="1">
      <alignment horizontal="center" vertical="center"/>
    </xf>
    <xf numFmtId="0" fontId="1" fillId="5" borderId="27" xfId="0" applyFont="1" applyFill="1" applyBorder="1" applyAlignment="1">
      <alignment horizontal="center" vertical="center"/>
    </xf>
    <xf numFmtId="0" fontId="1" fillId="5" borderId="56" xfId="0" applyFont="1" applyFill="1" applyBorder="1" applyAlignment="1">
      <alignment horizontal="center" vertical="center"/>
    </xf>
    <xf numFmtId="0" fontId="1" fillId="12" borderId="25" xfId="0" applyFont="1" applyFill="1" applyBorder="1" applyAlignment="1">
      <alignment horizontal="center" vertical="center"/>
    </xf>
    <xf numFmtId="0" fontId="1" fillId="12" borderId="28" xfId="0" applyFont="1" applyFill="1" applyBorder="1" applyAlignment="1">
      <alignment horizontal="center" vertical="center"/>
    </xf>
    <xf numFmtId="0" fontId="1" fillId="12" borderId="43" xfId="0" applyFont="1" applyFill="1" applyBorder="1" applyAlignment="1">
      <alignment horizontal="center" vertical="center"/>
    </xf>
    <xf numFmtId="169" fontId="20" fillId="5" borderId="46" xfId="0" applyNumberFormat="1" applyFont="1" applyFill="1" applyBorder="1" applyAlignment="1">
      <alignment horizontal="center" vertical="center"/>
    </xf>
    <xf numFmtId="169" fontId="20" fillId="5" borderId="57" xfId="0" applyNumberFormat="1" applyFont="1" applyFill="1" applyBorder="1" applyAlignment="1">
      <alignment horizontal="center" vertical="center"/>
    </xf>
    <xf numFmtId="169" fontId="20" fillId="5" borderId="20" xfId="0" applyNumberFormat="1" applyFont="1" applyFill="1" applyBorder="1" applyAlignment="1">
      <alignment horizontal="center" vertical="center"/>
    </xf>
    <xf numFmtId="0" fontId="11" fillId="12" borderId="5" xfId="0" applyFont="1" applyFill="1" applyBorder="1" applyAlignment="1">
      <alignment horizontal="left"/>
    </xf>
    <xf numFmtId="169" fontId="11" fillId="7" borderId="25" xfId="0" applyNumberFormat="1" applyFont="1" applyFill="1" applyBorder="1" applyAlignment="1">
      <alignment horizontal="left"/>
    </xf>
    <xf numFmtId="169" fontId="11" fillId="8" borderId="48" xfId="0" applyNumberFormat="1" applyFont="1" applyFill="1" applyBorder="1" applyAlignment="1">
      <alignment horizontal="left" wrapText="1"/>
    </xf>
    <xf numFmtId="169" fontId="11" fillId="9" borderId="5" xfId="0" applyNumberFormat="1" applyFont="1" applyFill="1" applyBorder="1" applyAlignment="1">
      <alignment horizontal="left"/>
    </xf>
    <xf numFmtId="169" fontId="11" fillId="10" borderId="8" xfId="0" applyNumberFormat="1" applyFont="1" applyFill="1" applyBorder="1" applyAlignment="1">
      <alignment horizontal="left" vertical="center" wrapText="1"/>
    </xf>
    <xf numFmtId="0" fontId="4" fillId="4" borderId="59" xfId="0" applyFont="1" applyFill="1" applyBorder="1" applyAlignment="1">
      <alignment horizontal="center" vertical="center"/>
    </xf>
    <xf numFmtId="0" fontId="18" fillId="4" borderId="5" xfId="0" applyFont="1" applyFill="1" applyBorder="1" applyAlignment="1">
      <alignment horizontal="center" vertical="center"/>
    </xf>
    <xf numFmtId="0" fontId="1" fillId="5" borderId="59"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26"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36" xfId="0" applyFont="1" applyFill="1" applyBorder="1" applyAlignment="1">
      <alignment horizontal="center" vertical="center"/>
    </xf>
    <xf numFmtId="0" fontId="1" fillId="5" borderId="18" xfId="0" applyFont="1" applyFill="1" applyBorder="1" applyAlignment="1">
      <alignment horizontal="center" vertical="center"/>
    </xf>
    <xf numFmtId="169" fontId="20" fillId="5" borderId="60" xfId="0" applyNumberFormat="1" applyFont="1" applyFill="1" applyBorder="1" applyAlignment="1">
      <alignment horizontal="center" vertical="center"/>
    </xf>
    <xf numFmtId="169" fontId="20" fillId="5" borderId="61" xfId="0" applyNumberFormat="1" applyFont="1" applyFill="1" applyBorder="1" applyAlignment="1">
      <alignment horizontal="center" vertical="center"/>
    </xf>
    <xf numFmtId="169" fontId="20" fillId="5" borderId="56" xfId="0" applyNumberFormat="1" applyFont="1" applyFill="1" applyBorder="1" applyAlignment="1">
      <alignment horizontal="center" vertical="center"/>
    </xf>
    <xf numFmtId="0" fontId="18" fillId="5" borderId="56" xfId="0" applyFont="1" applyFill="1" applyBorder="1" applyAlignment="1">
      <alignment horizontal="center" vertical="center"/>
    </xf>
    <xf numFmtId="0" fontId="18" fillId="12" borderId="50" xfId="0" applyFont="1" applyFill="1" applyBorder="1" applyAlignment="1">
      <alignment horizontal="left"/>
    </xf>
    <xf numFmtId="169" fontId="11" fillId="8" borderId="48" xfId="0" applyNumberFormat="1" applyFont="1" applyFill="1" applyBorder="1" applyAlignment="1">
      <alignment horizontal="left"/>
    </xf>
    <xf numFmtId="169" fontId="11" fillId="10" borderId="8" xfId="0" applyNumberFormat="1" applyFont="1" applyFill="1" applyBorder="1" applyAlignment="1">
      <alignment horizontal="left" vertical="center"/>
    </xf>
    <xf numFmtId="0" fontId="1" fillId="5" borderId="28" xfId="0" applyFont="1" applyFill="1" applyBorder="1" applyAlignment="1">
      <alignment horizontal="center"/>
    </xf>
    <xf numFmtId="0" fontId="8" fillId="6" borderId="5" xfId="0" applyFont="1" applyFill="1" applyBorder="1" applyAlignment="1">
      <alignment horizontal="center"/>
    </xf>
    <xf numFmtId="0" fontId="8" fillId="14" borderId="5" xfId="0" applyFont="1" applyFill="1" applyBorder="1" applyAlignment="1">
      <alignment horizontal="center"/>
    </xf>
    <xf numFmtId="0" fontId="8" fillId="8" borderId="5" xfId="0" applyFont="1" applyFill="1" applyBorder="1" applyAlignment="1">
      <alignment horizontal="center"/>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center" wrapText="1"/>
    </xf>
    <xf numFmtId="0" fontId="8" fillId="15" borderId="64" xfId="0" applyFont="1" applyFill="1" applyBorder="1" applyAlignment="1">
      <alignment horizontal="center"/>
    </xf>
    <xf numFmtId="0" fontId="18" fillId="17" borderId="66" xfId="0" applyFont="1" applyFill="1" applyBorder="1"/>
    <xf numFmtId="0" fontId="1" fillId="2" borderId="68" xfId="0" applyFont="1" applyFill="1" applyBorder="1"/>
    <xf numFmtId="0" fontId="1" fillId="2" borderId="70" xfId="0" applyFont="1" applyFill="1" applyBorder="1"/>
    <xf numFmtId="0" fontId="1" fillId="2" borderId="72" xfId="0" applyFont="1" applyFill="1" applyBorder="1"/>
    <xf numFmtId="0" fontId="18" fillId="2" borderId="74" xfId="0" applyFont="1" applyFill="1" applyBorder="1"/>
    <xf numFmtId="0" fontId="18"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8" fillId="2" borderId="77" xfId="0" applyFont="1" applyFill="1" applyBorder="1"/>
    <xf numFmtId="0" fontId="2" fillId="4" borderId="7" xfId="0" applyFont="1" applyFill="1" applyBorder="1" applyAlignment="1">
      <alignment horizontal="center" vertical="center"/>
    </xf>
    <xf numFmtId="0" fontId="18" fillId="4" borderId="7" xfId="0" applyFont="1" applyFill="1" applyBorder="1" applyAlignment="1">
      <alignment horizontal="center" vertical="center"/>
    </xf>
    <xf numFmtId="0" fontId="8" fillId="4" borderId="5" xfId="0" applyFont="1" applyFill="1" applyBorder="1" applyAlignment="1">
      <alignment horizontal="left" wrapText="1"/>
    </xf>
    <xf numFmtId="0" fontId="23" fillId="4" borderId="5" xfId="0" applyFont="1" applyFill="1" applyBorder="1" applyAlignment="1">
      <alignment horizontal="center" vertical="center"/>
    </xf>
    <xf numFmtId="0" fontId="16" fillId="7" borderId="7" xfId="0" applyFont="1" applyFill="1" applyBorder="1" applyAlignment="1">
      <alignment horizontal="left" vertical="center"/>
    </xf>
    <xf numFmtId="0" fontId="21" fillId="5" borderId="7" xfId="0" applyFont="1" applyFill="1" applyBorder="1" applyAlignment="1">
      <alignment horizontal="center" vertical="center" wrapText="1"/>
    </xf>
    <xf numFmtId="0" fontId="27" fillId="21" borderId="5" xfId="0" applyFont="1" applyFill="1" applyBorder="1" applyAlignment="1">
      <alignment horizontal="left"/>
    </xf>
    <xf numFmtId="0" fontId="30" fillId="22" borderId="14" xfId="0" applyFont="1" applyFill="1" applyBorder="1" applyAlignment="1">
      <alignment horizontal="center" vertical="center"/>
    </xf>
    <xf numFmtId="0" fontId="24" fillId="0" borderId="38" xfId="0" applyFont="1" applyBorder="1" applyAlignment="1">
      <alignment horizontal="center" vertical="center"/>
    </xf>
    <xf numFmtId="0" fontId="24" fillId="2" borderId="83" xfId="0" applyFont="1" applyFill="1" applyBorder="1" applyAlignment="1">
      <alignment vertical="center"/>
    </xf>
    <xf numFmtId="0" fontId="30" fillId="22" borderId="6" xfId="0" applyFont="1" applyFill="1" applyBorder="1" applyAlignment="1">
      <alignment horizontal="center" vertical="center"/>
    </xf>
    <xf numFmtId="0" fontId="18" fillId="5" borderId="60" xfId="0" applyFont="1" applyFill="1" applyBorder="1" applyAlignment="1">
      <alignment horizontal="center"/>
    </xf>
    <xf numFmtId="0" fontId="18" fillId="2" borderId="0" xfId="0" applyFont="1" applyFill="1" applyAlignment="1">
      <alignment horizontal="center" vertical="center"/>
    </xf>
    <xf numFmtId="0" fontId="1" fillId="2" borderId="0" xfId="0" applyFont="1" applyFill="1" applyAlignment="1">
      <alignment horizontal="center" vertical="center"/>
    </xf>
    <xf numFmtId="0" fontId="8" fillId="4" borderId="50" xfId="0" applyFont="1" applyFill="1" applyBorder="1" applyAlignment="1">
      <alignment horizontal="left"/>
    </xf>
    <xf numFmtId="0" fontId="18" fillId="5" borderId="38" xfId="0" applyFont="1" applyFill="1" applyBorder="1" applyAlignment="1">
      <alignment horizontal="center" vertical="center"/>
    </xf>
    <xf numFmtId="0" fontId="18" fillId="5" borderId="83" xfId="0" applyFont="1" applyFill="1" applyBorder="1" applyAlignment="1">
      <alignment horizontal="center" vertical="center"/>
    </xf>
    <xf numFmtId="0" fontId="18" fillId="5" borderId="39" xfId="0" applyFont="1" applyFill="1" applyBorder="1" applyAlignment="1">
      <alignment horizontal="center" vertical="center" wrapText="1"/>
    </xf>
    <xf numFmtId="0" fontId="18" fillId="5" borderId="52" xfId="0" applyFont="1" applyFill="1" applyBorder="1" applyAlignment="1">
      <alignment horizontal="center" vertical="center"/>
    </xf>
    <xf numFmtId="0" fontId="1" fillId="0" borderId="38" xfId="0" applyFont="1" applyBorder="1" applyAlignment="1">
      <alignment horizontal="center" vertical="center" wrapText="1"/>
    </xf>
    <xf numFmtId="0" fontId="1" fillId="0" borderId="38" xfId="0" applyFont="1" applyBorder="1" applyAlignment="1">
      <alignment horizontal="center" vertical="center"/>
    </xf>
    <xf numFmtId="0" fontId="0" fillId="0" borderId="0" xfId="0"/>
    <xf numFmtId="0" fontId="11" fillId="4" borderId="5" xfId="0" applyFont="1" applyFill="1" applyBorder="1" applyAlignment="1">
      <alignment horizontal="right"/>
    </xf>
    <xf numFmtId="0" fontId="18" fillId="5" borderId="5" xfId="0" applyFont="1" applyFill="1" applyBorder="1" applyAlignment="1">
      <alignment horizontal="left"/>
    </xf>
    <xf numFmtId="0" fontId="1" fillId="0" borderId="25" xfId="0" applyFont="1" applyBorder="1" applyAlignment="1">
      <alignment horizontal="left" vertical="center"/>
    </xf>
    <xf numFmtId="0" fontId="1" fillId="0" borderId="16" xfId="0" applyFont="1" applyBorder="1" applyAlignment="1">
      <alignment horizontal="center" vertical="center"/>
    </xf>
    <xf numFmtId="0" fontId="1" fillId="17" borderId="5" xfId="0" applyFont="1" applyFill="1" applyBorder="1" applyAlignment="1">
      <alignment horizontal="left"/>
    </xf>
    <xf numFmtId="0" fontId="1" fillId="0" borderId="8" xfId="0" applyFont="1" applyBorder="1" applyAlignment="1">
      <alignment horizontal="left"/>
    </xf>
    <xf numFmtId="0" fontId="1" fillId="25" borderId="28" xfId="0" applyFont="1" applyFill="1" applyBorder="1" applyAlignment="1">
      <alignment horizontal="left"/>
    </xf>
    <xf numFmtId="0" fontId="33" fillId="26" borderId="0" xfId="0" applyFont="1" applyFill="1" applyAlignment="1">
      <alignment horizontal="left" vertical="center" wrapText="1"/>
    </xf>
    <xf numFmtId="0" fontId="33" fillId="26" borderId="0" xfId="0" applyFont="1" applyFill="1" applyAlignment="1">
      <alignment horizontal="left" vertical="center"/>
    </xf>
    <xf numFmtId="0" fontId="15" fillId="7" borderId="7" xfId="0" applyFont="1" applyFill="1" applyBorder="1" applyAlignment="1">
      <alignment horizontal="center" vertical="center" wrapText="1"/>
    </xf>
    <xf numFmtId="0" fontId="15" fillId="7" borderId="7" xfId="0" applyFont="1" applyFill="1" applyBorder="1" applyAlignment="1">
      <alignment horizontal="left" vertical="top" wrapText="1"/>
    </xf>
    <xf numFmtId="0" fontId="15" fillId="29" borderId="7" xfId="0" applyFont="1" applyFill="1" applyBorder="1" applyAlignment="1">
      <alignment horizontal="center" vertical="center" wrapText="1"/>
    </xf>
    <xf numFmtId="0" fontId="15" fillId="30" borderId="7" xfId="0" applyFont="1" applyFill="1" applyBorder="1" applyAlignment="1">
      <alignment horizontal="left" vertical="center" wrapText="1"/>
    </xf>
    <xf numFmtId="0" fontId="15" fillId="31" borderId="7" xfId="0" applyFont="1" applyFill="1" applyBorder="1" applyAlignment="1">
      <alignment horizontal="left" vertical="center" wrapText="1"/>
    </xf>
    <xf numFmtId="0" fontId="15" fillId="29" borderId="7" xfId="0" applyFont="1" applyFill="1" applyBorder="1" applyAlignment="1">
      <alignment horizontal="left" vertical="center" wrapText="1"/>
    </xf>
    <xf numFmtId="0" fontId="15" fillId="32" borderId="7" xfId="0" applyFont="1" applyFill="1" applyBorder="1" applyAlignment="1">
      <alignment horizontal="left" vertical="center" wrapText="1"/>
    </xf>
    <xf numFmtId="0" fontId="15" fillId="31" borderId="7" xfId="0" applyFont="1" applyFill="1" applyBorder="1" applyAlignment="1">
      <alignment horizontal="center" vertical="center" wrapText="1"/>
    </xf>
    <xf numFmtId="0" fontId="18" fillId="28" borderId="7" xfId="0" applyFont="1" applyFill="1" applyBorder="1" applyAlignment="1">
      <alignment horizontal="center"/>
    </xf>
    <xf numFmtId="0" fontId="1" fillId="0" borderId="56" xfId="0" applyFont="1" applyBorder="1" applyAlignment="1">
      <alignment horizontal="left" vertical="center"/>
    </xf>
    <xf numFmtId="0" fontId="18" fillId="0" borderId="7" xfId="0" applyFont="1" applyBorder="1" applyAlignment="1">
      <alignment horizontal="center" vertical="center"/>
    </xf>
    <xf numFmtId="0" fontId="37" fillId="0" borderId="7" xfId="0" applyFont="1" applyBorder="1" applyAlignment="1">
      <alignment horizontal="center" vertical="center" wrapText="1"/>
    </xf>
    <xf numFmtId="0" fontId="1" fillId="12" borderId="5" xfId="0" applyFont="1" applyFill="1" applyBorder="1" applyAlignment="1">
      <alignment horizontal="left"/>
    </xf>
    <xf numFmtId="0" fontId="1" fillId="0" borderId="28" xfId="0" applyFont="1" applyBorder="1" applyAlignment="1">
      <alignment horizontal="left"/>
    </xf>
    <xf numFmtId="0" fontId="1" fillId="0" borderId="59" xfId="0" applyFont="1" applyBorder="1" applyAlignment="1">
      <alignment horizontal="left"/>
    </xf>
    <xf numFmtId="0" fontId="1" fillId="0" borderId="48" xfId="0" applyFont="1" applyBorder="1" applyAlignment="1">
      <alignment horizontal="left"/>
    </xf>
    <xf numFmtId="0" fontId="1" fillId="27" borderId="5" xfId="0" applyFont="1" applyFill="1" applyBorder="1" applyAlignment="1">
      <alignment horizontal="left"/>
    </xf>
    <xf numFmtId="0" fontId="2" fillId="3" borderId="7" xfId="0" applyFont="1" applyFill="1" applyBorder="1" applyAlignment="1">
      <alignment horizontal="center"/>
    </xf>
    <xf numFmtId="0" fontId="40" fillId="0" borderId="7" xfId="0" applyFont="1" applyBorder="1" applyAlignment="1">
      <alignment wrapText="1"/>
    </xf>
    <xf numFmtId="0" fontId="35" fillId="0" borderId="7" xfId="0" applyFont="1" applyBorder="1" applyAlignment="1">
      <alignment wrapText="1"/>
    </xf>
    <xf numFmtId="0" fontId="18" fillId="4" borderId="5" xfId="0" applyFont="1" applyFill="1" applyBorder="1" applyAlignment="1">
      <alignment horizontal="center"/>
    </xf>
    <xf numFmtId="0" fontId="1" fillId="33" borderId="8"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A8D08D"/>
      <rgbColor rgb="FFEEF4FB"/>
      <rgbColor rgb="FFFFFF00"/>
      <rgbColor rgb="FFFFC7CE"/>
      <rgbColor rgb="FFB5E5E8"/>
      <rgbColor rgb="FFECECEC"/>
      <rgbColor rgb="FFDADADA"/>
      <rgbColor rgb="FF211508"/>
      <rgbColor rgb="FF70AD47"/>
      <rgbColor rgb="FFFBE4D5"/>
      <rgbColor rgb="FFCCCCCC"/>
      <rgbColor rgb="FFBBBBBB"/>
      <rgbColor rgb="FF79724C"/>
      <rgbColor rgb="FF619BD5"/>
      <rgbColor rgb="FFF1393A"/>
      <rgbColor rgb="FFFFF2CC"/>
      <rgbColor rgb="FFDAF2F4"/>
      <rgbColor rgb="FFE2EFD9"/>
      <rgbColor rgb="FFED7D31"/>
      <rgbColor rgb="FF1155CC"/>
      <rgbColor rgb="FFC9DAF8"/>
      <rgbColor rgb="FFFFF8E9"/>
      <rgbColor rgb="FFF4CCCC"/>
      <rgbColor rgb="FFFBBC04"/>
      <rgbColor rgb="FFB6DDEC"/>
      <rgbColor rgb="FFFCE5CD"/>
      <rgbColor rgb="FFFEF2CB"/>
      <rgbColor rgb="FFC5E0B3"/>
      <rgbColor rgb="FFF3F5F3"/>
      <rgbColor rgb="FF00B0F0"/>
      <rgbColor rgb="FFDEEAF6"/>
      <rgbColor rgb="FFC6EFCE"/>
      <rgbColor rgb="FFFFEB9C"/>
      <rgbColor rgb="FFA0C2E6"/>
      <rgbColor rgb="FFEA9999"/>
      <rgbColor rgb="FFB3B3B3"/>
      <rgbColor rgb="FFF8CBAD"/>
      <rgbColor rgb="FF4472C4"/>
      <rgbColor rgb="FF46BDC6"/>
      <rgbColor rgb="FF92D050"/>
      <rgbColor rgb="FFFFC000"/>
      <rgbColor rgb="FFFF9900"/>
      <rgbColor rgb="FFFF6D01"/>
      <rgbColor rgb="FF4285F4"/>
      <rgbColor rgb="FFA5A5A5"/>
      <rgbColor rgb="FF0F333F"/>
      <rgbColor rgb="FF34A853"/>
      <rgbColor rgb="FF0D1319"/>
      <rgbColor rgb="FF573816"/>
      <rgbColor rgb="FFFABC73"/>
      <rgbColor rgb="FFF4B07C"/>
      <rgbColor rgb="FFD9E2F3"/>
      <rgbColor rgb="FF4237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Evolución de la participación en el mercado</a:t>
            </a:r>
          </a:p>
        </c:rich>
      </c:tx>
      <c:overlay val="0"/>
    </c:title>
    <c:autoTitleDeleted val="0"/>
    <c:plotArea>
      <c:layout>
        <c:manualLayout>
          <c:layoutTarget val="inner"/>
          <c:xMode val="edge"/>
          <c:yMode val="edge"/>
          <c:x val="0.1575443122801139"/>
          <c:y val="0.13800000000000001"/>
          <c:w val="0.80841313452839669"/>
          <c:h val="0.71608346456692917"/>
        </c:manualLayout>
      </c:layout>
      <c:barChart>
        <c:barDir val="col"/>
        <c:grouping val="clustered"/>
        <c:varyColors val="1"/>
        <c:ser>
          <c:idx val="0"/>
          <c:order val="0"/>
          <c:tx>
            <c:v>2026</c:v>
          </c:tx>
          <c:spPr>
            <a:solidFill>
              <a:srgbClr val="4472C4"/>
            </a:solidFill>
            <a:ln cmpd="sng">
              <a:solidFill>
                <a:srgbClr val="000000"/>
              </a:solidFill>
              <a:prstDash val="solid"/>
            </a:ln>
          </c:spPr>
          <c:invertIfNegative val="1"/>
          <c:cat>
            <c:strRef>
              <c:f>Hipótesis!$D$23</c:f>
              <c:strCache>
                <c:ptCount val="1"/>
                <c:pt idx="0">
                  <c:v>Valor del mercado captado (USD)</c:v>
                </c:pt>
              </c:strCache>
            </c:strRef>
          </c:cat>
          <c:val>
            <c:numRef>
              <c:f>Hipótesis!$D$24</c:f>
              <c:numCache>
                <c:formatCode>_-"$ "* #,##0.00_-;"-$ "* #,##0.00_-;_-"$ "* \-??_-;_-@</c:formatCode>
                <c:ptCount val="1"/>
                <c:pt idx="0">
                  <c:v>107520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431-4E01-9F17-5C4F51BB9C4A}"/>
            </c:ext>
          </c:extLst>
        </c:ser>
        <c:ser>
          <c:idx val="1"/>
          <c:order val="1"/>
          <c:tx>
            <c:v>2027</c:v>
          </c:tx>
          <c:spPr>
            <a:solidFill>
              <a:srgbClr val="ED7D31"/>
            </a:solidFill>
            <a:ln cmpd="sng">
              <a:solidFill>
                <a:srgbClr val="000000"/>
              </a:solidFill>
              <a:prstDash val="solid"/>
            </a:ln>
          </c:spPr>
          <c:invertIfNegative val="1"/>
          <c:cat>
            <c:strRef>
              <c:f>Hipótesis!$D$23</c:f>
              <c:strCache>
                <c:ptCount val="1"/>
                <c:pt idx="0">
                  <c:v>Valor del mercado captado (USD)</c:v>
                </c:pt>
              </c:strCache>
            </c:strRef>
          </c:cat>
          <c:val>
            <c:numRef>
              <c:f>Hipótesis!$D$25</c:f>
              <c:numCache>
                <c:formatCode>_-"$ "* #,##0.00_-;"-$ "* #,##0.00_-;_-"$ "* \-??_-;_-@</c:formatCode>
                <c:ptCount val="1"/>
                <c:pt idx="0">
                  <c:v>389760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3431-4E01-9F17-5C4F51BB9C4A}"/>
            </c:ext>
          </c:extLst>
        </c:ser>
        <c:ser>
          <c:idx val="2"/>
          <c:order val="2"/>
          <c:tx>
            <c:v>2028</c:v>
          </c:tx>
          <c:spPr>
            <a:solidFill>
              <a:srgbClr val="A5A5A5"/>
            </a:solidFill>
            <a:ln cmpd="sng">
              <a:solidFill>
                <a:srgbClr val="000000"/>
              </a:solidFill>
              <a:prstDash val="solid"/>
            </a:ln>
          </c:spPr>
          <c:invertIfNegative val="1"/>
          <c:cat>
            <c:strRef>
              <c:f>Hipótesis!$D$23</c:f>
              <c:strCache>
                <c:ptCount val="1"/>
                <c:pt idx="0">
                  <c:v>Valor del mercado captado (USD)</c:v>
                </c:pt>
              </c:strCache>
            </c:strRef>
          </c:cat>
          <c:val>
            <c:numRef>
              <c:f>Hipótesis!$D$26</c:f>
              <c:numCache>
                <c:formatCode>_-"$ "* #,##0.00_-;"-$ "* #,##0.00_-;_-"$ "* \-??_-;_-@</c:formatCode>
                <c:ptCount val="1"/>
                <c:pt idx="0">
                  <c:v>698880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3431-4E01-9F17-5C4F51BB9C4A}"/>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numFmt formatCode="General" sourceLinked="1"/>
        <c:majorTickMark val="none"/>
        <c:minorTickMark val="none"/>
        <c:tickLblPos val="nextTo"/>
        <c:crossAx val="1709429040"/>
        <c:crosses val="autoZero"/>
        <c:auto val="1"/>
        <c:lblAlgn val="ctr"/>
        <c:lblOffset val="100"/>
        <c:noMultiLvlLbl val="1"/>
      </c:catAx>
      <c:valAx>
        <c:axId val="1709429040"/>
        <c:scaling>
          <c:orientation val="minMax"/>
        </c:scaling>
        <c:delete val="0"/>
        <c:axPos val="l"/>
        <c:majorGridlines>
          <c:spPr>
            <a:ln>
              <a:solidFill>
                <a:srgbClr val="B7B7B7"/>
              </a:solidFill>
              <a:prstDash val="solid"/>
            </a:ln>
          </c:spPr>
        </c:majorGridlines>
        <c:numFmt formatCode="_-&quot;$ &quot;* #,##0.00_-;&quot;-$ &quot;* #,##0.00_-;_-&quot;$ &quot;* \-??_-;_-@" sourceLinked="1"/>
        <c:majorTickMark val="none"/>
        <c:minorTickMark val="none"/>
        <c:tickLblPos val="nextTo"/>
        <c:spPr>
          <a:ln>
            <a:prstDash val="solid"/>
          </a:ln>
        </c:spPr>
        <c:crossAx val="170943883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manualLayout>
          <c:xMode val="edge"/>
          <c:yMode val="edge"/>
          <c:x val="0.1007234739119099"/>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ventas'!$F$32</c:f>
              <c:numCache>
                <c:formatCode>_-"$ "* #,##0.00_-;"-$ "* #,##0.00_-;_-"$ "* \-??_-;_-@</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1B-41EF-B5CE-83AA97CAC13C}"/>
            </c:ext>
          </c:extLst>
        </c:ser>
        <c:ser>
          <c:idx val="1"/>
          <c:order val="1"/>
          <c:tx>
            <c:v>Febrero</c:v>
          </c:tx>
          <c:spPr>
            <a:solidFill>
              <a:srgbClr val="ED7D31"/>
            </a:solidFill>
            <a:ln cmpd="sng">
              <a:solidFill>
                <a:srgbClr val="000000"/>
              </a:solidFill>
              <a:prstDash val="solid"/>
            </a:ln>
          </c:spPr>
          <c:invertIfNegative val="1"/>
          <c:val>
            <c:numRef>
              <c:f>'Proy. ventas'!$H$32</c:f>
              <c:numCache>
                <c:formatCode>_-"$ "* #,##0.00_-;"-$ "* #,##0.00_-;_-"$ "* \-??_-;_-@</c:formatCode>
                <c:ptCount val="1"/>
                <c:pt idx="0">
                  <c:v>443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E1B-41EF-B5CE-83AA97CAC13C}"/>
            </c:ext>
          </c:extLst>
        </c:ser>
        <c:ser>
          <c:idx val="2"/>
          <c:order val="2"/>
          <c:tx>
            <c:v>Marzo</c:v>
          </c:tx>
          <c:spPr>
            <a:solidFill>
              <a:srgbClr val="A5A5A5"/>
            </a:solidFill>
            <a:ln cmpd="sng">
              <a:solidFill>
                <a:srgbClr val="000000"/>
              </a:solidFill>
              <a:prstDash val="solid"/>
            </a:ln>
          </c:spPr>
          <c:invertIfNegative val="1"/>
          <c:val>
            <c:numRef>
              <c:f>'Proy. ventas'!$J$32</c:f>
              <c:numCache>
                <c:formatCode>_-"$ "* #,##0.00_-;"-$ "* #,##0.00_-;_-"$ "* \-??_-;_-@</c:formatCode>
                <c:ptCount val="1"/>
                <c:pt idx="0">
                  <c:v>791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E1B-41EF-B5CE-83AA97CAC13C}"/>
            </c:ext>
          </c:extLst>
        </c:ser>
        <c:ser>
          <c:idx val="3"/>
          <c:order val="3"/>
          <c:tx>
            <c:v>Abril</c:v>
          </c:tx>
          <c:spPr>
            <a:solidFill>
              <a:srgbClr val="FFC000"/>
            </a:solidFill>
            <a:ln cmpd="sng">
              <a:solidFill>
                <a:srgbClr val="000000"/>
              </a:solidFill>
              <a:prstDash val="solid"/>
            </a:ln>
          </c:spPr>
          <c:invertIfNegative val="1"/>
          <c:val>
            <c:numRef>
              <c:f>'Proy. ventas'!$L$32</c:f>
              <c:numCache>
                <c:formatCode>_-"$ "* #,##0.00_-;"-$ "* #,##0.00_-;_-"$ "* \-??_-;_-@</c:formatCode>
                <c:ptCount val="1"/>
                <c:pt idx="0">
                  <c:v>2087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BE1B-41EF-B5CE-83AA97CAC13C}"/>
            </c:ext>
          </c:extLst>
        </c:ser>
        <c:ser>
          <c:idx val="4"/>
          <c:order val="4"/>
          <c:tx>
            <c:v>Mayo</c:v>
          </c:tx>
          <c:spPr>
            <a:solidFill>
              <a:srgbClr val="5B9BD5"/>
            </a:solidFill>
            <a:ln cmpd="sng">
              <a:solidFill>
                <a:srgbClr val="000000"/>
              </a:solidFill>
              <a:prstDash val="solid"/>
            </a:ln>
          </c:spPr>
          <c:invertIfNegative val="1"/>
          <c:val>
            <c:numRef>
              <c:f>'Proy. ventas'!$N$32</c:f>
              <c:numCache>
                <c:formatCode>_-"$ "* #,##0.00_-;"-$ "* #,##0.00_-;_-"$ "* \-??_-;_-@</c:formatCode>
                <c:ptCount val="1"/>
                <c:pt idx="0">
                  <c:v>3539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BE1B-41EF-B5CE-83AA97CAC13C}"/>
            </c:ext>
          </c:extLst>
        </c:ser>
        <c:ser>
          <c:idx val="5"/>
          <c:order val="5"/>
          <c:tx>
            <c:v>Junio</c:v>
          </c:tx>
          <c:spPr>
            <a:solidFill>
              <a:srgbClr val="70AD47"/>
            </a:solidFill>
            <a:ln cmpd="sng">
              <a:solidFill>
                <a:srgbClr val="000000"/>
              </a:solidFill>
              <a:prstDash val="solid"/>
            </a:ln>
          </c:spPr>
          <c:invertIfNegative val="1"/>
          <c:val>
            <c:numRef>
              <c:f>'Proy. ventas'!$P$32</c:f>
              <c:numCache>
                <c:formatCode>_-"$ "* #,##0.00_-;"-$ "* #,##0.00_-;_-"$ "* \-??_-;_-@</c:formatCode>
                <c:ptCount val="1"/>
                <c:pt idx="0">
                  <c:v>5684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BE1B-41EF-B5CE-83AA97CAC13C}"/>
            </c:ext>
          </c:extLst>
        </c:ser>
        <c:ser>
          <c:idx val="6"/>
          <c:order val="6"/>
          <c:tx>
            <c:v>Julio</c:v>
          </c:tx>
          <c:spPr>
            <a:solidFill>
              <a:srgbClr val="4472C4"/>
            </a:solidFill>
            <a:ln cmpd="sng">
              <a:solidFill>
                <a:srgbClr val="000000"/>
              </a:solidFill>
              <a:prstDash val="solid"/>
            </a:ln>
          </c:spPr>
          <c:invertIfNegative val="1"/>
          <c:val>
            <c:numRef>
              <c:f>'Proy. ventas'!$R$32</c:f>
              <c:numCache>
                <c:formatCode>_-"$ "* #,##0.00_-;"-$ "* #,##0.00_-;_-"$ "* \-??_-;_-@</c:formatCode>
                <c:ptCount val="1"/>
                <c:pt idx="0">
                  <c:v>7680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BE1B-41EF-B5CE-83AA97CAC13C}"/>
            </c:ext>
          </c:extLst>
        </c:ser>
        <c:ser>
          <c:idx val="7"/>
          <c:order val="7"/>
          <c:tx>
            <c:v>Agosto</c:v>
          </c:tx>
          <c:spPr>
            <a:solidFill>
              <a:srgbClr val="ED7D31"/>
            </a:solidFill>
            <a:ln cmpd="sng">
              <a:solidFill>
                <a:srgbClr val="000000"/>
              </a:solidFill>
              <a:prstDash val="solid"/>
            </a:ln>
          </c:spPr>
          <c:invertIfNegative val="1"/>
          <c:val>
            <c:numRef>
              <c:f>'Proy. ventas'!$T$32</c:f>
              <c:numCache>
                <c:formatCode>_-"$ "* #,##0.00_-;"-$ "* #,##0.00_-;_-"$ "* \-??_-;_-@</c:formatCode>
                <c:ptCount val="1"/>
                <c:pt idx="0">
                  <c:v>10674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BE1B-41EF-B5CE-83AA97CAC13C}"/>
            </c:ext>
          </c:extLst>
        </c:ser>
        <c:ser>
          <c:idx val="8"/>
          <c:order val="8"/>
          <c:tx>
            <c:v>Septiembre</c:v>
          </c:tx>
          <c:spPr>
            <a:solidFill>
              <a:srgbClr val="A5A5A5"/>
            </a:solidFill>
            <a:ln cmpd="sng">
              <a:solidFill>
                <a:srgbClr val="000000"/>
              </a:solidFill>
              <a:prstDash val="solid"/>
            </a:ln>
          </c:spPr>
          <c:invertIfNegative val="1"/>
          <c:val>
            <c:numRef>
              <c:f>'Proy. ventas'!$V$32</c:f>
              <c:numCache>
                <c:formatCode>_-"$ "* #,##0.00_-;"-$ "* #,##0.00_-;_-"$ "* \-??_-;_-@</c:formatCode>
                <c:ptCount val="1"/>
                <c:pt idx="0">
                  <c:v>13141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BE1B-41EF-B5CE-83AA97CAC13C}"/>
            </c:ext>
          </c:extLst>
        </c:ser>
        <c:ser>
          <c:idx val="9"/>
          <c:order val="9"/>
          <c:tx>
            <c:v>Octubre</c:v>
          </c:tx>
          <c:spPr>
            <a:solidFill>
              <a:srgbClr val="FFC000"/>
            </a:solidFill>
            <a:ln cmpd="sng">
              <a:solidFill>
                <a:srgbClr val="000000"/>
              </a:solidFill>
              <a:prstDash val="solid"/>
            </a:ln>
          </c:spPr>
          <c:invertIfNegative val="1"/>
          <c:val>
            <c:numRef>
              <c:f>'Proy. ventas'!$X$32</c:f>
              <c:numCache>
                <c:formatCode>_-"$ "* #,##0.00_-;"-$ "* #,##0.00_-;_-"$ "* \-??_-;_-@</c:formatCode>
                <c:ptCount val="1"/>
                <c:pt idx="0">
                  <c:v>17024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BE1B-41EF-B5CE-83AA97CAC13C}"/>
            </c:ext>
          </c:extLst>
        </c:ser>
        <c:ser>
          <c:idx val="10"/>
          <c:order val="10"/>
          <c:tx>
            <c:v>Noviembre</c:v>
          </c:tx>
          <c:spPr>
            <a:solidFill>
              <a:srgbClr val="5B9BD5"/>
            </a:solidFill>
            <a:ln cmpd="sng">
              <a:solidFill>
                <a:srgbClr val="000000"/>
              </a:solidFill>
              <a:prstDash val="solid"/>
            </a:ln>
          </c:spPr>
          <c:invertIfNegative val="1"/>
          <c:val>
            <c:numRef>
              <c:f>'Proy. ventas'!$Z$32</c:f>
              <c:numCache>
                <c:formatCode>_-"$ "* #,##0.00_-;"-$ "* #,##0.00_-;_-"$ "* \-??_-;_-@</c:formatCode>
                <c:ptCount val="1"/>
                <c:pt idx="0">
                  <c:v>20035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BE1B-41EF-B5CE-83AA97CAC13C}"/>
            </c:ext>
          </c:extLst>
        </c:ser>
        <c:ser>
          <c:idx val="11"/>
          <c:order val="11"/>
          <c:tx>
            <c:v>Diciembre</c:v>
          </c:tx>
          <c:spPr>
            <a:solidFill>
              <a:srgbClr val="70AD47"/>
            </a:solidFill>
            <a:ln cmpd="sng">
              <a:solidFill>
                <a:srgbClr val="000000"/>
              </a:solidFill>
              <a:prstDash val="solid"/>
            </a:ln>
          </c:spPr>
          <c:invertIfNegative val="1"/>
          <c:val>
            <c:numRef>
              <c:f>'Proy. ventas'!$AB$32</c:f>
              <c:numCache>
                <c:formatCode>_-"$ "* #,##0.00_-;"-$ "* #,##0.00_-;_-"$ "* \-??_-;_-@</c:formatCode>
                <c:ptCount val="1"/>
                <c:pt idx="0">
                  <c:v>24767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BE1B-41EF-B5CE-83AA97CAC13C}"/>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 &quot;* #,##0.00_-;&quot;-$ &quot;* #,##0.00_-;_-&quot;$ &quot;* \-??_-;_-@" sourceLinked="1"/>
        <c:majorTickMark val="none"/>
        <c:minorTickMark val="none"/>
        <c:tickLblPos val="nextTo"/>
        <c:spPr>
          <a:ln>
            <a:prstDash val="solid"/>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ventas'!$F$95</c:f>
              <c:numCache>
                <c:formatCode>_-"$ "* #,##0.00_-;"-$ "* #,##0.00_-;_-"$ "* \-??_-;_-@</c:formatCode>
                <c:ptCount val="1"/>
                <c:pt idx="0">
                  <c:v>22275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64-46E6-8350-442B308FB4A8}"/>
            </c:ext>
          </c:extLst>
        </c:ser>
        <c:ser>
          <c:idx val="1"/>
          <c:order val="1"/>
          <c:tx>
            <c:v>Febrero</c:v>
          </c:tx>
          <c:spPr>
            <a:solidFill>
              <a:srgbClr val="ED7D31"/>
            </a:solidFill>
            <a:ln cmpd="sng">
              <a:solidFill>
                <a:srgbClr val="000000"/>
              </a:solidFill>
              <a:prstDash val="solid"/>
            </a:ln>
          </c:spPr>
          <c:invertIfNegative val="1"/>
          <c:val>
            <c:numRef>
              <c:f>'Proy. ventas'!$H$95</c:f>
              <c:numCache>
                <c:formatCode>_-"$ "* #,##0.00_-;"-$ "* #,##0.00_-;_-"$ "* \-??_-;_-@</c:formatCode>
                <c:ptCount val="1"/>
                <c:pt idx="0">
                  <c:v>23733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C764-46E6-8350-442B308FB4A8}"/>
            </c:ext>
          </c:extLst>
        </c:ser>
        <c:ser>
          <c:idx val="2"/>
          <c:order val="2"/>
          <c:tx>
            <c:v>Marzo</c:v>
          </c:tx>
          <c:spPr>
            <a:solidFill>
              <a:srgbClr val="A5A5A5"/>
            </a:solidFill>
            <a:ln cmpd="sng">
              <a:solidFill>
                <a:srgbClr val="000000"/>
              </a:solidFill>
              <a:prstDash val="solid"/>
            </a:ln>
          </c:spPr>
          <c:invertIfNegative val="1"/>
          <c:val>
            <c:numRef>
              <c:f>'Proy. ventas'!$J$95</c:f>
              <c:numCache>
                <c:formatCode>_-"$ "* #,##0.00_-;"-$ "* #,##0.00_-;_-"$ "* \-??_-;_-@</c:formatCode>
                <c:ptCount val="1"/>
                <c:pt idx="0">
                  <c:v>25634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C764-46E6-8350-442B308FB4A8}"/>
            </c:ext>
          </c:extLst>
        </c:ser>
        <c:ser>
          <c:idx val="3"/>
          <c:order val="3"/>
          <c:tx>
            <c:v>Abril</c:v>
          </c:tx>
          <c:spPr>
            <a:solidFill>
              <a:srgbClr val="FFC000"/>
            </a:solidFill>
            <a:ln cmpd="sng">
              <a:solidFill>
                <a:srgbClr val="000000"/>
              </a:solidFill>
              <a:prstDash val="solid"/>
            </a:ln>
          </c:spPr>
          <c:invertIfNegative val="1"/>
          <c:val>
            <c:numRef>
              <c:f>'Proy. ventas'!$L$95</c:f>
              <c:numCache>
                <c:formatCode>_-"$ "* #,##0.00_-;"-$ "* #,##0.00_-;_-"$ "* \-??_-;_-@</c:formatCode>
                <c:ptCount val="1"/>
                <c:pt idx="0">
                  <c:v>27255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C764-46E6-8350-442B308FB4A8}"/>
            </c:ext>
          </c:extLst>
        </c:ser>
        <c:ser>
          <c:idx val="4"/>
          <c:order val="4"/>
          <c:tx>
            <c:v>Mayo</c:v>
          </c:tx>
          <c:spPr>
            <a:solidFill>
              <a:srgbClr val="5B9BD5"/>
            </a:solidFill>
            <a:ln cmpd="sng">
              <a:solidFill>
                <a:srgbClr val="000000"/>
              </a:solidFill>
              <a:prstDash val="solid"/>
            </a:ln>
          </c:spPr>
          <c:invertIfNegative val="1"/>
          <c:val>
            <c:numRef>
              <c:f>'Proy. ventas'!$N$95</c:f>
              <c:numCache>
                <c:formatCode>_-"$ "* #,##0.00_-;"-$ "* #,##0.00_-;_-"$ "* \-??_-;_-@</c:formatCode>
                <c:ptCount val="1"/>
                <c:pt idx="0">
                  <c:v>29061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C764-46E6-8350-442B308FB4A8}"/>
            </c:ext>
          </c:extLst>
        </c:ser>
        <c:ser>
          <c:idx val="5"/>
          <c:order val="5"/>
          <c:tx>
            <c:v>Junio</c:v>
          </c:tx>
          <c:spPr>
            <a:solidFill>
              <a:srgbClr val="70AD47"/>
            </a:solidFill>
            <a:ln cmpd="sng">
              <a:solidFill>
                <a:srgbClr val="000000"/>
              </a:solidFill>
              <a:prstDash val="solid"/>
            </a:ln>
          </c:spPr>
          <c:invertIfNegative val="1"/>
          <c:val>
            <c:numRef>
              <c:f>'Proy. ventas'!$P$95</c:f>
              <c:numCache>
                <c:formatCode>_-"$ "* #,##0.00_-;"-$ "* #,##0.00_-;_-"$ "* \-??_-;_-@</c:formatCode>
                <c:ptCount val="1"/>
                <c:pt idx="0">
                  <c:v>30747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C764-46E6-8350-442B308FB4A8}"/>
            </c:ext>
          </c:extLst>
        </c:ser>
        <c:ser>
          <c:idx val="6"/>
          <c:order val="6"/>
          <c:tx>
            <c:v>Julio</c:v>
          </c:tx>
          <c:spPr>
            <a:solidFill>
              <a:srgbClr val="4472C4"/>
            </a:solidFill>
            <a:ln cmpd="sng">
              <a:solidFill>
                <a:srgbClr val="000000"/>
              </a:solidFill>
              <a:prstDash val="solid"/>
            </a:ln>
          </c:spPr>
          <c:invertIfNegative val="1"/>
          <c:val>
            <c:numRef>
              <c:f>'Proy. ventas'!$R$95</c:f>
              <c:numCache>
                <c:formatCode>_-"$ "* #,##0.00_-;"-$ "* #,##0.00_-;_-"$ "* \-??_-;_-@</c:formatCode>
                <c:ptCount val="1"/>
                <c:pt idx="0">
                  <c:v>32618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C764-46E6-8350-442B308FB4A8}"/>
            </c:ext>
          </c:extLst>
        </c:ser>
        <c:ser>
          <c:idx val="7"/>
          <c:order val="7"/>
          <c:tx>
            <c:v>Agosto</c:v>
          </c:tx>
          <c:spPr>
            <a:solidFill>
              <a:srgbClr val="ED7D31"/>
            </a:solidFill>
            <a:ln cmpd="sng">
              <a:solidFill>
                <a:srgbClr val="000000"/>
              </a:solidFill>
              <a:prstDash val="solid"/>
            </a:ln>
          </c:spPr>
          <c:invertIfNegative val="1"/>
          <c:val>
            <c:numRef>
              <c:f>'Proy. ventas'!$T$95</c:f>
              <c:numCache>
                <c:formatCode>_-"$ "* #,##0.00_-;"-$ "* #,##0.00_-;_-"$ "* \-??_-;_-@</c:formatCode>
                <c:ptCount val="1"/>
                <c:pt idx="0">
                  <c:v>34369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C764-46E6-8350-442B308FB4A8}"/>
            </c:ext>
          </c:extLst>
        </c:ser>
        <c:ser>
          <c:idx val="8"/>
          <c:order val="8"/>
          <c:tx>
            <c:v>Septiembre</c:v>
          </c:tx>
          <c:spPr>
            <a:solidFill>
              <a:srgbClr val="A5A5A5"/>
            </a:solidFill>
            <a:ln cmpd="sng">
              <a:solidFill>
                <a:srgbClr val="000000"/>
              </a:solidFill>
              <a:prstDash val="solid"/>
            </a:ln>
          </c:spPr>
          <c:invertIfNegative val="1"/>
          <c:val>
            <c:numRef>
              <c:f>'Proy. ventas'!$V$95</c:f>
              <c:numCache>
                <c:formatCode>_-"$ "* #,##0.00_-;"-$ "* #,##0.00_-;_-"$ "* \-??_-;_-@</c:formatCode>
                <c:ptCount val="1"/>
                <c:pt idx="0">
                  <c:v>37003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C764-46E6-8350-442B308FB4A8}"/>
            </c:ext>
          </c:extLst>
        </c:ser>
        <c:ser>
          <c:idx val="9"/>
          <c:order val="9"/>
          <c:tx>
            <c:v>Octubre</c:v>
          </c:tx>
          <c:spPr>
            <a:solidFill>
              <a:srgbClr val="FFC000"/>
            </a:solidFill>
            <a:ln cmpd="sng">
              <a:solidFill>
                <a:srgbClr val="000000"/>
              </a:solidFill>
              <a:prstDash val="solid"/>
            </a:ln>
          </c:spPr>
          <c:invertIfNegative val="1"/>
          <c:val>
            <c:numRef>
              <c:f>'Proy. ventas'!$X$95</c:f>
              <c:numCache>
                <c:formatCode>_-"$ "* #,##0.00_-;"-$ "* #,##0.00_-;_-"$ "* \-??_-;_-@</c:formatCode>
                <c:ptCount val="1"/>
                <c:pt idx="0">
                  <c:v>39027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C764-46E6-8350-442B308FB4A8}"/>
            </c:ext>
          </c:extLst>
        </c:ser>
        <c:ser>
          <c:idx val="10"/>
          <c:order val="10"/>
          <c:tx>
            <c:v>Noviembre</c:v>
          </c:tx>
          <c:spPr>
            <a:solidFill>
              <a:srgbClr val="5B9BD5"/>
            </a:solidFill>
            <a:ln cmpd="sng">
              <a:solidFill>
                <a:srgbClr val="000000"/>
              </a:solidFill>
              <a:prstDash val="solid"/>
            </a:ln>
          </c:spPr>
          <c:invertIfNegative val="1"/>
          <c:val>
            <c:numRef>
              <c:f>'Proy. ventas'!$Z$95</c:f>
              <c:numCache>
                <c:formatCode>_-"$ "* #,##0.00_-;"-$ "* #,##0.00_-;_-"$ "* \-??_-;_-@</c:formatCode>
                <c:ptCount val="1"/>
                <c:pt idx="0">
                  <c:v>41494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C764-46E6-8350-442B308FB4A8}"/>
            </c:ext>
          </c:extLst>
        </c:ser>
        <c:ser>
          <c:idx val="11"/>
          <c:order val="11"/>
          <c:tx>
            <c:v>Diciembre</c:v>
          </c:tx>
          <c:spPr>
            <a:solidFill>
              <a:srgbClr val="70AD47"/>
            </a:solidFill>
            <a:ln cmpd="sng">
              <a:solidFill>
                <a:srgbClr val="000000"/>
              </a:solidFill>
              <a:prstDash val="solid"/>
            </a:ln>
          </c:spPr>
          <c:invertIfNegative val="1"/>
          <c:val>
            <c:numRef>
              <c:f>'Proy. ventas'!$AB$95</c:f>
              <c:numCache>
                <c:formatCode>_-"$ "* #,##0.00_-;"-$ "* #,##0.00_-;_-"$ "* \-??_-;_-@</c:formatCode>
                <c:ptCount val="1"/>
                <c:pt idx="0">
                  <c:v>43681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C764-46E6-8350-442B308FB4A8}"/>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 &quot;* #,##0.00_-;&quot;-$ &quot;* #,##0.00_-;_-&quot;$ &quot;* \-??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ventas'!$F$157</c:f>
              <c:numCache>
                <c:formatCode>_-"$ "* #,##0.00_-;"-$ "* #,##0.00_-;_-"$ "* \-??_-;_-@</c:formatCode>
                <c:ptCount val="1"/>
                <c:pt idx="0">
                  <c:v>45425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A30-4720-9767-185AC4CDDD3A}"/>
            </c:ext>
          </c:extLst>
        </c:ser>
        <c:ser>
          <c:idx val="1"/>
          <c:order val="1"/>
          <c:tx>
            <c:v>Febrero</c:v>
          </c:tx>
          <c:spPr>
            <a:solidFill>
              <a:srgbClr val="ED7D31"/>
            </a:solidFill>
            <a:ln cmpd="sng">
              <a:solidFill>
                <a:srgbClr val="000000"/>
              </a:solidFill>
              <a:prstDash val="solid"/>
            </a:ln>
          </c:spPr>
          <c:invertIfNegative val="1"/>
          <c:val>
            <c:numRef>
              <c:f>'Proy. ventas'!$H$157</c:f>
              <c:numCache>
                <c:formatCode>_-"$ "* #,##0.00_-;"-$ "* #,##0.00_-;_-"$ "* \-??_-;_-@</c:formatCode>
                <c:ptCount val="1"/>
                <c:pt idx="0">
                  <c:v>47449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AA30-4720-9767-185AC4CDDD3A}"/>
            </c:ext>
          </c:extLst>
        </c:ser>
        <c:ser>
          <c:idx val="2"/>
          <c:order val="2"/>
          <c:tx>
            <c:v>Marzo</c:v>
          </c:tx>
          <c:spPr>
            <a:solidFill>
              <a:srgbClr val="A5A5A5"/>
            </a:solidFill>
            <a:ln cmpd="sng">
              <a:solidFill>
                <a:srgbClr val="000000"/>
              </a:solidFill>
              <a:prstDash val="solid"/>
            </a:ln>
          </c:spPr>
          <c:invertIfNegative val="1"/>
          <c:val>
            <c:numRef>
              <c:f>'Proy. ventas'!$J$157</c:f>
              <c:numCache>
                <c:formatCode>_-"$ "* #,##0.00_-;"-$ "* #,##0.00_-;_-"$ "* \-??_-;_-@</c:formatCode>
                <c:ptCount val="1"/>
                <c:pt idx="0">
                  <c:v>49916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AA30-4720-9767-185AC4CDDD3A}"/>
            </c:ext>
          </c:extLst>
        </c:ser>
        <c:ser>
          <c:idx val="3"/>
          <c:order val="3"/>
          <c:tx>
            <c:v>Abril</c:v>
          </c:tx>
          <c:spPr>
            <a:solidFill>
              <a:srgbClr val="FFC000"/>
            </a:solidFill>
            <a:ln cmpd="sng">
              <a:solidFill>
                <a:srgbClr val="000000"/>
              </a:solidFill>
              <a:prstDash val="solid"/>
            </a:ln>
          </c:spPr>
          <c:invertIfNegative val="1"/>
          <c:val>
            <c:numRef>
              <c:f>'Proy. ventas'!$L$157</c:f>
              <c:numCache>
                <c:formatCode>_-"$ "* #,##0.00_-;"-$ "* #,##0.00_-;_-"$ "* \-??_-;_-@</c:formatCode>
                <c:ptCount val="1"/>
                <c:pt idx="0">
                  <c:v>52103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AA30-4720-9767-185AC4CDDD3A}"/>
            </c:ext>
          </c:extLst>
        </c:ser>
        <c:ser>
          <c:idx val="4"/>
          <c:order val="4"/>
          <c:tx>
            <c:v>Mayo</c:v>
          </c:tx>
          <c:spPr>
            <a:solidFill>
              <a:srgbClr val="5B9BD5"/>
            </a:solidFill>
            <a:ln cmpd="sng">
              <a:solidFill>
                <a:srgbClr val="000000"/>
              </a:solidFill>
              <a:prstDash val="solid"/>
            </a:ln>
          </c:spPr>
          <c:invertIfNegative val="1"/>
          <c:val>
            <c:numRef>
              <c:f>'Proy. ventas'!$N$157</c:f>
              <c:numCache>
                <c:formatCode>_-"$ "* #,##0.00_-;"-$ "* #,##0.00_-;_-"$ "* \-??_-;_-@</c:formatCode>
                <c:ptCount val="1"/>
                <c:pt idx="0">
                  <c:v>54475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AA30-4720-9767-185AC4CDDD3A}"/>
            </c:ext>
          </c:extLst>
        </c:ser>
        <c:ser>
          <c:idx val="5"/>
          <c:order val="5"/>
          <c:tx>
            <c:v>Junio</c:v>
          </c:tx>
          <c:spPr>
            <a:solidFill>
              <a:srgbClr val="70AD47"/>
            </a:solidFill>
            <a:ln cmpd="sng">
              <a:solidFill>
                <a:srgbClr val="000000"/>
              </a:solidFill>
              <a:prstDash val="solid"/>
            </a:ln>
          </c:spPr>
          <c:invertIfNegative val="1"/>
          <c:val>
            <c:numRef>
              <c:f>'Proy. ventas'!$P$157</c:f>
              <c:numCache>
                <c:formatCode>_-"$ "* #,##0.00_-;"-$ "* #,##0.00_-;_-"$ "* \-??_-;_-@</c:formatCode>
                <c:ptCount val="1"/>
                <c:pt idx="0">
                  <c:v>56727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AA30-4720-9767-185AC4CDDD3A}"/>
            </c:ext>
          </c:extLst>
        </c:ser>
        <c:ser>
          <c:idx val="6"/>
          <c:order val="6"/>
          <c:tx>
            <c:v>Julio</c:v>
          </c:tx>
          <c:spPr>
            <a:solidFill>
              <a:srgbClr val="4472C4"/>
            </a:solidFill>
            <a:ln cmpd="sng">
              <a:solidFill>
                <a:srgbClr val="000000"/>
              </a:solidFill>
              <a:prstDash val="solid"/>
            </a:ln>
          </c:spPr>
          <c:invertIfNegative val="1"/>
          <c:val>
            <c:numRef>
              <c:f>'Proy. ventas'!$R$157</c:f>
              <c:numCache>
                <c:formatCode>_-"$ "* #,##0.00_-;"-$ "* #,##0.00_-;_-"$ "* \-??_-;_-@</c:formatCode>
                <c:ptCount val="1"/>
                <c:pt idx="0">
                  <c:v>59422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AA30-4720-9767-185AC4CDDD3A}"/>
            </c:ext>
          </c:extLst>
        </c:ser>
        <c:ser>
          <c:idx val="7"/>
          <c:order val="7"/>
          <c:tx>
            <c:v>Agosto</c:v>
          </c:tx>
          <c:spPr>
            <a:solidFill>
              <a:srgbClr val="ED7D31"/>
            </a:solidFill>
            <a:ln cmpd="sng">
              <a:solidFill>
                <a:srgbClr val="000000"/>
              </a:solidFill>
              <a:prstDash val="solid"/>
            </a:ln>
          </c:spPr>
          <c:invertIfNegative val="1"/>
          <c:val>
            <c:numRef>
              <c:f>'Proy. ventas'!$T$157</c:f>
              <c:numCache>
                <c:formatCode>_-"$ "* #,##0.00_-;"-$ "* #,##0.00_-;_-"$ "* \-??_-;_-@</c:formatCode>
                <c:ptCount val="1"/>
                <c:pt idx="0">
                  <c:v>61837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AA30-4720-9767-185AC4CDDD3A}"/>
            </c:ext>
          </c:extLst>
        </c:ser>
        <c:ser>
          <c:idx val="8"/>
          <c:order val="8"/>
          <c:tx>
            <c:v>Septiembre</c:v>
          </c:tx>
          <c:spPr>
            <a:solidFill>
              <a:srgbClr val="A5A5A5"/>
            </a:solidFill>
            <a:ln cmpd="sng">
              <a:solidFill>
                <a:srgbClr val="000000"/>
              </a:solidFill>
              <a:prstDash val="solid"/>
            </a:ln>
          </c:spPr>
          <c:invertIfNegative val="1"/>
          <c:val>
            <c:numRef>
              <c:f>'Proy. ventas'!$V$157</c:f>
              <c:numCache>
                <c:formatCode>_-"$ "* #,##0.00_-;"-$ "* #,##0.00_-;_-"$ "* \-??_-;_-@</c:formatCode>
                <c:ptCount val="1"/>
                <c:pt idx="0">
                  <c:v>65135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AA30-4720-9767-185AC4CDDD3A}"/>
            </c:ext>
          </c:extLst>
        </c:ser>
        <c:ser>
          <c:idx val="9"/>
          <c:order val="9"/>
          <c:tx>
            <c:v>Octubre</c:v>
          </c:tx>
          <c:spPr>
            <a:solidFill>
              <a:srgbClr val="FFC000"/>
            </a:solidFill>
            <a:ln cmpd="sng">
              <a:solidFill>
                <a:srgbClr val="000000"/>
              </a:solidFill>
              <a:prstDash val="solid"/>
            </a:ln>
          </c:spPr>
          <c:invertIfNegative val="1"/>
          <c:val>
            <c:numRef>
              <c:f>'Proy. ventas'!$X$157</c:f>
              <c:numCache>
                <c:formatCode>_-"$ "* #,##0.00_-;"-$ "* #,##0.00_-;_-"$ "* \-??_-;_-@</c:formatCode>
                <c:ptCount val="1"/>
                <c:pt idx="0">
                  <c:v>67823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AA30-4720-9767-185AC4CDDD3A}"/>
            </c:ext>
          </c:extLst>
        </c:ser>
        <c:ser>
          <c:idx val="10"/>
          <c:order val="10"/>
          <c:tx>
            <c:v>Noviembre</c:v>
          </c:tx>
          <c:spPr>
            <a:solidFill>
              <a:srgbClr val="5B9BD5"/>
            </a:solidFill>
            <a:ln cmpd="sng">
              <a:solidFill>
                <a:srgbClr val="000000"/>
              </a:solidFill>
              <a:prstDash val="solid"/>
            </a:ln>
          </c:spPr>
          <c:invertIfNegative val="1"/>
          <c:val>
            <c:numRef>
              <c:f>'Proy. ventas'!$Z$157</c:f>
              <c:numCache>
                <c:formatCode>_-"$ "* #,##0.00_-;"-$ "* #,##0.00_-;_-"$ "* \-??_-;_-@</c:formatCode>
                <c:ptCount val="1"/>
                <c:pt idx="0">
                  <c:v>71139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AA30-4720-9767-185AC4CDDD3A}"/>
            </c:ext>
          </c:extLst>
        </c:ser>
        <c:ser>
          <c:idx val="11"/>
          <c:order val="11"/>
          <c:tx>
            <c:v>Diciembre</c:v>
          </c:tx>
          <c:spPr>
            <a:solidFill>
              <a:srgbClr val="70AD47"/>
            </a:solidFill>
            <a:ln cmpd="sng">
              <a:solidFill>
                <a:srgbClr val="000000"/>
              </a:solidFill>
              <a:prstDash val="solid"/>
            </a:ln>
          </c:spPr>
          <c:invertIfNegative val="1"/>
          <c:val>
            <c:numRef>
              <c:f>'Proy. ventas'!$AB$157</c:f>
              <c:numCache>
                <c:formatCode>_-"$ "* #,##0.00_-;"-$ "* #,##0.00_-;_-"$ "* \-??_-;_-@</c:formatCode>
                <c:ptCount val="1"/>
                <c:pt idx="0">
                  <c:v>74055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AA30-4720-9767-185AC4CDDD3A}"/>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 &quot;* #,##0.00_-;&quot;-$ &quot;* #,##0.00_-;_-&quot;$ &quot;* \-??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overlay val="0"/>
    </c:title>
    <c:autoTitleDeleted val="0"/>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ventas'!$E$19</c:f>
              <c:numCache>
                <c:formatCode>_-* #,##0\ _€_-;\-* #,##0\ _€_-;_-* \-??\ _€_-;_-@</c:formatCode>
                <c:ptCount val="1"/>
                <c:pt idx="0">
                  <c:v>0</c:v>
                </c:pt>
              </c:numCache>
            </c:numRef>
          </c:val>
          <c:smooth val="0"/>
          <c:extLst>
            <c:ext xmlns:c16="http://schemas.microsoft.com/office/drawing/2014/chart" uri="{C3380CC4-5D6E-409C-BE32-E72D297353CC}">
              <c16:uniqueId val="{00000000-EE08-48BF-98A2-A845265E91FB}"/>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ventas'!$G$19</c:f>
              <c:numCache>
                <c:formatCode>_-* #,##0\ _€_-;\-* #,##0\ _€_-;_-* \-??\ _€_-;_-@</c:formatCode>
                <c:ptCount val="1"/>
                <c:pt idx="0">
                  <c:v>1</c:v>
                </c:pt>
              </c:numCache>
            </c:numRef>
          </c:val>
          <c:smooth val="0"/>
          <c:extLst>
            <c:ext xmlns:c16="http://schemas.microsoft.com/office/drawing/2014/chart" uri="{C3380CC4-5D6E-409C-BE32-E72D297353CC}">
              <c16:uniqueId val="{00000001-EE08-48BF-98A2-A845265E91FB}"/>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ventas'!$I$19</c:f>
              <c:numCache>
                <c:formatCode>_-* #,##0\ _€_-;\-* #,##0\ _€_-;_-* \-??\ _€_-;_-@</c:formatCode>
                <c:ptCount val="1"/>
                <c:pt idx="0">
                  <c:v>1</c:v>
                </c:pt>
              </c:numCache>
            </c:numRef>
          </c:val>
          <c:smooth val="0"/>
          <c:extLst>
            <c:ext xmlns:c16="http://schemas.microsoft.com/office/drawing/2014/chart" uri="{C3380CC4-5D6E-409C-BE32-E72D297353CC}">
              <c16:uniqueId val="{00000002-EE08-48BF-98A2-A845265E91FB}"/>
            </c:ext>
          </c:extLst>
        </c:ser>
        <c:ser>
          <c:idx val="3"/>
          <c:order val="3"/>
          <c:spPr>
            <a:ln cmpd="sng">
              <a:solidFill>
                <a:srgbClr val="FFC000"/>
              </a:solidFill>
              <a:prstDash val="solid"/>
            </a:ln>
          </c:spPr>
          <c:marker>
            <c:symbol val="none"/>
          </c:marker>
          <c:val>
            <c:numRef>
              <c:f>'Proy. ventas'!$K$19</c:f>
              <c:numCache>
                <c:formatCode>_-* #,##0\ _€_-;\-* #,##0\ _€_-;_-* \-??\ _€_-;_-@</c:formatCode>
                <c:ptCount val="1"/>
                <c:pt idx="0">
                  <c:v>2</c:v>
                </c:pt>
              </c:numCache>
            </c:numRef>
          </c:val>
          <c:smooth val="0"/>
          <c:extLst>
            <c:ext xmlns:c16="http://schemas.microsoft.com/office/drawing/2014/chart" uri="{C3380CC4-5D6E-409C-BE32-E72D297353CC}">
              <c16:uniqueId val="{00000003-EE08-48BF-98A2-A845265E91FB}"/>
            </c:ext>
          </c:extLst>
        </c:ser>
        <c:ser>
          <c:idx val="4"/>
          <c:order val="4"/>
          <c:spPr>
            <a:ln cmpd="sng">
              <a:solidFill>
                <a:srgbClr val="5B9BD5"/>
              </a:solidFill>
              <a:prstDash val="solid"/>
            </a:ln>
          </c:spPr>
          <c:marker>
            <c:symbol val="none"/>
          </c:marker>
          <c:val>
            <c:numRef>
              <c:f>'Proy. ventas'!$M$19</c:f>
              <c:numCache>
                <c:formatCode>_-* #,##0\ _€_-;\-* #,##0\ _€_-;_-* \-??\ _€_-;_-@</c:formatCode>
                <c:ptCount val="1"/>
                <c:pt idx="0">
                  <c:v>4</c:v>
                </c:pt>
              </c:numCache>
            </c:numRef>
          </c:val>
          <c:smooth val="0"/>
          <c:extLst>
            <c:ext xmlns:c16="http://schemas.microsoft.com/office/drawing/2014/chart" uri="{C3380CC4-5D6E-409C-BE32-E72D297353CC}">
              <c16:uniqueId val="{00000004-EE08-48BF-98A2-A845265E91FB}"/>
            </c:ext>
          </c:extLst>
        </c:ser>
        <c:ser>
          <c:idx val="5"/>
          <c:order val="5"/>
          <c:spPr>
            <a:ln cmpd="sng">
              <a:solidFill>
                <a:srgbClr val="70AD47"/>
              </a:solidFill>
              <a:prstDash val="solid"/>
            </a:ln>
          </c:spPr>
          <c:marker>
            <c:symbol val="none"/>
          </c:marker>
          <c:val>
            <c:numRef>
              <c:f>'Proy. ventas'!$O$19</c:f>
              <c:numCache>
                <c:formatCode>_-* #,##0\ _€_-;\-* #,##0\ _€_-;_-* \-??\ _€_-;_-@</c:formatCode>
                <c:ptCount val="1"/>
                <c:pt idx="0">
                  <c:v>5</c:v>
                </c:pt>
              </c:numCache>
            </c:numRef>
          </c:val>
          <c:smooth val="0"/>
          <c:extLst>
            <c:ext xmlns:c16="http://schemas.microsoft.com/office/drawing/2014/chart" uri="{C3380CC4-5D6E-409C-BE32-E72D297353CC}">
              <c16:uniqueId val="{00000005-EE08-48BF-98A2-A845265E91FB}"/>
            </c:ext>
          </c:extLst>
        </c:ser>
        <c:ser>
          <c:idx val="6"/>
          <c:order val="6"/>
          <c:spPr>
            <a:ln cmpd="sng">
              <a:solidFill>
                <a:srgbClr val="7C9CD6"/>
              </a:solidFill>
              <a:prstDash val="solid"/>
            </a:ln>
          </c:spPr>
          <c:marker>
            <c:symbol val="none"/>
          </c:marker>
          <c:val>
            <c:numRef>
              <c:f>'Proy. ventas'!$Q$19</c:f>
              <c:numCache>
                <c:formatCode>_-* #,##0\ _€_-;\-* #,##0\ _€_-;_-* \-??\ _€_-;_-@</c:formatCode>
                <c:ptCount val="1"/>
                <c:pt idx="0">
                  <c:v>7</c:v>
                </c:pt>
              </c:numCache>
            </c:numRef>
          </c:val>
          <c:smooth val="0"/>
          <c:extLst>
            <c:ext xmlns:c16="http://schemas.microsoft.com/office/drawing/2014/chart" uri="{C3380CC4-5D6E-409C-BE32-E72D297353CC}">
              <c16:uniqueId val="{00000006-EE08-48BF-98A2-A845265E91FB}"/>
            </c:ext>
          </c:extLst>
        </c:ser>
        <c:ser>
          <c:idx val="7"/>
          <c:order val="7"/>
          <c:spPr>
            <a:ln cmpd="sng">
              <a:solidFill>
                <a:srgbClr val="F2A46F"/>
              </a:solidFill>
              <a:prstDash val="solid"/>
            </a:ln>
          </c:spPr>
          <c:marker>
            <c:symbol val="none"/>
          </c:marker>
          <c:val>
            <c:numRef>
              <c:f>'Proy. ventas'!$S$19</c:f>
              <c:numCache>
                <c:formatCode>_-* #,##0\ _€_-;\-* #,##0\ _€_-;_-* \-??\ _€_-;_-@</c:formatCode>
                <c:ptCount val="1"/>
                <c:pt idx="0">
                  <c:v>8</c:v>
                </c:pt>
              </c:numCache>
            </c:numRef>
          </c:val>
          <c:smooth val="0"/>
          <c:extLst>
            <c:ext xmlns:c16="http://schemas.microsoft.com/office/drawing/2014/chart" uri="{C3380CC4-5D6E-409C-BE32-E72D297353CC}">
              <c16:uniqueId val="{00000007-EE08-48BF-98A2-A845265E91FB}"/>
            </c:ext>
          </c:extLst>
        </c:ser>
        <c:ser>
          <c:idx val="8"/>
          <c:order val="8"/>
          <c:spPr>
            <a:ln cmpd="sng">
              <a:solidFill>
                <a:srgbClr val="C0C0C0"/>
              </a:solidFill>
              <a:prstDash val="solid"/>
            </a:ln>
          </c:spPr>
          <c:marker>
            <c:symbol val="none"/>
          </c:marker>
          <c:val>
            <c:numRef>
              <c:f>'Proy. ventas'!$U$19</c:f>
              <c:numCache>
                <c:formatCode>_-* #,##0\ _€_-;\-* #,##0\ _€_-;_-* \-??\ _€_-;_-@</c:formatCode>
                <c:ptCount val="1"/>
                <c:pt idx="0">
                  <c:v>9</c:v>
                </c:pt>
              </c:numCache>
            </c:numRef>
          </c:val>
          <c:smooth val="0"/>
          <c:extLst>
            <c:ext xmlns:c16="http://schemas.microsoft.com/office/drawing/2014/chart" uri="{C3380CC4-5D6E-409C-BE32-E72D297353CC}">
              <c16:uniqueId val="{00000008-EE08-48BF-98A2-A845265E91FB}"/>
            </c:ext>
          </c:extLst>
        </c:ser>
        <c:ser>
          <c:idx val="9"/>
          <c:order val="9"/>
          <c:spPr>
            <a:ln cmpd="sng">
              <a:solidFill>
                <a:srgbClr val="FFD34D"/>
              </a:solidFill>
              <a:prstDash val="solid"/>
            </a:ln>
          </c:spPr>
          <c:marker>
            <c:symbol val="none"/>
          </c:marker>
          <c:val>
            <c:numRef>
              <c:f>'Proy. ventas'!$W$19</c:f>
              <c:numCache>
                <c:formatCode>_-* #,##0\ _€_-;\-* #,##0\ _€_-;_-* \-??\ _€_-;_-@</c:formatCode>
                <c:ptCount val="1"/>
                <c:pt idx="0">
                  <c:v>11</c:v>
                </c:pt>
              </c:numCache>
            </c:numRef>
          </c:val>
          <c:smooth val="0"/>
          <c:extLst>
            <c:ext xmlns:c16="http://schemas.microsoft.com/office/drawing/2014/chart" uri="{C3380CC4-5D6E-409C-BE32-E72D297353CC}">
              <c16:uniqueId val="{00000009-EE08-48BF-98A2-A845265E91FB}"/>
            </c:ext>
          </c:extLst>
        </c:ser>
        <c:ser>
          <c:idx val="10"/>
          <c:order val="10"/>
          <c:spPr>
            <a:ln cmpd="sng">
              <a:solidFill>
                <a:srgbClr val="8CB9E2"/>
              </a:solidFill>
              <a:prstDash val="solid"/>
            </a:ln>
          </c:spPr>
          <c:marker>
            <c:symbol val="none"/>
          </c:marker>
          <c:val>
            <c:numRef>
              <c:f>'Proy. ventas'!$Y$19</c:f>
              <c:numCache>
                <c:formatCode>_-* #,##0\ _€_-;\-* #,##0\ _€_-;_-* \-??\ _€_-;_-@</c:formatCode>
                <c:ptCount val="1"/>
                <c:pt idx="0">
                  <c:v>12</c:v>
                </c:pt>
              </c:numCache>
            </c:numRef>
          </c:val>
          <c:smooth val="0"/>
          <c:extLst>
            <c:ext xmlns:c16="http://schemas.microsoft.com/office/drawing/2014/chart" uri="{C3380CC4-5D6E-409C-BE32-E72D297353CC}">
              <c16:uniqueId val="{0000000A-EE08-48BF-98A2-A845265E91FB}"/>
            </c:ext>
          </c:extLst>
        </c:ser>
        <c:ser>
          <c:idx val="11"/>
          <c:order val="11"/>
          <c:spPr>
            <a:ln cmpd="sng">
              <a:solidFill>
                <a:srgbClr val="9BC67E"/>
              </a:solidFill>
              <a:prstDash val="solid"/>
            </a:ln>
          </c:spPr>
          <c:marker>
            <c:symbol val="none"/>
          </c:marker>
          <c:val>
            <c:numRef>
              <c:f>'Proy. ventas'!$AA$19</c:f>
              <c:numCache>
                <c:formatCode>_-* #,##0\ _€_-;\-* #,##0\ _€_-;_-* \-??\ _€_-;_-@</c:formatCode>
                <c:ptCount val="1"/>
                <c:pt idx="0">
                  <c:v>14</c:v>
                </c:pt>
              </c:numCache>
            </c:numRef>
          </c:val>
          <c:smooth val="0"/>
          <c:extLst>
            <c:ext xmlns:c16="http://schemas.microsoft.com/office/drawing/2014/chart" uri="{C3380CC4-5D6E-409C-BE32-E72D297353CC}">
              <c16:uniqueId val="{0000000B-EE08-48BF-98A2-A845265E91FB}"/>
            </c:ext>
          </c:extLst>
        </c:ser>
        <c:ser>
          <c:idx val="12"/>
          <c:order val="12"/>
          <c:spPr>
            <a:ln cmpd="sng">
              <a:solidFill>
                <a:srgbClr val="B4C7E7"/>
              </a:solidFill>
              <a:prstDash val="solid"/>
            </a:ln>
          </c:spPr>
          <c:marker>
            <c:symbol val="none"/>
          </c:marker>
          <c:val>
            <c:numRef>
              <c:f>'Proy. ventas'!$E$20</c:f>
              <c:numCache>
                <c:formatCode>_-* #,##0\ _€_-;\-* #,##0\ _€_-;_-* \-??\ _€_-;_-@</c:formatCode>
                <c:ptCount val="1"/>
                <c:pt idx="0">
                  <c:v>0</c:v>
                </c:pt>
              </c:numCache>
            </c:numRef>
          </c:val>
          <c:smooth val="0"/>
          <c:extLst>
            <c:ext xmlns:c16="http://schemas.microsoft.com/office/drawing/2014/chart" uri="{C3380CC4-5D6E-409C-BE32-E72D297353CC}">
              <c16:uniqueId val="{0000000C-EE08-48BF-98A2-A845265E91FB}"/>
            </c:ext>
          </c:extLst>
        </c:ser>
        <c:ser>
          <c:idx val="13"/>
          <c:order val="13"/>
          <c:spPr>
            <a:ln cmpd="sng">
              <a:solidFill>
                <a:srgbClr val="F8CBAD"/>
              </a:solidFill>
              <a:prstDash val="solid"/>
            </a:ln>
          </c:spPr>
          <c:marker>
            <c:symbol val="none"/>
          </c:marker>
          <c:val>
            <c:numRef>
              <c:f>'Proy. ventas'!$G$20</c:f>
              <c:numCache>
                <c:formatCode>_-* #,##0\ _€_-;\-* #,##0\ _€_-;_-* \-??\ _€_-;_-@</c:formatCode>
                <c:ptCount val="1"/>
                <c:pt idx="0">
                  <c:v>2</c:v>
                </c:pt>
              </c:numCache>
            </c:numRef>
          </c:val>
          <c:smooth val="0"/>
          <c:extLst>
            <c:ext xmlns:c16="http://schemas.microsoft.com/office/drawing/2014/chart" uri="{C3380CC4-5D6E-409C-BE32-E72D297353CC}">
              <c16:uniqueId val="{0000000D-EE08-48BF-98A2-A845265E91FB}"/>
            </c:ext>
          </c:extLst>
        </c:ser>
        <c:ser>
          <c:idx val="14"/>
          <c:order val="14"/>
          <c:spPr>
            <a:ln cmpd="sng">
              <a:solidFill>
                <a:srgbClr val="DBDBDB"/>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0E-EE08-48BF-98A2-A845265E91FB}"/>
            </c:ext>
          </c:extLst>
        </c:ser>
        <c:ser>
          <c:idx val="15"/>
          <c:order val="15"/>
          <c:spPr>
            <a:ln cmpd="sng">
              <a:solidFill>
                <a:srgbClr val="FFE699"/>
              </a:solidFill>
              <a:prstDash val="solid"/>
            </a:ln>
          </c:spPr>
          <c:marker>
            <c:symbol val="none"/>
          </c:marker>
          <c:val>
            <c:numRef>
              <c:f>'Proy. ventas'!$I$20</c:f>
              <c:numCache>
                <c:formatCode>_-* #,##0\ _€_-;\-* #,##0\ _€_-;_-* \-??\ _€_-;_-@</c:formatCode>
                <c:ptCount val="1"/>
                <c:pt idx="0">
                  <c:v>3</c:v>
                </c:pt>
              </c:numCache>
            </c:numRef>
          </c:val>
          <c:smooth val="0"/>
          <c:extLst>
            <c:ext xmlns:c16="http://schemas.microsoft.com/office/drawing/2014/chart" uri="{C3380CC4-5D6E-409C-BE32-E72D297353CC}">
              <c16:uniqueId val="{0000000F-EE08-48BF-98A2-A845265E91FB}"/>
            </c:ext>
          </c:extLst>
        </c:ser>
        <c:ser>
          <c:idx val="16"/>
          <c:order val="16"/>
          <c:spPr>
            <a:ln cmpd="sng">
              <a:solidFill>
                <a:srgbClr val="BDD7EE"/>
              </a:solidFill>
              <a:prstDash val="solid"/>
            </a:ln>
          </c:spPr>
          <c:marker>
            <c:symbol val="none"/>
          </c:marker>
          <c:val>
            <c:numRef>
              <c:f>'Proy. ventas'!$K$20</c:f>
              <c:numCache>
                <c:formatCode>_-* #,##0\ _€_-;\-* #,##0\ _€_-;_-* \-??\ _€_-;_-@</c:formatCode>
                <c:ptCount val="1"/>
                <c:pt idx="0">
                  <c:v>5</c:v>
                </c:pt>
              </c:numCache>
            </c:numRef>
          </c:val>
          <c:smooth val="0"/>
          <c:extLst>
            <c:ext xmlns:c16="http://schemas.microsoft.com/office/drawing/2014/chart" uri="{C3380CC4-5D6E-409C-BE32-E72D297353CC}">
              <c16:uniqueId val="{00000010-EE08-48BF-98A2-A845265E91FB}"/>
            </c:ext>
          </c:extLst>
        </c:ser>
        <c:ser>
          <c:idx val="17"/>
          <c:order val="17"/>
          <c:spPr>
            <a:ln cmpd="sng">
              <a:solidFill>
                <a:srgbClr val="C6DEB5"/>
              </a:solidFill>
              <a:prstDash val="solid"/>
            </a:ln>
          </c:spPr>
          <c:marker>
            <c:symbol val="none"/>
          </c:marker>
          <c:val>
            <c:numRef>
              <c:f>'Proy. ventas'!$M$20</c:f>
              <c:numCache>
                <c:formatCode>_-* #,##0\ _€_-;\-* #,##0\ _€_-;_-* \-??\ _€_-;_-@</c:formatCode>
                <c:ptCount val="1"/>
                <c:pt idx="0">
                  <c:v>9</c:v>
                </c:pt>
              </c:numCache>
            </c:numRef>
          </c:val>
          <c:smooth val="0"/>
          <c:extLst>
            <c:ext xmlns:c16="http://schemas.microsoft.com/office/drawing/2014/chart" uri="{C3380CC4-5D6E-409C-BE32-E72D297353CC}">
              <c16:uniqueId val="{00000011-EE08-48BF-98A2-A845265E91FB}"/>
            </c:ext>
          </c:extLst>
        </c:ser>
        <c:ser>
          <c:idx val="18"/>
          <c:order val="18"/>
          <c:spPr>
            <a:ln cmpd="sng">
              <a:solidFill>
                <a:srgbClr val="ECF1F9"/>
              </a:solidFill>
              <a:prstDash val="solid"/>
            </a:ln>
          </c:spPr>
          <c:marker>
            <c:symbol val="none"/>
          </c:marker>
          <c:val>
            <c:numRef>
              <c:f>'Proy. ventas'!$O$20</c:f>
              <c:numCache>
                <c:formatCode>_-* #,##0\ _€_-;\-* #,##0\ _€_-;_-* \-??\ _€_-;_-@</c:formatCode>
                <c:ptCount val="1"/>
                <c:pt idx="0">
                  <c:v>12</c:v>
                </c:pt>
              </c:numCache>
            </c:numRef>
          </c:val>
          <c:smooth val="0"/>
          <c:extLst>
            <c:ext xmlns:c16="http://schemas.microsoft.com/office/drawing/2014/chart" uri="{C3380CC4-5D6E-409C-BE32-E72D297353CC}">
              <c16:uniqueId val="{00000012-EE08-48BF-98A2-A845265E91FB}"/>
            </c:ext>
          </c:extLst>
        </c:ser>
        <c:ser>
          <c:idx val="19"/>
          <c:order val="19"/>
          <c:spPr>
            <a:ln cmpd="sng">
              <a:solidFill>
                <a:srgbClr val="FDF2EA"/>
              </a:solidFill>
              <a:prstDash val="solid"/>
            </a:ln>
          </c:spPr>
          <c:marker>
            <c:symbol val="none"/>
          </c:marker>
          <c:val>
            <c:numRef>
              <c:f>'Proy. ventas'!$Q$20</c:f>
              <c:numCache>
                <c:formatCode>_-* #,##0\ _€_-;\-* #,##0\ _€_-;_-* \-??\ _€_-;_-@</c:formatCode>
                <c:ptCount val="1"/>
                <c:pt idx="0">
                  <c:v>15</c:v>
                </c:pt>
              </c:numCache>
            </c:numRef>
          </c:val>
          <c:smooth val="0"/>
          <c:extLst>
            <c:ext xmlns:c16="http://schemas.microsoft.com/office/drawing/2014/chart" uri="{C3380CC4-5D6E-409C-BE32-E72D297353CC}">
              <c16:uniqueId val="{00000013-EE08-48BF-98A2-A845265E91FB}"/>
            </c:ext>
          </c:extLst>
        </c:ser>
        <c:ser>
          <c:idx val="20"/>
          <c:order val="20"/>
          <c:spPr>
            <a:ln cmpd="sng">
              <a:solidFill>
                <a:srgbClr val="F6F6F6"/>
              </a:solidFill>
              <a:prstDash val="solid"/>
            </a:ln>
          </c:spPr>
          <c:marker>
            <c:symbol val="none"/>
          </c:marker>
          <c:val>
            <c:numRef>
              <c:f>'Proy. ventas'!$S$20</c:f>
              <c:numCache>
                <c:formatCode>_-* #,##0\ _€_-;\-* #,##0\ _€_-;_-* \-??\ _€_-;_-@</c:formatCode>
                <c:ptCount val="1"/>
                <c:pt idx="0">
                  <c:v>19</c:v>
                </c:pt>
              </c:numCache>
            </c:numRef>
          </c:val>
          <c:smooth val="0"/>
          <c:extLst>
            <c:ext xmlns:c16="http://schemas.microsoft.com/office/drawing/2014/chart" uri="{C3380CC4-5D6E-409C-BE32-E72D297353CC}">
              <c16:uniqueId val="{00000014-EE08-48BF-98A2-A845265E91FB}"/>
            </c:ext>
          </c:extLst>
        </c:ser>
        <c:ser>
          <c:idx val="21"/>
          <c:order val="21"/>
          <c:spPr>
            <a:ln cmpd="sng">
              <a:solidFill>
                <a:srgbClr val="FFF9E6"/>
              </a:solidFill>
              <a:prstDash val="solid"/>
            </a:ln>
          </c:spPr>
          <c:marker>
            <c:symbol val="none"/>
          </c:marker>
          <c:val>
            <c:numRef>
              <c:f>'Proy. ventas'!$U$20</c:f>
              <c:numCache>
                <c:formatCode>_-* #,##0\ _€_-;\-* #,##0\ _€_-;_-* \-??\ _€_-;_-@</c:formatCode>
                <c:ptCount val="1"/>
                <c:pt idx="0">
                  <c:v>21</c:v>
                </c:pt>
              </c:numCache>
            </c:numRef>
          </c:val>
          <c:smooth val="0"/>
          <c:extLst>
            <c:ext xmlns:c16="http://schemas.microsoft.com/office/drawing/2014/chart" uri="{C3380CC4-5D6E-409C-BE32-E72D297353CC}">
              <c16:uniqueId val="{00000015-EE08-48BF-98A2-A845265E91FB}"/>
            </c:ext>
          </c:extLst>
        </c:ser>
        <c:ser>
          <c:idx val="22"/>
          <c:order val="22"/>
          <c:spPr>
            <a:ln cmpd="sng">
              <a:solidFill>
                <a:srgbClr val="EFF5FB"/>
              </a:solidFill>
              <a:prstDash val="solid"/>
            </a:ln>
          </c:spPr>
          <c:marker>
            <c:symbol val="none"/>
          </c:marker>
          <c:val>
            <c:numRef>
              <c:f>'Proy. ventas'!$W$20</c:f>
              <c:numCache>
                <c:formatCode>_-* #,##0\ _€_-;\-* #,##0\ _€_-;_-* \-??\ _€_-;_-@</c:formatCode>
                <c:ptCount val="1"/>
                <c:pt idx="0">
                  <c:v>26</c:v>
                </c:pt>
              </c:numCache>
            </c:numRef>
          </c:val>
          <c:smooth val="0"/>
          <c:extLst>
            <c:ext xmlns:c16="http://schemas.microsoft.com/office/drawing/2014/chart" uri="{C3380CC4-5D6E-409C-BE32-E72D297353CC}">
              <c16:uniqueId val="{00000016-EE08-48BF-98A2-A845265E91FB}"/>
            </c:ext>
          </c:extLst>
        </c:ser>
        <c:ser>
          <c:idx val="23"/>
          <c:order val="23"/>
          <c:spPr>
            <a:ln cmpd="sng">
              <a:solidFill>
                <a:srgbClr val="F1F7ED"/>
              </a:solidFill>
              <a:prstDash val="solid"/>
            </a:ln>
          </c:spPr>
          <c:marker>
            <c:symbol val="none"/>
          </c:marker>
          <c:val>
            <c:numRef>
              <c:f>'Proy. ventas'!$Y$20</c:f>
              <c:numCache>
                <c:formatCode>_-* #,##0\ _€_-;\-* #,##0\ _€_-;_-* \-??\ _€_-;_-@</c:formatCode>
                <c:ptCount val="1"/>
                <c:pt idx="0">
                  <c:v>27</c:v>
                </c:pt>
              </c:numCache>
            </c:numRef>
          </c:val>
          <c:smooth val="0"/>
          <c:extLst>
            <c:ext xmlns:c16="http://schemas.microsoft.com/office/drawing/2014/chart" uri="{C3380CC4-5D6E-409C-BE32-E72D297353CC}">
              <c16:uniqueId val="{00000017-EE08-48BF-98A2-A845265E91FB}"/>
            </c:ext>
          </c:extLst>
        </c:ser>
        <c:ser>
          <c:idx val="24"/>
          <c:order val="24"/>
          <c:spPr>
            <a:ln cmpd="sng">
              <a:solidFill>
                <a:srgbClr val="241B0B"/>
              </a:solidFill>
              <a:prstDash val="solid"/>
            </a:ln>
          </c:spPr>
          <c:marker>
            <c:symbol val="none"/>
          </c:marker>
          <c:val>
            <c:numRef>
              <c:f>'Proy. ventas'!$AA$20</c:f>
              <c:numCache>
                <c:formatCode>_-* #,##0\ _€_-;\-* #,##0\ _€_-;_-* \-??\ _€_-;_-@</c:formatCode>
                <c:ptCount val="1"/>
                <c:pt idx="0">
                  <c:v>33</c:v>
                </c:pt>
              </c:numCache>
            </c:numRef>
          </c:val>
          <c:smooth val="0"/>
          <c:extLst>
            <c:ext xmlns:c16="http://schemas.microsoft.com/office/drawing/2014/chart" uri="{C3380CC4-5D6E-409C-BE32-E72D297353CC}">
              <c16:uniqueId val="{00000018-EE08-48BF-98A2-A845265E91FB}"/>
            </c:ext>
          </c:extLst>
        </c:ser>
        <c:ser>
          <c:idx val="25"/>
          <c:order val="25"/>
          <c:spPr>
            <a:ln cmpd="sng">
              <a:solidFill>
                <a:srgbClr val="031928"/>
              </a:solidFill>
              <a:prstDash val="solid"/>
            </a:ln>
          </c:spPr>
          <c:marker>
            <c:symbol val="none"/>
          </c:marker>
          <c:val>
            <c:numRef>
              <c:f>'Proy. ventas'!$E$21</c:f>
              <c:numCache>
                <c:formatCode>_-* #,##0\ _€_-;\-* #,##0\ _€_-;_-* \-??\ _€_-;_-@</c:formatCode>
                <c:ptCount val="1"/>
                <c:pt idx="0">
                  <c:v>0</c:v>
                </c:pt>
              </c:numCache>
            </c:numRef>
          </c:val>
          <c:smooth val="0"/>
          <c:extLst>
            <c:ext xmlns:c16="http://schemas.microsoft.com/office/drawing/2014/chart" uri="{C3380CC4-5D6E-409C-BE32-E72D297353CC}">
              <c16:uniqueId val="{00000019-EE08-48BF-98A2-A845265E91FB}"/>
            </c:ext>
          </c:extLst>
        </c:ser>
        <c:ser>
          <c:idx val="26"/>
          <c:order val="26"/>
          <c:spPr>
            <a:ln cmpd="sng">
              <a:solidFill>
                <a:srgbClr val="111111"/>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1A-EE08-48BF-98A2-A845265E91FB}"/>
            </c:ext>
          </c:extLst>
        </c:ser>
        <c:ser>
          <c:idx val="27"/>
          <c:order val="27"/>
          <c:spPr>
            <a:ln cmpd="sng">
              <a:solidFill>
                <a:srgbClr val="FF0C32"/>
              </a:solidFill>
              <a:prstDash val="solid"/>
            </a:ln>
          </c:spPr>
          <c:marker>
            <c:symbol val="none"/>
          </c:marker>
          <c:val>
            <c:numRef>
              <c:f>'Proy. ventas'!$I$21</c:f>
              <c:numCache>
                <c:formatCode>_-* #,##0\ _€_-;\-* #,##0\ _€_-;_-* \-??\ _€_-;_-@</c:formatCode>
                <c:ptCount val="1"/>
                <c:pt idx="0">
                  <c:v>0</c:v>
                </c:pt>
              </c:numCache>
            </c:numRef>
          </c:val>
          <c:smooth val="0"/>
          <c:extLst>
            <c:ext xmlns:c16="http://schemas.microsoft.com/office/drawing/2014/chart" uri="{C3380CC4-5D6E-409C-BE32-E72D297353CC}">
              <c16:uniqueId val="{0000001B-EE08-48BF-98A2-A845265E91FB}"/>
            </c:ext>
          </c:extLst>
        </c:ser>
        <c:ser>
          <c:idx val="28"/>
          <c:order val="28"/>
          <c:spPr>
            <a:ln cmpd="sng">
              <a:solidFill>
                <a:srgbClr val="201307"/>
              </a:solidFill>
              <a:prstDash val="solid"/>
            </a:ln>
          </c:spPr>
          <c:marker>
            <c:symbol val="none"/>
          </c:marker>
          <c:val>
            <c:numRef>
              <c:f>'Proy. ventas'!$K$21</c:f>
              <c:numCache>
                <c:formatCode>_-* #,##0\ _€_-;\-* #,##0\ _€_-;_-* \-??\ _€_-;_-@</c:formatCode>
                <c:ptCount val="1"/>
                <c:pt idx="0">
                  <c:v>1</c:v>
                </c:pt>
              </c:numCache>
            </c:numRef>
          </c:val>
          <c:smooth val="0"/>
          <c:extLst>
            <c:ext xmlns:c16="http://schemas.microsoft.com/office/drawing/2014/chart" uri="{C3380CC4-5D6E-409C-BE32-E72D297353CC}">
              <c16:uniqueId val="{0000001C-EE08-48BF-98A2-A845265E91FB}"/>
            </c:ext>
          </c:extLst>
        </c:ser>
        <c:ser>
          <c:idx val="29"/>
          <c:order val="29"/>
          <c:spPr>
            <a:ln cmpd="sng">
              <a:solidFill>
                <a:srgbClr val="1C0F24"/>
              </a:solidFill>
              <a:prstDash val="solid"/>
            </a:ln>
          </c:spPr>
          <c:marker>
            <c:symbol val="none"/>
          </c:marker>
          <c:val>
            <c:numRef>
              <c:f>'Proy. ventas'!$M$21</c:f>
              <c:numCache>
                <c:formatCode>_-* #,##0\ _€_-;\-* #,##0\ _€_-;_-* \-??\ _€_-;_-@</c:formatCode>
                <c:ptCount val="1"/>
                <c:pt idx="0">
                  <c:v>1</c:v>
                </c:pt>
              </c:numCache>
            </c:numRef>
          </c:val>
          <c:smooth val="0"/>
          <c:extLst>
            <c:ext xmlns:c16="http://schemas.microsoft.com/office/drawing/2014/chart" uri="{C3380CC4-5D6E-409C-BE32-E72D297353CC}">
              <c16:uniqueId val="{0000001D-EE08-48BF-98A2-A845265E91FB}"/>
            </c:ext>
          </c:extLst>
        </c:ser>
        <c:ser>
          <c:idx val="30"/>
          <c:order val="30"/>
          <c:spPr>
            <a:ln cmpd="sng">
              <a:solidFill>
                <a:srgbClr val="5D461D"/>
              </a:solidFill>
              <a:prstDash val="solid"/>
            </a:ln>
          </c:spPr>
          <c:marker>
            <c:symbol val="none"/>
          </c:marker>
          <c:val>
            <c:numRef>
              <c:f>'Proy. ventas'!$O$21</c:f>
              <c:numCache>
                <c:formatCode>_-* #,##0\ _€_-;\-* #,##0\ _€_-;_-* \-??\ _€_-;_-@</c:formatCode>
                <c:ptCount val="1"/>
                <c:pt idx="0">
                  <c:v>2</c:v>
                </c:pt>
              </c:numCache>
            </c:numRef>
          </c:val>
          <c:smooth val="0"/>
          <c:extLst>
            <c:ext xmlns:c16="http://schemas.microsoft.com/office/drawing/2014/chart" uri="{C3380CC4-5D6E-409C-BE32-E72D297353CC}">
              <c16:uniqueId val="{0000001E-EE08-48BF-98A2-A845265E91FB}"/>
            </c:ext>
          </c:extLst>
        </c:ser>
        <c:ser>
          <c:idx val="31"/>
          <c:order val="31"/>
          <c:spPr>
            <a:ln cmpd="sng">
              <a:solidFill>
                <a:srgbClr val="084066"/>
              </a:solidFill>
              <a:prstDash val="solid"/>
            </a:ln>
          </c:spPr>
          <c:marker>
            <c:symbol val="none"/>
          </c:marker>
          <c:val>
            <c:numRef>
              <c:f>'Proy. ventas'!$Q$21</c:f>
              <c:numCache>
                <c:formatCode>_-* #,##0\ _€_-;\-* #,##0\ _€_-;_-* \-??\ _€_-;_-@</c:formatCode>
                <c:ptCount val="1"/>
                <c:pt idx="0">
                  <c:v>2</c:v>
                </c:pt>
              </c:numCache>
            </c:numRef>
          </c:val>
          <c:smooth val="0"/>
          <c:extLst>
            <c:ext xmlns:c16="http://schemas.microsoft.com/office/drawing/2014/chart" uri="{C3380CC4-5D6E-409C-BE32-E72D297353CC}">
              <c16:uniqueId val="{0000001F-EE08-48BF-98A2-A845265E91FB}"/>
            </c:ext>
          </c:extLst>
        </c:ser>
        <c:ser>
          <c:idx val="32"/>
          <c:order val="32"/>
          <c:spPr>
            <a:ln cmpd="sng">
              <a:solidFill>
                <a:srgbClr val="2C2C2C"/>
              </a:solidFill>
              <a:prstDash val="solid"/>
            </a:ln>
          </c:spPr>
          <c:marker>
            <c:symbol val="none"/>
          </c:marker>
          <c:val>
            <c:numRef>
              <c:f>'Proy. ventas'!$S$21</c:f>
              <c:numCache>
                <c:formatCode>_-* #,##0\ _€_-;\-* #,##0\ _€_-;_-* \-??\ _€_-;_-@</c:formatCode>
                <c:ptCount val="1"/>
                <c:pt idx="0">
                  <c:v>3</c:v>
                </c:pt>
              </c:numCache>
            </c:numRef>
          </c:val>
          <c:smooth val="0"/>
          <c:extLst>
            <c:ext xmlns:c16="http://schemas.microsoft.com/office/drawing/2014/chart" uri="{C3380CC4-5D6E-409C-BE32-E72D297353CC}">
              <c16:uniqueId val="{00000020-EE08-48BF-98A2-A845265E91FB}"/>
            </c:ext>
          </c:extLst>
        </c:ser>
        <c:ser>
          <c:idx val="33"/>
          <c:order val="33"/>
          <c:spPr>
            <a:ln cmpd="sng">
              <a:solidFill>
                <a:srgbClr val="FF1F7F"/>
              </a:solidFill>
              <a:prstDash val="solid"/>
            </a:ln>
          </c:spPr>
          <c:marker>
            <c:symbol val="none"/>
          </c:marker>
          <c:val>
            <c:numRef>
              <c:f>'Proy. ventas'!$U$21</c:f>
              <c:numCache>
                <c:formatCode>_-* #,##0\ _€_-;\-* #,##0\ _€_-;_-* \-??\ _€_-;_-@</c:formatCode>
                <c:ptCount val="1"/>
                <c:pt idx="0">
                  <c:v>3</c:v>
                </c:pt>
              </c:numCache>
            </c:numRef>
          </c:val>
          <c:smooth val="0"/>
          <c:extLst>
            <c:ext xmlns:c16="http://schemas.microsoft.com/office/drawing/2014/chart" uri="{C3380CC4-5D6E-409C-BE32-E72D297353CC}">
              <c16:uniqueId val="{00000021-EE08-48BF-98A2-A845265E91FB}"/>
            </c:ext>
          </c:extLst>
        </c:ser>
        <c:ser>
          <c:idx val="34"/>
          <c:order val="34"/>
          <c:spPr>
            <a:ln cmpd="sng">
              <a:solidFill>
                <a:srgbClr val="513114"/>
              </a:solidFill>
              <a:prstDash val="solid"/>
            </a:ln>
          </c:spPr>
          <c:marker>
            <c:symbol val="none"/>
          </c:marker>
          <c:val>
            <c:numRef>
              <c:f>'Proy. ventas'!$W$21</c:f>
              <c:numCache>
                <c:formatCode>_-* #,##0\ _€_-;\-* #,##0\ _€_-;_-* \-??\ _€_-;_-@</c:formatCode>
                <c:ptCount val="1"/>
                <c:pt idx="0">
                  <c:v>4</c:v>
                </c:pt>
              </c:numCache>
            </c:numRef>
          </c:val>
          <c:smooth val="0"/>
          <c:extLst>
            <c:ext xmlns:c16="http://schemas.microsoft.com/office/drawing/2014/chart" uri="{C3380CC4-5D6E-409C-BE32-E72D297353CC}">
              <c16:uniqueId val="{00000022-EE08-48BF-98A2-A845265E91FB}"/>
            </c:ext>
          </c:extLst>
        </c:ser>
        <c:ser>
          <c:idx val="35"/>
          <c:order val="35"/>
          <c:spPr>
            <a:ln cmpd="sng">
              <a:solidFill>
                <a:srgbClr val="47285B"/>
              </a:solidFill>
              <a:prstDash val="solid"/>
            </a:ln>
          </c:spPr>
          <c:marker>
            <c:symbol val="none"/>
          </c:marker>
          <c:val>
            <c:numRef>
              <c:f>'Proy. ventas'!$Y$21</c:f>
              <c:numCache>
                <c:formatCode>_-* #,##0\ _€_-;\-* #,##0\ _€_-;_-* \-??\ _€_-;_-@</c:formatCode>
                <c:ptCount val="1"/>
                <c:pt idx="0">
                  <c:v>4</c:v>
                </c:pt>
              </c:numCache>
            </c:numRef>
          </c:val>
          <c:smooth val="0"/>
          <c:extLst>
            <c:ext xmlns:c16="http://schemas.microsoft.com/office/drawing/2014/chart" uri="{C3380CC4-5D6E-409C-BE32-E72D297353CC}">
              <c16:uniqueId val="{00000023-EE08-48BF-98A2-A845265E91FB}"/>
            </c:ext>
          </c:extLst>
        </c:ser>
        <c:ser>
          <c:idx val="36"/>
          <c:order val="36"/>
          <c:spPr>
            <a:ln cmpd="sng">
              <a:solidFill>
                <a:srgbClr val="966108"/>
              </a:solidFill>
              <a:prstDash val="solid"/>
            </a:ln>
          </c:spPr>
          <c:marker>
            <c:symbol val="none"/>
          </c:marker>
          <c:val>
            <c:numRef>
              <c:f>'Proy. ventas'!$AA$21</c:f>
              <c:numCache>
                <c:formatCode>_-* #,##0\ _€_-;\-* #,##0\ _€_-;_-* \-??\ _€_-;_-@</c:formatCode>
                <c:ptCount val="1"/>
                <c:pt idx="0">
                  <c:v>5</c:v>
                </c:pt>
              </c:numCache>
            </c:numRef>
          </c:val>
          <c:smooth val="0"/>
          <c:extLst>
            <c:ext xmlns:c16="http://schemas.microsoft.com/office/drawing/2014/chart" uri="{C3380CC4-5D6E-409C-BE32-E72D297353CC}">
              <c16:uniqueId val="{00000024-EE08-48BF-98A2-A845265E91FB}"/>
            </c:ext>
          </c:extLst>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 #,##0\ _€_-;\-* #,##0\ _€_-;_-* \-??\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ventas'!$E$82</c:f>
              <c:numCache>
                <c:formatCode>_-* #,##0\ _€_-;\-* #,##0\ _€_-;_-* \-??\ _€_-;_-@</c:formatCode>
                <c:ptCount val="1"/>
                <c:pt idx="0">
                  <c:v>6</c:v>
                </c:pt>
              </c:numCache>
            </c:numRef>
          </c:val>
          <c:smooth val="0"/>
          <c:extLst>
            <c:ext xmlns:c16="http://schemas.microsoft.com/office/drawing/2014/chart" uri="{C3380CC4-5D6E-409C-BE32-E72D297353CC}">
              <c16:uniqueId val="{00000000-0C1F-4460-BB7E-E57A915EF16D}"/>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ventas'!$G$82</c:f>
              <c:numCache>
                <c:formatCode>_-* #,##0\ _€_-;\-* #,##0\ _€_-;_-* \-??\ _€_-;_-@</c:formatCode>
                <c:ptCount val="1"/>
                <c:pt idx="0">
                  <c:v>6</c:v>
                </c:pt>
              </c:numCache>
            </c:numRef>
          </c:val>
          <c:smooth val="0"/>
          <c:extLst>
            <c:ext xmlns:c16="http://schemas.microsoft.com/office/drawing/2014/chart" uri="{C3380CC4-5D6E-409C-BE32-E72D297353CC}">
              <c16:uniqueId val="{00000001-0C1F-4460-BB7E-E57A915EF16D}"/>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ventas'!$I$82</c:f>
              <c:numCache>
                <c:formatCode>_-* #,##0\ _€_-;\-* #,##0\ _€_-;_-* \-??\ _€_-;_-@</c:formatCode>
                <c:ptCount val="1"/>
                <c:pt idx="0">
                  <c:v>7</c:v>
                </c:pt>
              </c:numCache>
            </c:numRef>
          </c:val>
          <c:smooth val="0"/>
          <c:extLst>
            <c:ext xmlns:c16="http://schemas.microsoft.com/office/drawing/2014/chart" uri="{C3380CC4-5D6E-409C-BE32-E72D297353CC}">
              <c16:uniqueId val="{00000002-0C1F-4460-BB7E-E57A915EF16D}"/>
            </c:ext>
          </c:extLst>
        </c:ser>
        <c:ser>
          <c:idx val="3"/>
          <c:order val="3"/>
          <c:spPr>
            <a:ln cmpd="sng">
              <a:solidFill>
                <a:srgbClr val="FFC000"/>
              </a:solidFill>
              <a:prstDash val="solid"/>
            </a:ln>
          </c:spPr>
          <c:marker>
            <c:symbol val="none"/>
          </c:marker>
          <c:val>
            <c:numRef>
              <c:f>'Proy. ventas'!$K$82</c:f>
              <c:numCache>
                <c:formatCode>_-* #,##0\ _€_-;\-* #,##0\ _€_-;_-* \-??\ _€_-;_-@</c:formatCode>
                <c:ptCount val="1"/>
                <c:pt idx="0">
                  <c:v>7</c:v>
                </c:pt>
              </c:numCache>
            </c:numRef>
          </c:val>
          <c:smooth val="0"/>
          <c:extLst>
            <c:ext xmlns:c16="http://schemas.microsoft.com/office/drawing/2014/chart" uri="{C3380CC4-5D6E-409C-BE32-E72D297353CC}">
              <c16:uniqueId val="{00000003-0C1F-4460-BB7E-E57A915EF16D}"/>
            </c:ext>
          </c:extLst>
        </c:ser>
        <c:ser>
          <c:idx val="4"/>
          <c:order val="4"/>
          <c:spPr>
            <a:ln cmpd="sng">
              <a:solidFill>
                <a:srgbClr val="5B9BD5"/>
              </a:solidFill>
              <a:prstDash val="solid"/>
            </a:ln>
          </c:spPr>
          <c:marker>
            <c:symbol val="none"/>
          </c:marker>
          <c:val>
            <c:numRef>
              <c:f>'Proy. ventas'!$M$82</c:f>
              <c:numCache>
                <c:formatCode>_-* #,##0\ _€_-;\-* #,##0\ _€_-;_-* \-??\ _€_-;_-@</c:formatCode>
                <c:ptCount val="1"/>
                <c:pt idx="0">
                  <c:v>7</c:v>
                </c:pt>
              </c:numCache>
            </c:numRef>
          </c:val>
          <c:smooth val="0"/>
          <c:extLst>
            <c:ext xmlns:c16="http://schemas.microsoft.com/office/drawing/2014/chart" uri="{C3380CC4-5D6E-409C-BE32-E72D297353CC}">
              <c16:uniqueId val="{00000004-0C1F-4460-BB7E-E57A915EF16D}"/>
            </c:ext>
          </c:extLst>
        </c:ser>
        <c:ser>
          <c:idx val="5"/>
          <c:order val="5"/>
          <c:spPr>
            <a:ln cmpd="sng">
              <a:solidFill>
                <a:srgbClr val="70AD47"/>
              </a:solidFill>
              <a:prstDash val="solid"/>
            </a:ln>
          </c:spPr>
          <c:marker>
            <c:symbol val="none"/>
          </c:marker>
          <c:val>
            <c:numRef>
              <c:f>'Proy. ventas'!$O$82</c:f>
              <c:numCache>
                <c:formatCode>_-* #,##0\ _€_-;\-* #,##0\ _€_-;_-* \-??\ _€_-;_-@</c:formatCode>
                <c:ptCount val="1"/>
                <c:pt idx="0">
                  <c:v>7</c:v>
                </c:pt>
              </c:numCache>
            </c:numRef>
          </c:val>
          <c:smooth val="0"/>
          <c:extLst>
            <c:ext xmlns:c16="http://schemas.microsoft.com/office/drawing/2014/chart" uri="{C3380CC4-5D6E-409C-BE32-E72D297353CC}">
              <c16:uniqueId val="{00000005-0C1F-4460-BB7E-E57A915EF16D}"/>
            </c:ext>
          </c:extLst>
        </c:ser>
        <c:ser>
          <c:idx val="6"/>
          <c:order val="6"/>
          <c:spPr>
            <a:ln cmpd="sng">
              <a:solidFill>
                <a:srgbClr val="7C9CD6"/>
              </a:solidFill>
              <a:prstDash val="solid"/>
            </a:ln>
          </c:spPr>
          <c:marker>
            <c:symbol val="none"/>
          </c:marker>
          <c:val>
            <c:numRef>
              <c:f>'Proy. ventas'!$Q$82</c:f>
              <c:numCache>
                <c:formatCode>_-* #,##0\ _€_-;\-* #,##0\ _€_-;_-* \-??\ _€_-;_-@</c:formatCode>
                <c:ptCount val="1"/>
                <c:pt idx="0">
                  <c:v>7</c:v>
                </c:pt>
              </c:numCache>
            </c:numRef>
          </c:val>
          <c:smooth val="0"/>
          <c:extLst>
            <c:ext xmlns:c16="http://schemas.microsoft.com/office/drawing/2014/chart" uri="{C3380CC4-5D6E-409C-BE32-E72D297353CC}">
              <c16:uniqueId val="{00000006-0C1F-4460-BB7E-E57A915EF16D}"/>
            </c:ext>
          </c:extLst>
        </c:ser>
        <c:ser>
          <c:idx val="7"/>
          <c:order val="7"/>
          <c:spPr>
            <a:ln cmpd="sng">
              <a:solidFill>
                <a:srgbClr val="F2A46F"/>
              </a:solidFill>
              <a:prstDash val="solid"/>
            </a:ln>
          </c:spPr>
          <c:marker>
            <c:symbol val="none"/>
          </c:marker>
          <c:val>
            <c:numRef>
              <c:f>'Proy. ventas'!$S$82</c:f>
              <c:numCache>
                <c:formatCode>_-* #,##0\ _€_-;\-* #,##0\ _€_-;_-* \-??\ _€_-;_-@</c:formatCode>
                <c:ptCount val="1"/>
                <c:pt idx="0">
                  <c:v>7</c:v>
                </c:pt>
              </c:numCache>
            </c:numRef>
          </c:val>
          <c:smooth val="0"/>
          <c:extLst>
            <c:ext xmlns:c16="http://schemas.microsoft.com/office/drawing/2014/chart" uri="{C3380CC4-5D6E-409C-BE32-E72D297353CC}">
              <c16:uniqueId val="{00000007-0C1F-4460-BB7E-E57A915EF16D}"/>
            </c:ext>
          </c:extLst>
        </c:ser>
        <c:ser>
          <c:idx val="8"/>
          <c:order val="8"/>
          <c:spPr>
            <a:ln cmpd="sng">
              <a:solidFill>
                <a:srgbClr val="C0C0C0"/>
              </a:solidFill>
              <a:prstDash val="solid"/>
            </a:ln>
          </c:spPr>
          <c:marker>
            <c:symbol val="none"/>
          </c:marker>
          <c:val>
            <c:numRef>
              <c:f>'Proy. ventas'!$U$82</c:f>
              <c:numCache>
                <c:formatCode>_-* #,##0\ _€_-;\-* #,##0\ _€_-;_-* \-??\ _€_-;_-@</c:formatCode>
                <c:ptCount val="1"/>
                <c:pt idx="0">
                  <c:v>8</c:v>
                </c:pt>
              </c:numCache>
            </c:numRef>
          </c:val>
          <c:smooth val="0"/>
          <c:extLst>
            <c:ext xmlns:c16="http://schemas.microsoft.com/office/drawing/2014/chart" uri="{C3380CC4-5D6E-409C-BE32-E72D297353CC}">
              <c16:uniqueId val="{00000008-0C1F-4460-BB7E-E57A915EF16D}"/>
            </c:ext>
          </c:extLst>
        </c:ser>
        <c:ser>
          <c:idx val="9"/>
          <c:order val="9"/>
          <c:spPr>
            <a:ln cmpd="sng">
              <a:solidFill>
                <a:srgbClr val="FFD34D"/>
              </a:solidFill>
              <a:prstDash val="solid"/>
            </a:ln>
          </c:spPr>
          <c:marker>
            <c:symbol val="none"/>
          </c:marker>
          <c:val>
            <c:numRef>
              <c:f>'Proy. ventas'!$W$82</c:f>
              <c:numCache>
                <c:formatCode>_-* #,##0\ _€_-;\-* #,##0\ _€_-;_-* \-??\ _€_-;_-@</c:formatCode>
                <c:ptCount val="1"/>
                <c:pt idx="0">
                  <c:v>8</c:v>
                </c:pt>
              </c:numCache>
            </c:numRef>
          </c:val>
          <c:smooth val="0"/>
          <c:extLst>
            <c:ext xmlns:c16="http://schemas.microsoft.com/office/drawing/2014/chart" uri="{C3380CC4-5D6E-409C-BE32-E72D297353CC}">
              <c16:uniqueId val="{00000009-0C1F-4460-BB7E-E57A915EF16D}"/>
            </c:ext>
          </c:extLst>
        </c:ser>
        <c:ser>
          <c:idx val="10"/>
          <c:order val="10"/>
          <c:spPr>
            <a:ln cmpd="sng">
              <a:solidFill>
                <a:srgbClr val="8CB9E2"/>
              </a:solidFill>
              <a:prstDash val="solid"/>
            </a:ln>
          </c:spPr>
          <c:marker>
            <c:symbol val="none"/>
          </c:marker>
          <c:val>
            <c:numRef>
              <c:f>'Proy. ventas'!$Y$82</c:f>
              <c:numCache>
                <c:formatCode>_-* #,##0\ _€_-;\-* #,##0\ _€_-;_-* \-??\ _€_-;_-@</c:formatCode>
                <c:ptCount val="1"/>
                <c:pt idx="0">
                  <c:v>9</c:v>
                </c:pt>
              </c:numCache>
            </c:numRef>
          </c:val>
          <c:smooth val="0"/>
          <c:extLst>
            <c:ext xmlns:c16="http://schemas.microsoft.com/office/drawing/2014/chart" uri="{C3380CC4-5D6E-409C-BE32-E72D297353CC}">
              <c16:uniqueId val="{0000000A-0C1F-4460-BB7E-E57A915EF16D}"/>
            </c:ext>
          </c:extLst>
        </c:ser>
        <c:ser>
          <c:idx val="11"/>
          <c:order val="11"/>
          <c:spPr>
            <a:ln cmpd="sng">
              <a:solidFill>
                <a:srgbClr val="9BC67E"/>
              </a:solidFill>
              <a:prstDash val="solid"/>
            </a:ln>
          </c:spPr>
          <c:marker>
            <c:symbol val="none"/>
          </c:marker>
          <c:val>
            <c:numRef>
              <c:f>'Proy. ventas'!$AA$82</c:f>
              <c:numCache>
                <c:formatCode>_-* #,##0\ _€_-;\-* #,##0\ _€_-;_-* \-??\ _€_-;_-@</c:formatCode>
                <c:ptCount val="1"/>
                <c:pt idx="0">
                  <c:v>9</c:v>
                </c:pt>
              </c:numCache>
            </c:numRef>
          </c:val>
          <c:smooth val="0"/>
          <c:extLst>
            <c:ext xmlns:c16="http://schemas.microsoft.com/office/drawing/2014/chart" uri="{C3380CC4-5D6E-409C-BE32-E72D297353CC}">
              <c16:uniqueId val="{0000000B-0C1F-4460-BB7E-E57A915EF16D}"/>
            </c:ext>
          </c:extLst>
        </c:ser>
        <c:ser>
          <c:idx val="12"/>
          <c:order val="12"/>
          <c:spPr>
            <a:ln cmpd="sng">
              <a:solidFill>
                <a:srgbClr val="B4C7E7"/>
              </a:solidFill>
              <a:prstDash val="solid"/>
            </a:ln>
          </c:spPr>
          <c:marker>
            <c:symbol val="none"/>
          </c:marker>
          <c:val>
            <c:numRef>
              <c:f>'Proy. ventas'!$E$83</c:f>
              <c:numCache>
                <c:formatCode>_-* #,##0\ _€_-;\-* #,##0\ _€_-;_-* \-??\ _€_-;_-@</c:formatCode>
                <c:ptCount val="1"/>
                <c:pt idx="0">
                  <c:v>14</c:v>
                </c:pt>
              </c:numCache>
            </c:numRef>
          </c:val>
          <c:smooth val="0"/>
          <c:extLst>
            <c:ext xmlns:c16="http://schemas.microsoft.com/office/drawing/2014/chart" uri="{C3380CC4-5D6E-409C-BE32-E72D297353CC}">
              <c16:uniqueId val="{0000000C-0C1F-4460-BB7E-E57A915EF16D}"/>
            </c:ext>
          </c:extLst>
        </c:ser>
        <c:ser>
          <c:idx val="13"/>
          <c:order val="13"/>
          <c:spPr>
            <a:ln cmpd="sng">
              <a:solidFill>
                <a:srgbClr val="F8CBAD"/>
              </a:solidFill>
              <a:prstDash val="solid"/>
            </a:ln>
          </c:spPr>
          <c:marker>
            <c:symbol val="none"/>
          </c:marker>
          <c:val>
            <c:numRef>
              <c:f>'Proy. ventas'!$G$83</c:f>
              <c:numCache>
                <c:formatCode>_-* #,##0\ _€_-;\-* #,##0\ _€_-;_-* \-??\ _€_-;_-@</c:formatCode>
                <c:ptCount val="1"/>
                <c:pt idx="0">
                  <c:v>14</c:v>
                </c:pt>
              </c:numCache>
            </c:numRef>
          </c:val>
          <c:smooth val="0"/>
          <c:extLst>
            <c:ext xmlns:c16="http://schemas.microsoft.com/office/drawing/2014/chart" uri="{C3380CC4-5D6E-409C-BE32-E72D297353CC}">
              <c16:uniqueId val="{0000000D-0C1F-4460-BB7E-E57A915EF16D}"/>
            </c:ext>
          </c:extLst>
        </c:ser>
        <c:ser>
          <c:idx val="14"/>
          <c:order val="14"/>
          <c:spPr>
            <a:ln cmpd="sng">
              <a:solidFill>
                <a:srgbClr val="DBDBDB"/>
              </a:solidFill>
              <a:prstDash val="solid"/>
            </a:ln>
          </c:spPr>
          <c:marker>
            <c:symbol val="none"/>
          </c:marker>
          <c:val>
            <c:numRef>
              <c:f>'Proy. ventas'!$I$83</c:f>
              <c:numCache>
                <c:formatCode>_-* #,##0\ _€_-;\-* #,##0\ _€_-;_-* \-??\ _€_-;_-@</c:formatCode>
                <c:ptCount val="1"/>
                <c:pt idx="0">
                  <c:v>16</c:v>
                </c:pt>
              </c:numCache>
            </c:numRef>
          </c:val>
          <c:smooth val="0"/>
          <c:extLst>
            <c:ext xmlns:c16="http://schemas.microsoft.com/office/drawing/2014/chart" uri="{C3380CC4-5D6E-409C-BE32-E72D297353CC}">
              <c16:uniqueId val="{0000000E-0C1F-4460-BB7E-E57A915EF16D}"/>
            </c:ext>
          </c:extLst>
        </c:ser>
        <c:ser>
          <c:idx val="15"/>
          <c:order val="15"/>
          <c:spPr>
            <a:ln cmpd="sng">
              <a:solidFill>
                <a:srgbClr val="FFE699"/>
              </a:solidFill>
              <a:prstDash val="solid"/>
            </a:ln>
          </c:spPr>
          <c:marker>
            <c:symbol val="none"/>
          </c:marker>
          <c:val>
            <c:numRef>
              <c:f>'Proy. ventas'!$K$83</c:f>
              <c:numCache>
                <c:formatCode>_-* #,##0\ _€_-;\-* #,##0\ _€_-;_-* \-??\ _€_-;_-@</c:formatCode>
                <c:ptCount val="1"/>
                <c:pt idx="0">
                  <c:v>16</c:v>
                </c:pt>
              </c:numCache>
            </c:numRef>
          </c:val>
          <c:smooth val="0"/>
          <c:extLst>
            <c:ext xmlns:c16="http://schemas.microsoft.com/office/drawing/2014/chart" uri="{C3380CC4-5D6E-409C-BE32-E72D297353CC}">
              <c16:uniqueId val="{0000000F-0C1F-4460-BB7E-E57A915EF16D}"/>
            </c:ext>
          </c:extLst>
        </c:ser>
        <c:ser>
          <c:idx val="16"/>
          <c:order val="16"/>
          <c:spPr>
            <a:ln cmpd="sng">
              <a:solidFill>
                <a:srgbClr val="BDD7EE"/>
              </a:solidFill>
              <a:prstDash val="solid"/>
            </a:ln>
          </c:spPr>
          <c:marker>
            <c:symbol val="none"/>
          </c:marker>
          <c:val>
            <c:numRef>
              <c:f>'Proy. ventas'!$M$83</c:f>
              <c:numCache>
                <c:formatCode>_-* #,##0\ _€_-;\-* #,##0\ _€_-;_-* \-??\ _€_-;_-@</c:formatCode>
                <c:ptCount val="1"/>
                <c:pt idx="0">
                  <c:v>17</c:v>
                </c:pt>
              </c:numCache>
            </c:numRef>
          </c:val>
          <c:smooth val="0"/>
          <c:extLst>
            <c:ext xmlns:c16="http://schemas.microsoft.com/office/drawing/2014/chart" uri="{C3380CC4-5D6E-409C-BE32-E72D297353CC}">
              <c16:uniqueId val="{00000010-0C1F-4460-BB7E-E57A915EF16D}"/>
            </c:ext>
          </c:extLst>
        </c:ser>
        <c:ser>
          <c:idx val="17"/>
          <c:order val="17"/>
          <c:spPr>
            <a:ln cmpd="sng">
              <a:solidFill>
                <a:srgbClr val="C6DEB5"/>
              </a:solidFill>
              <a:prstDash val="solid"/>
            </a:ln>
          </c:spPr>
          <c:marker>
            <c:symbol val="none"/>
          </c:marker>
          <c:val>
            <c:numRef>
              <c:f>'Proy. ventas'!$O$83</c:f>
              <c:numCache>
                <c:formatCode>_-* #,##0\ _€_-;\-* #,##0\ _€_-;_-* \-??\ _€_-;_-@</c:formatCode>
                <c:ptCount val="1"/>
                <c:pt idx="0">
                  <c:v>17</c:v>
                </c:pt>
              </c:numCache>
            </c:numRef>
          </c:val>
          <c:smooth val="0"/>
          <c:extLst>
            <c:ext xmlns:c16="http://schemas.microsoft.com/office/drawing/2014/chart" uri="{C3380CC4-5D6E-409C-BE32-E72D297353CC}">
              <c16:uniqueId val="{00000011-0C1F-4460-BB7E-E57A915EF16D}"/>
            </c:ext>
          </c:extLst>
        </c:ser>
        <c:ser>
          <c:idx val="18"/>
          <c:order val="18"/>
          <c:spPr>
            <a:ln cmpd="sng">
              <a:solidFill>
                <a:srgbClr val="ECF1F9"/>
              </a:solidFill>
              <a:prstDash val="solid"/>
            </a:ln>
          </c:spPr>
          <c:marker>
            <c:symbol val="none"/>
          </c:marker>
          <c:val>
            <c:numRef>
              <c:f>'Proy. ventas'!$Q$83</c:f>
              <c:numCache>
                <c:formatCode>_-* #,##0\ _€_-;\-* #,##0\ _€_-;_-* \-??\ _€_-;_-@</c:formatCode>
                <c:ptCount val="1"/>
                <c:pt idx="0">
                  <c:v>18</c:v>
                </c:pt>
              </c:numCache>
            </c:numRef>
          </c:val>
          <c:smooth val="0"/>
          <c:extLst>
            <c:ext xmlns:c16="http://schemas.microsoft.com/office/drawing/2014/chart" uri="{C3380CC4-5D6E-409C-BE32-E72D297353CC}">
              <c16:uniqueId val="{00000012-0C1F-4460-BB7E-E57A915EF16D}"/>
            </c:ext>
          </c:extLst>
        </c:ser>
        <c:ser>
          <c:idx val="19"/>
          <c:order val="19"/>
          <c:spPr>
            <a:ln cmpd="sng">
              <a:solidFill>
                <a:srgbClr val="FDF2EA"/>
              </a:solidFill>
              <a:prstDash val="solid"/>
            </a:ln>
          </c:spPr>
          <c:marker>
            <c:symbol val="none"/>
          </c:marker>
          <c:val>
            <c:numRef>
              <c:f>'Proy. ventas'!$S$83</c:f>
              <c:numCache>
                <c:formatCode>_-* #,##0\ _€_-;\-* #,##0\ _€_-;_-* \-??\ _€_-;_-@</c:formatCode>
                <c:ptCount val="1"/>
                <c:pt idx="0">
                  <c:v>18</c:v>
                </c:pt>
              </c:numCache>
            </c:numRef>
          </c:val>
          <c:smooth val="0"/>
          <c:extLst>
            <c:ext xmlns:c16="http://schemas.microsoft.com/office/drawing/2014/chart" uri="{C3380CC4-5D6E-409C-BE32-E72D297353CC}">
              <c16:uniqueId val="{00000013-0C1F-4460-BB7E-E57A915EF16D}"/>
            </c:ext>
          </c:extLst>
        </c:ser>
        <c:ser>
          <c:idx val="20"/>
          <c:order val="20"/>
          <c:spPr>
            <a:ln cmpd="sng">
              <a:solidFill>
                <a:srgbClr val="F6F6F6"/>
              </a:solidFill>
              <a:prstDash val="solid"/>
            </a:ln>
          </c:spPr>
          <c:marker>
            <c:symbol val="none"/>
          </c:marker>
          <c:val>
            <c:numRef>
              <c:f>'Proy. ventas'!$U$83</c:f>
              <c:numCache>
                <c:formatCode>_-* #,##0\ _€_-;\-* #,##0\ _€_-;_-* \-??\ _€_-;_-@</c:formatCode>
                <c:ptCount val="1"/>
                <c:pt idx="0">
                  <c:v>19</c:v>
                </c:pt>
              </c:numCache>
            </c:numRef>
          </c:val>
          <c:smooth val="0"/>
          <c:extLst>
            <c:ext xmlns:c16="http://schemas.microsoft.com/office/drawing/2014/chart" uri="{C3380CC4-5D6E-409C-BE32-E72D297353CC}">
              <c16:uniqueId val="{00000014-0C1F-4460-BB7E-E57A915EF16D}"/>
            </c:ext>
          </c:extLst>
        </c:ser>
        <c:ser>
          <c:idx val="21"/>
          <c:order val="21"/>
          <c:spPr>
            <a:ln cmpd="sng">
              <a:solidFill>
                <a:srgbClr val="FFF9E6"/>
              </a:solidFill>
              <a:prstDash val="solid"/>
            </a:ln>
          </c:spPr>
          <c:marker>
            <c:symbol val="none"/>
          </c:marker>
          <c:val>
            <c:numRef>
              <c:f>'Proy. ventas'!$W$83</c:f>
              <c:numCache>
                <c:formatCode>_-* #,##0\ _€_-;\-* #,##0\ _€_-;_-* \-??\ _€_-;_-@</c:formatCode>
                <c:ptCount val="1"/>
                <c:pt idx="0">
                  <c:v>19</c:v>
                </c:pt>
              </c:numCache>
            </c:numRef>
          </c:val>
          <c:smooth val="0"/>
          <c:extLst>
            <c:ext xmlns:c16="http://schemas.microsoft.com/office/drawing/2014/chart" uri="{C3380CC4-5D6E-409C-BE32-E72D297353CC}">
              <c16:uniqueId val="{00000015-0C1F-4460-BB7E-E57A915EF16D}"/>
            </c:ext>
          </c:extLst>
        </c:ser>
        <c:ser>
          <c:idx val="22"/>
          <c:order val="22"/>
          <c:spPr>
            <a:ln cmpd="sng">
              <a:solidFill>
                <a:srgbClr val="EFF5FB"/>
              </a:solidFill>
              <a:prstDash val="solid"/>
            </a:ln>
          </c:spPr>
          <c:marker>
            <c:symbol val="none"/>
          </c:marker>
          <c:val>
            <c:numRef>
              <c:f>'Proy. ventas'!$Y$83</c:f>
              <c:numCache>
                <c:formatCode>_-* #,##0\ _€_-;\-* #,##0\ _€_-;_-* \-??\ _€_-;_-@</c:formatCode>
                <c:ptCount val="1"/>
                <c:pt idx="0">
                  <c:v>21</c:v>
                </c:pt>
              </c:numCache>
            </c:numRef>
          </c:val>
          <c:smooth val="0"/>
          <c:extLst>
            <c:ext xmlns:c16="http://schemas.microsoft.com/office/drawing/2014/chart" uri="{C3380CC4-5D6E-409C-BE32-E72D297353CC}">
              <c16:uniqueId val="{00000016-0C1F-4460-BB7E-E57A915EF16D}"/>
            </c:ext>
          </c:extLst>
        </c:ser>
        <c:ser>
          <c:idx val="23"/>
          <c:order val="23"/>
          <c:spPr>
            <a:ln cmpd="sng">
              <a:solidFill>
                <a:srgbClr val="F1F7ED"/>
              </a:solidFill>
              <a:prstDash val="solid"/>
            </a:ln>
          </c:spPr>
          <c:marker>
            <c:symbol val="none"/>
          </c:marker>
          <c:val>
            <c:numRef>
              <c:f>'Proy. ventas'!$AA$83</c:f>
              <c:numCache>
                <c:formatCode>_-* #,##0\ _€_-;\-* #,##0\ _€_-;_-* \-??\ _€_-;_-@</c:formatCode>
                <c:ptCount val="1"/>
                <c:pt idx="0">
                  <c:v>21</c:v>
                </c:pt>
              </c:numCache>
            </c:numRef>
          </c:val>
          <c:smooth val="0"/>
          <c:extLst>
            <c:ext xmlns:c16="http://schemas.microsoft.com/office/drawing/2014/chart" uri="{C3380CC4-5D6E-409C-BE32-E72D297353CC}">
              <c16:uniqueId val="{00000017-0C1F-4460-BB7E-E57A915EF16D}"/>
            </c:ext>
          </c:extLst>
        </c:ser>
        <c:ser>
          <c:idx val="24"/>
          <c:order val="24"/>
          <c:spPr>
            <a:ln cmpd="sng">
              <a:solidFill>
                <a:srgbClr val="241B0B"/>
              </a:solidFill>
              <a:prstDash val="solid"/>
            </a:ln>
          </c:spPr>
          <c:marker>
            <c:symbol val="none"/>
          </c:marker>
          <c:val>
            <c:numRef>
              <c:f>'Proy. ventas'!$E$84</c:f>
              <c:numCache>
                <c:formatCode>_-* #,##0\ _€_-;\-* #,##0\ _€_-;_-* \-??\ _€_-;_-@</c:formatCode>
                <c:ptCount val="1"/>
                <c:pt idx="0">
                  <c:v>2</c:v>
                </c:pt>
              </c:numCache>
            </c:numRef>
          </c:val>
          <c:smooth val="0"/>
          <c:extLst>
            <c:ext xmlns:c16="http://schemas.microsoft.com/office/drawing/2014/chart" uri="{C3380CC4-5D6E-409C-BE32-E72D297353CC}">
              <c16:uniqueId val="{00000018-0C1F-4460-BB7E-E57A915EF16D}"/>
            </c:ext>
          </c:extLst>
        </c:ser>
        <c:ser>
          <c:idx val="25"/>
          <c:order val="25"/>
          <c:spPr>
            <a:ln cmpd="sng">
              <a:solidFill>
                <a:srgbClr val="031928"/>
              </a:solidFill>
              <a:prstDash val="solid"/>
            </a:ln>
          </c:spPr>
          <c:marker>
            <c:symbol val="none"/>
          </c:marker>
          <c:val>
            <c:numRef>
              <c:f>'Proy. ventas'!$G$84</c:f>
              <c:numCache>
                <c:formatCode>_-* #,##0\ _€_-;\-* #,##0\ _€_-;_-* \-??\ _€_-;_-@</c:formatCode>
                <c:ptCount val="1"/>
                <c:pt idx="0">
                  <c:v>2</c:v>
                </c:pt>
              </c:numCache>
            </c:numRef>
          </c:val>
          <c:smooth val="0"/>
          <c:extLst>
            <c:ext xmlns:c16="http://schemas.microsoft.com/office/drawing/2014/chart" uri="{C3380CC4-5D6E-409C-BE32-E72D297353CC}">
              <c16:uniqueId val="{00000019-0C1F-4460-BB7E-E57A915EF16D}"/>
            </c:ext>
          </c:extLst>
        </c:ser>
        <c:ser>
          <c:idx val="26"/>
          <c:order val="26"/>
          <c:spPr>
            <a:ln cmpd="sng">
              <a:solidFill>
                <a:srgbClr val="111111"/>
              </a:solidFill>
              <a:prstDash val="solid"/>
            </a:ln>
          </c:spPr>
          <c:marker>
            <c:symbol val="none"/>
          </c:marker>
          <c:val>
            <c:numRef>
              <c:f>'Proy. ventas'!$I$84</c:f>
              <c:numCache>
                <c:formatCode>_-* #,##0\ _€_-;\-* #,##0\ _€_-;_-* \-??\ _€_-;_-@</c:formatCode>
                <c:ptCount val="1"/>
                <c:pt idx="0">
                  <c:v>2</c:v>
                </c:pt>
              </c:numCache>
            </c:numRef>
          </c:val>
          <c:smooth val="0"/>
          <c:extLst>
            <c:ext xmlns:c16="http://schemas.microsoft.com/office/drawing/2014/chart" uri="{C3380CC4-5D6E-409C-BE32-E72D297353CC}">
              <c16:uniqueId val="{0000001A-0C1F-4460-BB7E-E57A915EF16D}"/>
            </c:ext>
          </c:extLst>
        </c:ser>
        <c:ser>
          <c:idx val="27"/>
          <c:order val="27"/>
          <c:spPr>
            <a:ln cmpd="sng">
              <a:solidFill>
                <a:srgbClr val="FF0C32"/>
              </a:solidFill>
              <a:prstDash val="solid"/>
            </a:ln>
          </c:spPr>
          <c:marker>
            <c:symbol val="none"/>
          </c:marker>
          <c:val>
            <c:numRef>
              <c:f>'Proy. ventas'!$K$84</c:f>
              <c:numCache>
                <c:formatCode>_-* #,##0\ _€_-;\-* #,##0\ _€_-;_-* \-??\ _€_-;_-@</c:formatCode>
                <c:ptCount val="1"/>
                <c:pt idx="0">
                  <c:v>2</c:v>
                </c:pt>
              </c:numCache>
            </c:numRef>
          </c:val>
          <c:smooth val="0"/>
          <c:extLst>
            <c:ext xmlns:c16="http://schemas.microsoft.com/office/drawing/2014/chart" uri="{C3380CC4-5D6E-409C-BE32-E72D297353CC}">
              <c16:uniqueId val="{0000001B-0C1F-4460-BB7E-E57A915EF16D}"/>
            </c:ext>
          </c:extLst>
        </c:ser>
        <c:ser>
          <c:idx val="28"/>
          <c:order val="28"/>
          <c:spPr>
            <a:ln cmpd="sng">
              <a:solidFill>
                <a:srgbClr val="201307"/>
              </a:solidFill>
              <a:prstDash val="solid"/>
            </a:ln>
          </c:spPr>
          <c:marker>
            <c:symbol val="none"/>
          </c:marker>
          <c:val>
            <c:numRef>
              <c:f>'Proy. ventas'!$M$84</c:f>
              <c:numCache>
                <c:formatCode>_-* #,##0\ _€_-;\-* #,##0\ _€_-;_-* \-??\ _€_-;_-@</c:formatCode>
                <c:ptCount val="1"/>
                <c:pt idx="0">
                  <c:v>2</c:v>
                </c:pt>
              </c:numCache>
            </c:numRef>
          </c:val>
          <c:smooth val="0"/>
          <c:extLst>
            <c:ext xmlns:c16="http://schemas.microsoft.com/office/drawing/2014/chart" uri="{C3380CC4-5D6E-409C-BE32-E72D297353CC}">
              <c16:uniqueId val="{0000001C-0C1F-4460-BB7E-E57A915EF16D}"/>
            </c:ext>
          </c:extLst>
        </c:ser>
        <c:ser>
          <c:idx val="29"/>
          <c:order val="29"/>
          <c:spPr>
            <a:ln cmpd="sng">
              <a:solidFill>
                <a:srgbClr val="1C0F24"/>
              </a:solidFill>
              <a:prstDash val="solid"/>
            </a:ln>
          </c:spPr>
          <c:marker>
            <c:symbol val="none"/>
          </c:marker>
          <c:val>
            <c:numRef>
              <c:f>'Proy. ventas'!$M$85</c:f>
              <c:numCache>
                <c:formatCode>_-* #,##0\ _€_-;\-* #,##0\ _€_-;_-* \-??\ _€_-;_-@</c:formatCode>
                <c:ptCount val="1"/>
                <c:pt idx="0">
                  <c:v>107</c:v>
                </c:pt>
              </c:numCache>
            </c:numRef>
          </c:val>
          <c:smooth val="0"/>
          <c:extLst>
            <c:ext xmlns:c16="http://schemas.microsoft.com/office/drawing/2014/chart" uri="{C3380CC4-5D6E-409C-BE32-E72D297353CC}">
              <c16:uniqueId val="{0000001D-0C1F-4460-BB7E-E57A915EF16D}"/>
            </c:ext>
          </c:extLst>
        </c:ser>
        <c:ser>
          <c:idx val="30"/>
          <c:order val="30"/>
          <c:spPr>
            <a:ln cmpd="sng">
              <a:solidFill>
                <a:srgbClr val="5D461D"/>
              </a:solidFill>
              <a:prstDash val="solid"/>
            </a:ln>
          </c:spPr>
          <c:marker>
            <c:symbol val="none"/>
          </c:marker>
          <c:val>
            <c:numRef>
              <c:f>'Proy. ventas'!$O$84</c:f>
              <c:numCache>
                <c:formatCode>_-* #,##0\ _€_-;\-* #,##0\ _€_-;_-* \-??\ _€_-;_-@</c:formatCode>
                <c:ptCount val="1"/>
                <c:pt idx="0">
                  <c:v>2</c:v>
                </c:pt>
              </c:numCache>
            </c:numRef>
          </c:val>
          <c:smooth val="0"/>
          <c:extLst>
            <c:ext xmlns:c16="http://schemas.microsoft.com/office/drawing/2014/chart" uri="{C3380CC4-5D6E-409C-BE32-E72D297353CC}">
              <c16:uniqueId val="{0000001E-0C1F-4460-BB7E-E57A915EF16D}"/>
            </c:ext>
          </c:extLst>
        </c:ser>
        <c:ser>
          <c:idx val="31"/>
          <c:order val="31"/>
          <c:spPr>
            <a:ln cmpd="sng">
              <a:solidFill>
                <a:srgbClr val="084066"/>
              </a:solidFill>
              <a:prstDash val="solid"/>
            </a:ln>
          </c:spPr>
          <c:marker>
            <c:symbol val="none"/>
          </c:marker>
          <c:val>
            <c:numRef>
              <c:f>'Proy. ventas'!$Q$84</c:f>
              <c:numCache>
                <c:formatCode>_-* #,##0\ _€_-;\-* #,##0\ _€_-;_-* \-??\ _€_-;_-@</c:formatCode>
                <c:ptCount val="1"/>
                <c:pt idx="0">
                  <c:v>2</c:v>
                </c:pt>
              </c:numCache>
            </c:numRef>
          </c:val>
          <c:smooth val="0"/>
          <c:extLst>
            <c:ext xmlns:c16="http://schemas.microsoft.com/office/drawing/2014/chart" uri="{C3380CC4-5D6E-409C-BE32-E72D297353CC}">
              <c16:uniqueId val="{0000001F-0C1F-4460-BB7E-E57A915EF16D}"/>
            </c:ext>
          </c:extLst>
        </c:ser>
        <c:ser>
          <c:idx val="32"/>
          <c:order val="32"/>
          <c:spPr>
            <a:ln cmpd="sng">
              <a:solidFill>
                <a:srgbClr val="2C2C2C"/>
              </a:solidFill>
              <a:prstDash val="solid"/>
            </a:ln>
          </c:spPr>
          <c:marker>
            <c:symbol val="none"/>
          </c:marker>
          <c:val>
            <c:numRef>
              <c:f>'Proy. ventas'!$S$84</c:f>
              <c:numCache>
                <c:formatCode>_-* #,##0\ _€_-;\-* #,##0\ _€_-;_-* \-??\ _€_-;_-@</c:formatCode>
                <c:ptCount val="1"/>
                <c:pt idx="0">
                  <c:v>2</c:v>
                </c:pt>
              </c:numCache>
            </c:numRef>
          </c:val>
          <c:smooth val="0"/>
          <c:extLst>
            <c:ext xmlns:c16="http://schemas.microsoft.com/office/drawing/2014/chart" uri="{C3380CC4-5D6E-409C-BE32-E72D297353CC}">
              <c16:uniqueId val="{00000020-0C1F-4460-BB7E-E57A915EF16D}"/>
            </c:ext>
          </c:extLst>
        </c:ser>
        <c:ser>
          <c:idx val="33"/>
          <c:order val="33"/>
          <c:spPr>
            <a:ln cmpd="sng">
              <a:solidFill>
                <a:srgbClr val="FF1F7F"/>
              </a:solidFill>
              <a:prstDash val="solid"/>
            </a:ln>
          </c:spPr>
          <c:marker>
            <c:symbol val="none"/>
          </c:marker>
          <c:val>
            <c:numRef>
              <c:f>'Proy. ventas'!$U$84</c:f>
              <c:numCache>
                <c:formatCode>_-* #,##0\ _€_-;\-* #,##0\ _€_-;_-* \-??\ _€_-;_-@</c:formatCode>
                <c:ptCount val="1"/>
                <c:pt idx="0">
                  <c:v>3</c:v>
                </c:pt>
              </c:numCache>
            </c:numRef>
          </c:val>
          <c:smooth val="0"/>
          <c:extLst>
            <c:ext xmlns:c16="http://schemas.microsoft.com/office/drawing/2014/chart" uri="{C3380CC4-5D6E-409C-BE32-E72D297353CC}">
              <c16:uniqueId val="{00000021-0C1F-4460-BB7E-E57A915EF16D}"/>
            </c:ext>
          </c:extLst>
        </c:ser>
        <c:ser>
          <c:idx val="34"/>
          <c:order val="34"/>
          <c:spPr>
            <a:ln cmpd="sng">
              <a:solidFill>
                <a:srgbClr val="513114"/>
              </a:solidFill>
              <a:prstDash val="solid"/>
            </a:ln>
          </c:spPr>
          <c:marker>
            <c:symbol val="none"/>
          </c:marker>
          <c:val>
            <c:numRef>
              <c:f>'Proy. ventas'!$W$84</c:f>
              <c:numCache>
                <c:formatCode>_-* #,##0\ _€_-;\-* #,##0\ _€_-;_-* \-??\ _€_-;_-@</c:formatCode>
                <c:ptCount val="1"/>
                <c:pt idx="0">
                  <c:v>3</c:v>
                </c:pt>
              </c:numCache>
            </c:numRef>
          </c:val>
          <c:smooth val="0"/>
          <c:extLst>
            <c:ext xmlns:c16="http://schemas.microsoft.com/office/drawing/2014/chart" uri="{C3380CC4-5D6E-409C-BE32-E72D297353CC}">
              <c16:uniqueId val="{00000022-0C1F-4460-BB7E-E57A915EF16D}"/>
            </c:ext>
          </c:extLst>
        </c:ser>
        <c:ser>
          <c:idx val="35"/>
          <c:order val="35"/>
          <c:spPr>
            <a:ln cmpd="sng">
              <a:solidFill>
                <a:srgbClr val="47285B"/>
              </a:solidFill>
              <a:prstDash val="solid"/>
            </a:ln>
          </c:spPr>
          <c:marker>
            <c:symbol val="none"/>
          </c:marker>
          <c:val>
            <c:numRef>
              <c:f>'Proy. ventas'!$Y$84</c:f>
              <c:numCache>
                <c:formatCode>_-* #,##0\ _€_-;\-* #,##0\ _€_-;_-* \-??\ _€_-;_-@</c:formatCode>
                <c:ptCount val="1"/>
                <c:pt idx="0">
                  <c:v>3</c:v>
                </c:pt>
              </c:numCache>
            </c:numRef>
          </c:val>
          <c:smooth val="0"/>
          <c:extLst>
            <c:ext xmlns:c16="http://schemas.microsoft.com/office/drawing/2014/chart" uri="{C3380CC4-5D6E-409C-BE32-E72D297353CC}">
              <c16:uniqueId val="{00000023-0C1F-4460-BB7E-E57A915EF16D}"/>
            </c:ext>
          </c:extLst>
        </c:ser>
        <c:ser>
          <c:idx val="36"/>
          <c:order val="36"/>
          <c:spPr>
            <a:ln cmpd="sng">
              <a:solidFill>
                <a:srgbClr val="966108"/>
              </a:solidFill>
              <a:prstDash val="solid"/>
            </a:ln>
          </c:spPr>
          <c:marker>
            <c:symbol val="none"/>
          </c:marker>
          <c:val>
            <c:numRef>
              <c:f>'Proy. ventas'!$AA$84</c:f>
              <c:numCache>
                <c:formatCode>_-* #,##0\ _€_-;\-* #,##0\ _€_-;_-* \-??\ _€_-;_-@</c:formatCode>
                <c:ptCount val="1"/>
                <c:pt idx="0">
                  <c:v>3</c:v>
                </c:pt>
              </c:numCache>
            </c:numRef>
          </c:val>
          <c:smooth val="0"/>
          <c:extLst>
            <c:ext xmlns:c16="http://schemas.microsoft.com/office/drawing/2014/chart" uri="{C3380CC4-5D6E-409C-BE32-E72D297353CC}">
              <c16:uniqueId val="{00000024-0C1F-4460-BB7E-E57A915EF16D}"/>
            </c:ext>
          </c:extLst>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r>
                  <a:rPr lang="en-US"/>
                  <a:t>None</a:t>
                </a: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n-US"/>
                  <a:t>None</a:t>
                </a:r>
              </a:p>
            </c:rich>
          </c:tx>
          <c:overlay val="0"/>
        </c:title>
        <c:numFmt formatCode="_-* #,##0\ _€_-;\-* #,##0\ _€_-;_-* \-??\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ventas'!$E$144</c:f>
              <c:numCache>
                <c:formatCode>_-* #,##0\ _€_-;\-* #,##0\ _€_-;_-* \-??\ _€_-;_-@</c:formatCode>
                <c:ptCount val="1"/>
                <c:pt idx="0">
                  <c:v>8</c:v>
                </c:pt>
              </c:numCache>
            </c:numRef>
          </c:val>
          <c:smooth val="0"/>
          <c:extLst>
            <c:ext xmlns:c16="http://schemas.microsoft.com/office/drawing/2014/chart" uri="{C3380CC4-5D6E-409C-BE32-E72D297353CC}">
              <c16:uniqueId val="{00000000-8F5D-44D4-8D56-75319B5DC802}"/>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ventas'!$G$144</c:f>
              <c:numCache>
                <c:formatCode>_-* #,##0\ _€_-;\-* #,##0\ _€_-;_-* \-??\ _€_-;_-@</c:formatCode>
                <c:ptCount val="1"/>
                <c:pt idx="0">
                  <c:v>8</c:v>
                </c:pt>
              </c:numCache>
            </c:numRef>
          </c:val>
          <c:smooth val="0"/>
          <c:extLst>
            <c:ext xmlns:c16="http://schemas.microsoft.com/office/drawing/2014/chart" uri="{C3380CC4-5D6E-409C-BE32-E72D297353CC}">
              <c16:uniqueId val="{00000001-8F5D-44D4-8D56-75319B5DC802}"/>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ventas'!$I$144</c:f>
              <c:numCache>
                <c:formatCode>_-* #,##0\ _€_-;\-* #,##0\ _€_-;_-* \-??\ _€_-;_-@</c:formatCode>
                <c:ptCount val="1"/>
                <c:pt idx="0">
                  <c:v>9</c:v>
                </c:pt>
              </c:numCache>
            </c:numRef>
          </c:val>
          <c:smooth val="0"/>
          <c:extLst>
            <c:ext xmlns:c16="http://schemas.microsoft.com/office/drawing/2014/chart" uri="{C3380CC4-5D6E-409C-BE32-E72D297353CC}">
              <c16:uniqueId val="{00000002-8F5D-44D4-8D56-75319B5DC802}"/>
            </c:ext>
          </c:extLst>
        </c:ser>
        <c:ser>
          <c:idx val="3"/>
          <c:order val="3"/>
          <c:spPr>
            <a:ln cmpd="sng">
              <a:solidFill>
                <a:srgbClr val="FFC000"/>
              </a:solidFill>
              <a:prstDash val="solid"/>
            </a:ln>
          </c:spPr>
          <c:marker>
            <c:symbol val="none"/>
          </c:marker>
          <c:val>
            <c:numRef>
              <c:f>'Proy. ventas'!$K$144</c:f>
              <c:numCache>
                <c:formatCode>_-* #,##0\ _€_-;\-* #,##0\ _€_-;_-* \-??\ _€_-;_-@</c:formatCode>
                <c:ptCount val="1"/>
                <c:pt idx="0">
                  <c:v>9</c:v>
                </c:pt>
              </c:numCache>
            </c:numRef>
          </c:val>
          <c:smooth val="0"/>
          <c:extLst>
            <c:ext xmlns:c16="http://schemas.microsoft.com/office/drawing/2014/chart" uri="{C3380CC4-5D6E-409C-BE32-E72D297353CC}">
              <c16:uniqueId val="{00000003-8F5D-44D4-8D56-75319B5DC802}"/>
            </c:ext>
          </c:extLst>
        </c:ser>
        <c:ser>
          <c:idx val="4"/>
          <c:order val="4"/>
          <c:spPr>
            <a:ln cmpd="sng">
              <a:solidFill>
                <a:srgbClr val="5B9BD5"/>
              </a:solidFill>
              <a:prstDash val="solid"/>
            </a:ln>
          </c:spPr>
          <c:marker>
            <c:symbol val="none"/>
          </c:marker>
          <c:val>
            <c:numRef>
              <c:f>'Proy. ventas'!$M$144</c:f>
              <c:numCache>
                <c:formatCode>_-* #,##0\ _€_-;\-* #,##0\ _€_-;_-* \-??\ _€_-;_-@</c:formatCode>
                <c:ptCount val="1"/>
                <c:pt idx="0">
                  <c:v>9</c:v>
                </c:pt>
              </c:numCache>
            </c:numRef>
          </c:val>
          <c:smooth val="0"/>
          <c:extLst>
            <c:ext xmlns:c16="http://schemas.microsoft.com/office/drawing/2014/chart" uri="{C3380CC4-5D6E-409C-BE32-E72D297353CC}">
              <c16:uniqueId val="{00000004-8F5D-44D4-8D56-75319B5DC802}"/>
            </c:ext>
          </c:extLst>
        </c:ser>
        <c:ser>
          <c:idx val="5"/>
          <c:order val="5"/>
          <c:spPr>
            <a:ln cmpd="sng">
              <a:solidFill>
                <a:srgbClr val="70AD47"/>
              </a:solidFill>
              <a:prstDash val="solid"/>
            </a:ln>
          </c:spPr>
          <c:marker>
            <c:symbol val="none"/>
          </c:marker>
          <c:val>
            <c:numRef>
              <c:f>'Proy. ventas'!$O$144</c:f>
              <c:numCache>
                <c:formatCode>_-* #,##0\ _€_-;\-* #,##0\ _€_-;_-* \-??\ _€_-;_-@</c:formatCode>
                <c:ptCount val="1"/>
                <c:pt idx="0">
                  <c:v>9</c:v>
                </c:pt>
              </c:numCache>
            </c:numRef>
          </c:val>
          <c:smooth val="0"/>
          <c:extLst>
            <c:ext xmlns:c16="http://schemas.microsoft.com/office/drawing/2014/chart" uri="{C3380CC4-5D6E-409C-BE32-E72D297353CC}">
              <c16:uniqueId val="{00000005-8F5D-44D4-8D56-75319B5DC802}"/>
            </c:ext>
          </c:extLst>
        </c:ser>
        <c:ser>
          <c:idx val="6"/>
          <c:order val="6"/>
          <c:spPr>
            <a:ln cmpd="sng">
              <a:solidFill>
                <a:srgbClr val="7C9CD6"/>
              </a:solidFill>
              <a:prstDash val="solid"/>
            </a:ln>
          </c:spPr>
          <c:marker>
            <c:symbol val="none"/>
          </c:marker>
          <c:val>
            <c:numRef>
              <c:f>'Proy. ventas'!$Q$144</c:f>
              <c:numCache>
                <c:formatCode>_-* #,##0\ _€_-;\-* #,##0\ _€_-;_-* \-??\ _€_-;_-@</c:formatCode>
                <c:ptCount val="1"/>
                <c:pt idx="0">
                  <c:v>10</c:v>
                </c:pt>
              </c:numCache>
            </c:numRef>
          </c:val>
          <c:smooth val="0"/>
          <c:extLst>
            <c:ext xmlns:c16="http://schemas.microsoft.com/office/drawing/2014/chart" uri="{C3380CC4-5D6E-409C-BE32-E72D297353CC}">
              <c16:uniqueId val="{00000006-8F5D-44D4-8D56-75319B5DC802}"/>
            </c:ext>
          </c:extLst>
        </c:ser>
        <c:ser>
          <c:idx val="7"/>
          <c:order val="7"/>
          <c:spPr>
            <a:ln cmpd="sng">
              <a:solidFill>
                <a:srgbClr val="F2A46F"/>
              </a:solidFill>
              <a:prstDash val="solid"/>
            </a:ln>
          </c:spPr>
          <c:marker>
            <c:symbol val="none"/>
          </c:marker>
          <c:val>
            <c:numRef>
              <c:f>'Proy. ventas'!$S$144</c:f>
              <c:numCache>
                <c:formatCode>_-* #,##0\ _€_-;\-* #,##0\ _€_-;_-* \-??\ _€_-;_-@</c:formatCode>
                <c:ptCount val="1"/>
                <c:pt idx="0">
                  <c:v>10</c:v>
                </c:pt>
              </c:numCache>
            </c:numRef>
          </c:val>
          <c:smooth val="0"/>
          <c:extLst>
            <c:ext xmlns:c16="http://schemas.microsoft.com/office/drawing/2014/chart" uri="{C3380CC4-5D6E-409C-BE32-E72D297353CC}">
              <c16:uniqueId val="{00000007-8F5D-44D4-8D56-75319B5DC802}"/>
            </c:ext>
          </c:extLst>
        </c:ser>
        <c:ser>
          <c:idx val="8"/>
          <c:order val="8"/>
          <c:spPr>
            <a:ln cmpd="sng">
              <a:solidFill>
                <a:srgbClr val="C0C0C0"/>
              </a:solidFill>
              <a:prstDash val="solid"/>
            </a:ln>
          </c:spPr>
          <c:marker>
            <c:symbol val="none"/>
          </c:marker>
          <c:val>
            <c:numRef>
              <c:f>'Proy. ventas'!$U$144</c:f>
              <c:numCache>
                <c:formatCode>_-* #,##0\ _€_-;\-* #,##0\ _€_-;_-* \-??\ _€_-;_-@</c:formatCode>
                <c:ptCount val="1"/>
                <c:pt idx="0">
                  <c:v>11</c:v>
                </c:pt>
              </c:numCache>
            </c:numRef>
          </c:val>
          <c:smooth val="0"/>
          <c:extLst>
            <c:ext xmlns:c16="http://schemas.microsoft.com/office/drawing/2014/chart" uri="{C3380CC4-5D6E-409C-BE32-E72D297353CC}">
              <c16:uniqueId val="{00000008-8F5D-44D4-8D56-75319B5DC802}"/>
            </c:ext>
          </c:extLst>
        </c:ser>
        <c:ser>
          <c:idx val="9"/>
          <c:order val="9"/>
          <c:spPr>
            <a:ln cmpd="sng">
              <a:solidFill>
                <a:srgbClr val="FFD34D"/>
              </a:solidFill>
              <a:prstDash val="solid"/>
            </a:ln>
          </c:spPr>
          <c:marker>
            <c:symbol val="none"/>
          </c:marker>
          <c:val>
            <c:numRef>
              <c:f>'Proy. ventas'!$W$144</c:f>
              <c:numCache>
                <c:formatCode>_-* #,##0\ _€_-;\-* #,##0\ _€_-;_-* \-??\ _€_-;_-@</c:formatCode>
                <c:ptCount val="1"/>
                <c:pt idx="0">
                  <c:v>11</c:v>
                </c:pt>
              </c:numCache>
            </c:numRef>
          </c:val>
          <c:smooth val="0"/>
          <c:extLst>
            <c:ext xmlns:c16="http://schemas.microsoft.com/office/drawing/2014/chart" uri="{C3380CC4-5D6E-409C-BE32-E72D297353CC}">
              <c16:uniqueId val="{00000009-8F5D-44D4-8D56-75319B5DC802}"/>
            </c:ext>
          </c:extLst>
        </c:ser>
        <c:ser>
          <c:idx val="10"/>
          <c:order val="10"/>
          <c:spPr>
            <a:ln cmpd="sng">
              <a:solidFill>
                <a:srgbClr val="8CB9E2"/>
              </a:solidFill>
              <a:prstDash val="solid"/>
            </a:ln>
          </c:spPr>
          <c:marker>
            <c:symbol val="none"/>
          </c:marker>
          <c:val>
            <c:numRef>
              <c:f>'Proy. ventas'!$Y$144</c:f>
              <c:numCache>
                <c:formatCode>_-* #,##0\ _€_-;\-* #,##0\ _€_-;_-* \-??\ _€_-;_-@</c:formatCode>
                <c:ptCount val="1"/>
                <c:pt idx="0">
                  <c:v>12</c:v>
                </c:pt>
              </c:numCache>
            </c:numRef>
          </c:val>
          <c:smooth val="0"/>
          <c:extLst>
            <c:ext xmlns:c16="http://schemas.microsoft.com/office/drawing/2014/chart" uri="{C3380CC4-5D6E-409C-BE32-E72D297353CC}">
              <c16:uniqueId val="{0000000A-8F5D-44D4-8D56-75319B5DC802}"/>
            </c:ext>
          </c:extLst>
        </c:ser>
        <c:ser>
          <c:idx val="11"/>
          <c:order val="11"/>
          <c:spPr>
            <a:ln cmpd="sng">
              <a:solidFill>
                <a:srgbClr val="9BC67E"/>
              </a:solidFill>
              <a:prstDash val="solid"/>
            </a:ln>
          </c:spPr>
          <c:marker>
            <c:symbol val="none"/>
          </c:marker>
          <c:val>
            <c:numRef>
              <c:f>'Proy. ventas'!$AA$144</c:f>
              <c:numCache>
                <c:formatCode>_-* #,##0\ _€_-;\-* #,##0\ _€_-;_-* \-??\ _€_-;_-@</c:formatCode>
                <c:ptCount val="1"/>
                <c:pt idx="0">
                  <c:v>12</c:v>
                </c:pt>
              </c:numCache>
            </c:numRef>
          </c:val>
          <c:smooth val="0"/>
          <c:extLst>
            <c:ext xmlns:c16="http://schemas.microsoft.com/office/drawing/2014/chart" uri="{C3380CC4-5D6E-409C-BE32-E72D297353CC}">
              <c16:uniqueId val="{0000000B-8F5D-44D4-8D56-75319B5DC802}"/>
            </c:ext>
          </c:extLst>
        </c:ser>
        <c:ser>
          <c:idx val="12"/>
          <c:order val="12"/>
          <c:spPr>
            <a:ln cmpd="sng">
              <a:solidFill>
                <a:srgbClr val="B4C7E7"/>
              </a:solidFill>
              <a:prstDash val="solid"/>
            </a:ln>
          </c:spPr>
          <c:marker>
            <c:symbol val="none"/>
          </c:marker>
          <c:val>
            <c:numRef>
              <c:f>'Proy. ventas'!$E$145</c:f>
              <c:numCache>
                <c:formatCode>_-* #,##0\ _€_-;\-* #,##0\ _€_-;_-* \-??\ _€_-;_-@</c:formatCode>
                <c:ptCount val="1"/>
                <c:pt idx="0">
                  <c:v>19</c:v>
                </c:pt>
              </c:numCache>
            </c:numRef>
          </c:val>
          <c:smooth val="0"/>
          <c:extLst>
            <c:ext xmlns:c16="http://schemas.microsoft.com/office/drawing/2014/chart" uri="{C3380CC4-5D6E-409C-BE32-E72D297353CC}">
              <c16:uniqueId val="{0000000C-8F5D-44D4-8D56-75319B5DC802}"/>
            </c:ext>
          </c:extLst>
        </c:ser>
        <c:ser>
          <c:idx val="13"/>
          <c:order val="13"/>
          <c:spPr>
            <a:ln cmpd="sng">
              <a:solidFill>
                <a:srgbClr val="F8CBAD"/>
              </a:solidFill>
              <a:prstDash val="solid"/>
            </a:ln>
          </c:spPr>
          <c:marker>
            <c:symbol val="none"/>
          </c:marker>
          <c:val>
            <c:numRef>
              <c:f>'Proy. ventas'!$G$145</c:f>
              <c:numCache>
                <c:formatCode>_-* #,##0\ _€_-;\-* #,##0\ _€_-;_-* \-??\ _€_-;_-@</c:formatCode>
                <c:ptCount val="1"/>
                <c:pt idx="0">
                  <c:v>19</c:v>
                </c:pt>
              </c:numCache>
            </c:numRef>
          </c:val>
          <c:smooth val="0"/>
          <c:extLst>
            <c:ext xmlns:c16="http://schemas.microsoft.com/office/drawing/2014/chart" uri="{C3380CC4-5D6E-409C-BE32-E72D297353CC}">
              <c16:uniqueId val="{0000000D-8F5D-44D4-8D56-75319B5DC802}"/>
            </c:ext>
          </c:extLst>
        </c:ser>
        <c:ser>
          <c:idx val="14"/>
          <c:order val="14"/>
          <c:spPr>
            <a:ln cmpd="sng">
              <a:solidFill>
                <a:srgbClr val="DBDBDB"/>
              </a:solidFill>
              <a:prstDash val="solid"/>
            </a:ln>
          </c:spPr>
          <c:marker>
            <c:symbol val="none"/>
          </c:marker>
          <c:val>
            <c:numRef>
              <c:f>'Proy. ventas'!$I$145</c:f>
              <c:numCache>
                <c:formatCode>_-* #,##0\ _€_-;\-* #,##0\ _€_-;_-* \-??\ _€_-;_-@</c:formatCode>
                <c:ptCount val="1"/>
                <c:pt idx="0">
                  <c:v>21</c:v>
                </c:pt>
              </c:numCache>
            </c:numRef>
          </c:val>
          <c:smooth val="0"/>
          <c:extLst>
            <c:ext xmlns:c16="http://schemas.microsoft.com/office/drawing/2014/chart" uri="{C3380CC4-5D6E-409C-BE32-E72D297353CC}">
              <c16:uniqueId val="{0000000E-8F5D-44D4-8D56-75319B5DC802}"/>
            </c:ext>
          </c:extLst>
        </c:ser>
        <c:ser>
          <c:idx val="15"/>
          <c:order val="15"/>
          <c:spPr>
            <a:ln cmpd="sng">
              <a:solidFill>
                <a:srgbClr val="FFE699"/>
              </a:solidFill>
              <a:prstDash val="solid"/>
            </a:ln>
          </c:spPr>
          <c:marker>
            <c:symbol val="none"/>
          </c:marker>
          <c:val>
            <c:numRef>
              <c:f>'Proy. ventas'!$K$145</c:f>
              <c:numCache>
                <c:formatCode>_-* #,##0\ _€_-;\-* #,##0\ _€_-;_-* \-??\ _€_-;_-@</c:formatCode>
                <c:ptCount val="1"/>
                <c:pt idx="0">
                  <c:v>21</c:v>
                </c:pt>
              </c:numCache>
            </c:numRef>
          </c:val>
          <c:smooth val="0"/>
          <c:extLst>
            <c:ext xmlns:c16="http://schemas.microsoft.com/office/drawing/2014/chart" uri="{C3380CC4-5D6E-409C-BE32-E72D297353CC}">
              <c16:uniqueId val="{0000000F-8F5D-44D4-8D56-75319B5DC802}"/>
            </c:ext>
          </c:extLst>
        </c:ser>
        <c:ser>
          <c:idx val="16"/>
          <c:order val="16"/>
          <c:spPr>
            <a:ln cmpd="sng">
              <a:solidFill>
                <a:srgbClr val="BDD7EE"/>
              </a:solidFill>
              <a:prstDash val="solid"/>
            </a:ln>
          </c:spPr>
          <c:marker>
            <c:symbol val="none"/>
          </c:marker>
          <c:val>
            <c:numRef>
              <c:f>'Proy. ventas'!$M$145</c:f>
              <c:numCache>
                <c:formatCode>_-* #,##0\ _€_-;\-* #,##0\ _€_-;_-* \-??\ _€_-;_-@</c:formatCode>
                <c:ptCount val="1"/>
                <c:pt idx="0">
                  <c:v>22</c:v>
                </c:pt>
              </c:numCache>
            </c:numRef>
          </c:val>
          <c:smooth val="0"/>
          <c:extLst>
            <c:ext xmlns:c16="http://schemas.microsoft.com/office/drawing/2014/chart" uri="{C3380CC4-5D6E-409C-BE32-E72D297353CC}">
              <c16:uniqueId val="{00000010-8F5D-44D4-8D56-75319B5DC802}"/>
            </c:ext>
          </c:extLst>
        </c:ser>
        <c:ser>
          <c:idx val="17"/>
          <c:order val="17"/>
          <c:spPr>
            <a:ln cmpd="sng">
              <a:solidFill>
                <a:srgbClr val="C6DEB5"/>
              </a:solidFill>
              <a:prstDash val="solid"/>
            </a:ln>
          </c:spPr>
          <c:marker>
            <c:symbol val="none"/>
          </c:marker>
          <c:val>
            <c:numRef>
              <c:f>'Proy. ventas'!$O$145</c:f>
              <c:numCache>
                <c:formatCode>_-* #,##0\ _€_-;\-* #,##0\ _€_-;_-* \-??\ _€_-;_-@</c:formatCode>
                <c:ptCount val="1"/>
                <c:pt idx="0">
                  <c:v>22</c:v>
                </c:pt>
              </c:numCache>
            </c:numRef>
          </c:val>
          <c:smooth val="0"/>
          <c:extLst>
            <c:ext xmlns:c16="http://schemas.microsoft.com/office/drawing/2014/chart" uri="{C3380CC4-5D6E-409C-BE32-E72D297353CC}">
              <c16:uniqueId val="{00000011-8F5D-44D4-8D56-75319B5DC802}"/>
            </c:ext>
          </c:extLst>
        </c:ser>
        <c:ser>
          <c:idx val="18"/>
          <c:order val="18"/>
          <c:spPr>
            <a:ln cmpd="sng">
              <a:solidFill>
                <a:srgbClr val="ECF1F9"/>
              </a:solidFill>
              <a:prstDash val="solid"/>
            </a:ln>
          </c:spPr>
          <c:marker>
            <c:symbol val="none"/>
          </c:marker>
          <c:val>
            <c:numRef>
              <c:f>'Proy. ventas'!$Q$145</c:f>
              <c:numCache>
                <c:formatCode>_-* #,##0\ _€_-;\-* #,##0\ _€_-;_-* \-??\ _€_-;_-@</c:formatCode>
                <c:ptCount val="1"/>
                <c:pt idx="0">
                  <c:v>24</c:v>
                </c:pt>
              </c:numCache>
            </c:numRef>
          </c:val>
          <c:smooth val="0"/>
          <c:extLst>
            <c:ext xmlns:c16="http://schemas.microsoft.com/office/drawing/2014/chart" uri="{C3380CC4-5D6E-409C-BE32-E72D297353CC}">
              <c16:uniqueId val="{00000012-8F5D-44D4-8D56-75319B5DC802}"/>
            </c:ext>
          </c:extLst>
        </c:ser>
        <c:ser>
          <c:idx val="19"/>
          <c:order val="19"/>
          <c:spPr>
            <a:ln cmpd="sng">
              <a:solidFill>
                <a:srgbClr val="FDF2EA"/>
              </a:solidFill>
              <a:prstDash val="solid"/>
            </a:ln>
          </c:spPr>
          <c:marker>
            <c:symbol val="none"/>
          </c:marker>
          <c:val>
            <c:numRef>
              <c:f>'Proy. ventas'!$S$145</c:f>
              <c:numCache>
                <c:formatCode>_-* #,##0\ _€_-;\-* #,##0\ _€_-;_-* \-??\ _€_-;_-@</c:formatCode>
                <c:ptCount val="1"/>
                <c:pt idx="0">
                  <c:v>24</c:v>
                </c:pt>
              </c:numCache>
            </c:numRef>
          </c:val>
          <c:smooth val="0"/>
          <c:extLst>
            <c:ext xmlns:c16="http://schemas.microsoft.com/office/drawing/2014/chart" uri="{C3380CC4-5D6E-409C-BE32-E72D297353CC}">
              <c16:uniqueId val="{00000013-8F5D-44D4-8D56-75319B5DC802}"/>
            </c:ext>
          </c:extLst>
        </c:ser>
        <c:ser>
          <c:idx val="20"/>
          <c:order val="20"/>
          <c:spPr>
            <a:ln cmpd="sng">
              <a:solidFill>
                <a:srgbClr val="F6F6F6"/>
              </a:solidFill>
              <a:prstDash val="solid"/>
            </a:ln>
          </c:spPr>
          <c:marker>
            <c:symbol val="none"/>
          </c:marker>
          <c:val>
            <c:numRef>
              <c:f>'Proy. ventas'!$U$145</c:f>
              <c:numCache>
                <c:formatCode>_-* #,##0\ _€_-;\-* #,##0\ _€_-;_-* \-??\ _€_-;_-@</c:formatCode>
                <c:ptCount val="1"/>
                <c:pt idx="0">
                  <c:v>25</c:v>
                </c:pt>
              </c:numCache>
            </c:numRef>
          </c:val>
          <c:smooth val="0"/>
          <c:extLst>
            <c:ext xmlns:c16="http://schemas.microsoft.com/office/drawing/2014/chart" uri="{C3380CC4-5D6E-409C-BE32-E72D297353CC}">
              <c16:uniqueId val="{00000014-8F5D-44D4-8D56-75319B5DC802}"/>
            </c:ext>
          </c:extLst>
        </c:ser>
        <c:ser>
          <c:idx val="21"/>
          <c:order val="21"/>
          <c:spPr>
            <a:ln cmpd="sng">
              <a:solidFill>
                <a:srgbClr val="FFF9E6"/>
              </a:solidFill>
              <a:prstDash val="solid"/>
            </a:ln>
          </c:spPr>
          <c:marker>
            <c:symbol val="none"/>
          </c:marker>
          <c:val>
            <c:numRef>
              <c:f>'Proy. ventas'!$W$145</c:f>
              <c:numCache>
                <c:formatCode>_-* #,##0\ _€_-;\-* #,##0\ _€_-;_-* \-??\ _€_-;_-@</c:formatCode>
                <c:ptCount val="1"/>
                <c:pt idx="0">
                  <c:v>25</c:v>
                </c:pt>
              </c:numCache>
            </c:numRef>
          </c:val>
          <c:smooth val="0"/>
          <c:extLst>
            <c:ext xmlns:c16="http://schemas.microsoft.com/office/drawing/2014/chart" uri="{C3380CC4-5D6E-409C-BE32-E72D297353CC}">
              <c16:uniqueId val="{00000015-8F5D-44D4-8D56-75319B5DC802}"/>
            </c:ext>
          </c:extLst>
        </c:ser>
        <c:ser>
          <c:idx val="22"/>
          <c:order val="22"/>
          <c:spPr>
            <a:ln cmpd="sng">
              <a:solidFill>
                <a:srgbClr val="EFF5FB"/>
              </a:solidFill>
              <a:prstDash val="solid"/>
            </a:ln>
          </c:spPr>
          <c:marker>
            <c:symbol val="none"/>
          </c:marker>
          <c:val>
            <c:numRef>
              <c:f>'Proy. ventas'!$W$146</c:f>
              <c:numCache>
                <c:formatCode>_-* #,##0\ _€_-;\-* #,##0\ _€_-;_-* \-??\ _€_-;_-@</c:formatCode>
                <c:ptCount val="1"/>
                <c:pt idx="0">
                  <c:v>4</c:v>
                </c:pt>
              </c:numCache>
            </c:numRef>
          </c:val>
          <c:smooth val="0"/>
          <c:extLst>
            <c:ext xmlns:c16="http://schemas.microsoft.com/office/drawing/2014/chart" uri="{C3380CC4-5D6E-409C-BE32-E72D297353CC}">
              <c16:uniqueId val="{00000016-8F5D-44D4-8D56-75319B5DC802}"/>
            </c:ext>
          </c:extLst>
        </c:ser>
        <c:ser>
          <c:idx val="23"/>
          <c:order val="23"/>
          <c:spPr>
            <a:ln cmpd="sng">
              <a:solidFill>
                <a:srgbClr val="F1F7ED"/>
              </a:solidFill>
              <a:prstDash val="solid"/>
            </a:ln>
          </c:spPr>
          <c:marker>
            <c:symbol val="none"/>
          </c:marker>
          <c:val>
            <c:numRef>
              <c:f>'Proy. ventas'!$Y$145</c:f>
              <c:numCache>
                <c:formatCode>_-* #,##0\ _€_-;\-* #,##0\ _€_-;_-* \-??\ _€_-;_-@</c:formatCode>
                <c:ptCount val="1"/>
                <c:pt idx="0">
                  <c:v>28</c:v>
                </c:pt>
              </c:numCache>
            </c:numRef>
          </c:val>
          <c:smooth val="0"/>
          <c:extLst>
            <c:ext xmlns:c16="http://schemas.microsoft.com/office/drawing/2014/chart" uri="{C3380CC4-5D6E-409C-BE32-E72D297353CC}">
              <c16:uniqueId val="{00000017-8F5D-44D4-8D56-75319B5DC802}"/>
            </c:ext>
          </c:extLst>
        </c:ser>
        <c:ser>
          <c:idx val="24"/>
          <c:order val="24"/>
          <c:spPr>
            <a:ln cmpd="sng">
              <a:solidFill>
                <a:srgbClr val="241B0B"/>
              </a:solidFill>
              <a:prstDash val="solid"/>
            </a:ln>
          </c:spPr>
          <c:marker>
            <c:symbol val="none"/>
          </c:marker>
          <c:val>
            <c:numRef>
              <c:f>'Proy. ventas'!$AA$145</c:f>
              <c:numCache>
                <c:formatCode>_-* #,##0\ _€_-;\-* #,##0\ _€_-;_-* \-??\ _€_-;_-@</c:formatCode>
                <c:ptCount val="1"/>
                <c:pt idx="0">
                  <c:v>28</c:v>
                </c:pt>
              </c:numCache>
            </c:numRef>
          </c:val>
          <c:smooth val="0"/>
          <c:extLst>
            <c:ext xmlns:c16="http://schemas.microsoft.com/office/drawing/2014/chart" uri="{C3380CC4-5D6E-409C-BE32-E72D297353CC}">
              <c16:uniqueId val="{00000018-8F5D-44D4-8D56-75319B5DC802}"/>
            </c:ext>
          </c:extLst>
        </c:ser>
        <c:ser>
          <c:idx val="25"/>
          <c:order val="25"/>
          <c:spPr>
            <a:ln cmpd="sng">
              <a:solidFill>
                <a:srgbClr val="031928"/>
              </a:solidFill>
              <a:prstDash val="solid"/>
            </a:ln>
          </c:spPr>
          <c:marker>
            <c:symbol val="none"/>
          </c:marker>
          <c:val>
            <c:numRef>
              <c:f>'Proy. ventas'!$E$146</c:f>
              <c:numCache>
                <c:formatCode>_-* #,##0\ _€_-;\-* #,##0\ _€_-;_-* \-??\ _€_-;_-@</c:formatCode>
                <c:ptCount val="1"/>
                <c:pt idx="0">
                  <c:v>3</c:v>
                </c:pt>
              </c:numCache>
            </c:numRef>
          </c:val>
          <c:smooth val="0"/>
          <c:extLst>
            <c:ext xmlns:c16="http://schemas.microsoft.com/office/drawing/2014/chart" uri="{C3380CC4-5D6E-409C-BE32-E72D297353CC}">
              <c16:uniqueId val="{00000019-8F5D-44D4-8D56-75319B5DC802}"/>
            </c:ext>
          </c:extLst>
        </c:ser>
        <c:ser>
          <c:idx val="26"/>
          <c:order val="26"/>
          <c:spPr>
            <a:ln cmpd="sng">
              <a:solidFill>
                <a:srgbClr val="111111"/>
              </a:solidFill>
              <a:prstDash val="solid"/>
            </a:ln>
          </c:spPr>
          <c:marker>
            <c:symbol val="none"/>
          </c:marker>
          <c:val>
            <c:numRef>
              <c:f>'Proy. ventas'!$G$146</c:f>
              <c:numCache>
                <c:formatCode>_-* #,##0\ _€_-;\-* #,##0\ _€_-;_-* \-??\ _€_-;_-@</c:formatCode>
                <c:ptCount val="1"/>
                <c:pt idx="0">
                  <c:v>3</c:v>
                </c:pt>
              </c:numCache>
            </c:numRef>
          </c:val>
          <c:smooth val="0"/>
          <c:extLst>
            <c:ext xmlns:c16="http://schemas.microsoft.com/office/drawing/2014/chart" uri="{C3380CC4-5D6E-409C-BE32-E72D297353CC}">
              <c16:uniqueId val="{0000001A-8F5D-44D4-8D56-75319B5DC802}"/>
            </c:ext>
          </c:extLst>
        </c:ser>
        <c:ser>
          <c:idx val="27"/>
          <c:order val="27"/>
          <c:spPr>
            <a:ln cmpd="sng">
              <a:solidFill>
                <a:srgbClr val="FF0C32"/>
              </a:solidFill>
              <a:prstDash val="solid"/>
            </a:ln>
          </c:spPr>
          <c:marker>
            <c:symbol val="none"/>
          </c:marker>
          <c:val>
            <c:numRef>
              <c:f>'Proy. ventas'!$I$146</c:f>
              <c:numCache>
                <c:formatCode>_-* #,##0\ _€_-;\-* #,##0\ _€_-;_-* \-??\ _€_-;_-@</c:formatCode>
                <c:ptCount val="1"/>
                <c:pt idx="0">
                  <c:v>3</c:v>
                </c:pt>
              </c:numCache>
            </c:numRef>
          </c:val>
          <c:smooth val="0"/>
          <c:extLst>
            <c:ext xmlns:c16="http://schemas.microsoft.com/office/drawing/2014/chart" uri="{C3380CC4-5D6E-409C-BE32-E72D297353CC}">
              <c16:uniqueId val="{0000001B-8F5D-44D4-8D56-75319B5DC802}"/>
            </c:ext>
          </c:extLst>
        </c:ser>
        <c:ser>
          <c:idx val="28"/>
          <c:order val="28"/>
          <c:spPr>
            <a:ln cmpd="sng">
              <a:solidFill>
                <a:srgbClr val="201307"/>
              </a:solidFill>
              <a:prstDash val="solid"/>
            </a:ln>
          </c:spPr>
          <c:marker>
            <c:symbol val="none"/>
          </c:marker>
          <c:val>
            <c:numRef>
              <c:f>'Proy. ventas'!$K$146</c:f>
              <c:numCache>
                <c:formatCode>_-* #,##0\ _€_-;\-* #,##0\ _€_-;_-* \-??\ _€_-;_-@</c:formatCode>
                <c:ptCount val="1"/>
                <c:pt idx="0">
                  <c:v>3</c:v>
                </c:pt>
              </c:numCache>
            </c:numRef>
          </c:val>
          <c:smooth val="0"/>
          <c:extLst>
            <c:ext xmlns:c16="http://schemas.microsoft.com/office/drawing/2014/chart" uri="{C3380CC4-5D6E-409C-BE32-E72D297353CC}">
              <c16:uniqueId val="{0000001C-8F5D-44D4-8D56-75319B5DC802}"/>
            </c:ext>
          </c:extLst>
        </c:ser>
        <c:ser>
          <c:idx val="29"/>
          <c:order val="29"/>
          <c:spPr>
            <a:ln cmpd="sng">
              <a:solidFill>
                <a:srgbClr val="1C0F24"/>
              </a:solidFill>
              <a:prstDash val="solid"/>
            </a:ln>
          </c:spPr>
          <c:marker>
            <c:symbol val="none"/>
          </c:marker>
          <c:val>
            <c:numRef>
              <c:f>'Proy. ventas'!$M$146</c:f>
              <c:numCache>
                <c:formatCode>_-* #,##0\ _€_-;\-* #,##0\ _€_-;_-* \-??\ _€_-;_-@</c:formatCode>
                <c:ptCount val="1"/>
                <c:pt idx="0">
                  <c:v>3</c:v>
                </c:pt>
              </c:numCache>
            </c:numRef>
          </c:val>
          <c:smooth val="0"/>
          <c:extLst>
            <c:ext xmlns:c16="http://schemas.microsoft.com/office/drawing/2014/chart" uri="{C3380CC4-5D6E-409C-BE32-E72D297353CC}">
              <c16:uniqueId val="{0000001D-8F5D-44D4-8D56-75319B5DC802}"/>
            </c:ext>
          </c:extLst>
        </c:ser>
        <c:ser>
          <c:idx val="30"/>
          <c:order val="30"/>
          <c:spPr>
            <a:ln cmpd="sng">
              <a:solidFill>
                <a:srgbClr val="5D461D"/>
              </a:solidFill>
              <a:prstDash val="solid"/>
            </a:ln>
          </c:spPr>
          <c:marker>
            <c:symbol val="none"/>
          </c:marker>
          <c:val>
            <c:numRef>
              <c:f>'Proy. ventas'!$O$146</c:f>
              <c:numCache>
                <c:formatCode>_-* #,##0\ _€_-;\-* #,##0\ _€_-;_-* \-??\ _€_-;_-@</c:formatCode>
                <c:ptCount val="1"/>
                <c:pt idx="0">
                  <c:v>3</c:v>
                </c:pt>
              </c:numCache>
            </c:numRef>
          </c:val>
          <c:smooth val="0"/>
          <c:extLst>
            <c:ext xmlns:c16="http://schemas.microsoft.com/office/drawing/2014/chart" uri="{C3380CC4-5D6E-409C-BE32-E72D297353CC}">
              <c16:uniqueId val="{0000001E-8F5D-44D4-8D56-75319B5DC802}"/>
            </c:ext>
          </c:extLst>
        </c:ser>
        <c:ser>
          <c:idx val="31"/>
          <c:order val="31"/>
          <c:spPr>
            <a:ln cmpd="sng">
              <a:solidFill>
                <a:srgbClr val="084066"/>
              </a:solidFill>
              <a:prstDash val="solid"/>
            </a:ln>
          </c:spPr>
          <c:marker>
            <c:symbol val="none"/>
          </c:marker>
          <c:val>
            <c:numRef>
              <c:f>'Proy. ventas'!$Q$146</c:f>
              <c:numCache>
                <c:formatCode>_-* #,##0\ _€_-;\-* #,##0\ _€_-;_-* \-??\ _€_-;_-@</c:formatCode>
                <c:ptCount val="1"/>
                <c:pt idx="0">
                  <c:v>3</c:v>
                </c:pt>
              </c:numCache>
            </c:numRef>
          </c:val>
          <c:smooth val="0"/>
          <c:extLst>
            <c:ext xmlns:c16="http://schemas.microsoft.com/office/drawing/2014/chart" uri="{C3380CC4-5D6E-409C-BE32-E72D297353CC}">
              <c16:uniqueId val="{0000001F-8F5D-44D4-8D56-75319B5DC802}"/>
            </c:ext>
          </c:extLst>
        </c:ser>
        <c:ser>
          <c:idx val="32"/>
          <c:order val="32"/>
          <c:spPr>
            <a:ln cmpd="sng">
              <a:solidFill>
                <a:srgbClr val="2C2C2C"/>
              </a:solidFill>
              <a:prstDash val="solid"/>
            </a:ln>
          </c:spPr>
          <c:marker>
            <c:symbol val="none"/>
          </c:marker>
          <c:val>
            <c:numRef>
              <c:f>'Proy. ventas'!$S$146</c:f>
              <c:numCache>
                <c:formatCode>_-* #,##0\ _€_-;\-* #,##0\ _€_-;_-* \-??\ _€_-;_-@</c:formatCode>
                <c:ptCount val="1"/>
                <c:pt idx="0">
                  <c:v>3</c:v>
                </c:pt>
              </c:numCache>
            </c:numRef>
          </c:val>
          <c:smooth val="0"/>
          <c:extLst>
            <c:ext xmlns:c16="http://schemas.microsoft.com/office/drawing/2014/chart" uri="{C3380CC4-5D6E-409C-BE32-E72D297353CC}">
              <c16:uniqueId val="{00000020-8F5D-44D4-8D56-75319B5DC802}"/>
            </c:ext>
          </c:extLst>
        </c:ser>
        <c:ser>
          <c:idx val="33"/>
          <c:order val="33"/>
          <c:spPr>
            <a:ln cmpd="sng">
              <a:solidFill>
                <a:srgbClr val="FF1F7F"/>
              </a:solidFill>
              <a:prstDash val="solid"/>
            </a:ln>
          </c:spPr>
          <c:marker>
            <c:symbol val="none"/>
          </c:marker>
          <c:val>
            <c:numRef>
              <c:f>'Proy. ventas'!$U$146</c:f>
              <c:numCache>
                <c:formatCode>_-* #,##0\ _€_-;\-* #,##0\ _€_-;_-* \-??\ _€_-;_-@</c:formatCode>
                <c:ptCount val="1"/>
                <c:pt idx="0">
                  <c:v>4</c:v>
                </c:pt>
              </c:numCache>
            </c:numRef>
          </c:val>
          <c:smooth val="0"/>
          <c:extLst>
            <c:ext xmlns:c16="http://schemas.microsoft.com/office/drawing/2014/chart" uri="{C3380CC4-5D6E-409C-BE32-E72D297353CC}">
              <c16:uniqueId val="{00000021-8F5D-44D4-8D56-75319B5DC802}"/>
            </c:ext>
          </c:extLst>
        </c:ser>
        <c:ser>
          <c:idx val="34"/>
          <c:order val="34"/>
          <c:spPr>
            <a:ln cmpd="sng">
              <a:solidFill>
                <a:srgbClr val="513114"/>
              </a:solidFill>
              <a:prstDash val="solid"/>
            </a:ln>
          </c:spPr>
          <c:marker>
            <c:symbol val="none"/>
          </c:marker>
          <c:val>
            <c:numRef>
              <c:f>'Proy. ventas'!$W$146</c:f>
              <c:numCache>
                <c:formatCode>_-* #,##0\ _€_-;\-* #,##0\ _€_-;_-* \-??\ _€_-;_-@</c:formatCode>
                <c:ptCount val="1"/>
                <c:pt idx="0">
                  <c:v>4</c:v>
                </c:pt>
              </c:numCache>
            </c:numRef>
          </c:val>
          <c:smooth val="0"/>
          <c:extLst>
            <c:ext xmlns:c16="http://schemas.microsoft.com/office/drawing/2014/chart" uri="{C3380CC4-5D6E-409C-BE32-E72D297353CC}">
              <c16:uniqueId val="{00000022-8F5D-44D4-8D56-75319B5DC802}"/>
            </c:ext>
          </c:extLst>
        </c:ser>
        <c:ser>
          <c:idx val="35"/>
          <c:order val="35"/>
          <c:spPr>
            <a:ln cmpd="sng">
              <a:solidFill>
                <a:srgbClr val="47285B"/>
              </a:solidFill>
              <a:prstDash val="solid"/>
            </a:ln>
          </c:spPr>
          <c:marker>
            <c:symbol val="none"/>
          </c:marker>
          <c:val>
            <c:numRef>
              <c:f>'Proy. ventas'!$Y$146</c:f>
              <c:numCache>
                <c:formatCode>_-* #,##0\ _€_-;\-* #,##0\ _€_-;_-* \-??\ _€_-;_-@</c:formatCode>
                <c:ptCount val="1"/>
                <c:pt idx="0">
                  <c:v>4</c:v>
                </c:pt>
              </c:numCache>
            </c:numRef>
          </c:val>
          <c:smooth val="0"/>
          <c:extLst>
            <c:ext xmlns:c16="http://schemas.microsoft.com/office/drawing/2014/chart" uri="{C3380CC4-5D6E-409C-BE32-E72D297353CC}">
              <c16:uniqueId val="{00000023-8F5D-44D4-8D56-75319B5DC802}"/>
            </c:ext>
          </c:extLst>
        </c:ser>
        <c:ser>
          <c:idx val="36"/>
          <c:order val="36"/>
          <c:spPr>
            <a:ln cmpd="sng">
              <a:solidFill>
                <a:srgbClr val="966108"/>
              </a:solidFill>
              <a:prstDash val="solid"/>
            </a:ln>
          </c:spPr>
          <c:marker>
            <c:symbol val="none"/>
          </c:marker>
          <c:val>
            <c:numRef>
              <c:f>'Proy. ventas'!$AA$146</c:f>
              <c:numCache>
                <c:formatCode>_-* #,##0\ _€_-;\-* #,##0\ _€_-;_-* \-??\ _€_-;_-@</c:formatCode>
                <c:ptCount val="1"/>
                <c:pt idx="0">
                  <c:v>4</c:v>
                </c:pt>
              </c:numCache>
            </c:numRef>
          </c:val>
          <c:smooth val="0"/>
          <c:extLst>
            <c:ext xmlns:c16="http://schemas.microsoft.com/office/drawing/2014/chart" uri="{C3380CC4-5D6E-409C-BE32-E72D297353CC}">
              <c16:uniqueId val="{00000024-8F5D-44D4-8D56-75319B5DC802}"/>
            </c:ext>
          </c:extLst>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r>
                  <a:rPr lang="en-US"/>
                  <a:t>None</a:t>
                </a: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n-US"/>
                  <a:t>None</a:t>
                </a:r>
              </a:p>
            </c:rich>
          </c:tx>
          <c:overlay val="0"/>
        </c:title>
        <c:numFmt formatCode="_-* #,##0\ _€_-;\-* #,##0\ _€_-;_-* \-??\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2026</a:t>
            </a:r>
          </a:p>
        </c:rich>
      </c:tx>
      <c:overlay val="0"/>
    </c:title>
    <c:autoTitleDeleted val="0"/>
    <c:plotArea>
      <c:layout/>
      <c:pieChart>
        <c:varyColors val="1"/>
        <c:ser>
          <c:idx val="0"/>
          <c:order val="0"/>
          <c:tx>
            <c:strRef>
              <c:f>'Mod. ingresos'!$C$16</c:f>
              <c:strCache>
                <c:ptCount val="1"/>
                <c:pt idx="0">
                  <c:v> Ingresos 2026</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E10E-4EBE-8717-9B2FF55A3146}"/>
              </c:ext>
            </c:extLst>
          </c:dPt>
          <c:dPt>
            <c:idx val="1"/>
            <c:bubble3D val="0"/>
            <c:spPr>
              <a:solidFill>
                <a:schemeClr val="accent2"/>
              </a:solidFill>
              <a:ln>
                <a:prstDash val="solid"/>
              </a:ln>
            </c:spPr>
            <c:extLst>
              <c:ext xmlns:c16="http://schemas.microsoft.com/office/drawing/2014/chart" uri="{C3380CC4-5D6E-409C-BE32-E72D297353CC}">
                <c16:uniqueId val="{00000003-E10E-4EBE-8717-9B2FF55A3146}"/>
              </c:ext>
            </c:extLst>
          </c:dPt>
          <c:dPt>
            <c:idx val="2"/>
            <c:bubble3D val="0"/>
            <c:spPr>
              <a:solidFill>
                <a:schemeClr val="accent3"/>
              </a:solidFill>
              <a:ln>
                <a:prstDash val="solid"/>
              </a:ln>
            </c:spPr>
            <c:extLst>
              <c:ext xmlns:c16="http://schemas.microsoft.com/office/drawing/2014/chart" uri="{C3380CC4-5D6E-409C-BE32-E72D297353CC}">
                <c16:uniqueId val="{00000005-E10E-4EBE-8717-9B2FF55A3146}"/>
              </c:ext>
            </c:extLst>
          </c:dPt>
          <c:dPt>
            <c:idx val="3"/>
            <c:bubble3D val="0"/>
            <c:spPr>
              <a:solidFill>
                <a:schemeClr val="accent4"/>
              </a:solidFill>
              <a:ln>
                <a:prstDash val="solid"/>
              </a:ln>
            </c:spPr>
            <c:extLst>
              <c:ext xmlns:c16="http://schemas.microsoft.com/office/drawing/2014/chart" uri="{C3380CC4-5D6E-409C-BE32-E72D297353CC}">
                <c16:uniqueId val="{00000007-E10E-4EBE-8717-9B2FF55A3146}"/>
              </c:ext>
            </c:extLst>
          </c:dPt>
          <c:dPt>
            <c:idx val="4"/>
            <c:bubble3D val="0"/>
            <c:spPr>
              <a:solidFill>
                <a:schemeClr val="accent5"/>
              </a:solidFill>
              <a:ln>
                <a:prstDash val="solid"/>
              </a:ln>
            </c:spPr>
            <c:extLst>
              <c:ext xmlns:c16="http://schemas.microsoft.com/office/drawing/2014/chart" uri="{C3380CC4-5D6E-409C-BE32-E72D297353CC}">
                <c16:uniqueId val="{00000009-E10E-4EBE-8717-9B2FF55A3146}"/>
              </c:ext>
            </c:extLst>
          </c:dPt>
          <c:dPt>
            <c:idx val="5"/>
            <c:bubble3D val="0"/>
            <c:spPr>
              <a:solidFill>
                <a:schemeClr val="accent6"/>
              </a:solidFill>
              <a:ln>
                <a:prstDash val="solid"/>
              </a:ln>
            </c:spPr>
            <c:extLst>
              <c:ext xmlns:c16="http://schemas.microsoft.com/office/drawing/2014/chart" uri="{C3380CC4-5D6E-409C-BE32-E72D297353CC}">
                <c16:uniqueId val="{0000000B-E10E-4EBE-8717-9B2FF55A3146}"/>
              </c:ext>
            </c:extLst>
          </c:dPt>
          <c:dPt>
            <c:idx val="6"/>
            <c:bubble3D val="0"/>
            <c:spPr>
              <a:solidFill>
                <a:schemeClr val="accent1"/>
              </a:solidFill>
              <a:ln>
                <a:prstDash val="solid"/>
              </a:ln>
            </c:spPr>
            <c:extLst>
              <c:ext xmlns:c16="http://schemas.microsoft.com/office/drawing/2014/chart" uri="{C3380CC4-5D6E-409C-BE32-E72D297353CC}">
                <c16:uniqueId val="{0000000D-E10E-4EBE-8717-9B2FF55A3146}"/>
              </c:ext>
            </c:extLst>
          </c:dPt>
          <c:dPt>
            <c:idx val="7"/>
            <c:bubble3D val="0"/>
            <c:spPr>
              <a:solidFill>
                <a:schemeClr val="accent2"/>
              </a:solidFill>
              <a:ln>
                <a:prstDash val="solid"/>
              </a:ln>
            </c:spPr>
            <c:extLst>
              <c:ext xmlns:c16="http://schemas.microsoft.com/office/drawing/2014/chart" uri="{C3380CC4-5D6E-409C-BE32-E72D297353CC}">
                <c16:uniqueId val="{0000000F-E10E-4EBE-8717-9B2FF55A3146}"/>
              </c:ext>
            </c:extLst>
          </c:dPt>
          <c:dPt>
            <c:idx val="8"/>
            <c:bubble3D val="0"/>
            <c:spPr>
              <a:solidFill>
                <a:schemeClr val="accent3"/>
              </a:solidFill>
              <a:ln>
                <a:prstDash val="solid"/>
              </a:ln>
            </c:spPr>
            <c:extLst>
              <c:ext xmlns:c16="http://schemas.microsoft.com/office/drawing/2014/chart" uri="{C3380CC4-5D6E-409C-BE32-E72D297353CC}">
                <c16:uniqueId val="{00000011-E10E-4EBE-8717-9B2FF55A3146}"/>
              </c:ext>
            </c:extLst>
          </c:dPt>
          <c:dPt>
            <c:idx val="9"/>
            <c:bubble3D val="0"/>
            <c:spPr>
              <a:solidFill>
                <a:schemeClr val="accent4"/>
              </a:solidFill>
              <a:ln>
                <a:prstDash val="solid"/>
              </a:ln>
            </c:spPr>
            <c:extLst>
              <c:ext xmlns:c16="http://schemas.microsoft.com/office/drawing/2014/chart" uri="{C3380CC4-5D6E-409C-BE32-E72D297353CC}">
                <c16:uniqueId val="{00000013-E10E-4EBE-8717-9B2FF55A3146}"/>
              </c:ext>
            </c:extLst>
          </c:dPt>
          <c:dPt>
            <c:idx val="10"/>
            <c:bubble3D val="0"/>
            <c:spPr>
              <a:solidFill>
                <a:schemeClr val="accent5"/>
              </a:solidFill>
              <a:ln>
                <a:prstDash val="solid"/>
              </a:ln>
            </c:spPr>
            <c:extLst>
              <c:ext xmlns:c16="http://schemas.microsoft.com/office/drawing/2014/chart" uri="{C3380CC4-5D6E-409C-BE32-E72D297353CC}">
                <c16:uniqueId val="{00000015-E10E-4EBE-8717-9B2FF55A3146}"/>
              </c:ext>
            </c:extLst>
          </c:dPt>
          <c:dPt>
            <c:idx val="11"/>
            <c:bubble3D val="0"/>
            <c:spPr>
              <a:solidFill>
                <a:schemeClr val="accent6"/>
              </a:solidFill>
              <a:ln>
                <a:prstDash val="solid"/>
              </a:ln>
            </c:spPr>
            <c:extLst>
              <c:ext xmlns:c16="http://schemas.microsoft.com/office/drawing/2014/chart" uri="{C3380CC4-5D6E-409C-BE32-E72D297353CC}">
                <c16:uniqueId val="{00000017-E10E-4EBE-8717-9B2FF55A3146}"/>
              </c:ext>
            </c:extLst>
          </c:dPt>
          <c:dPt>
            <c:idx val="12"/>
            <c:bubble3D val="0"/>
            <c:spPr>
              <a:solidFill>
                <a:schemeClr val="accent1"/>
              </a:solidFill>
              <a:ln>
                <a:prstDash val="solid"/>
              </a:ln>
            </c:spPr>
            <c:extLst>
              <c:ext xmlns:c16="http://schemas.microsoft.com/office/drawing/2014/chart" uri="{C3380CC4-5D6E-409C-BE32-E72D297353CC}">
                <c16:uniqueId val="{00000019-E10E-4EBE-8717-9B2FF55A3146}"/>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E10E-4EBE-8717-9B2FF55A3146}"/>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E10E-4EBE-8717-9B2FF55A3146}"/>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E10E-4EBE-8717-9B2FF55A3146}"/>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E10E-4EBE-8717-9B2FF55A3146}"/>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E10E-4EBE-8717-9B2FF55A3146}"/>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E10E-4EBE-8717-9B2FF55A3146}"/>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E10E-4EBE-8717-9B2FF55A3146}"/>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E10E-4EBE-8717-9B2FF55A3146}"/>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E10E-4EBE-8717-9B2FF55A3146}"/>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E10E-4EBE-8717-9B2FF55A3146}"/>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E10E-4EBE-8717-9B2FF55A3146}"/>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E10E-4EBE-8717-9B2FF55A3146}"/>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E10E-4EBE-8717-9B2FF55A3146}"/>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ingresos'!$C$17:$C$29</c:f>
              <c:numCache>
                <c:formatCode>_-"$ "* #,##0.00_-;"-$ "* #,##0.00_-;_-"$ "* \-??_-;_-@</c:formatCode>
                <c:ptCount val="6"/>
                <c:pt idx="0">
                  <c:v>2960</c:v>
                </c:pt>
                <c:pt idx="1">
                  <c:v>20640</c:v>
                </c:pt>
                <c:pt idx="2">
                  <c:v>11250</c:v>
                </c:pt>
                <c:pt idx="3">
                  <c:v>9735</c:v>
                </c:pt>
                <c:pt idx="4">
                  <c:v>44655</c:v>
                </c:pt>
                <c:pt idx="5">
                  <c:v>16625</c:v>
                </c:pt>
              </c:numCache>
            </c:numRef>
          </c:val>
          <c:extLst>
            <c:ext xmlns:c16="http://schemas.microsoft.com/office/drawing/2014/chart" uri="{C3380CC4-5D6E-409C-BE32-E72D297353CC}">
              <c16:uniqueId val="{0000001A-E10E-4EBE-8717-9B2FF55A3146}"/>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2028</a:t>
            </a:r>
          </a:p>
        </c:rich>
      </c:tx>
      <c:overlay val="0"/>
    </c:title>
    <c:autoTitleDeleted val="0"/>
    <c:plotArea>
      <c:layout/>
      <c:pieChart>
        <c:varyColors val="1"/>
        <c:ser>
          <c:idx val="0"/>
          <c:order val="0"/>
          <c:tx>
            <c:strRef>
              <c:f>'Mod. ingresos'!$E$16</c:f>
              <c:strCache>
                <c:ptCount val="1"/>
                <c:pt idx="0">
                  <c:v> Ingresos 2028</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3FFA-4849-B1AE-9009A8C5759E}"/>
              </c:ext>
            </c:extLst>
          </c:dPt>
          <c:dPt>
            <c:idx val="1"/>
            <c:bubble3D val="0"/>
            <c:spPr>
              <a:solidFill>
                <a:schemeClr val="accent2"/>
              </a:solidFill>
              <a:ln>
                <a:prstDash val="solid"/>
              </a:ln>
            </c:spPr>
            <c:extLst>
              <c:ext xmlns:c16="http://schemas.microsoft.com/office/drawing/2014/chart" uri="{C3380CC4-5D6E-409C-BE32-E72D297353CC}">
                <c16:uniqueId val="{00000003-3FFA-4849-B1AE-9009A8C5759E}"/>
              </c:ext>
            </c:extLst>
          </c:dPt>
          <c:dPt>
            <c:idx val="2"/>
            <c:bubble3D val="0"/>
            <c:spPr>
              <a:solidFill>
                <a:schemeClr val="accent3"/>
              </a:solidFill>
              <a:ln>
                <a:prstDash val="solid"/>
              </a:ln>
            </c:spPr>
            <c:extLst>
              <c:ext xmlns:c16="http://schemas.microsoft.com/office/drawing/2014/chart" uri="{C3380CC4-5D6E-409C-BE32-E72D297353CC}">
                <c16:uniqueId val="{00000005-3FFA-4849-B1AE-9009A8C5759E}"/>
              </c:ext>
            </c:extLst>
          </c:dPt>
          <c:dPt>
            <c:idx val="3"/>
            <c:bubble3D val="0"/>
            <c:spPr>
              <a:solidFill>
                <a:schemeClr val="accent4"/>
              </a:solidFill>
              <a:ln>
                <a:prstDash val="solid"/>
              </a:ln>
            </c:spPr>
            <c:extLst>
              <c:ext xmlns:c16="http://schemas.microsoft.com/office/drawing/2014/chart" uri="{C3380CC4-5D6E-409C-BE32-E72D297353CC}">
                <c16:uniqueId val="{00000007-3FFA-4849-B1AE-9009A8C5759E}"/>
              </c:ext>
            </c:extLst>
          </c:dPt>
          <c:dPt>
            <c:idx val="4"/>
            <c:bubble3D val="0"/>
            <c:spPr>
              <a:solidFill>
                <a:schemeClr val="accent5"/>
              </a:solidFill>
              <a:ln>
                <a:prstDash val="solid"/>
              </a:ln>
            </c:spPr>
            <c:extLst>
              <c:ext xmlns:c16="http://schemas.microsoft.com/office/drawing/2014/chart" uri="{C3380CC4-5D6E-409C-BE32-E72D297353CC}">
                <c16:uniqueId val="{00000009-3FFA-4849-B1AE-9009A8C5759E}"/>
              </c:ext>
            </c:extLst>
          </c:dPt>
          <c:dPt>
            <c:idx val="5"/>
            <c:bubble3D val="0"/>
            <c:spPr>
              <a:solidFill>
                <a:schemeClr val="accent6"/>
              </a:solidFill>
              <a:ln>
                <a:prstDash val="solid"/>
              </a:ln>
            </c:spPr>
            <c:extLst>
              <c:ext xmlns:c16="http://schemas.microsoft.com/office/drawing/2014/chart" uri="{C3380CC4-5D6E-409C-BE32-E72D297353CC}">
                <c16:uniqueId val="{0000000B-3FFA-4849-B1AE-9009A8C5759E}"/>
              </c:ext>
            </c:extLst>
          </c:dPt>
          <c:dPt>
            <c:idx val="6"/>
            <c:bubble3D val="0"/>
            <c:spPr>
              <a:solidFill>
                <a:schemeClr val="accent1"/>
              </a:solidFill>
              <a:ln>
                <a:prstDash val="solid"/>
              </a:ln>
            </c:spPr>
            <c:extLst>
              <c:ext xmlns:c16="http://schemas.microsoft.com/office/drawing/2014/chart" uri="{C3380CC4-5D6E-409C-BE32-E72D297353CC}">
                <c16:uniqueId val="{0000000D-3FFA-4849-B1AE-9009A8C5759E}"/>
              </c:ext>
            </c:extLst>
          </c:dPt>
          <c:dPt>
            <c:idx val="7"/>
            <c:bubble3D val="0"/>
            <c:spPr>
              <a:solidFill>
                <a:schemeClr val="accent2"/>
              </a:solidFill>
              <a:ln>
                <a:prstDash val="solid"/>
              </a:ln>
            </c:spPr>
            <c:extLst>
              <c:ext xmlns:c16="http://schemas.microsoft.com/office/drawing/2014/chart" uri="{C3380CC4-5D6E-409C-BE32-E72D297353CC}">
                <c16:uniqueId val="{0000000F-3FFA-4849-B1AE-9009A8C5759E}"/>
              </c:ext>
            </c:extLst>
          </c:dPt>
          <c:dPt>
            <c:idx val="8"/>
            <c:bubble3D val="0"/>
            <c:spPr>
              <a:solidFill>
                <a:schemeClr val="accent3"/>
              </a:solidFill>
              <a:ln>
                <a:prstDash val="solid"/>
              </a:ln>
            </c:spPr>
            <c:extLst>
              <c:ext xmlns:c16="http://schemas.microsoft.com/office/drawing/2014/chart" uri="{C3380CC4-5D6E-409C-BE32-E72D297353CC}">
                <c16:uniqueId val="{00000011-3FFA-4849-B1AE-9009A8C5759E}"/>
              </c:ext>
            </c:extLst>
          </c:dPt>
          <c:dPt>
            <c:idx val="9"/>
            <c:bubble3D val="0"/>
            <c:spPr>
              <a:solidFill>
                <a:schemeClr val="accent4"/>
              </a:solidFill>
              <a:ln>
                <a:prstDash val="solid"/>
              </a:ln>
            </c:spPr>
            <c:extLst>
              <c:ext xmlns:c16="http://schemas.microsoft.com/office/drawing/2014/chart" uri="{C3380CC4-5D6E-409C-BE32-E72D297353CC}">
                <c16:uniqueId val="{00000013-3FFA-4849-B1AE-9009A8C5759E}"/>
              </c:ext>
            </c:extLst>
          </c:dPt>
          <c:dPt>
            <c:idx val="10"/>
            <c:bubble3D val="0"/>
            <c:spPr>
              <a:solidFill>
                <a:schemeClr val="accent5"/>
              </a:solidFill>
              <a:ln>
                <a:prstDash val="solid"/>
              </a:ln>
            </c:spPr>
            <c:extLst>
              <c:ext xmlns:c16="http://schemas.microsoft.com/office/drawing/2014/chart" uri="{C3380CC4-5D6E-409C-BE32-E72D297353CC}">
                <c16:uniqueId val="{00000015-3FFA-4849-B1AE-9009A8C5759E}"/>
              </c:ext>
            </c:extLst>
          </c:dPt>
          <c:dPt>
            <c:idx val="11"/>
            <c:bubble3D val="0"/>
            <c:spPr>
              <a:solidFill>
                <a:schemeClr val="accent6"/>
              </a:solidFill>
              <a:ln>
                <a:prstDash val="solid"/>
              </a:ln>
            </c:spPr>
            <c:extLst>
              <c:ext xmlns:c16="http://schemas.microsoft.com/office/drawing/2014/chart" uri="{C3380CC4-5D6E-409C-BE32-E72D297353CC}">
                <c16:uniqueId val="{00000017-3FFA-4849-B1AE-9009A8C5759E}"/>
              </c:ext>
            </c:extLst>
          </c:dPt>
          <c:dPt>
            <c:idx val="12"/>
            <c:bubble3D val="0"/>
            <c:spPr>
              <a:solidFill>
                <a:schemeClr val="accent1"/>
              </a:solidFill>
              <a:ln>
                <a:prstDash val="solid"/>
              </a:ln>
            </c:spPr>
            <c:extLst>
              <c:ext xmlns:c16="http://schemas.microsoft.com/office/drawing/2014/chart" uri="{C3380CC4-5D6E-409C-BE32-E72D297353CC}">
                <c16:uniqueId val="{00000019-3FFA-4849-B1AE-9009A8C5759E}"/>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3FFA-4849-B1AE-9009A8C5759E}"/>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3FFA-4849-B1AE-9009A8C5759E}"/>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3FFA-4849-B1AE-9009A8C5759E}"/>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3FFA-4849-B1AE-9009A8C5759E}"/>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3FFA-4849-B1AE-9009A8C5759E}"/>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3FFA-4849-B1AE-9009A8C5759E}"/>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3FFA-4849-B1AE-9009A8C5759E}"/>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3FFA-4849-B1AE-9009A8C5759E}"/>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3FFA-4849-B1AE-9009A8C5759E}"/>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3FFA-4849-B1AE-9009A8C5759E}"/>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3FFA-4849-B1AE-9009A8C5759E}"/>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3FFA-4849-B1AE-9009A8C5759E}"/>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3FFA-4849-B1AE-9009A8C5759E}"/>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ingresos'!$E$17:$E$29</c:f>
              <c:numCache>
                <c:formatCode>_-"$ "* #,##0.00_-;"-$ "* #,##0.00_-;_-"$ "* \-??_-;_-@</c:formatCode>
                <c:ptCount val="6"/>
                <c:pt idx="0">
                  <c:v>4720</c:v>
                </c:pt>
                <c:pt idx="1">
                  <c:v>33360</c:v>
                </c:pt>
                <c:pt idx="2">
                  <c:v>18000</c:v>
                </c:pt>
                <c:pt idx="3">
                  <c:v>87681</c:v>
                </c:pt>
                <c:pt idx="4">
                  <c:v>407745</c:v>
                </c:pt>
                <c:pt idx="5">
                  <c:v>154000</c:v>
                </c:pt>
              </c:numCache>
            </c:numRef>
          </c:val>
          <c:extLst>
            <c:ext xmlns:c16="http://schemas.microsoft.com/office/drawing/2014/chart" uri="{C3380CC4-5D6E-409C-BE32-E72D297353CC}">
              <c16:uniqueId val="{0000001A-3FFA-4849-B1AE-9009A8C5759E}"/>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2027</a:t>
            </a:r>
          </a:p>
        </c:rich>
      </c:tx>
      <c:overlay val="0"/>
    </c:title>
    <c:autoTitleDeleted val="0"/>
    <c:plotArea>
      <c:layout/>
      <c:pieChart>
        <c:varyColors val="1"/>
        <c:ser>
          <c:idx val="0"/>
          <c:order val="0"/>
          <c:tx>
            <c:strRef>
              <c:f>'Mod. ingresos'!$D$16</c:f>
              <c:strCache>
                <c:ptCount val="1"/>
                <c:pt idx="0">
                  <c:v> Ingresos 2027</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4A50-4BA6-9E4D-D67C122EF9FD}"/>
              </c:ext>
            </c:extLst>
          </c:dPt>
          <c:dPt>
            <c:idx val="1"/>
            <c:bubble3D val="0"/>
            <c:spPr>
              <a:solidFill>
                <a:schemeClr val="accent2"/>
              </a:solidFill>
              <a:ln>
                <a:prstDash val="solid"/>
              </a:ln>
            </c:spPr>
            <c:extLst>
              <c:ext xmlns:c16="http://schemas.microsoft.com/office/drawing/2014/chart" uri="{C3380CC4-5D6E-409C-BE32-E72D297353CC}">
                <c16:uniqueId val="{00000003-4A50-4BA6-9E4D-D67C122EF9FD}"/>
              </c:ext>
            </c:extLst>
          </c:dPt>
          <c:dPt>
            <c:idx val="2"/>
            <c:bubble3D val="0"/>
            <c:spPr>
              <a:solidFill>
                <a:schemeClr val="accent3"/>
              </a:solidFill>
              <a:ln>
                <a:prstDash val="solid"/>
              </a:ln>
            </c:spPr>
            <c:extLst>
              <c:ext xmlns:c16="http://schemas.microsoft.com/office/drawing/2014/chart" uri="{C3380CC4-5D6E-409C-BE32-E72D297353CC}">
                <c16:uniqueId val="{00000005-4A50-4BA6-9E4D-D67C122EF9FD}"/>
              </c:ext>
            </c:extLst>
          </c:dPt>
          <c:dPt>
            <c:idx val="3"/>
            <c:bubble3D val="0"/>
            <c:spPr>
              <a:solidFill>
                <a:schemeClr val="accent4"/>
              </a:solidFill>
              <a:ln>
                <a:prstDash val="solid"/>
              </a:ln>
            </c:spPr>
            <c:extLst>
              <c:ext xmlns:c16="http://schemas.microsoft.com/office/drawing/2014/chart" uri="{C3380CC4-5D6E-409C-BE32-E72D297353CC}">
                <c16:uniqueId val="{00000007-4A50-4BA6-9E4D-D67C122EF9FD}"/>
              </c:ext>
            </c:extLst>
          </c:dPt>
          <c:dPt>
            <c:idx val="4"/>
            <c:bubble3D val="0"/>
            <c:spPr>
              <a:solidFill>
                <a:schemeClr val="accent5"/>
              </a:solidFill>
              <a:ln>
                <a:prstDash val="solid"/>
              </a:ln>
            </c:spPr>
            <c:extLst>
              <c:ext xmlns:c16="http://schemas.microsoft.com/office/drawing/2014/chart" uri="{C3380CC4-5D6E-409C-BE32-E72D297353CC}">
                <c16:uniqueId val="{00000009-4A50-4BA6-9E4D-D67C122EF9FD}"/>
              </c:ext>
            </c:extLst>
          </c:dPt>
          <c:dPt>
            <c:idx val="5"/>
            <c:bubble3D val="0"/>
            <c:spPr>
              <a:solidFill>
                <a:schemeClr val="accent6"/>
              </a:solidFill>
              <a:ln>
                <a:prstDash val="solid"/>
              </a:ln>
            </c:spPr>
            <c:extLst>
              <c:ext xmlns:c16="http://schemas.microsoft.com/office/drawing/2014/chart" uri="{C3380CC4-5D6E-409C-BE32-E72D297353CC}">
                <c16:uniqueId val="{0000000B-4A50-4BA6-9E4D-D67C122EF9FD}"/>
              </c:ext>
            </c:extLst>
          </c:dPt>
          <c:dPt>
            <c:idx val="6"/>
            <c:bubble3D val="0"/>
            <c:spPr>
              <a:solidFill>
                <a:schemeClr val="accent1"/>
              </a:solidFill>
              <a:ln>
                <a:prstDash val="solid"/>
              </a:ln>
            </c:spPr>
            <c:extLst>
              <c:ext xmlns:c16="http://schemas.microsoft.com/office/drawing/2014/chart" uri="{C3380CC4-5D6E-409C-BE32-E72D297353CC}">
                <c16:uniqueId val="{0000000D-4A50-4BA6-9E4D-D67C122EF9FD}"/>
              </c:ext>
            </c:extLst>
          </c:dPt>
          <c:dPt>
            <c:idx val="7"/>
            <c:bubble3D val="0"/>
            <c:spPr>
              <a:solidFill>
                <a:schemeClr val="accent2"/>
              </a:solidFill>
              <a:ln>
                <a:prstDash val="solid"/>
              </a:ln>
            </c:spPr>
            <c:extLst>
              <c:ext xmlns:c16="http://schemas.microsoft.com/office/drawing/2014/chart" uri="{C3380CC4-5D6E-409C-BE32-E72D297353CC}">
                <c16:uniqueId val="{0000000F-4A50-4BA6-9E4D-D67C122EF9FD}"/>
              </c:ext>
            </c:extLst>
          </c:dPt>
          <c:dPt>
            <c:idx val="8"/>
            <c:bubble3D val="0"/>
            <c:spPr>
              <a:solidFill>
                <a:schemeClr val="accent3"/>
              </a:solidFill>
              <a:ln>
                <a:prstDash val="solid"/>
              </a:ln>
            </c:spPr>
            <c:extLst>
              <c:ext xmlns:c16="http://schemas.microsoft.com/office/drawing/2014/chart" uri="{C3380CC4-5D6E-409C-BE32-E72D297353CC}">
                <c16:uniqueId val="{00000011-4A50-4BA6-9E4D-D67C122EF9FD}"/>
              </c:ext>
            </c:extLst>
          </c:dPt>
          <c:dPt>
            <c:idx val="9"/>
            <c:bubble3D val="0"/>
            <c:spPr>
              <a:solidFill>
                <a:schemeClr val="accent4"/>
              </a:solidFill>
              <a:ln>
                <a:prstDash val="solid"/>
              </a:ln>
            </c:spPr>
            <c:extLst>
              <c:ext xmlns:c16="http://schemas.microsoft.com/office/drawing/2014/chart" uri="{C3380CC4-5D6E-409C-BE32-E72D297353CC}">
                <c16:uniqueId val="{00000013-4A50-4BA6-9E4D-D67C122EF9FD}"/>
              </c:ext>
            </c:extLst>
          </c:dPt>
          <c:dPt>
            <c:idx val="10"/>
            <c:bubble3D val="0"/>
            <c:spPr>
              <a:solidFill>
                <a:schemeClr val="accent5"/>
              </a:solidFill>
              <a:ln>
                <a:prstDash val="solid"/>
              </a:ln>
            </c:spPr>
            <c:extLst>
              <c:ext xmlns:c16="http://schemas.microsoft.com/office/drawing/2014/chart" uri="{C3380CC4-5D6E-409C-BE32-E72D297353CC}">
                <c16:uniqueId val="{00000015-4A50-4BA6-9E4D-D67C122EF9FD}"/>
              </c:ext>
            </c:extLst>
          </c:dPt>
          <c:dPt>
            <c:idx val="11"/>
            <c:bubble3D val="0"/>
            <c:spPr>
              <a:solidFill>
                <a:schemeClr val="accent6"/>
              </a:solidFill>
              <a:ln>
                <a:prstDash val="solid"/>
              </a:ln>
            </c:spPr>
            <c:extLst>
              <c:ext xmlns:c16="http://schemas.microsoft.com/office/drawing/2014/chart" uri="{C3380CC4-5D6E-409C-BE32-E72D297353CC}">
                <c16:uniqueId val="{00000017-4A50-4BA6-9E4D-D67C122EF9FD}"/>
              </c:ext>
            </c:extLst>
          </c:dPt>
          <c:dPt>
            <c:idx val="12"/>
            <c:bubble3D val="0"/>
            <c:spPr>
              <a:solidFill>
                <a:schemeClr val="accent1"/>
              </a:solidFill>
              <a:ln>
                <a:prstDash val="solid"/>
              </a:ln>
            </c:spPr>
            <c:extLst>
              <c:ext xmlns:c16="http://schemas.microsoft.com/office/drawing/2014/chart" uri="{C3380CC4-5D6E-409C-BE32-E72D297353CC}">
                <c16:uniqueId val="{00000019-4A50-4BA6-9E4D-D67C122EF9FD}"/>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4A50-4BA6-9E4D-D67C122EF9FD}"/>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4A50-4BA6-9E4D-D67C122EF9FD}"/>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4A50-4BA6-9E4D-D67C122EF9FD}"/>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4A50-4BA6-9E4D-D67C122EF9FD}"/>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4A50-4BA6-9E4D-D67C122EF9FD}"/>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4A50-4BA6-9E4D-D67C122EF9FD}"/>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4A50-4BA6-9E4D-D67C122EF9FD}"/>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4A50-4BA6-9E4D-D67C122EF9FD}"/>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4A50-4BA6-9E4D-D67C122EF9FD}"/>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4A50-4BA6-9E4D-D67C122EF9FD}"/>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4A50-4BA6-9E4D-D67C122EF9FD}"/>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4A50-4BA6-9E4D-D67C122EF9FD}"/>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4A50-4BA6-9E4D-D67C122EF9FD}"/>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ingresos'!$D$17:$D$29</c:f>
              <c:numCache>
                <c:formatCode>_-"$ "* #,##0.00_-;"-$ "* #,##0.00_-;_-"$ "* \-??_-;_-@</c:formatCode>
                <c:ptCount val="6"/>
                <c:pt idx="0">
                  <c:v>3520</c:v>
                </c:pt>
                <c:pt idx="1">
                  <c:v>25200</c:v>
                </c:pt>
                <c:pt idx="2">
                  <c:v>12600</c:v>
                </c:pt>
                <c:pt idx="3">
                  <c:v>46992</c:v>
                </c:pt>
                <c:pt idx="4">
                  <c:v>217035</c:v>
                </c:pt>
                <c:pt idx="5">
                  <c:v>81550</c:v>
                </c:pt>
              </c:numCache>
            </c:numRef>
          </c:val>
          <c:extLst>
            <c:ext xmlns:c16="http://schemas.microsoft.com/office/drawing/2014/chart" uri="{C3380CC4-5D6E-409C-BE32-E72D297353CC}">
              <c16:uniqueId val="{0000001A-4A50-4BA6-9E4D-D67C122EF9F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Modelo de egresos</a:t>
            </a:r>
          </a:p>
        </c:rich>
      </c:tx>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egresos'!$B$10:$D$10</c:f>
              <c:numCache>
                <c:formatCode>_ [$$-2C0A]\ * #,##0.00_ ;_ [$$-2C0A]\ * \-#,##0.00_ ;_ [$$-2C0A]\ * \-??_ ;_ @_ </c:formatCode>
                <c:ptCount val="3"/>
                <c:pt idx="0">
                  <c:v>32640</c:v>
                </c:pt>
                <c:pt idx="1">
                  <c:v>77700</c:v>
                </c:pt>
                <c:pt idx="2">
                  <c:v>106860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5CC-4E70-8A05-EA3C3166975E}"/>
            </c:ext>
          </c:extLst>
        </c:ser>
        <c:ser>
          <c:idx val="1"/>
          <c:order val="1"/>
          <c:tx>
            <c:v>Costos variables</c:v>
          </c:tx>
          <c:spPr>
            <a:solidFill>
              <a:srgbClr val="FFC000"/>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egresos'!$B$11:$D$11</c:f>
              <c:numCache>
                <c:formatCode>_ [$$-2C0A]\ * #,##0.00_ ;_ [$$-2C0A]\ * \-#,##0.00_ ;_ [$$-2C0A]\ * \-??_ ;_ @_ </c:formatCode>
                <c:ptCount val="3"/>
                <c:pt idx="0">
                  <c:v>40479.800000000003</c:v>
                </c:pt>
                <c:pt idx="1">
                  <c:v>59474.6</c:v>
                </c:pt>
                <c:pt idx="2">
                  <c:v>85346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5CC-4E70-8A05-EA3C3166975E}"/>
            </c:ext>
          </c:extLst>
        </c:ser>
        <c:ser>
          <c:idx val="2"/>
          <c:order val="2"/>
          <c:tx>
            <c:v>Costos de RRHH</c:v>
          </c:tx>
          <c:spPr>
            <a:solidFill>
              <a:srgbClr val="70AD47"/>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egresos'!$B$12:$D$12</c:f>
              <c:numCache>
                <c:formatCode>_ [$$-2C0A]\ * #,##0.00_ ;_ [$$-2C0A]\ * \-#,##0.00_ ;_ [$$-2C0A]\ * \-??_ ;_ @_ </c:formatCode>
                <c:ptCount val="3"/>
                <c:pt idx="0">
                  <c:v>67319.200000000012</c:v>
                </c:pt>
                <c:pt idx="1">
                  <c:v>67319.200000000012</c:v>
                </c:pt>
                <c:pt idx="2">
                  <c:v>67319.200000000012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5CC-4E70-8A05-EA3C3166975E}"/>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prstDash val="solid"/>
            </a:ln>
          </c:spPr>
          <c:marker>
            <c:symbol val="circle"/>
            <c:size val="5"/>
            <c:spPr>
              <a:solidFill>
                <a:schemeClr val="accent2"/>
              </a:solidFill>
              <a:ln cmpd="sng">
                <a:solidFill>
                  <a:schemeClr val="accent2"/>
                </a:solidFill>
                <a:prstDash val="solid"/>
              </a:ln>
            </c:spPr>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140439</c:v>
                </c:pt>
                <c:pt idx="1">
                  <c:v>204493.80000000002</c:v>
                </c:pt>
                <c:pt idx="2">
                  <c:v>259525.2</c:v>
                </c:pt>
              </c:numCache>
            </c:numRef>
          </c:val>
          <c:smooth val="0"/>
          <c:extLst>
            <c:ext xmlns:c16="http://schemas.microsoft.com/office/drawing/2014/chart" uri="{C3380CC4-5D6E-409C-BE32-E72D297353CC}">
              <c16:uniqueId val="{00000003-B5CC-4E70-8A05-EA3C3166975E}"/>
            </c:ext>
          </c:extLst>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numFmt formatCode="General" sourceLinked="1"/>
        <c:majorTickMark val="none"/>
        <c:minorTickMark val="none"/>
        <c:tickLblPos val="nextTo"/>
        <c:crossAx val="1818111984"/>
        <c:crosses val="autoZero"/>
        <c:auto val="1"/>
        <c:lblAlgn val="ctr"/>
        <c:lblOffset val="100"/>
        <c:noMultiLvlLbl val="1"/>
      </c:catAx>
      <c:valAx>
        <c:axId val="1818111984"/>
        <c:scaling>
          <c:orientation val="minMax"/>
        </c:scaling>
        <c:delete val="0"/>
        <c:axPos val="l"/>
        <c:majorGridlines>
          <c:spPr>
            <a:ln>
              <a:solidFill>
                <a:srgbClr val="B7B7B7"/>
              </a:solidFill>
              <a:prstDash val="solid"/>
            </a:ln>
          </c:spPr>
        </c:majorGridlines>
        <c:numFmt formatCode="_ [$$-2C0A]\ * #,##0.00_ ;_ [$$-2C0A]\ * \-#,##0.00_ ;_ [$$-2C0A]\ * \-??_ ;_ @_ " sourceLinked="1"/>
        <c:majorTickMark val="none"/>
        <c:minorTickMark val="none"/>
        <c:tickLblPos val="nextTo"/>
        <c:spPr>
          <a:ln>
            <a:prstDash val="solid"/>
          </a:ln>
        </c:spPr>
        <c:crossAx val="181811144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Ingresos vs Egresos</a:t>
            </a:r>
          </a:p>
        </c:rich>
      </c:tx>
      <c:overlay val="0"/>
    </c:title>
    <c:autoTitleDeleted val="0"/>
    <c:plotArea>
      <c:layout/>
      <c:lineChart>
        <c:grouping val="standard"/>
        <c:varyColors val="1"/>
        <c:ser>
          <c:idx val="0"/>
          <c:order val="0"/>
          <c:tx>
            <c:v>Costos totales</c:v>
          </c:tx>
          <c:spPr>
            <a:ln w="38100" cmpd="sng">
              <a:solidFill>
                <a:schemeClr val="accent1"/>
              </a:solidFill>
              <a:prstDash val="solid"/>
            </a:ln>
          </c:spPr>
          <c:marker>
            <c:symbol val="none"/>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140439</c:v>
                </c:pt>
                <c:pt idx="1">
                  <c:v>204493.80000000002</c:v>
                </c:pt>
                <c:pt idx="2">
                  <c:v>259525.2</c:v>
                </c:pt>
              </c:numCache>
            </c:numRef>
          </c:val>
          <c:smooth val="0"/>
          <c:extLst>
            <c:ext xmlns:c16="http://schemas.microsoft.com/office/drawing/2014/chart" uri="{C3380CC4-5D6E-409C-BE32-E72D297353CC}">
              <c16:uniqueId val="{00000000-3BE8-4A21-B784-916A4E1AC3C3}"/>
            </c:ext>
          </c:extLst>
        </c:ser>
        <c:ser>
          <c:idx val="1"/>
          <c:order val="1"/>
          <c:tx>
            <c:v>Objetivo ingresos</c:v>
          </c:tx>
          <c:spPr>
            <a:ln w="38100" cmpd="sng">
              <a:solidFill>
                <a:schemeClr val="accent2"/>
              </a:solidFill>
              <a:prstDash val="solid"/>
            </a:ln>
          </c:spPr>
          <c:marker>
            <c:symbol val="none"/>
          </c:marker>
          <c:cat>
            <c:numRef>
              <c:f>'Mod. egresos'!$B$9:$D$9</c:f>
              <c:numCache>
                <c:formatCode>General</c:formatCode>
                <c:ptCount val="3"/>
                <c:pt idx="0">
                  <c:v>2026</c:v>
                </c:pt>
                <c:pt idx="1">
                  <c:v>2027</c:v>
                </c:pt>
                <c:pt idx="2">
                  <c:v>2028</c:v>
                </c:pt>
              </c:numCache>
            </c:numRef>
          </c:cat>
          <c:val>
            <c:numRef>
              <c:f>'Mod. egresos'!$B$14:$D$14</c:f>
              <c:numCache>
                <c:formatCode>_ [$$-2C0A]\ * #,##0.00_ ;_ [$$-2C0A]\ * \-#,##0.00_ ;_ [$$-2C0A]\ * \-??_ ;_ @_ </c:formatCode>
                <c:ptCount val="3"/>
                <c:pt idx="0">
                  <c:v>105865</c:v>
                </c:pt>
                <c:pt idx="1">
                  <c:v>386897</c:v>
                </c:pt>
                <c:pt idx="2">
                  <c:v>705506</c:v>
                </c:pt>
              </c:numCache>
            </c:numRef>
          </c:val>
          <c:smooth val="0"/>
          <c:extLst>
            <c:ext xmlns:c16="http://schemas.microsoft.com/office/drawing/2014/chart" uri="{C3380CC4-5D6E-409C-BE32-E72D297353CC}">
              <c16:uniqueId val="{00000001-3BE8-4A21-B784-916A4E1AC3C3}"/>
            </c:ext>
          </c:extLst>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numFmt formatCode="General" sourceLinked="1"/>
        <c:majorTickMark val="none"/>
        <c:minorTickMark val="none"/>
        <c:tickLblPos val="nextTo"/>
        <c:crossAx val="1820185744"/>
        <c:crosses val="autoZero"/>
        <c:auto val="1"/>
        <c:lblAlgn val="ctr"/>
        <c:lblOffset val="100"/>
        <c:noMultiLvlLbl val="1"/>
      </c:catAx>
      <c:valAx>
        <c:axId val="182018574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numFmt formatCode="_ [$$-2C0A]\ * #,##0.00_ ;_ [$$-2C0A]\ * \-#,##0.00_ ;_ [$$-2C0A]\ * \-??_ ;_ @_ " sourceLinked="1"/>
        <c:majorTickMark val="none"/>
        <c:minorTickMark val="none"/>
        <c:tickLblPos val="nextTo"/>
        <c:spPr>
          <a:ln>
            <a:prstDash val="solid"/>
          </a:ln>
        </c:spPr>
        <c:crossAx val="1818113072"/>
        <c:crosses val="autoZero"/>
        <c:crossBetween val="between"/>
      </c:valAx>
    </c:plotArea>
    <c:legend>
      <c:legendPos val="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341219</xdr:colOff>
      <xdr:row>16</xdr:row>
      <xdr:rowOff>74518</xdr:rowOff>
    </xdr:from>
    <xdr:ext cx="5969000" cy="381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685800" y="219075"/>
          <a:ext cx="16002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a:extLst>
            <a:ext uri="{FF2B5EF4-FFF2-40B4-BE49-F238E27FC236}">
              <a16:creationId xmlns:a16="http://schemas.microsoft.com/office/drawing/2014/main" id="{00000000-0008-0000-0300-000008000000}"/>
            </a:ext>
          </a:extLst>
        </xdr:cNvPr>
        <xdr:cNvSpPr/>
      </xdr:nvSpPr>
      <xdr:spPr>
        <a:xfrm>
          <a:off x="552450" y="152400"/>
          <a:ext cx="164782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188595</xdr:rowOff>
    </xdr:from>
    <xdr:ext cx="1504950" cy="304800"/>
    <xdr:sp macro="" textlink="">
      <xdr:nvSpPr>
        <xdr:cNvPr id="2" name="Shape 5">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1958340" y="188595"/>
          <a:ext cx="15049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188595</xdr:rowOff>
    </xdr:from>
    <xdr:ext cx="1133475" cy="304800"/>
    <xdr:sp macro="" textlink="">
      <xdr:nvSpPr>
        <xdr:cNvPr id="3" name="Shape 6">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95250" y="188595"/>
          <a:ext cx="11334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5969000" cy="4064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5969000" cy="4064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5969000" cy="4064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188595</xdr:rowOff>
    </xdr:from>
    <xdr:ext cx="2409825" cy="304800"/>
    <xdr:sp macro="" textlink="">
      <xdr:nvSpPr>
        <xdr:cNvPr id="5" name="Shape 7">
          <a:hlinkClick xmlns:r="http://schemas.openxmlformats.org/officeDocument/2006/relationships" r:id="rId4"/>
          <a:extLst>
            <a:ext uri="{FF2B5EF4-FFF2-40B4-BE49-F238E27FC236}">
              <a16:creationId xmlns:a16="http://schemas.microsoft.com/office/drawing/2014/main" id="{00000000-0008-0000-0500-000005000000}"/>
            </a:ext>
          </a:extLst>
        </xdr:cNvPr>
        <xdr:cNvSpPr/>
      </xdr:nvSpPr>
      <xdr:spPr>
        <a:xfrm>
          <a:off x="733425" y="188595"/>
          <a:ext cx="24098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188595</xdr:rowOff>
    </xdr:from>
    <xdr:ext cx="3752850" cy="304800"/>
    <xdr:sp macro="" textlink="">
      <xdr:nvSpPr>
        <xdr:cNvPr id="2" name="Shape 9">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733425" y="188595"/>
          <a:ext cx="37528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14600" cy="304800"/>
    <xdr:sp macro="" textlink="">
      <xdr:nvSpPr>
        <xdr:cNvPr id="2" name="Shape 10">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0" y="0"/>
          <a:ext cx="25146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254000</xdr:colOff>
      <xdr:row>44</xdr:row>
      <xdr:rowOff>98425</xdr:rowOff>
    </xdr:from>
    <xdr:ext cx="5969000" cy="4064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457200</xdr:colOff>
      <xdr:row>44</xdr:row>
      <xdr:rowOff>98425</xdr:rowOff>
    </xdr:from>
    <xdr:ext cx="5969000" cy="4064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499110</xdr:colOff>
      <xdr:row>0</xdr:row>
      <xdr:rowOff>390525</xdr:rowOff>
    </xdr:from>
    <xdr:ext cx="1181100" cy="190500"/>
    <xdr:sp macro="" textlink="">
      <xdr:nvSpPr>
        <xdr:cNvPr id="4" name="Shape 11">
          <a:hlinkClick xmlns:r="http://schemas.openxmlformats.org/officeDocument/2006/relationships" r:id="rId3"/>
          <a:extLst>
            <a:ext uri="{FF2B5EF4-FFF2-40B4-BE49-F238E27FC236}">
              <a16:creationId xmlns:a16="http://schemas.microsoft.com/office/drawing/2014/main" id="{00000000-0008-0000-0900-000004000000}"/>
            </a:ext>
          </a:extLst>
        </xdr:cNvPr>
        <xdr:cNvSpPr/>
      </xdr:nvSpPr>
      <xdr:spPr>
        <a:xfrm>
          <a:off x="4766310" y="390525"/>
          <a:ext cx="1181100" cy="1905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180975</xdr:colOff>
      <xdr:row>0</xdr:row>
      <xdr:rowOff>190500</xdr:rowOff>
    </xdr:from>
    <xdr:ext cx="3638550" cy="304800"/>
    <xdr:sp macro="" textlink="">
      <xdr:nvSpPr>
        <xdr:cNvPr id="3" name="Shape 1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942975" y="190500"/>
          <a:ext cx="3638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oneCellAnchor>
    <xdr:from>
      <xdr:col>7</xdr:col>
      <xdr:colOff>0</xdr:colOff>
      <xdr:row>8</xdr:row>
      <xdr:rowOff>0</xdr:rowOff>
    </xdr:from>
    <xdr:ext cx="7920000" cy="911083"/>
    <xdr:pic>
      <xdr:nvPicPr>
        <xdr:cNvPr id="102" name="Informe de recursos de Microsoft Project">
          <a:extLst>
            <a:ext uri="{FF2B5EF4-FFF2-40B4-BE49-F238E27FC236}">
              <a16:creationId xmlns:a16="http://schemas.microsoft.com/office/drawing/2014/main" id="{00000000-0008-0000-0A00-000066000000}"/>
            </a:ext>
          </a:extLst>
        </xdr:cNvPr>
        <xdr:cNvPicPr>
          <a:picLocks noChangeAspect="1"/>
        </xdr:cNvPicPr>
      </xdr:nvPicPr>
      <xdr:blipFill>
        <a:blip xmlns:r="http://schemas.openxmlformats.org/officeDocument/2006/relationships" r:embed="rId2"/>
        <a:stretch>
          <a:fillRect/>
        </a:stretch>
      </xdr:blipFill>
      <xdr:spPr>
        <a:xfrm>
          <a:off x="0" y="0"/>
          <a:ext cx="7920000" cy="911083"/>
        </a:xfrm>
        <a:prstGeom prst="rect">
          <a:avLst/>
        </a:prstGeom>
      </xdr:spPr>
    </xdr:pic>
    <xdr:clientData/>
  </xdr:oneCellAnchor>
  <xdr:oneCellAnchor>
    <xdr:from>
      <xdr:col>7</xdr:col>
      <xdr:colOff>0</xdr:colOff>
      <xdr:row>29</xdr:row>
      <xdr:rowOff>0</xdr:rowOff>
    </xdr:from>
    <xdr:ext cx="4320000" cy="2592000"/>
    <xdr:pic>
      <xdr:nvPicPr>
        <xdr:cNvPr id="103" name="Inversión por año">
          <a:extLst>
            <a:ext uri="{FF2B5EF4-FFF2-40B4-BE49-F238E27FC236}">
              <a16:creationId xmlns:a16="http://schemas.microsoft.com/office/drawing/2014/main" id="{00000000-0008-0000-0A00-000067000000}"/>
            </a:ext>
          </a:extLst>
        </xdr:cNvPr>
        <xdr:cNvPicPr>
          <a:picLocks noChangeAspect="1"/>
        </xdr:cNvPicPr>
      </xdr:nvPicPr>
      <xdr:blipFill>
        <a:blip xmlns:r="http://schemas.openxmlformats.org/officeDocument/2006/relationships" r:embed="rId3"/>
        <a:stretch>
          <a:fillRect/>
        </a:stretch>
      </xdr:blipFill>
      <xdr:spPr>
        <a:xfrm>
          <a:off x="0" y="0"/>
          <a:ext cx="4320000" cy="25920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0</xdr:rowOff>
    </xdr:from>
    <xdr:ext cx="1733550" cy="304800"/>
    <xdr:sp macro="" textlink="">
      <xdr:nvSpPr>
        <xdr:cNvPr id="2" name="Shape 13">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33425" y="0"/>
          <a:ext cx="1733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2" name="Shape 14">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0" y="219075"/>
          <a:ext cx="8286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activeCell="C27" sqref="C27"/>
    </sheetView>
  </sheetViews>
  <sheetFormatPr baseColWidth="10" defaultColWidth="12.6640625" defaultRowHeight="15" customHeight="1"/>
  <cols>
    <col min="1" max="1" width="10" customWidth="1"/>
    <col min="2" max="2" width="11" customWidth="1"/>
    <col min="3" max="23" width="10" customWidth="1"/>
  </cols>
  <sheetData>
    <row r="1" spans="1:26"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4.2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4.25" customHeight="1">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14.25" customHeight="1">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14.25" customHeight="1">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ht="14.25"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14.25" customHeight="1">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28.5" customHeight="1">
      <c r="A9" s="13"/>
      <c r="B9" s="13"/>
      <c r="C9" s="14" t="s">
        <v>0</v>
      </c>
      <c r="D9" s="13"/>
      <c r="E9" s="13"/>
      <c r="F9" s="13"/>
      <c r="G9" s="13"/>
      <c r="H9" s="13"/>
      <c r="I9" s="13"/>
      <c r="J9" s="13"/>
      <c r="K9" s="13"/>
      <c r="L9" s="13"/>
      <c r="M9" s="13"/>
      <c r="N9" s="13"/>
      <c r="O9" s="13"/>
      <c r="P9" s="13"/>
      <c r="Q9" s="13"/>
      <c r="R9" s="13"/>
      <c r="S9" s="13"/>
      <c r="T9" s="13"/>
      <c r="U9" s="13"/>
      <c r="V9" s="13"/>
      <c r="W9" s="13"/>
      <c r="X9" s="13"/>
      <c r="Y9" s="13"/>
      <c r="Z9" s="13"/>
    </row>
    <row r="10" spans="1:26" ht="14.2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4.2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4.2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4.2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4.2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4.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4.2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4.2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4.2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4.2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4.2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4.25" customHeight="1">
      <c r="A21" s="13"/>
      <c r="B21" s="13"/>
      <c r="C21" s="15" t="s">
        <v>1</v>
      </c>
      <c r="D21" s="13"/>
      <c r="E21" s="13"/>
      <c r="F21" s="13"/>
      <c r="G21" s="13"/>
      <c r="H21" s="13"/>
      <c r="I21" s="13"/>
      <c r="J21" s="13"/>
      <c r="K21" s="13"/>
      <c r="L21" s="13"/>
      <c r="M21" s="13"/>
      <c r="N21" s="13"/>
      <c r="O21" s="13"/>
      <c r="P21" s="13"/>
      <c r="Q21" s="13"/>
      <c r="R21" s="13"/>
      <c r="S21" s="13"/>
      <c r="T21" s="13"/>
      <c r="U21" s="13"/>
      <c r="V21" s="13"/>
      <c r="W21" s="13"/>
      <c r="X21" s="13"/>
      <c r="Y21" s="13"/>
      <c r="Z21" s="13"/>
    </row>
    <row r="22" spans="1:26" ht="14.25" customHeight="1">
      <c r="A22" s="13"/>
      <c r="B22" s="13"/>
      <c r="C22" s="15" t="s">
        <v>2</v>
      </c>
      <c r="D22" s="13"/>
      <c r="E22" s="13"/>
      <c r="F22" s="13"/>
      <c r="G22" s="13"/>
      <c r="H22" s="13"/>
      <c r="I22" s="13"/>
      <c r="J22" s="13"/>
      <c r="K22" s="13"/>
      <c r="L22" s="13"/>
      <c r="M22" s="13"/>
      <c r="N22" s="13"/>
      <c r="O22" s="13"/>
      <c r="P22" s="13"/>
      <c r="Q22" s="13"/>
      <c r="R22" s="13"/>
      <c r="S22" s="13"/>
      <c r="T22" s="13"/>
      <c r="U22" s="13"/>
      <c r="V22" s="13"/>
      <c r="W22" s="13"/>
      <c r="X22" s="13"/>
      <c r="Y22" s="13"/>
      <c r="Z22" s="13"/>
    </row>
    <row r="23" spans="1:26" ht="14.25" customHeight="1">
      <c r="A23" s="13"/>
      <c r="B23" s="13"/>
      <c r="C23" s="15" t="s">
        <v>3</v>
      </c>
      <c r="E23" s="13"/>
      <c r="F23" s="13"/>
      <c r="G23" s="13"/>
      <c r="H23" s="13"/>
      <c r="I23" s="13"/>
      <c r="J23" s="13"/>
      <c r="K23" s="13"/>
      <c r="L23" s="13"/>
      <c r="M23" s="13"/>
      <c r="N23" s="13"/>
      <c r="O23" s="13"/>
      <c r="P23" s="13"/>
      <c r="Q23" s="13"/>
      <c r="R23" s="13"/>
      <c r="S23" s="13"/>
      <c r="T23" s="13"/>
      <c r="U23" s="13"/>
      <c r="V23" s="13"/>
      <c r="W23" s="13"/>
      <c r="X23" s="13"/>
      <c r="Y23" s="13"/>
      <c r="Z23" s="13"/>
    </row>
    <row r="24" spans="1:26" ht="14.25" customHeight="1">
      <c r="A24" s="13"/>
      <c r="B24" s="13"/>
      <c r="C24" s="15" t="s">
        <v>4</v>
      </c>
      <c r="D24" s="13"/>
      <c r="E24" s="13"/>
      <c r="F24" s="13"/>
      <c r="G24" s="13"/>
      <c r="H24" s="13"/>
      <c r="I24" s="13"/>
      <c r="J24" s="13"/>
      <c r="K24" s="13"/>
      <c r="L24" s="13"/>
      <c r="M24" s="13"/>
      <c r="N24" s="13"/>
      <c r="O24" s="13"/>
      <c r="P24" s="13"/>
      <c r="Q24" s="13"/>
      <c r="R24" s="13"/>
      <c r="S24" s="13"/>
      <c r="T24" s="13"/>
      <c r="U24" s="13"/>
      <c r="V24" s="13"/>
      <c r="W24" s="13"/>
      <c r="X24" s="13"/>
      <c r="Y24" s="13"/>
      <c r="Z24" s="13"/>
    </row>
    <row r="25" spans="1:26" ht="14.25" customHeight="1">
      <c r="A25" s="13"/>
      <c r="B25" s="13"/>
      <c r="C25" s="15" t="s">
        <v>5</v>
      </c>
      <c r="D25" s="13"/>
      <c r="E25" s="13"/>
      <c r="F25" s="13"/>
      <c r="G25" s="13"/>
      <c r="H25" s="13"/>
      <c r="I25" s="13"/>
      <c r="J25" s="13"/>
      <c r="K25" s="13"/>
      <c r="L25" s="13"/>
      <c r="M25" s="13"/>
      <c r="N25" s="13"/>
      <c r="O25" s="13"/>
      <c r="P25" s="13"/>
      <c r="Q25" s="13"/>
      <c r="R25" s="13"/>
      <c r="S25" s="13"/>
      <c r="T25" s="13"/>
      <c r="U25" s="13"/>
      <c r="V25" s="13"/>
      <c r="W25" s="13"/>
      <c r="X25" s="13"/>
      <c r="Y25" s="13"/>
      <c r="Z25" s="13"/>
    </row>
    <row r="26" spans="1:26" ht="17.25" customHeight="1">
      <c r="A26" s="13"/>
      <c r="B26" s="13"/>
      <c r="C26" s="15" t="s">
        <v>6</v>
      </c>
      <c r="D26" s="13"/>
      <c r="E26" s="13"/>
      <c r="F26" s="13"/>
      <c r="G26" s="13"/>
      <c r="H26" s="13"/>
      <c r="I26" s="13"/>
      <c r="J26" s="13"/>
      <c r="K26" s="13"/>
      <c r="L26" s="13"/>
      <c r="M26" s="13"/>
      <c r="N26" s="13"/>
      <c r="O26" s="13"/>
      <c r="P26" s="13"/>
      <c r="Q26" s="13"/>
      <c r="R26" s="13"/>
      <c r="S26" s="13"/>
      <c r="T26" s="13"/>
      <c r="U26" s="13"/>
      <c r="V26" s="13"/>
      <c r="W26" s="13"/>
      <c r="X26" s="13"/>
      <c r="Y26" s="13"/>
      <c r="Z26" s="13"/>
    </row>
    <row r="27" spans="1:26"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D19"/>
  <sheetViews>
    <sheetView zoomScaleNormal="100" workbookViewId="0"/>
  </sheetViews>
  <sheetFormatPr baseColWidth="10" defaultColWidth="12.6640625" defaultRowHeight="15" customHeight="1"/>
  <cols>
    <col min="1" max="1" width="10" customWidth="1"/>
    <col min="2" max="2" width="11.33203125" customWidth="1"/>
    <col min="3" max="3" width="10" customWidth="1"/>
    <col min="4" max="4" width="31.1640625" customWidth="1"/>
    <col min="5" max="6" width="10" customWidth="1"/>
  </cols>
  <sheetData>
    <row r="1" spans="4:4" ht="13.5" customHeight="1"/>
    <row r="2" spans="4:4" ht="15" customHeight="1">
      <c r="D2" s="16" t="s">
        <v>7</v>
      </c>
    </row>
    <row r="3" spans="4:4" ht="13.5" customHeight="1"/>
    <row r="4" spans="4:4" ht="18" customHeight="1">
      <c r="D4" s="17" t="s">
        <v>8</v>
      </c>
    </row>
    <row r="5" spans="4:4" ht="18" customHeight="1">
      <c r="D5" s="18" t="s">
        <v>9</v>
      </c>
    </row>
    <row r="6" spans="4:4" ht="18" customHeight="1">
      <c r="D6" s="18" t="s">
        <v>10</v>
      </c>
    </row>
    <row r="7" spans="4:4" ht="18" customHeight="1">
      <c r="D7" s="18" t="s">
        <v>11</v>
      </c>
    </row>
    <row r="8" spans="4:4" ht="18" customHeight="1">
      <c r="D8" s="18" t="s">
        <v>12</v>
      </c>
    </row>
    <row r="9" spans="4:4" ht="18" customHeight="1">
      <c r="D9" s="18" t="s">
        <v>13</v>
      </c>
    </row>
    <row r="10" spans="4:4" ht="18" customHeight="1">
      <c r="D10" s="18" t="s">
        <v>14</v>
      </c>
    </row>
    <row r="11" spans="4:4" ht="18" customHeight="1">
      <c r="D11" s="18" t="s">
        <v>15</v>
      </c>
    </row>
    <row r="12" spans="4:4" ht="18" customHeight="1">
      <c r="D12" s="18" t="s">
        <v>16</v>
      </c>
    </row>
    <row r="13" spans="4:4" ht="18" customHeight="1">
      <c r="D13" s="18" t="s">
        <v>17</v>
      </c>
    </row>
    <row r="14" spans="4:4" ht="18" customHeight="1">
      <c r="D14" s="18" t="s">
        <v>18</v>
      </c>
    </row>
    <row r="15" spans="4:4" ht="18" customHeight="1">
      <c r="D15" s="18" t="s">
        <v>19</v>
      </c>
    </row>
    <row r="16" spans="4:4" ht="18" customHeight="1">
      <c r="D16" s="18" t="s">
        <v>20</v>
      </c>
    </row>
    <row r="17" spans="4:4" ht="18" customHeight="1">
      <c r="D17" s="18" t="s">
        <v>21</v>
      </c>
    </row>
    <row r="18" spans="4:4" ht="18" customHeight="1">
      <c r="D18" s="19" t="s">
        <v>22</v>
      </c>
    </row>
    <row r="19" spans="4:4" ht="18" customHeight="1">
      <c r="D19" s="19" t="s">
        <v>23</v>
      </c>
    </row>
  </sheetData>
  <hyperlinks>
    <hyperlink ref="D4" location="'Hipótesis'!A1" display="Hipótesis" xr:uid="{00000000-0004-0000-0100-000000000000}"/>
    <hyperlink ref="D5" location="null!A1" display="Proyección de ventas" xr:uid="{00000000-0004-0000-0100-000001000000}"/>
    <hyperlink ref="D6" location="null!A1" display="Anexo de capacidad operativa" xr:uid="{00000000-0004-0000-0100-000002000000}"/>
    <hyperlink ref="D7" location="null!A1" display="Modelo de ingresos" xr:uid="{00000000-0004-0000-0100-000003000000}"/>
    <hyperlink ref="D8" location="null!A1" display="Estructura de costos fijos" xr:uid="{00000000-0004-0000-0100-000004000000}"/>
    <hyperlink ref="D9" location="'Costos RRHH'!A1" display="Estructura de costos variables" xr:uid="{00000000-0004-0000-0100-000005000000}"/>
    <hyperlink ref="D10" location="null!A1" display="Estructura de costos de RRHH" xr:uid="{00000000-0004-0000-0100-000006000000}"/>
    <hyperlink ref="D11" location="null!A1" display="Modelo de egresos" xr:uid="{00000000-0004-0000-0100-000007000000}"/>
    <hyperlink ref="D12" location="Amortizaciones!A1" display="Modelo de inversión" xr:uid="{00000000-0004-0000-0100-000008000000}"/>
    <hyperlink ref="D13" location="'Presupuesto financiero'!A1" display="Amortizaciones" xr:uid="{00000000-0004-0000-0100-000009000000}"/>
    <hyperlink ref="D14" location="null!A1" display="Presupuesto financiero" xr:uid="{00000000-0004-0000-0100-00000A000000}"/>
    <hyperlink ref="D15" location="null!A1" display="Matriz de riesgos" xr:uid="{00000000-0004-0000-0100-00000B000000}"/>
    <hyperlink ref="D16" location="null!A1" display="Escenario 1" xr:uid="{00000000-0004-0000-0100-00000C000000}"/>
    <hyperlink ref="D17" location="null!A1" display="Escenario 2" xr:uid="{00000000-0004-0000-0100-00000D000000}"/>
    <hyperlink ref="D18" location="null!A1" display="Escenario 3" xr:uid="{00000000-0004-0000-0100-00000E000000}"/>
  </hyperlinks>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63"/>
  <sheetViews>
    <sheetView topLeftCell="A9" zoomScale="125" zoomScaleNormal="85" workbookViewId="0">
      <selection activeCell="H8" sqref="H8"/>
    </sheetView>
  </sheetViews>
  <sheetFormatPr baseColWidth="10" defaultColWidth="12.6640625" defaultRowHeight="15" customHeight="1"/>
  <cols>
    <col min="1" max="1" width="10" customWidth="1"/>
    <col min="2" max="2" width="43" customWidth="1"/>
    <col min="3" max="4" width="24" customWidth="1"/>
    <col min="5" max="5" width="40.6640625" customWidth="1"/>
    <col min="6" max="6" width="16.83203125" customWidth="1"/>
    <col min="7" max="7" width="10" customWidth="1"/>
    <col min="8" max="8" width="13.6640625" customWidth="1"/>
    <col min="9" max="13" width="10" customWidth="1"/>
    <col min="14" max="14" width="7.83203125" customWidth="1"/>
    <col min="15" max="25" width="10" customWidth="1"/>
  </cols>
  <sheetData>
    <row r="1" spans="1:26" ht="60.75" customHeight="1">
      <c r="A1" s="20"/>
      <c r="B1" s="20"/>
      <c r="C1" s="20"/>
      <c r="D1" s="20"/>
      <c r="E1" s="21" t="s">
        <v>8</v>
      </c>
      <c r="F1" s="22"/>
      <c r="G1" s="22"/>
      <c r="H1" s="20"/>
      <c r="I1" s="20"/>
      <c r="J1" s="20"/>
      <c r="K1" s="20"/>
      <c r="L1" s="20"/>
      <c r="M1" s="20"/>
      <c r="N1" s="20"/>
      <c r="O1" s="20"/>
      <c r="P1" s="20"/>
      <c r="Q1" s="20"/>
      <c r="R1" s="20"/>
      <c r="S1" s="20"/>
      <c r="T1" s="20"/>
      <c r="U1" s="20"/>
      <c r="V1" s="20"/>
      <c r="W1" s="20"/>
      <c r="X1" s="20"/>
      <c r="Y1" s="20"/>
      <c r="Z1" s="20"/>
    </row>
    <row r="2" spans="1:26" ht="14.2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31.5" customHeight="1">
      <c r="A3" s="13"/>
      <c r="B3" s="12" t="s">
        <v>24</v>
      </c>
      <c r="C3" s="12"/>
      <c r="D3" s="12"/>
      <c r="E3" s="12"/>
      <c r="K3" s="13"/>
      <c r="L3" s="13"/>
      <c r="M3" s="13"/>
      <c r="N3" s="13"/>
      <c r="O3" s="13"/>
      <c r="P3" s="13"/>
      <c r="Q3" s="13"/>
      <c r="R3" s="13"/>
      <c r="S3" s="13"/>
      <c r="T3" s="13"/>
      <c r="U3" s="13"/>
      <c r="V3" s="13"/>
      <c r="W3" s="13"/>
      <c r="X3" s="13"/>
      <c r="Y3" s="13"/>
      <c r="Z3" s="13"/>
    </row>
    <row r="4" spans="1:26" ht="198" customHeight="1">
      <c r="A4" s="13"/>
      <c r="B4" s="11" t="s">
        <v>25</v>
      </c>
      <c r="C4" s="11"/>
      <c r="D4" s="11"/>
      <c r="E4" s="11"/>
      <c r="K4" s="23"/>
      <c r="L4" s="13"/>
      <c r="M4" s="13"/>
      <c r="N4" s="13"/>
      <c r="O4" s="13"/>
      <c r="P4" s="13"/>
      <c r="Q4" s="13"/>
      <c r="R4" s="13"/>
      <c r="S4" s="13"/>
      <c r="T4" s="13"/>
      <c r="U4" s="13"/>
      <c r="V4" s="13"/>
      <c r="W4" s="13"/>
      <c r="X4" s="13"/>
      <c r="Y4" s="13"/>
      <c r="Z4" s="13"/>
    </row>
    <row r="5" spans="1:26" ht="14.25" customHeight="1">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14.25" customHeight="1">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ht="31.5" customHeight="1">
      <c r="A7" s="13"/>
      <c r="B7" s="12" t="s">
        <v>26</v>
      </c>
      <c r="C7" s="12"/>
      <c r="D7" s="12"/>
      <c r="E7" s="12"/>
      <c r="K7" s="13"/>
      <c r="L7" s="13"/>
      <c r="M7" s="13"/>
      <c r="N7" s="13"/>
      <c r="O7" s="13"/>
      <c r="P7" s="13"/>
      <c r="Q7" s="13"/>
      <c r="R7" s="13"/>
      <c r="S7" s="13"/>
      <c r="T7" s="13"/>
      <c r="U7" s="13"/>
      <c r="V7" s="13"/>
      <c r="W7" s="13"/>
      <c r="X7" s="13"/>
      <c r="Y7" s="13"/>
      <c r="Z7" s="13"/>
    </row>
    <row r="8" spans="1:26" ht="89.25" customHeight="1">
      <c r="A8" s="13"/>
      <c r="B8" s="10" t="s">
        <v>527</v>
      </c>
      <c r="C8" s="10"/>
      <c r="D8" s="10"/>
      <c r="E8" s="10"/>
      <c r="K8" s="13"/>
      <c r="L8" s="13"/>
      <c r="M8" s="13"/>
      <c r="N8" s="13"/>
      <c r="O8" s="13"/>
      <c r="P8" s="13"/>
      <c r="Q8" s="13"/>
      <c r="R8" s="13"/>
      <c r="S8" s="13"/>
      <c r="T8" s="13"/>
      <c r="U8" s="13"/>
      <c r="V8" s="13"/>
      <c r="W8" s="13"/>
      <c r="X8" s="13"/>
      <c r="Y8" s="13"/>
      <c r="Z8" s="13"/>
    </row>
    <row r="9" spans="1:26" ht="213" customHeight="1">
      <c r="A9" s="13"/>
      <c r="B9" s="10" t="s">
        <v>27</v>
      </c>
      <c r="C9" s="10"/>
      <c r="D9" s="10"/>
      <c r="E9" s="10"/>
      <c r="F9" s="25"/>
      <c r="G9" s="25"/>
      <c r="H9" s="25"/>
      <c r="I9" s="25"/>
      <c r="J9" s="25"/>
      <c r="K9" s="13"/>
      <c r="L9" s="13"/>
      <c r="M9" s="13"/>
      <c r="N9" s="13"/>
      <c r="O9" s="13"/>
      <c r="P9" s="13"/>
      <c r="Q9" s="13"/>
      <c r="R9" s="13"/>
      <c r="S9" s="13"/>
      <c r="T9" s="13"/>
      <c r="U9" s="13"/>
      <c r="V9" s="13"/>
      <c r="W9" s="13"/>
      <c r="X9" s="13"/>
      <c r="Y9" s="13"/>
      <c r="Z9" s="13"/>
    </row>
    <row r="10" spans="1:26" ht="18" customHeight="1">
      <c r="A10" s="13"/>
      <c r="B10" s="24"/>
      <c r="C10" s="26"/>
      <c r="D10" s="26"/>
      <c r="E10" s="26"/>
      <c r="F10" s="25"/>
      <c r="G10" s="25"/>
      <c r="H10" s="25"/>
      <c r="I10" s="25"/>
      <c r="J10" s="25"/>
      <c r="K10" s="13"/>
      <c r="L10" s="13"/>
      <c r="M10" s="13"/>
      <c r="N10" s="13"/>
      <c r="O10" s="13"/>
      <c r="P10" s="13"/>
      <c r="Q10" s="13"/>
      <c r="R10" s="13"/>
      <c r="S10" s="13"/>
      <c r="T10" s="13"/>
      <c r="U10" s="13"/>
      <c r="V10" s="13"/>
      <c r="W10" s="13"/>
      <c r="X10" s="13"/>
      <c r="Y10" s="13"/>
      <c r="Z10" s="13"/>
    </row>
    <row r="11" spans="1:26" ht="33.75" customHeight="1">
      <c r="A11" s="13"/>
      <c r="B11" s="27" t="s">
        <v>28</v>
      </c>
      <c r="C11" s="27" t="s">
        <v>29</v>
      </c>
      <c r="D11" s="27" t="s">
        <v>30</v>
      </c>
      <c r="E11" s="25"/>
      <c r="F11" s="25"/>
      <c r="G11" s="25"/>
      <c r="H11" s="25"/>
      <c r="I11" s="25"/>
      <c r="J11" s="25"/>
      <c r="K11" s="13"/>
      <c r="L11" s="13"/>
      <c r="M11" s="13"/>
      <c r="N11" s="13"/>
      <c r="O11" s="13"/>
      <c r="P11" s="13"/>
      <c r="Q11" s="13"/>
      <c r="R11" s="13"/>
      <c r="S11" s="13"/>
      <c r="T11" s="13"/>
      <c r="U11" s="13"/>
      <c r="V11" s="13"/>
      <c r="W11" s="13"/>
      <c r="X11" s="13"/>
      <c r="Y11" s="13"/>
      <c r="Z11" s="13"/>
    </row>
    <row r="12" spans="1:26" ht="18" customHeight="1">
      <c r="A12" s="13"/>
      <c r="B12" s="26">
        <v>14000</v>
      </c>
      <c r="C12" s="26">
        <v>960</v>
      </c>
      <c r="D12" s="28">
        <f>B12*C12</f>
        <v>13440000</v>
      </c>
      <c r="E12" s="25"/>
      <c r="F12" s="25"/>
      <c r="G12" s="25"/>
      <c r="H12" s="25"/>
      <c r="I12" s="25"/>
      <c r="J12" s="25"/>
      <c r="K12" s="13"/>
      <c r="L12" s="13"/>
      <c r="M12" s="13"/>
      <c r="N12" s="13"/>
      <c r="O12" s="13"/>
      <c r="P12" s="13"/>
      <c r="Q12" s="13"/>
      <c r="R12" s="13"/>
      <c r="S12" s="13"/>
      <c r="T12" s="13"/>
      <c r="U12" s="13"/>
      <c r="V12" s="13"/>
      <c r="W12" s="13"/>
      <c r="X12" s="13"/>
      <c r="Y12" s="13"/>
      <c r="Z12" s="13"/>
    </row>
    <row r="13" spans="1:26" ht="18" customHeight="1">
      <c r="A13" s="13"/>
      <c r="B13" s="24" t="s">
        <v>31</v>
      </c>
      <c r="C13" s="25"/>
      <c r="D13" s="25"/>
      <c r="E13" s="25"/>
      <c r="F13" s="25"/>
      <c r="G13" s="25"/>
      <c r="H13" s="25"/>
      <c r="I13" s="25"/>
      <c r="J13" s="25"/>
      <c r="K13" s="13"/>
      <c r="L13" s="13"/>
      <c r="M13" s="13"/>
      <c r="N13" s="13"/>
      <c r="O13" s="13"/>
      <c r="P13" s="13"/>
      <c r="Q13" s="13"/>
      <c r="R13" s="13"/>
      <c r="S13" s="13"/>
      <c r="T13" s="13"/>
      <c r="U13" s="13"/>
      <c r="V13" s="13"/>
      <c r="W13" s="13"/>
      <c r="X13" s="13"/>
      <c r="Y13" s="13"/>
      <c r="Z13" s="13"/>
    </row>
    <row r="14" spans="1:26" ht="14.2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31.5" customHeight="1">
      <c r="A15" s="13"/>
      <c r="B15" s="12" t="s">
        <v>32</v>
      </c>
      <c r="C15" s="12"/>
      <c r="D15" s="12"/>
      <c r="E15" s="12"/>
      <c r="K15" s="13"/>
      <c r="L15" s="13"/>
      <c r="M15" s="13"/>
      <c r="N15" s="13"/>
      <c r="O15" s="13"/>
      <c r="P15" s="13"/>
      <c r="Q15" s="13"/>
      <c r="R15" s="13"/>
      <c r="S15" s="13"/>
      <c r="T15" s="13"/>
      <c r="U15" s="13"/>
      <c r="V15" s="13"/>
      <c r="W15" s="13"/>
      <c r="X15" s="13"/>
      <c r="Y15" s="13"/>
      <c r="Z15" s="13"/>
    </row>
    <row r="16" spans="1:26" ht="111.75" customHeight="1">
      <c r="A16" s="13"/>
      <c r="B16" s="10" t="s">
        <v>33</v>
      </c>
      <c r="C16" s="10"/>
      <c r="D16" s="10"/>
      <c r="E16" s="10"/>
      <c r="K16" s="13"/>
      <c r="L16" s="13"/>
      <c r="M16" s="13"/>
      <c r="N16" s="13"/>
      <c r="O16" s="13"/>
      <c r="P16" s="13"/>
      <c r="Q16" s="13"/>
      <c r="R16" s="13"/>
      <c r="S16" s="13"/>
      <c r="T16" s="13"/>
      <c r="U16" s="13"/>
      <c r="V16" s="13"/>
      <c r="W16" s="13"/>
      <c r="X16" s="13"/>
      <c r="Y16" s="13"/>
      <c r="Z16" s="13"/>
    </row>
    <row r="17" spans="1:26" ht="15" customHeight="1">
      <c r="A17" s="13"/>
      <c r="B17" s="29"/>
      <c r="C17" s="29"/>
      <c r="D17" s="29"/>
      <c r="E17" s="29"/>
      <c r="F17" s="29"/>
      <c r="G17" s="29"/>
      <c r="H17" s="29"/>
      <c r="I17" s="29"/>
      <c r="J17" s="29"/>
      <c r="K17" s="29"/>
      <c r="L17" s="29"/>
      <c r="M17" s="29"/>
      <c r="N17" s="29"/>
      <c r="O17" s="13"/>
      <c r="P17" s="13"/>
      <c r="Q17" s="13"/>
      <c r="R17" s="13"/>
      <c r="S17" s="13"/>
      <c r="T17" s="13"/>
      <c r="U17" s="13"/>
      <c r="V17" s="13"/>
      <c r="W17" s="13"/>
      <c r="X17" s="13"/>
      <c r="Y17" s="13"/>
      <c r="Z17" s="13"/>
    </row>
    <row r="18" spans="1:26" ht="15" customHeight="1">
      <c r="A18" s="13"/>
      <c r="B18" s="13"/>
      <c r="C18" s="13"/>
      <c r="D18" s="13"/>
      <c r="E18" s="29"/>
      <c r="F18" s="29"/>
      <c r="G18" s="29"/>
      <c r="H18" s="29"/>
      <c r="I18" s="29"/>
      <c r="J18" s="29"/>
      <c r="K18" s="29"/>
      <c r="L18" s="29"/>
      <c r="M18" s="29"/>
      <c r="N18" s="29"/>
      <c r="O18" s="13"/>
      <c r="P18" s="13"/>
      <c r="Q18" s="13"/>
      <c r="R18" s="13"/>
      <c r="S18" s="13"/>
      <c r="T18" s="13"/>
      <c r="U18" s="13"/>
      <c r="V18" s="13"/>
      <c r="W18" s="13"/>
      <c r="X18" s="13"/>
      <c r="Y18" s="13"/>
      <c r="Z18" s="13"/>
    </row>
    <row r="19" spans="1:26" ht="15" customHeight="1">
      <c r="A19" s="13"/>
      <c r="B19" s="13"/>
      <c r="C19" s="13"/>
      <c r="D19" s="13"/>
      <c r="E19" s="29"/>
      <c r="F19" s="29"/>
      <c r="G19" s="29"/>
      <c r="H19" s="29"/>
      <c r="I19" s="29"/>
      <c r="J19" s="29"/>
      <c r="K19" s="29"/>
      <c r="L19" s="29"/>
      <c r="M19" s="29"/>
      <c r="N19" s="29"/>
      <c r="O19" s="13"/>
      <c r="P19" s="13"/>
      <c r="Q19" s="13"/>
      <c r="R19" s="13"/>
      <c r="S19" s="13"/>
      <c r="T19" s="13"/>
      <c r="U19" s="13"/>
      <c r="V19" s="13"/>
      <c r="W19" s="13"/>
      <c r="X19" s="13"/>
      <c r="Y19" s="13"/>
      <c r="Z19" s="13"/>
    </row>
    <row r="20" spans="1:26" ht="15" customHeight="1">
      <c r="A20" s="13"/>
      <c r="B20" s="13"/>
      <c r="C20" s="13"/>
      <c r="D20" s="29"/>
      <c r="E20" s="29"/>
      <c r="F20" s="29"/>
      <c r="G20" s="29"/>
      <c r="H20" s="29"/>
      <c r="I20" s="29"/>
      <c r="J20" s="29"/>
      <c r="K20" s="29"/>
      <c r="L20" s="29"/>
      <c r="M20" s="29"/>
      <c r="N20" s="29"/>
      <c r="O20" s="13"/>
      <c r="P20" s="13"/>
      <c r="Q20" s="13"/>
      <c r="R20" s="13"/>
      <c r="S20" s="13"/>
      <c r="T20" s="13"/>
      <c r="U20" s="13"/>
      <c r="V20" s="13"/>
      <c r="W20" s="13"/>
      <c r="X20" s="13"/>
      <c r="Y20" s="13"/>
      <c r="Z20" s="13"/>
    </row>
    <row r="21" spans="1:26" ht="15" customHeight="1">
      <c r="A21" s="13"/>
      <c r="B21" s="29"/>
      <c r="C21" s="29"/>
      <c r="D21" s="29"/>
      <c r="E21" s="29"/>
      <c r="F21" s="29"/>
      <c r="G21" s="29"/>
      <c r="H21" s="29"/>
      <c r="I21" s="29"/>
      <c r="J21" s="29"/>
      <c r="K21" s="29"/>
      <c r="L21" s="29"/>
      <c r="M21" s="29"/>
      <c r="N21" s="29"/>
      <c r="O21" s="13"/>
      <c r="P21" s="13"/>
      <c r="Q21" s="13"/>
      <c r="R21" s="13"/>
      <c r="S21" s="13"/>
      <c r="T21" s="13"/>
      <c r="U21" s="13"/>
      <c r="V21" s="13"/>
      <c r="W21" s="13"/>
      <c r="X21" s="13"/>
      <c r="Y21" s="13"/>
      <c r="Z21" s="13"/>
    </row>
    <row r="22" spans="1:26" ht="24.75" customHeight="1">
      <c r="A22" s="9" t="s">
        <v>34</v>
      </c>
      <c r="B22" s="9"/>
      <c r="C22" s="9"/>
      <c r="D22" s="9"/>
      <c r="E22" s="29"/>
      <c r="F22" s="29"/>
      <c r="G22" s="29"/>
      <c r="H22" s="29"/>
      <c r="I22" s="29"/>
      <c r="J22" s="29"/>
      <c r="K22" s="29"/>
      <c r="L22" s="29"/>
      <c r="M22" s="29"/>
      <c r="N22" s="29"/>
      <c r="O22" s="13"/>
      <c r="P22" s="13"/>
      <c r="Q22" s="13"/>
      <c r="R22" s="13"/>
      <c r="S22" s="13"/>
      <c r="T22" s="13"/>
      <c r="U22" s="13"/>
      <c r="V22" s="13"/>
      <c r="W22" s="13"/>
      <c r="X22" s="13"/>
      <c r="Y22" s="13"/>
      <c r="Z22" s="13"/>
    </row>
    <row r="23" spans="1:26" ht="18" customHeight="1">
      <c r="A23" s="30" t="s">
        <v>35</v>
      </c>
      <c r="B23" s="30" t="s">
        <v>36</v>
      </c>
      <c r="C23" s="30" t="s">
        <v>37</v>
      </c>
      <c r="D23" s="30" t="s">
        <v>38</v>
      </c>
      <c r="E23" s="30" t="s">
        <v>39</v>
      </c>
      <c r="F23" s="29"/>
      <c r="G23" s="29"/>
      <c r="H23" s="29"/>
      <c r="I23" s="29"/>
      <c r="J23" s="29"/>
      <c r="K23" s="29"/>
      <c r="L23" s="29"/>
      <c r="M23" s="29"/>
      <c r="N23" s="29"/>
      <c r="O23" s="13"/>
      <c r="P23" s="13"/>
      <c r="Q23" s="13"/>
      <c r="R23" s="13"/>
      <c r="S23" s="13"/>
      <c r="T23" s="13"/>
      <c r="U23" s="13"/>
      <c r="V23" s="13"/>
      <c r="W23" s="13"/>
      <c r="X23" s="13"/>
      <c r="Y23" s="13"/>
      <c r="Z23" s="13"/>
    </row>
    <row r="24" spans="1:26" ht="15" customHeight="1">
      <c r="A24" s="31" t="s">
        <v>40</v>
      </c>
      <c r="B24" s="31" t="str">
        <f>SUBSTITUTE(TEXT('Proy. ventas'!AA36,"#,##0"),",",".")&amp;" comercios"</f>
        <v>271.0 comercios</v>
      </c>
      <c r="C24" s="32">
        <v>8.0000000000000002E-3</v>
      </c>
      <c r="D24" s="33">
        <f>C24*$D$12</f>
        <v>107520</v>
      </c>
      <c r="E24" s="33">
        <f>SUM('Proy. ventas'!F32,'Proy. ventas'!H32,'Proy. ventas'!J32,'Proy. ventas'!L32,'Proy. ventas'!N32,'Proy. ventas'!P32,'Proy. ventas'!R32,'Proy. ventas'!T32,'Proy. ventas'!V32,'Proy. ventas'!X32,'Proy. ventas'!Z32,'Proy. ventas'!AB32)</f>
        <v>105865</v>
      </c>
      <c r="F24" s="29"/>
      <c r="G24" s="29"/>
      <c r="H24" s="29"/>
      <c r="I24" s="29"/>
      <c r="J24" s="29"/>
      <c r="K24" s="29"/>
      <c r="L24" s="29"/>
      <c r="M24" s="29"/>
      <c r="N24" s="29"/>
      <c r="O24" s="13"/>
      <c r="P24" s="13"/>
      <c r="Q24" s="13"/>
      <c r="R24" s="13"/>
      <c r="S24" s="13"/>
      <c r="T24" s="13"/>
      <c r="U24" s="13"/>
      <c r="V24" s="13"/>
      <c r="W24" s="13"/>
      <c r="X24" s="13"/>
      <c r="Y24" s="13"/>
      <c r="Z24" s="13"/>
    </row>
    <row r="25" spans="1:26" ht="15" customHeight="1">
      <c r="A25" s="31" t="s">
        <v>41</v>
      </c>
      <c r="B25" s="31" t="str">
        <f>SUBSTITUTE(TEXT('Proy. ventas'!AA99,"#,##0"),",",".")&amp;" comercios"</f>
        <v>597.0 comercios</v>
      </c>
      <c r="C25" s="32">
        <v>2.9000000000000001E-2</v>
      </c>
      <c r="D25" s="33">
        <f>C25*$D$12</f>
        <v>389760</v>
      </c>
      <c r="E25" s="33">
        <f>SUM('Proy. ventas'!F95,'Proy. ventas'!H95,'Proy. ventas'!J95,'Proy. ventas'!L95,'Proy. ventas'!N95,'Proy. ventas'!P95,'Proy. ventas'!R95,'Proy. ventas'!T95,'Proy. ventas'!V95,'Proy. ventas'!X95,'Proy. ventas'!Z95,'Proy. ventas'!AB95)</f>
        <v>386897</v>
      </c>
      <c r="F25" s="29"/>
      <c r="G25" s="29"/>
      <c r="H25" s="29"/>
      <c r="I25" s="29"/>
      <c r="J25" s="29"/>
      <c r="K25" s="29"/>
      <c r="L25" s="29"/>
      <c r="M25" s="29"/>
      <c r="N25" s="29"/>
      <c r="O25" s="13"/>
      <c r="P25" s="13"/>
      <c r="Q25" s="13"/>
      <c r="R25" s="13"/>
      <c r="S25" s="13"/>
      <c r="T25" s="13"/>
      <c r="U25" s="13"/>
      <c r="V25" s="13"/>
      <c r="W25" s="13"/>
      <c r="X25" s="13"/>
      <c r="Y25" s="13"/>
      <c r="Z25" s="13"/>
    </row>
    <row r="26" spans="1:26" ht="15" customHeight="1">
      <c r="A26" s="31" t="s">
        <v>42</v>
      </c>
      <c r="B26" s="31" t="str">
        <f>SUBSTITUTE(TEXT('Proy. ventas'!AA161,"#,##0"),",",".")&amp;" comercios"</f>
        <v>1033.0 comercios</v>
      </c>
      <c r="C26" s="32">
        <v>5.1999999999999998E-2</v>
      </c>
      <c r="D26" s="33">
        <f>C26*$D$12</f>
        <v>698880</v>
      </c>
      <c r="E26" s="33">
        <f>SUM('Proy. ventas'!F157,'Proy. ventas'!H157,'Proy. ventas'!J157,'Proy. ventas'!L157,'Proy. ventas'!N157,'Proy. ventas'!P157,'Proy. ventas'!R157,'Proy. ventas'!T157,'Proy. ventas'!V157,'Proy. ventas'!X157,'Proy. ventas'!Z157,'Proy. ventas'!AB157)</f>
        <v>705506</v>
      </c>
      <c r="F26" s="29"/>
      <c r="G26" s="29"/>
      <c r="H26" s="29"/>
      <c r="I26" s="29"/>
      <c r="J26" s="29"/>
      <c r="K26" s="29"/>
      <c r="L26" s="29"/>
      <c r="M26" s="29"/>
      <c r="N26" s="29"/>
      <c r="O26" s="13"/>
      <c r="P26" s="13"/>
      <c r="Q26" s="13"/>
      <c r="R26" s="13"/>
      <c r="S26" s="13"/>
      <c r="T26" s="13"/>
      <c r="U26" s="13"/>
      <c r="V26" s="13"/>
      <c r="W26" s="13"/>
      <c r="X26" s="13"/>
      <c r="Y26" s="13"/>
      <c r="Z26" s="13"/>
    </row>
    <row r="27" spans="1:26" ht="15" customHeight="1">
      <c r="A27" s="13"/>
      <c r="B27" s="29"/>
      <c r="C27" s="34"/>
      <c r="D27" s="35"/>
      <c r="E27" s="29"/>
      <c r="F27" s="29"/>
      <c r="G27" s="29"/>
      <c r="H27" s="29"/>
      <c r="I27" s="29"/>
      <c r="J27" s="29"/>
      <c r="K27" s="29"/>
      <c r="L27" s="29"/>
      <c r="M27" s="29"/>
      <c r="N27" s="29"/>
      <c r="O27" s="13"/>
      <c r="P27" s="13"/>
      <c r="Q27" s="13"/>
      <c r="R27" s="13"/>
      <c r="S27" s="13"/>
      <c r="T27" s="13"/>
      <c r="U27" s="13"/>
      <c r="V27" s="13"/>
      <c r="W27" s="13"/>
      <c r="X27" s="13"/>
      <c r="Y27" s="13"/>
      <c r="Z27" s="13"/>
    </row>
    <row r="28" spans="1:26" ht="15" customHeight="1">
      <c r="A28" s="13"/>
      <c r="C28" s="34"/>
      <c r="D28" s="35"/>
      <c r="E28" s="29"/>
      <c r="F28" s="29"/>
      <c r="G28" s="29"/>
      <c r="H28" s="29"/>
      <c r="I28" s="29"/>
      <c r="J28" s="29"/>
      <c r="K28" s="29"/>
      <c r="L28" s="29"/>
      <c r="M28" s="29"/>
      <c r="N28" s="29"/>
      <c r="O28" s="13"/>
      <c r="P28" s="13"/>
      <c r="Q28" s="13"/>
      <c r="R28" s="13"/>
      <c r="S28" s="13"/>
      <c r="T28" s="13"/>
      <c r="U28" s="13"/>
      <c r="V28" s="13"/>
      <c r="W28" s="13"/>
      <c r="X28" s="13"/>
      <c r="Y28" s="13"/>
      <c r="Z28" s="13"/>
    </row>
    <row r="29" spans="1:26" ht="15" customHeight="1">
      <c r="A29" s="13"/>
      <c r="B29" s="36" t="s">
        <v>43</v>
      </c>
      <c r="C29" s="34"/>
      <c r="D29" s="35"/>
      <c r="E29" s="29"/>
      <c r="F29" s="29"/>
      <c r="G29" s="29"/>
      <c r="H29" s="29"/>
      <c r="I29" s="29"/>
      <c r="J29" s="29"/>
      <c r="K29" s="29"/>
      <c r="L29" s="29"/>
      <c r="M29" s="29"/>
      <c r="N29" s="29"/>
      <c r="O29" s="13"/>
      <c r="P29" s="13"/>
      <c r="Q29" s="13"/>
      <c r="R29" s="13"/>
      <c r="S29" s="13"/>
      <c r="T29" s="13"/>
      <c r="U29" s="13"/>
      <c r="V29" s="13"/>
      <c r="W29" s="13"/>
      <c r="X29" s="13"/>
      <c r="Y29" s="13"/>
      <c r="Z29" s="13"/>
    </row>
    <row r="30" spans="1:26" ht="15" customHeight="1">
      <c r="A30" s="13"/>
      <c r="B30" s="29"/>
      <c r="C30" s="34"/>
      <c r="D30" s="35"/>
      <c r="E30" s="29"/>
      <c r="F30" s="29"/>
      <c r="G30" s="29"/>
      <c r="H30" s="29"/>
      <c r="I30" s="29"/>
      <c r="J30" s="29"/>
      <c r="K30" s="29"/>
      <c r="L30" s="29"/>
      <c r="M30" s="29"/>
      <c r="N30" s="29"/>
      <c r="O30" s="13"/>
      <c r="P30" s="13"/>
      <c r="Q30" s="13"/>
      <c r="R30" s="13"/>
      <c r="S30" s="13"/>
      <c r="T30" s="13"/>
      <c r="U30" s="13"/>
      <c r="V30" s="13"/>
      <c r="W30" s="13"/>
      <c r="X30" s="13"/>
      <c r="Y30" s="13"/>
      <c r="Z30" s="13"/>
    </row>
    <row r="31" spans="1:26" ht="126" customHeight="1">
      <c r="A31" s="13"/>
      <c r="B31" s="8" t="s">
        <v>44</v>
      </c>
      <c r="C31" s="8"/>
      <c r="D31" s="8"/>
      <c r="E31" s="8"/>
      <c r="K31" s="29"/>
      <c r="L31" s="29"/>
      <c r="M31" s="29"/>
      <c r="N31" s="29"/>
      <c r="O31" s="13"/>
      <c r="P31" s="13"/>
      <c r="Q31" s="13"/>
      <c r="R31" s="13"/>
      <c r="S31" s="13"/>
      <c r="T31" s="13"/>
      <c r="U31" s="13"/>
      <c r="V31" s="13"/>
      <c r="W31" s="13"/>
      <c r="X31" s="13"/>
      <c r="Y31" s="13"/>
      <c r="Z31" s="13"/>
    </row>
    <row r="32" spans="1:26" ht="15.75" customHeight="1">
      <c r="A32" s="13"/>
      <c r="B32" s="29"/>
      <c r="C32" s="29"/>
      <c r="D32" s="29"/>
      <c r="E32" s="29"/>
      <c r="F32" s="29"/>
      <c r="G32" s="13"/>
      <c r="H32" s="29"/>
      <c r="I32" s="29"/>
      <c r="J32" s="29"/>
      <c r="K32" s="29"/>
      <c r="L32" s="29"/>
      <c r="M32" s="29"/>
      <c r="N32" s="29"/>
      <c r="O32" s="13"/>
      <c r="P32" s="13"/>
      <c r="Q32" s="13"/>
      <c r="R32" s="13"/>
      <c r="S32" s="13"/>
      <c r="T32" s="13"/>
      <c r="U32" s="13"/>
      <c r="V32" s="13"/>
      <c r="W32" s="13"/>
      <c r="X32" s="13"/>
      <c r="Y32" s="13"/>
      <c r="Z32" s="13"/>
    </row>
    <row r="33" spans="1:26" ht="25.5" customHeight="1">
      <c r="A33" s="13"/>
      <c r="B33" s="12" t="s">
        <v>45</v>
      </c>
      <c r="C33" s="12"/>
      <c r="D33" s="12"/>
      <c r="E33" s="12"/>
      <c r="F33" s="12"/>
      <c r="G33" s="13"/>
      <c r="H33" s="29"/>
      <c r="I33" s="29"/>
      <c r="J33" s="29"/>
      <c r="K33" s="29"/>
      <c r="L33" s="29"/>
      <c r="M33" s="29"/>
      <c r="N33" s="29"/>
      <c r="O33" s="13"/>
      <c r="P33" s="13"/>
      <c r="Q33" s="13"/>
      <c r="R33" s="13"/>
      <c r="S33" s="13"/>
      <c r="T33" s="13"/>
      <c r="U33" s="13"/>
      <c r="V33" s="13"/>
      <c r="W33" s="13"/>
      <c r="X33" s="13"/>
      <c r="Y33" s="13"/>
      <c r="Z33" s="13"/>
    </row>
    <row r="34" spans="1:26" ht="25.5" customHeight="1">
      <c r="A34" s="13"/>
      <c r="B34" s="37"/>
      <c r="C34" s="37"/>
      <c r="D34" s="37"/>
      <c r="E34" s="37"/>
      <c r="F34" s="37"/>
      <c r="G34" s="13"/>
      <c r="H34" s="29"/>
      <c r="I34" s="29"/>
      <c r="J34" s="29"/>
      <c r="K34" s="29"/>
      <c r="L34" s="29"/>
      <c r="M34" s="29"/>
      <c r="N34" s="29"/>
      <c r="O34" s="13"/>
      <c r="P34" s="13"/>
      <c r="Q34" s="13"/>
      <c r="R34" s="13"/>
      <c r="S34" s="13"/>
      <c r="T34" s="13"/>
      <c r="U34" s="13"/>
      <c r="V34" s="13"/>
      <c r="W34" s="13"/>
      <c r="X34" s="13"/>
      <c r="Y34" s="13"/>
      <c r="Z34" s="13"/>
    </row>
    <row r="35" spans="1:26" ht="25.5" customHeight="1">
      <c r="A35" s="13"/>
      <c r="B35" s="12" t="s">
        <v>46</v>
      </c>
      <c r="C35" s="12"/>
      <c r="D35" s="12"/>
      <c r="E35" s="12"/>
      <c r="F35" s="12"/>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38"/>
      <c r="C36" s="7" t="s">
        <v>47</v>
      </c>
      <c r="D36" s="7"/>
      <c r="E36" s="7"/>
      <c r="F36" s="7"/>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38"/>
      <c r="C37" s="7"/>
      <c r="D37" s="7"/>
      <c r="E37" s="7"/>
      <c r="F37" s="7"/>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38"/>
      <c r="C38" s="7"/>
      <c r="D38" s="7"/>
      <c r="E38" s="7"/>
      <c r="F38" s="7"/>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38"/>
      <c r="C39" s="39" t="s">
        <v>48</v>
      </c>
      <c r="D39" s="39" t="s">
        <v>49</v>
      </c>
      <c r="E39" s="40"/>
      <c r="F39" s="40"/>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6" t="s">
        <v>50</v>
      </c>
      <c r="C40" s="5" t="s">
        <v>51</v>
      </c>
      <c r="D40" s="4" t="s">
        <v>51</v>
      </c>
      <c r="E40" s="3"/>
      <c r="F40" s="2"/>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6"/>
      <c r="C41" s="6"/>
      <c r="D41" s="6"/>
      <c r="E41" s="6"/>
      <c r="F41" s="6"/>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6"/>
      <c r="C42" s="5"/>
      <c r="D42" s="5"/>
      <c r="E42" s="5"/>
      <c r="F42" s="2"/>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6"/>
      <c r="C43" s="5" t="s">
        <v>52</v>
      </c>
      <c r="D43" s="4" t="s">
        <v>52</v>
      </c>
      <c r="E43" s="3"/>
      <c r="F43" s="2"/>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6"/>
      <c r="C44" s="6"/>
      <c r="D44" s="6"/>
      <c r="E44" s="6"/>
      <c r="F44" s="6"/>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6"/>
      <c r="C45" s="5"/>
      <c r="D45" s="5"/>
      <c r="E45" s="5"/>
      <c r="F45" s="2"/>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6"/>
      <c r="C46" s="5" t="s">
        <v>53</v>
      </c>
      <c r="D46" s="4" t="s">
        <v>53</v>
      </c>
      <c r="E46" s="3"/>
      <c r="F46" s="2"/>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6"/>
      <c r="C47" s="6"/>
      <c r="D47" s="6"/>
      <c r="E47" s="6"/>
      <c r="F47" s="6"/>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6"/>
      <c r="C48" s="6"/>
      <c r="D48" s="6"/>
      <c r="E48" s="3"/>
      <c r="F48" s="2"/>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6"/>
      <c r="C49" s="6"/>
      <c r="D49" s="6"/>
      <c r="E49" s="3"/>
      <c r="F49" s="2"/>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6"/>
      <c r="C50" s="6"/>
      <c r="D50" s="6"/>
      <c r="E50" s="6"/>
      <c r="F50" s="6"/>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6"/>
      <c r="C51" s="6"/>
      <c r="D51" s="6"/>
      <c r="E51" s="3"/>
      <c r="F51" s="2"/>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6"/>
      <c r="C52" s="6"/>
      <c r="D52" s="6"/>
      <c r="E52" s="3"/>
      <c r="F52" s="2"/>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6"/>
      <c r="C53" s="6"/>
      <c r="D53" s="6"/>
      <c r="E53" s="6"/>
      <c r="F53" s="6"/>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31.5" customHeight="1">
      <c r="A56" s="13"/>
      <c r="B56" s="1" t="s">
        <v>54</v>
      </c>
      <c r="C56" s="1"/>
      <c r="D56" s="1"/>
      <c r="E56" s="1"/>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41" t="s">
        <v>55</v>
      </c>
      <c r="C57" s="42" t="s">
        <v>56</v>
      </c>
      <c r="D57" s="43" t="s">
        <v>57</v>
      </c>
      <c r="E57" s="44" t="s">
        <v>58</v>
      </c>
      <c r="F57" s="13"/>
      <c r="G57" s="13"/>
      <c r="H57" s="13"/>
      <c r="I57" s="13"/>
      <c r="J57" s="13"/>
      <c r="K57" s="13"/>
      <c r="L57" s="13"/>
      <c r="M57" s="13"/>
      <c r="N57" s="13"/>
      <c r="O57" s="13"/>
      <c r="P57" s="13"/>
      <c r="Q57" s="13"/>
      <c r="R57" s="13"/>
      <c r="S57" s="13"/>
      <c r="T57" s="13"/>
      <c r="U57" s="13"/>
      <c r="V57" s="13"/>
      <c r="W57" s="13"/>
      <c r="X57" s="13"/>
      <c r="Y57" s="13"/>
      <c r="Z57" s="13"/>
    </row>
    <row r="58" spans="1:26" ht="96.75" customHeight="1">
      <c r="A58" s="13"/>
      <c r="B58" s="45" t="s">
        <v>59</v>
      </c>
      <c r="C58" s="46">
        <v>40</v>
      </c>
      <c r="D58" s="47" t="s">
        <v>60</v>
      </c>
      <c r="E58" s="48" t="s">
        <v>61</v>
      </c>
      <c r="F58" s="13"/>
      <c r="G58" s="13"/>
      <c r="H58" s="13"/>
      <c r="I58" s="13"/>
      <c r="J58" s="13"/>
      <c r="K58" s="13"/>
      <c r="L58" s="13"/>
      <c r="M58" s="13"/>
      <c r="N58" s="13"/>
      <c r="O58" s="13"/>
      <c r="P58" s="13"/>
      <c r="Q58" s="13"/>
      <c r="R58" s="13"/>
      <c r="S58" s="13"/>
      <c r="T58" s="13"/>
      <c r="U58" s="13"/>
      <c r="V58" s="13"/>
      <c r="W58" s="13"/>
      <c r="X58" s="13"/>
      <c r="Y58" s="13"/>
      <c r="Z58" s="13"/>
    </row>
    <row r="59" spans="1:26" ht="111.75" customHeight="1">
      <c r="A59" s="13"/>
      <c r="B59" s="49" t="s">
        <v>62</v>
      </c>
      <c r="C59" s="50">
        <v>120</v>
      </c>
      <c r="D59" s="51" t="s">
        <v>63</v>
      </c>
      <c r="E59" s="48" t="s">
        <v>61</v>
      </c>
      <c r="F59" s="13"/>
      <c r="G59" s="13"/>
      <c r="H59" s="13"/>
      <c r="I59" s="13"/>
      <c r="J59" s="13"/>
      <c r="K59" s="13"/>
      <c r="L59" s="13"/>
      <c r="M59" s="13"/>
      <c r="N59" s="13"/>
      <c r="O59" s="13"/>
      <c r="P59" s="13"/>
      <c r="Q59" s="13"/>
      <c r="R59" s="13"/>
      <c r="S59" s="13"/>
      <c r="T59" s="13"/>
      <c r="U59" s="13"/>
      <c r="V59" s="13"/>
      <c r="W59" s="13"/>
      <c r="X59" s="13"/>
      <c r="Y59" s="13"/>
      <c r="Z59" s="13"/>
    </row>
    <row r="60" spans="1:26" ht="67.5" customHeight="1">
      <c r="A60" s="13"/>
      <c r="B60" s="52" t="s">
        <v>64</v>
      </c>
      <c r="C60" s="53">
        <v>450</v>
      </c>
      <c r="D60" s="54" t="s">
        <v>65</v>
      </c>
      <c r="E60" s="48" t="s">
        <v>61</v>
      </c>
      <c r="F60" s="13"/>
      <c r="G60" s="13"/>
      <c r="H60" s="13"/>
      <c r="I60" s="13"/>
      <c r="J60" s="13"/>
      <c r="K60" s="13"/>
      <c r="L60" s="13"/>
      <c r="M60" s="13"/>
      <c r="N60" s="13"/>
      <c r="O60" s="13"/>
      <c r="P60" s="13"/>
      <c r="Q60" s="13"/>
      <c r="R60" s="13"/>
      <c r="S60" s="13"/>
      <c r="T60" s="13"/>
      <c r="U60" s="13"/>
      <c r="V60" s="13"/>
      <c r="W60" s="13"/>
      <c r="X60" s="13"/>
      <c r="Y60" s="13"/>
      <c r="Z60" s="13"/>
    </row>
    <row r="61" spans="1:26" ht="111.75" customHeight="1">
      <c r="A61" s="13"/>
      <c r="B61" s="55" t="s">
        <v>66</v>
      </c>
      <c r="C61" s="56">
        <v>33</v>
      </c>
      <c r="D61" s="57" t="s">
        <v>67</v>
      </c>
      <c r="E61" s="58" t="s">
        <v>68</v>
      </c>
      <c r="F61" s="13"/>
      <c r="G61" s="13"/>
      <c r="H61" s="13"/>
      <c r="I61" s="13"/>
      <c r="J61" s="13"/>
      <c r="K61" s="13"/>
      <c r="L61" s="13"/>
      <c r="M61" s="13"/>
      <c r="N61" s="13"/>
      <c r="O61" s="13"/>
      <c r="P61" s="13"/>
      <c r="Q61" s="13"/>
      <c r="R61" s="13"/>
      <c r="S61" s="13"/>
      <c r="T61" s="13"/>
      <c r="U61" s="13"/>
      <c r="V61" s="13"/>
      <c r="W61" s="13"/>
      <c r="X61" s="13"/>
      <c r="Y61" s="13"/>
      <c r="Z61" s="13"/>
    </row>
    <row r="62" spans="1:26" ht="111.75" customHeight="1">
      <c r="A62" s="13"/>
      <c r="B62" s="55" t="s">
        <v>69</v>
      </c>
      <c r="C62" s="59">
        <v>65</v>
      </c>
      <c r="D62" s="57" t="s">
        <v>70</v>
      </c>
      <c r="E62" s="58" t="s">
        <v>68</v>
      </c>
      <c r="F62" s="13"/>
      <c r="G62" s="13"/>
      <c r="H62" s="13"/>
      <c r="I62" s="13"/>
      <c r="J62" s="13"/>
      <c r="K62" s="13"/>
      <c r="L62" s="13"/>
      <c r="M62" s="13"/>
      <c r="N62" s="13"/>
      <c r="O62" s="13"/>
      <c r="P62" s="13"/>
      <c r="Q62" s="13"/>
      <c r="R62" s="13"/>
      <c r="S62" s="13"/>
      <c r="T62" s="13"/>
      <c r="U62" s="13"/>
      <c r="V62" s="13"/>
      <c r="W62" s="13"/>
      <c r="X62" s="13"/>
      <c r="Y62" s="13"/>
      <c r="Z62" s="13"/>
    </row>
    <row r="63" spans="1:26" ht="81.75" customHeight="1">
      <c r="A63" s="13"/>
      <c r="B63" s="55" t="s">
        <v>71</v>
      </c>
      <c r="C63" s="59">
        <v>175</v>
      </c>
      <c r="D63" s="57" t="s">
        <v>72</v>
      </c>
      <c r="E63" s="58" t="s">
        <v>68</v>
      </c>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60"/>
      <c r="C64" s="61"/>
      <c r="D64" s="62"/>
      <c r="E64" s="13"/>
      <c r="F64" s="13"/>
      <c r="G64" s="13"/>
      <c r="H64" s="13"/>
      <c r="I64" s="13"/>
      <c r="J64" s="13"/>
      <c r="K64" s="13"/>
      <c r="L64" s="13"/>
      <c r="M64" s="13"/>
      <c r="N64" s="13"/>
      <c r="O64" s="13"/>
      <c r="P64" s="13"/>
      <c r="Q64" s="13"/>
      <c r="R64" s="13"/>
      <c r="S64" s="13"/>
      <c r="T64" s="13"/>
      <c r="U64" s="13"/>
      <c r="V64" s="13"/>
      <c r="W64" s="13"/>
      <c r="X64" s="13"/>
      <c r="Y64" s="13"/>
      <c r="Z64" s="13"/>
    </row>
    <row r="65" spans="1:26" ht="15" customHeight="1">
      <c r="A65" s="13"/>
      <c r="B65" s="63"/>
      <c r="C65" s="64"/>
      <c r="D65" s="65"/>
      <c r="E65" s="13"/>
      <c r="F65" s="13"/>
      <c r="G65" s="13"/>
      <c r="H65" s="13"/>
      <c r="I65" s="13"/>
      <c r="J65" s="13"/>
      <c r="K65" s="13"/>
      <c r="L65" s="13"/>
      <c r="M65" s="13"/>
      <c r="N65" s="13"/>
      <c r="O65" s="13"/>
      <c r="P65" s="13"/>
      <c r="Q65" s="13"/>
      <c r="R65" s="13"/>
      <c r="S65" s="13"/>
      <c r="T65" s="13"/>
      <c r="U65" s="13"/>
      <c r="V65" s="13"/>
      <c r="W65" s="13"/>
      <c r="X65" s="13"/>
      <c r="Y65" s="13"/>
      <c r="Z65" s="13"/>
    </row>
    <row r="66" spans="1:26" ht="15" customHeight="1">
      <c r="A66" s="13"/>
      <c r="B66" s="66"/>
      <c r="C66" s="67"/>
      <c r="D66" s="68"/>
      <c r="E66" s="13"/>
      <c r="F66" s="13"/>
      <c r="G66" s="13"/>
      <c r="H66" s="13"/>
      <c r="I66" s="13"/>
      <c r="J66" s="13"/>
      <c r="K66" s="13"/>
      <c r="L66" s="13"/>
      <c r="M66" s="13"/>
      <c r="N66" s="13"/>
      <c r="O66" s="13"/>
      <c r="P66" s="13"/>
      <c r="Q66" s="13"/>
      <c r="R66" s="13"/>
      <c r="S66" s="13"/>
      <c r="T66" s="13"/>
      <c r="U66" s="13"/>
      <c r="V66" s="13"/>
      <c r="W66" s="13"/>
      <c r="X66" s="13"/>
      <c r="Y66" s="13"/>
      <c r="Z66" s="13"/>
    </row>
    <row r="67" spans="1:26" ht="15" customHeight="1">
      <c r="A67" s="13"/>
      <c r="B67" s="66"/>
      <c r="C67" s="67"/>
      <c r="D67" s="68"/>
      <c r="E67" s="13"/>
      <c r="F67" s="13"/>
      <c r="G67" s="13"/>
      <c r="H67" s="13"/>
      <c r="I67" s="13"/>
      <c r="J67" s="13"/>
      <c r="K67" s="13"/>
      <c r="L67" s="13"/>
      <c r="M67" s="13"/>
      <c r="N67" s="13"/>
      <c r="O67" s="13"/>
      <c r="P67" s="13"/>
      <c r="Q67" s="13"/>
      <c r="R67" s="13"/>
      <c r="S67" s="13"/>
      <c r="T67" s="13"/>
      <c r="U67" s="13"/>
      <c r="V67" s="13"/>
      <c r="W67" s="13"/>
      <c r="X67" s="13"/>
      <c r="Y67" s="13"/>
      <c r="Z67" s="13"/>
    </row>
    <row r="68" spans="1:26" ht="15" customHeight="1">
      <c r="A68" s="13"/>
      <c r="B68" s="66"/>
      <c r="C68" s="67"/>
      <c r="D68" s="68"/>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69"/>
      <c r="C69" s="70"/>
      <c r="D69" s="71"/>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72"/>
      <c r="C70" s="73"/>
      <c r="D70" s="74"/>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sheetData>
  <mergeCells count="26">
    <mergeCell ref="B56:E56"/>
    <mergeCell ref="B35:F35"/>
    <mergeCell ref="C36:F38"/>
    <mergeCell ref="B40:B53"/>
    <mergeCell ref="C40:C42"/>
    <mergeCell ref="D40:D42"/>
    <mergeCell ref="E40:E42"/>
    <mergeCell ref="F40:F53"/>
    <mergeCell ref="C43:C45"/>
    <mergeCell ref="D43:D45"/>
    <mergeCell ref="E43:E45"/>
    <mergeCell ref="C46:C53"/>
    <mergeCell ref="D46:D53"/>
    <mergeCell ref="E46:E48"/>
    <mergeCell ref="E49:E51"/>
    <mergeCell ref="E52:E53"/>
    <mergeCell ref="B15:E15"/>
    <mergeCell ref="B16:E16"/>
    <mergeCell ref="A22:D22"/>
    <mergeCell ref="B31:E31"/>
    <mergeCell ref="B33:F33"/>
    <mergeCell ref="B3:E3"/>
    <mergeCell ref="B4:E4"/>
    <mergeCell ref="B7:E7"/>
    <mergeCell ref="B8:E8"/>
    <mergeCell ref="B9:E9"/>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398"/>
  <sheetViews>
    <sheetView topLeftCell="F81" zoomScaleNormal="100" workbookViewId="0"/>
  </sheetViews>
  <sheetFormatPr baseColWidth="10" defaultColWidth="12.6640625" defaultRowHeight="15" customHeight="1"/>
  <cols>
    <col min="1" max="1" width="39" customWidth="1"/>
    <col min="2" max="2" width="30.6640625" customWidth="1"/>
    <col min="3" max="3" width="25" customWidth="1"/>
    <col min="4" max="4" width="32.6640625" customWidth="1"/>
    <col min="5" max="5" width="13.6640625" customWidth="1"/>
    <col min="6" max="6" width="22.1640625" customWidth="1"/>
    <col min="7" max="7" width="14" customWidth="1"/>
    <col min="8" max="8" width="19.6640625" customWidth="1"/>
    <col min="9" max="9" width="17.1640625" customWidth="1"/>
    <col min="10" max="10" width="20.1640625" customWidth="1"/>
    <col min="11" max="11" width="14" customWidth="1"/>
    <col min="12" max="12" width="19.6640625" customWidth="1"/>
    <col min="13" max="13" width="14.5" customWidth="1"/>
    <col min="14" max="14" width="19.5" customWidth="1"/>
    <col min="15" max="15" width="15.1640625" customWidth="1"/>
    <col min="16" max="16" width="21.6640625" customWidth="1"/>
    <col min="17" max="17" width="14" customWidth="1"/>
    <col min="18" max="18" width="21.5" customWidth="1"/>
    <col min="19" max="19" width="14.1640625" customWidth="1"/>
    <col min="20" max="20" width="21.33203125" customWidth="1"/>
    <col min="21" max="21" width="14" customWidth="1"/>
    <col min="22" max="22" width="19.5" customWidth="1"/>
    <col min="23" max="23" width="17" customWidth="1"/>
    <col min="24" max="24" width="21.1640625" customWidth="1"/>
    <col min="25" max="25" width="14.5" customWidth="1"/>
    <col min="26" max="26" width="18.6640625" customWidth="1"/>
    <col min="27" max="27" width="16.6640625" customWidth="1"/>
    <col min="28" max="28" width="21" customWidth="1"/>
    <col min="29" max="29" width="16.33203125" customWidth="1"/>
    <col min="30" max="44" width="10" customWidth="1"/>
  </cols>
  <sheetData>
    <row r="1" spans="1:44" ht="60.75" customHeight="1">
      <c r="A1" s="75"/>
      <c r="B1" s="76" t="s">
        <v>9</v>
      </c>
      <c r="C1" s="75"/>
      <c r="D1" s="75"/>
      <c r="E1" s="75"/>
      <c r="F1" s="75"/>
      <c r="G1" s="77"/>
      <c r="H1" s="77"/>
      <c r="I1" s="77"/>
      <c r="J1" s="77"/>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13"/>
    </row>
    <row r="2" spans="1:44" ht="14.2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row>
    <row r="3" spans="1:44" ht="14.25"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row>
    <row r="4" spans="1:44" ht="14.25"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row>
    <row r="5" spans="1:44" ht="25.5" customHeight="1">
      <c r="A5" s="13"/>
      <c r="B5" s="12" t="s">
        <v>73</v>
      </c>
      <c r="C5" s="12"/>
      <c r="D5" s="12"/>
      <c r="E5" s="13"/>
      <c r="F5" s="13"/>
      <c r="G5" s="12" t="s">
        <v>74</v>
      </c>
      <c r="H5" s="12"/>
      <c r="I5" s="12"/>
      <c r="J5" s="12"/>
      <c r="K5" s="12"/>
      <c r="L5" s="12"/>
      <c r="M5" s="37"/>
      <c r="N5" s="37"/>
      <c r="O5" s="37"/>
      <c r="P5" s="37"/>
      <c r="Q5" s="37"/>
      <c r="R5" s="37"/>
      <c r="S5" s="37"/>
      <c r="T5" s="37"/>
      <c r="U5" s="37"/>
      <c r="V5" s="13"/>
      <c r="W5" s="13"/>
      <c r="X5" s="13"/>
      <c r="Y5" s="13"/>
      <c r="Z5" s="13"/>
      <c r="AA5" s="13"/>
      <c r="AB5" s="13"/>
      <c r="AC5" s="13"/>
      <c r="AD5" s="13"/>
      <c r="AE5" s="13"/>
      <c r="AF5" s="13"/>
      <c r="AG5" s="13"/>
      <c r="AH5" s="13"/>
      <c r="AI5" s="13"/>
      <c r="AJ5" s="13"/>
      <c r="AK5" s="13"/>
      <c r="AL5" s="13"/>
      <c r="AM5" s="13"/>
      <c r="AN5" s="13"/>
      <c r="AO5" s="13"/>
      <c r="AP5" s="13"/>
      <c r="AQ5" s="13"/>
      <c r="AR5" s="13"/>
    </row>
    <row r="6" spans="1:44" ht="14.25" customHeight="1">
      <c r="A6" s="78"/>
      <c r="B6" s="79">
        <v>2026</v>
      </c>
      <c r="C6" s="80">
        <v>2027</v>
      </c>
      <c r="D6" s="81">
        <v>2028</v>
      </c>
      <c r="E6" s="13"/>
      <c r="F6" s="13"/>
      <c r="G6" s="610" t="s">
        <v>75</v>
      </c>
      <c r="H6" s="610"/>
      <c r="I6" s="610"/>
      <c r="J6" s="610"/>
      <c r="K6" s="610"/>
      <c r="L6" s="610"/>
      <c r="M6" s="36"/>
      <c r="N6" s="36"/>
      <c r="O6" s="36"/>
      <c r="P6" s="36"/>
      <c r="Q6" s="36"/>
      <c r="R6" s="36"/>
      <c r="S6" s="36"/>
      <c r="T6" s="36"/>
      <c r="U6" s="36"/>
      <c r="V6" s="13"/>
      <c r="W6" s="13"/>
      <c r="X6" s="13"/>
      <c r="Y6" s="13"/>
      <c r="Z6" s="13"/>
      <c r="AA6" s="13"/>
      <c r="AB6" s="13"/>
      <c r="AC6" s="13"/>
      <c r="AD6" s="13"/>
      <c r="AE6" s="13"/>
      <c r="AF6" s="13"/>
      <c r="AG6" s="13"/>
      <c r="AH6" s="13"/>
      <c r="AI6" s="13"/>
      <c r="AJ6" s="13"/>
      <c r="AK6" s="13"/>
      <c r="AL6" s="13"/>
      <c r="AM6" s="13"/>
      <c r="AN6" s="13"/>
      <c r="AO6" s="13"/>
      <c r="AP6" s="13"/>
      <c r="AQ6" s="13"/>
      <c r="AR6" s="13"/>
    </row>
    <row r="7" spans="1:44" ht="14.25" customHeight="1">
      <c r="A7" s="78"/>
      <c r="B7" s="82">
        <f>Hipótesis!C24</f>
        <v>8.0000000000000002E-3</v>
      </c>
      <c r="C7" s="83">
        <f>Hipótesis!C25</f>
        <v>2.9000000000000001E-2</v>
      </c>
      <c r="D7" s="84">
        <f>Hipótesis!C26</f>
        <v>5.1999999999999998E-2</v>
      </c>
      <c r="E7" s="13"/>
      <c r="F7" s="13"/>
      <c r="G7" s="610"/>
      <c r="H7" s="610"/>
      <c r="I7" s="610"/>
      <c r="J7" s="610"/>
      <c r="K7" s="610"/>
      <c r="L7" s="610"/>
      <c r="M7" s="36"/>
      <c r="N7" s="36"/>
      <c r="O7" s="36"/>
      <c r="P7" s="36"/>
      <c r="Q7" s="36"/>
      <c r="R7" s="36"/>
      <c r="S7" s="36"/>
      <c r="T7" s="36"/>
      <c r="U7" s="36"/>
      <c r="V7" s="13"/>
      <c r="W7" s="13"/>
      <c r="X7" s="13"/>
      <c r="Y7" s="13"/>
      <c r="Z7" s="13"/>
      <c r="AA7" s="13"/>
      <c r="AB7" s="13"/>
      <c r="AC7" s="13"/>
      <c r="AD7" s="13"/>
      <c r="AE7" s="13"/>
      <c r="AF7" s="13"/>
      <c r="AG7" s="13"/>
      <c r="AH7" s="13"/>
      <c r="AI7" s="13"/>
      <c r="AJ7" s="13"/>
      <c r="AK7" s="13"/>
      <c r="AL7" s="13"/>
      <c r="AM7" s="13"/>
      <c r="AN7" s="13"/>
      <c r="AO7" s="13"/>
      <c r="AP7" s="13"/>
      <c r="AQ7" s="13"/>
      <c r="AR7" s="13"/>
    </row>
    <row r="8" spans="1:44" ht="14.25" customHeight="1">
      <c r="A8" s="78"/>
      <c r="B8" s="85">
        <f>Hipótesis!D24</f>
        <v>107520</v>
      </c>
      <c r="C8" s="86">
        <f>Hipótesis!D25</f>
        <v>389760</v>
      </c>
      <c r="D8" s="87">
        <f>Hipótesis!D26</f>
        <v>698880</v>
      </c>
      <c r="E8" s="13"/>
      <c r="F8" s="13"/>
      <c r="G8" s="610"/>
      <c r="H8" s="610"/>
      <c r="I8" s="610"/>
      <c r="J8" s="610"/>
      <c r="K8" s="610"/>
      <c r="L8" s="610"/>
      <c r="M8" s="36"/>
      <c r="N8" s="36"/>
      <c r="O8" s="36"/>
      <c r="P8" s="36"/>
      <c r="Q8" s="36"/>
      <c r="R8" s="36"/>
      <c r="S8" s="36"/>
      <c r="T8" s="36"/>
      <c r="U8" s="36"/>
      <c r="V8" s="13"/>
      <c r="W8" s="13"/>
      <c r="X8" s="13"/>
      <c r="Y8" s="13"/>
      <c r="Z8" s="13"/>
      <c r="AA8" s="13"/>
      <c r="AB8" s="13"/>
      <c r="AC8" s="13"/>
      <c r="AD8" s="13"/>
      <c r="AE8" s="13"/>
      <c r="AF8" s="13"/>
      <c r="AG8" s="13"/>
      <c r="AH8" s="13"/>
      <c r="AI8" s="13"/>
      <c r="AJ8" s="13"/>
      <c r="AK8" s="13"/>
      <c r="AL8" s="13"/>
      <c r="AM8" s="13"/>
      <c r="AN8" s="13"/>
      <c r="AO8" s="13"/>
      <c r="AP8" s="13"/>
      <c r="AQ8" s="13"/>
      <c r="AR8" s="13"/>
    </row>
    <row r="9" spans="1:44" ht="14.25" customHeight="1">
      <c r="A9" s="13"/>
      <c r="B9" s="13"/>
      <c r="C9" s="13"/>
      <c r="D9" s="13"/>
      <c r="E9" s="13"/>
      <c r="F9" s="13"/>
      <c r="G9" s="610"/>
      <c r="H9" s="610"/>
      <c r="I9" s="610"/>
      <c r="J9" s="610"/>
      <c r="K9" s="610"/>
      <c r="L9" s="610"/>
      <c r="M9" s="36"/>
      <c r="N9" s="36"/>
      <c r="O9" s="36"/>
      <c r="P9" s="36"/>
      <c r="Q9" s="36"/>
      <c r="R9" s="36"/>
      <c r="S9" s="36"/>
      <c r="T9" s="36"/>
      <c r="U9" s="36"/>
      <c r="V9" s="13"/>
      <c r="W9" s="13"/>
      <c r="X9" s="13"/>
      <c r="Y9" s="13"/>
      <c r="Z9" s="13"/>
      <c r="AA9" s="13"/>
      <c r="AB9" s="13"/>
      <c r="AC9" s="13"/>
      <c r="AD9" s="13"/>
      <c r="AE9" s="13"/>
      <c r="AF9" s="13"/>
      <c r="AG9" s="13"/>
      <c r="AH9" s="13"/>
      <c r="AI9" s="13"/>
      <c r="AJ9" s="13"/>
      <c r="AK9" s="13"/>
      <c r="AL9" s="13"/>
      <c r="AM9" s="13"/>
      <c r="AN9" s="13"/>
      <c r="AO9" s="13"/>
      <c r="AP9" s="13"/>
      <c r="AQ9" s="13"/>
      <c r="AR9" s="13"/>
    </row>
    <row r="10" spans="1:44" ht="14.25" customHeight="1">
      <c r="A10" s="13" t="s">
        <v>76</v>
      </c>
      <c r="B10" s="13"/>
      <c r="C10" s="13"/>
      <c r="D10" s="13"/>
      <c r="E10" s="13"/>
      <c r="F10" s="13"/>
      <c r="G10" s="610"/>
      <c r="H10" s="610"/>
      <c r="I10" s="610"/>
      <c r="J10" s="610"/>
      <c r="K10" s="610"/>
      <c r="L10" s="610"/>
      <c r="M10" s="36"/>
      <c r="N10" s="36"/>
      <c r="O10" s="36"/>
      <c r="P10" s="36"/>
      <c r="Q10" s="36"/>
      <c r="R10" s="36"/>
      <c r="S10" s="36"/>
      <c r="T10" s="36"/>
      <c r="U10" s="36"/>
      <c r="V10" s="13"/>
      <c r="W10" s="13"/>
      <c r="X10" s="13"/>
      <c r="Y10" s="13"/>
      <c r="Z10" s="13"/>
      <c r="AA10" s="13"/>
      <c r="AB10" s="13"/>
      <c r="AC10" s="13"/>
      <c r="AD10" s="13"/>
      <c r="AE10" s="13"/>
      <c r="AF10" s="13"/>
      <c r="AG10" s="13"/>
      <c r="AH10" s="13"/>
      <c r="AI10" s="13"/>
      <c r="AJ10" s="13"/>
      <c r="AK10" s="13"/>
      <c r="AL10" s="13"/>
      <c r="AM10" s="13"/>
      <c r="AN10" s="13"/>
      <c r="AO10" s="13"/>
      <c r="AP10" s="13"/>
      <c r="AQ10" s="13"/>
      <c r="AR10" s="13"/>
    </row>
    <row r="11" spans="1:44" ht="14.25" customHeight="1">
      <c r="A11" s="13"/>
      <c r="B11" s="13"/>
      <c r="C11" s="13"/>
      <c r="D11" s="13"/>
      <c r="E11" s="13"/>
      <c r="F11" s="13"/>
      <c r="G11" s="610"/>
      <c r="H11" s="610"/>
      <c r="I11" s="610"/>
      <c r="J11" s="610"/>
      <c r="K11" s="610"/>
      <c r="L11" s="610"/>
      <c r="M11" s="36"/>
      <c r="N11" s="36"/>
      <c r="O11" s="36"/>
      <c r="P11" s="36"/>
      <c r="Q11" s="36"/>
      <c r="R11" s="36"/>
      <c r="S11" s="36"/>
      <c r="T11" s="36"/>
      <c r="U11" s="36"/>
      <c r="V11" s="13"/>
      <c r="W11" s="13"/>
      <c r="X11" s="13"/>
      <c r="Y11" s="13"/>
      <c r="Z11" s="13"/>
      <c r="AA11" s="13"/>
      <c r="AB11" s="13"/>
      <c r="AC11" s="13"/>
      <c r="AD11" s="13"/>
      <c r="AE11" s="13"/>
      <c r="AF11" s="13"/>
      <c r="AG11" s="13"/>
      <c r="AH11" s="13"/>
      <c r="AI11" s="13"/>
      <c r="AJ11" s="13"/>
      <c r="AK11" s="13"/>
      <c r="AL11" s="13"/>
      <c r="AM11" s="13"/>
      <c r="AN11" s="13"/>
      <c r="AO11" s="13"/>
      <c r="AP11" s="13"/>
      <c r="AQ11" s="13"/>
      <c r="AR11" s="13"/>
    </row>
    <row r="12" spans="1:44" ht="72" customHeight="1">
      <c r="A12" s="88"/>
      <c r="B12" s="13"/>
      <c r="C12" s="13"/>
      <c r="D12" s="13"/>
      <c r="E12" s="13"/>
      <c r="F12" s="13"/>
      <c r="G12" s="610"/>
      <c r="H12" s="610"/>
      <c r="I12" s="610"/>
      <c r="J12" s="610"/>
      <c r="K12" s="610"/>
      <c r="L12" s="610"/>
      <c r="M12" s="36"/>
      <c r="N12" s="36"/>
      <c r="O12" s="36"/>
      <c r="P12" s="36"/>
      <c r="Q12" s="36"/>
      <c r="R12" s="36"/>
      <c r="S12" s="36"/>
      <c r="T12" s="36"/>
      <c r="U12" s="36"/>
      <c r="V12" s="13"/>
      <c r="W12" s="13"/>
      <c r="X12" s="13"/>
      <c r="Y12" s="13"/>
      <c r="Z12" s="13"/>
      <c r="AA12" s="13"/>
      <c r="AB12" s="13"/>
      <c r="AC12" s="13"/>
      <c r="AD12" s="13"/>
      <c r="AE12" s="13"/>
      <c r="AF12" s="13"/>
      <c r="AG12" s="13"/>
      <c r="AH12" s="13"/>
      <c r="AI12" s="13"/>
      <c r="AJ12" s="13"/>
      <c r="AK12" s="13"/>
      <c r="AL12" s="13"/>
      <c r="AM12" s="13"/>
      <c r="AN12" s="13"/>
      <c r="AO12" s="13"/>
      <c r="AP12" s="13"/>
      <c r="AQ12" s="13"/>
      <c r="AR12" s="13"/>
    </row>
    <row r="13" spans="1:44" ht="14.2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row>
    <row r="14" spans="1:44" ht="18" customHeight="1">
      <c r="A14" s="13"/>
      <c r="B14" s="13"/>
      <c r="C14" s="13"/>
      <c r="D14" s="13"/>
      <c r="E14" s="13"/>
      <c r="F14" s="89"/>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row>
    <row r="15" spans="1:44" ht="25.5" customHeight="1">
      <c r="A15" s="611" t="s">
        <v>77</v>
      </c>
      <c r="B15" s="611"/>
      <c r="C15" s="611"/>
      <c r="D15" s="611"/>
      <c r="E15" s="611"/>
      <c r="F15" s="611"/>
      <c r="G15" s="611"/>
      <c r="H15" s="611"/>
      <c r="I15" s="611"/>
      <c r="J15" s="611"/>
      <c r="K15" s="611"/>
      <c r="L15" s="611"/>
      <c r="M15" s="611"/>
      <c r="N15" s="611"/>
      <c r="O15" s="611"/>
      <c r="P15" s="611"/>
      <c r="Q15" s="611"/>
      <c r="R15" s="611"/>
      <c r="S15" s="611"/>
      <c r="T15" s="611"/>
      <c r="U15" s="611"/>
      <c r="V15" s="611"/>
      <c r="W15" s="611"/>
      <c r="X15" s="611"/>
      <c r="Y15" s="611"/>
      <c r="Z15" s="611"/>
      <c r="AA15" s="611"/>
      <c r="AB15" s="611"/>
      <c r="AC15" s="13"/>
      <c r="AD15" s="13"/>
      <c r="AE15" s="13"/>
      <c r="AF15" s="13"/>
      <c r="AG15" s="13"/>
      <c r="AH15" s="13"/>
      <c r="AI15" s="13"/>
      <c r="AJ15" s="13"/>
      <c r="AK15" s="13"/>
      <c r="AL15" s="13"/>
      <c r="AM15" s="13"/>
      <c r="AN15" s="13"/>
      <c r="AO15" s="13"/>
      <c r="AP15" s="13"/>
      <c r="AQ15" s="13"/>
      <c r="AR15" s="13"/>
    </row>
    <row r="16" spans="1:44" ht="14.25" customHeight="1">
      <c r="A16" s="612" t="s">
        <v>78</v>
      </c>
      <c r="B16" s="612" t="s">
        <v>56</v>
      </c>
      <c r="C16" s="613" t="s">
        <v>79</v>
      </c>
      <c r="D16" s="613"/>
      <c r="E16" s="614" t="s">
        <v>80</v>
      </c>
      <c r="F16" s="614"/>
      <c r="G16" s="614" t="s">
        <v>81</v>
      </c>
      <c r="H16" s="614"/>
      <c r="I16" s="614" t="s">
        <v>82</v>
      </c>
      <c r="J16" s="614"/>
      <c r="K16" s="614" t="s">
        <v>83</v>
      </c>
      <c r="L16" s="614"/>
      <c r="M16" s="614" t="s">
        <v>84</v>
      </c>
      <c r="N16" s="614"/>
      <c r="O16" s="614" t="s">
        <v>85</v>
      </c>
      <c r="P16" s="614"/>
      <c r="Q16" s="614" t="s">
        <v>86</v>
      </c>
      <c r="R16" s="614"/>
      <c r="S16" s="614" t="s">
        <v>87</v>
      </c>
      <c r="T16" s="614"/>
      <c r="U16" s="614" t="s">
        <v>88</v>
      </c>
      <c r="V16" s="614"/>
      <c r="W16" s="614" t="s">
        <v>89</v>
      </c>
      <c r="X16" s="614"/>
      <c r="Y16" s="614" t="s">
        <v>90</v>
      </c>
      <c r="Z16" s="614"/>
      <c r="AA16" s="614" t="s">
        <v>91</v>
      </c>
      <c r="AB16" s="614"/>
      <c r="AC16" s="13"/>
      <c r="AD16" s="13"/>
      <c r="AE16" s="13"/>
      <c r="AF16" s="13"/>
      <c r="AG16" s="13"/>
      <c r="AH16" s="13"/>
      <c r="AI16" s="13"/>
      <c r="AJ16" s="13"/>
      <c r="AK16" s="13"/>
      <c r="AL16" s="13"/>
      <c r="AM16" s="13"/>
      <c r="AN16" s="13"/>
      <c r="AO16" s="13"/>
      <c r="AP16" s="13"/>
      <c r="AQ16" s="13"/>
      <c r="AR16" s="13"/>
    </row>
    <row r="17" spans="1:44" ht="14.25" customHeight="1">
      <c r="A17" s="612"/>
      <c r="B17" s="612"/>
      <c r="C17" s="615" t="s">
        <v>36</v>
      </c>
      <c r="D17" s="616" t="s">
        <v>92</v>
      </c>
      <c r="E17" s="617">
        <f>F32/$D$32</f>
        <v>0</v>
      </c>
      <c r="F17" s="617"/>
      <c r="G17" s="617">
        <f>H32/$D$32</f>
        <v>4.1845746941859916E-3</v>
      </c>
      <c r="H17" s="617"/>
      <c r="I17" s="617">
        <f>J32/$D$32</f>
        <v>7.4717800972937233E-3</v>
      </c>
      <c r="J17" s="617"/>
      <c r="K17" s="617">
        <f>L32/$D$32</f>
        <v>1.9713786426108722E-2</v>
      </c>
      <c r="L17" s="617"/>
      <c r="M17" s="617">
        <f>N32/$D$32</f>
        <v>3.3429367590799605E-2</v>
      </c>
      <c r="N17" s="617"/>
      <c r="O17" s="617">
        <f>P32/$D$32</f>
        <v>5.3691021584092946E-2</v>
      </c>
      <c r="P17" s="617"/>
      <c r="Q17" s="617">
        <f>R32/$D$32</f>
        <v>7.2545222689274075E-2</v>
      </c>
      <c r="R17" s="617"/>
      <c r="S17" s="617">
        <f>T32/$D$32</f>
        <v>0.10082652434704577</v>
      </c>
      <c r="T17" s="617"/>
      <c r="U17" s="617">
        <f>V32/$D$32</f>
        <v>0.12412978793746753</v>
      </c>
      <c r="V17" s="617"/>
      <c r="W17" s="617">
        <f>X32/$D$32</f>
        <v>0.16080857696122419</v>
      </c>
      <c r="X17" s="617"/>
      <c r="Y17" s="617">
        <f>Z32/$D$32</f>
        <v>0.1892504604921362</v>
      </c>
      <c r="Z17" s="617"/>
      <c r="AA17" s="617">
        <f>AB32/$D$32</f>
        <v>0.23394889718037123</v>
      </c>
      <c r="AB17" s="617"/>
      <c r="AC17" s="13"/>
      <c r="AD17" s="13"/>
      <c r="AE17" s="13"/>
      <c r="AF17" s="13"/>
      <c r="AG17" s="13"/>
      <c r="AH17" s="13"/>
      <c r="AI17" s="13"/>
      <c r="AJ17" s="13"/>
      <c r="AK17" s="13"/>
      <c r="AL17" s="13"/>
      <c r="AM17" s="13"/>
      <c r="AN17" s="13"/>
      <c r="AO17" s="13"/>
      <c r="AP17" s="13"/>
      <c r="AQ17" s="13"/>
      <c r="AR17" s="13"/>
    </row>
    <row r="18" spans="1:44" ht="14.25" customHeight="1">
      <c r="A18" s="612"/>
      <c r="B18" s="612"/>
      <c r="C18" s="615"/>
      <c r="D18" s="616"/>
      <c r="E18" s="90" t="s">
        <v>36</v>
      </c>
      <c r="F18" s="91" t="s">
        <v>92</v>
      </c>
      <c r="G18" s="90" t="s">
        <v>36</v>
      </c>
      <c r="H18" s="91" t="s">
        <v>92</v>
      </c>
      <c r="I18" s="90" t="s">
        <v>36</v>
      </c>
      <c r="J18" s="91" t="s">
        <v>92</v>
      </c>
      <c r="K18" s="90" t="s">
        <v>36</v>
      </c>
      <c r="L18" s="91" t="s">
        <v>92</v>
      </c>
      <c r="M18" s="90" t="s">
        <v>36</v>
      </c>
      <c r="N18" s="91" t="s">
        <v>92</v>
      </c>
      <c r="O18" s="90" t="s">
        <v>36</v>
      </c>
      <c r="P18" s="91" t="s">
        <v>92</v>
      </c>
      <c r="Q18" s="90" t="s">
        <v>36</v>
      </c>
      <c r="R18" s="91" t="s">
        <v>92</v>
      </c>
      <c r="S18" s="90" t="s">
        <v>36</v>
      </c>
      <c r="T18" s="91" t="s">
        <v>92</v>
      </c>
      <c r="U18" s="90" t="s">
        <v>36</v>
      </c>
      <c r="V18" s="91" t="s">
        <v>92</v>
      </c>
      <c r="W18" s="90" t="s">
        <v>36</v>
      </c>
      <c r="X18" s="91" t="s">
        <v>92</v>
      </c>
      <c r="Y18" s="90" t="s">
        <v>36</v>
      </c>
      <c r="Z18" s="91" t="s">
        <v>92</v>
      </c>
      <c r="AA18" s="90" t="s">
        <v>36</v>
      </c>
      <c r="AB18" s="91" t="s">
        <v>92</v>
      </c>
      <c r="AC18" s="13"/>
      <c r="AD18" s="13"/>
      <c r="AE18" s="13"/>
      <c r="AF18" s="13"/>
      <c r="AG18" s="13"/>
      <c r="AH18" s="13"/>
      <c r="AI18" s="13"/>
      <c r="AJ18" s="13"/>
      <c r="AK18" s="13"/>
      <c r="AL18" s="13"/>
      <c r="AM18" s="13"/>
      <c r="AN18" s="13"/>
      <c r="AO18" s="13"/>
      <c r="AP18" s="13"/>
      <c r="AQ18" s="13"/>
      <c r="AR18" s="13"/>
    </row>
    <row r="19" spans="1:44" ht="15" customHeight="1">
      <c r="A19" s="92" t="str">
        <f>Hipótesis!$B$58</f>
        <v>Alta e instalación Plan Básico</v>
      </c>
      <c r="B19" s="93">
        <f>Hipótesis!C58</f>
        <v>40</v>
      </c>
      <c r="C19" s="94">
        <f t="shared" ref="C19:C24" si="0">E19+G19+I19+K19+M19+O19+Q19+S19+U19+W19+Y19+AA19</f>
        <v>74</v>
      </c>
      <c r="D19" s="95">
        <f t="shared" ref="D19:D24" si="1">B19*C19</f>
        <v>2960</v>
      </c>
      <c r="E19" s="96">
        <v>0</v>
      </c>
      <c r="F19" s="97">
        <f>E19*$B$19</f>
        <v>0</v>
      </c>
      <c r="G19" s="96">
        <v>1</v>
      </c>
      <c r="H19" s="97">
        <f>G19*$B$19</f>
        <v>40</v>
      </c>
      <c r="I19" s="96">
        <v>1</v>
      </c>
      <c r="J19" s="97">
        <f>I19*$B$19</f>
        <v>40</v>
      </c>
      <c r="K19" s="96">
        <v>2</v>
      </c>
      <c r="L19" s="97">
        <f>K19*$B$19</f>
        <v>80</v>
      </c>
      <c r="M19" s="96">
        <v>4</v>
      </c>
      <c r="N19" s="97">
        <f>M19*$B$19</f>
        <v>160</v>
      </c>
      <c r="O19" s="96">
        <v>5</v>
      </c>
      <c r="P19" s="97">
        <f>O19*$B$19</f>
        <v>200</v>
      </c>
      <c r="Q19" s="96">
        <v>7</v>
      </c>
      <c r="R19" s="97">
        <f>Q19*$B$19</f>
        <v>280</v>
      </c>
      <c r="S19" s="96">
        <v>8</v>
      </c>
      <c r="T19" s="97">
        <f>S19*$B$19</f>
        <v>320</v>
      </c>
      <c r="U19" s="96">
        <v>9</v>
      </c>
      <c r="V19" s="97">
        <f>U19*$B$19</f>
        <v>360</v>
      </c>
      <c r="W19" s="96">
        <v>11</v>
      </c>
      <c r="X19" s="97">
        <f>W19*$B$19</f>
        <v>440</v>
      </c>
      <c r="Y19" s="96">
        <v>12</v>
      </c>
      <c r="Z19" s="97">
        <f>Y19*$B$19</f>
        <v>480</v>
      </c>
      <c r="AA19" s="96">
        <v>14</v>
      </c>
      <c r="AB19" s="97">
        <f>AA19*$B$19</f>
        <v>560</v>
      </c>
      <c r="AC19" s="13"/>
      <c r="AD19" s="13"/>
      <c r="AE19" s="13"/>
      <c r="AF19" s="13"/>
      <c r="AG19" s="13"/>
      <c r="AH19" s="13"/>
      <c r="AI19" s="13"/>
      <c r="AJ19" s="13"/>
      <c r="AK19" s="13"/>
      <c r="AL19" s="13"/>
      <c r="AM19" s="13"/>
      <c r="AN19" s="13"/>
      <c r="AO19" s="13"/>
      <c r="AP19" s="13"/>
      <c r="AQ19" s="13"/>
      <c r="AR19" s="13"/>
    </row>
    <row r="20" spans="1:44" ht="15" customHeight="1">
      <c r="A20" s="92" t="str">
        <f>Hipótesis!$B$59</f>
        <v>Alta e instalación Plan Vidriera</v>
      </c>
      <c r="B20" s="98">
        <f>Hipótesis!C59</f>
        <v>120</v>
      </c>
      <c r="C20" s="99">
        <f t="shared" si="0"/>
        <v>172</v>
      </c>
      <c r="D20" s="100">
        <f t="shared" si="1"/>
        <v>20640</v>
      </c>
      <c r="E20" s="99">
        <v>0</v>
      </c>
      <c r="F20" s="101">
        <f>E20*$B$20</f>
        <v>0</v>
      </c>
      <c r="G20" s="99">
        <v>2</v>
      </c>
      <c r="H20" s="101">
        <f>G20*$B$20</f>
        <v>240</v>
      </c>
      <c r="I20" s="99">
        <v>3</v>
      </c>
      <c r="J20" s="101">
        <f>I20*$B$20</f>
        <v>360</v>
      </c>
      <c r="K20" s="99">
        <v>5</v>
      </c>
      <c r="L20" s="101">
        <f>K20*$B$20</f>
        <v>600</v>
      </c>
      <c r="M20" s="99">
        <v>9</v>
      </c>
      <c r="N20" s="101">
        <f>M20*$B$20</f>
        <v>1080</v>
      </c>
      <c r="O20" s="99">
        <v>12</v>
      </c>
      <c r="P20" s="101">
        <f>O20*$B$20</f>
        <v>1440</v>
      </c>
      <c r="Q20" s="99">
        <v>15</v>
      </c>
      <c r="R20" s="101">
        <f>Q20*$B$20</f>
        <v>1800</v>
      </c>
      <c r="S20" s="99">
        <v>19</v>
      </c>
      <c r="T20" s="101">
        <f>S20*$B$20</f>
        <v>2280</v>
      </c>
      <c r="U20" s="99">
        <v>21</v>
      </c>
      <c r="V20" s="101">
        <f>U20*$B$20</f>
        <v>2520</v>
      </c>
      <c r="W20" s="99">
        <v>26</v>
      </c>
      <c r="X20" s="101">
        <f>W20*$B$20</f>
        <v>3120</v>
      </c>
      <c r="Y20" s="99">
        <v>27</v>
      </c>
      <c r="Z20" s="101">
        <f>Y20*$B$20</f>
        <v>3240</v>
      </c>
      <c r="AA20" s="99">
        <v>33</v>
      </c>
      <c r="AB20" s="101">
        <f>AA20*$B$20</f>
        <v>3960</v>
      </c>
      <c r="AC20" s="13"/>
      <c r="AD20" s="13"/>
      <c r="AE20" s="13"/>
      <c r="AF20" s="13"/>
      <c r="AG20" s="13"/>
      <c r="AH20" s="13"/>
      <c r="AI20" s="13"/>
      <c r="AJ20" s="13"/>
      <c r="AK20" s="13"/>
      <c r="AL20" s="13"/>
      <c r="AM20" s="13"/>
      <c r="AN20" s="13"/>
      <c r="AO20" s="13"/>
      <c r="AP20" s="13"/>
      <c r="AQ20" s="13"/>
      <c r="AR20" s="13"/>
    </row>
    <row r="21" spans="1:44" ht="15" customHeight="1">
      <c r="A21" s="92" t="str">
        <f>Hipótesis!$B$60</f>
        <v>Alta e instalación Plan Cadena</v>
      </c>
      <c r="B21" s="102">
        <f>Hipótesis!C60</f>
        <v>450</v>
      </c>
      <c r="C21" s="103">
        <f t="shared" si="0"/>
        <v>25</v>
      </c>
      <c r="D21" s="100">
        <f t="shared" si="1"/>
        <v>11250</v>
      </c>
      <c r="E21" s="104">
        <v>0</v>
      </c>
      <c r="F21" s="105">
        <f>E21*$B$21</f>
        <v>0</v>
      </c>
      <c r="G21" s="104">
        <v>0</v>
      </c>
      <c r="H21" s="105">
        <f>G21*$B$21</f>
        <v>0</v>
      </c>
      <c r="I21" s="104">
        <v>0</v>
      </c>
      <c r="J21" s="105">
        <f>I21*$B$21</f>
        <v>0</v>
      </c>
      <c r="K21" s="104">
        <v>1</v>
      </c>
      <c r="L21" s="105">
        <f>K21*$B$21</f>
        <v>450</v>
      </c>
      <c r="M21" s="104">
        <v>1</v>
      </c>
      <c r="N21" s="105">
        <f>M21*$B$21</f>
        <v>450</v>
      </c>
      <c r="O21" s="104">
        <v>2</v>
      </c>
      <c r="P21" s="105">
        <f>O21*$B$21</f>
        <v>900</v>
      </c>
      <c r="Q21" s="104">
        <v>2</v>
      </c>
      <c r="R21" s="105">
        <f>Q21*$B$21</f>
        <v>900</v>
      </c>
      <c r="S21" s="104">
        <v>3</v>
      </c>
      <c r="T21" s="105">
        <f>S21*$B$21</f>
        <v>1350</v>
      </c>
      <c r="U21" s="104">
        <v>3</v>
      </c>
      <c r="V21" s="105">
        <f>U21*$B$21</f>
        <v>1350</v>
      </c>
      <c r="W21" s="104">
        <v>4</v>
      </c>
      <c r="X21" s="105">
        <f>W21*$B$21</f>
        <v>1800</v>
      </c>
      <c r="Y21" s="104">
        <v>4</v>
      </c>
      <c r="Z21" s="105">
        <f>Y21*$B$21</f>
        <v>1800</v>
      </c>
      <c r="AA21" s="104">
        <v>5</v>
      </c>
      <c r="AB21" s="105">
        <f>AA21*$B$21</f>
        <v>2250</v>
      </c>
      <c r="AC21" s="13"/>
      <c r="AD21" s="13"/>
      <c r="AE21" s="13"/>
      <c r="AF21" s="13"/>
      <c r="AG21" s="13"/>
      <c r="AH21" s="13"/>
      <c r="AI21" s="13"/>
      <c r="AJ21" s="13"/>
      <c r="AK21" s="13"/>
      <c r="AL21" s="13"/>
      <c r="AM21" s="13"/>
      <c r="AN21" s="13"/>
      <c r="AO21" s="13"/>
      <c r="AP21" s="13"/>
      <c r="AQ21" s="13"/>
      <c r="AR21" s="13"/>
    </row>
    <row r="22" spans="1:44" ht="15" customHeight="1">
      <c r="A22" s="106" t="str">
        <f>Hipótesis!$B$61</f>
        <v>Abono Plan Básico</v>
      </c>
      <c r="B22" s="107">
        <f>Hipótesis!C61</f>
        <v>33</v>
      </c>
      <c r="C22" s="108">
        <f t="shared" si="0"/>
        <v>295</v>
      </c>
      <c r="D22" s="107">
        <f t="shared" si="1"/>
        <v>9735</v>
      </c>
      <c r="E22" s="109">
        <f>E19</f>
        <v>0</v>
      </c>
      <c r="F22" s="110">
        <f>E22*$B$22</f>
        <v>0</v>
      </c>
      <c r="G22" s="109">
        <f>E22+G19</f>
        <v>1</v>
      </c>
      <c r="H22" s="110">
        <f>G22*$B$22</f>
        <v>33</v>
      </c>
      <c r="I22" s="109">
        <f>G22+I19</f>
        <v>2</v>
      </c>
      <c r="J22" s="110">
        <f>I22*$B$22</f>
        <v>66</v>
      </c>
      <c r="K22" s="109">
        <f>I22+K19</f>
        <v>4</v>
      </c>
      <c r="L22" s="110">
        <f>K22*$B$22</f>
        <v>132</v>
      </c>
      <c r="M22" s="109">
        <f>K22+M19</f>
        <v>8</v>
      </c>
      <c r="N22" s="110">
        <f>M22*$B$22</f>
        <v>264</v>
      </c>
      <c r="O22" s="109">
        <f>M22+O19</f>
        <v>13</v>
      </c>
      <c r="P22" s="110">
        <f>O22*$B$22</f>
        <v>429</v>
      </c>
      <c r="Q22" s="109">
        <f>O22+Q19</f>
        <v>20</v>
      </c>
      <c r="R22" s="110">
        <f>Q22*$B$22</f>
        <v>660</v>
      </c>
      <c r="S22" s="109">
        <f>Q22+S19</f>
        <v>28</v>
      </c>
      <c r="T22" s="110">
        <f>S22*$B$22</f>
        <v>924</v>
      </c>
      <c r="U22" s="109">
        <f>S22+U19</f>
        <v>37</v>
      </c>
      <c r="V22" s="110">
        <f>U22*$B$22</f>
        <v>1221</v>
      </c>
      <c r="W22" s="109">
        <f>U22+W19</f>
        <v>48</v>
      </c>
      <c r="X22" s="110">
        <f>W22*$B$22</f>
        <v>1584</v>
      </c>
      <c r="Y22" s="109">
        <f>W22+Y19</f>
        <v>60</v>
      </c>
      <c r="Z22" s="110">
        <f>Y22*$B$22</f>
        <v>1980</v>
      </c>
      <c r="AA22" s="109">
        <f>Y22+AA19</f>
        <v>74</v>
      </c>
      <c r="AB22" s="110">
        <f>AA22*$B$22</f>
        <v>2442</v>
      </c>
      <c r="AC22" s="13"/>
      <c r="AD22" s="13"/>
      <c r="AE22" s="13"/>
      <c r="AF22" s="13"/>
      <c r="AG22" s="13"/>
      <c r="AH22" s="13"/>
      <c r="AI22" s="13"/>
      <c r="AJ22" s="13"/>
      <c r="AK22" s="13"/>
      <c r="AL22" s="13"/>
      <c r="AM22" s="13"/>
      <c r="AN22" s="13"/>
      <c r="AO22" s="13"/>
      <c r="AP22" s="13"/>
      <c r="AQ22" s="13"/>
      <c r="AR22" s="13"/>
    </row>
    <row r="23" spans="1:44" ht="15" customHeight="1">
      <c r="A23" s="106" t="str">
        <f>Hipótesis!$B$62</f>
        <v>Abono Plan Vidriera</v>
      </c>
      <c r="B23" s="111">
        <f>Hipótesis!C62</f>
        <v>65</v>
      </c>
      <c r="C23" s="112">
        <f t="shared" si="0"/>
        <v>687</v>
      </c>
      <c r="D23" s="111">
        <f t="shared" si="1"/>
        <v>44655</v>
      </c>
      <c r="E23" s="112">
        <f>E20</f>
        <v>0</v>
      </c>
      <c r="F23" s="113">
        <f>E23*$B$23</f>
        <v>0</v>
      </c>
      <c r="G23" s="112">
        <f>E23+G20</f>
        <v>2</v>
      </c>
      <c r="H23" s="113">
        <f>G23*$B$23</f>
        <v>130</v>
      </c>
      <c r="I23" s="112">
        <f>G23+I20</f>
        <v>5</v>
      </c>
      <c r="J23" s="113">
        <f>I23*$B$23</f>
        <v>325</v>
      </c>
      <c r="K23" s="112">
        <f>I23+K20</f>
        <v>10</v>
      </c>
      <c r="L23" s="113">
        <f>K23*$B$23</f>
        <v>650</v>
      </c>
      <c r="M23" s="112">
        <f>K23+M20</f>
        <v>19</v>
      </c>
      <c r="N23" s="113">
        <f>M23*$B$23</f>
        <v>1235</v>
      </c>
      <c r="O23" s="112">
        <f>M23+O20</f>
        <v>31</v>
      </c>
      <c r="P23" s="113">
        <f>O23*$B$23</f>
        <v>2015</v>
      </c>
      <c r="Q23" s="112">
        <f>O23+Q20</f>
        <v>46</v>
      </c>
      <c r="R23" s="113">
        <f>Q23*$B$23</f>
        <v>2990</v>
      </c>
      <c r="S23" s="112">
        <f>Q23+S20</f>
        <v>65</v>
      </c>
      <c r="T23" s="113">
        <f>S23*$B$23</f>
        <v>4225</v>
      </c>
      <c r="U23" s="112">
        <f>S23+U20</f>
        <v>86</v>
      </c>
      <c r="V23" s="113">
        <f>U23*$B$23</f>
        <v>5590</v>
      </c>
      <c r="W23" s="112">
        <f>U23+W20</f>
        <v>112</v>
      </c>
      <c r="X23" s="113">
        <f>W23*$B$23</f>
        <v>7280</v>
      </c>
      <c r="Y23" s="112">
        <f>W23+Y20</f>
        <v>139</v>
      </c>
      <c r="Z23" s="113">
        <f>Y23*$B$23</f>
        <v>9035</v>
      </c>
      <c r="AA23" s="112">
        <f>Y23+AA20</f>
        <v>172</v>
      </c>
      <c r="AB23" s="113">
        <f>AA23*$B$23</f>
        <v>11180</v>
      </c>
      <c r="AC23" s="13"/>
      <c r="AD23" s="13"/>
      <c r="AE23" s="13"/>
      <c r="AF23" s="13"/>
      <c r="AG23" s="13"/>
      <c r="AH23" s="13"/>
      <c r="AI23" s="13"/>
      <c r="AJ23" s="13"/>
      <c r="AK23" s="13"/>
      <c r="AL23" s="13"/>
      <c r="AM23" s="13"/>
      <c r="AN23" s="13"/>
      <c r="AO23" s="13"/>
      <c r="AP23" s="13"/>
      <c r="AQ23" s="13"/>
      <c r="AR23" s="13"/>
    </row>
    <row r="24" spans="1:44" ht="15" customHeight="1">
      <c r="A24" s="106" t="str">
        <f>Hipótesis!$B$63</f>
        <v>Abono Plan Cadena</v>
      </c>
      <c r="B24" s="111">
        <f>Hipótesis!C63</f>
        <v>175</v>
      </c>
      <c r="C24" s="112">
        <f t="shared" si="0"/>
        <v>95</v>
      </c>
      <c r="D24" s="111">
        <f t="shared" si="1"/>
        <v>16625</v>
      </c>
      <c r="E24" s="112">
        <f>E21</f>
        <v>0</v>
      </c>
      <c r="F24" s="113">
        <f>E24*$B$24</f>
        <v>0</v>
      </c>
      <c r="G24" s="112">
        <f>E24+G21</f>
        <v>0</v>
      </c>
      <c r="H24" s="113">
        <f>G24*$B$24</f>
        <v>0</v>
      </c>
      <c r="I24" s="112">
        <f>G24+I21</f>
        <v>0</v>
      </c>
      <c r="J24" s="113">
        <f>I24*$B$24</f>
        <v>0</v>
      </c>
      <c r="K24" s="112">
        <f>I24+K21</f>
        <v>1</v>
      </c>
      <c r="L24" s="113">
        <f>K24*$B$24</f>
        <v>175</v>
      </c>
      <c r="M24" s="112">
        <f>K24+M21</f>
        <v>2</v>
      </c>
      <c r="N24" s="113">
        <f>M24*$B$24</f>
        <v>350</v>
      </c>
      <c r="O24" s="112">
        <f>M24+O21</f>
        <v>4</v>
      </c>
      <c r="P24" s="113">
        <f>O24*$B$24</f>
        <v>700</v>
      </c>
      <c r="Q24" s="112">
        <f>O24+Q21</f>
        <v>6</v>
      </c>
      <c r="R24" s="113">
        <f>Q24*$B$24</f>
        <v>1050</v>
      </c>
      <c r="S24" s="112">
        <f>Q24+S21</f>
        <v>9</v>
      </c>
      <c r="T24" s="113">
        <f>S24*$B$24</f>
        <v>1575</v>
      </c>
      <c r="U24" s="112">
        <f>S24+U21</f>
        <v>12</v>
      </c>
      <c r="V24" s="113">
        <f>U24*$B$24</f>
        <v>2100</v>
      </c>
      <c r="W24" s="112">
        <f>U24+W21</f>
        <v>16</v>
      </c>
      <c r="X24" s="113">
        <f>W24*$B$24</f>
        <v>2800</v>
      </c>
      <c r="Y24" s="112">
        <f>W24+Y21</f>
        <v>20</v>
      </c>
      <c r="Z24" s="113">
        <f>Y24*$B$24</f>
        <v>3500</v>
      </c>
      <c r="AA24" s="112">
        <f>Y24+AA21</f>
        <v>25</v>
      </c>
      <c r="AB24" s="113">
        <f>AA24*$B$24</f>
        <v>4375</v>
      </c>
      <c r="AC24" s="13"/>
      <c r="AD24" s="13"/>
      <c r="AE24" s="13"/>
      <c r="AF24" s="13"/>
      <c r="AG24" s="13"/>
      <c r="AH24" s="13"/>
      <c r="AI24" s="13"/>
      <c r="AJ24" s="13"/>
      <c r="AK24" s="13"/>
      <c r="AL24" s="13"/>
      <c r="AM24" s="13"/>
      <c r="AN24" s="13"/>
      <c r="AO24" s="13"/>
      <c r="AP24" s="13"/>
      <c r="AQ24" s="13"/>
      <c r="AR24" s="13"/>
    </row>
    <row r="25" spans="1:44" ht="15" customHeight="1">
      <c r="A25" s="114"/>
      <c r="B25" s="115"/>
      <c r="C25" s="116"/>
      <c r="D25" s="115"/>
      <c r="E25" s="116"/>
      <c r="F25" s="117"/>
      <c r="G25" s="116"/>
      <c r="H25" s="117"/>
      <c r="I25" s="116"/>
      <c r="J25" s="117"/>
      <c r="K25" s="116"/>
      <c r="L25" s="117"/>
      <c r="M25" s="116"/>
      <c r="N25" s="117"/>
      <c r="O25" s="116"/>
      <c r="P25" s="117"/>
      <c r="Q25" s="116"/>
      <c r="R25" s="117"/>
      <c r="S25" s="116"/>
      <c r="T25" s="117"/>
      <c r="U25" s="116"/>
      <c r="V25" s="117"/>
      <c r="W25" s="116"/>
      <c r="X25" s="117"/>
      <c r="Y25" s="116"/>
      <c r="Z25" s="117"/>
      <c r="AA25" s="116"/>
      <c r="AB25" s="117"/>
      <c r="AC25" s="13"/>
      <c r="AD25" s="13"/>
      <c r="AE25" s="13"/>
      <c r="AF25" s="13"/>
      <c r="AG25" s="13"/>
      <c r="AH25" s="13"/>
      <c r="AI25" s="13"/>
      <c r="AJ25" s="13"/>
      <c r="AK25" s="13"/>
      <c r="AL25" s="13"/>
      <c r="AM25" s="13"/>
      <c r="AN25" s="13"/>
      <c r="AO25" s="13"/>
      <c r="AP25" s="13"/>
      <c r="AQ25" s="13"/>
      <c r="AR25" s="13"/>
    </row>
    <row r="26" spans="1:44" ht="15" customHeight="1">
      <c r="A26" s="118"/>
      <c r="B26" s="119"/>
      <c r="C26" s="120"/>
      <c r="D26" s="121"/>
      <c r="E26" s="122"/>
      <c r="F26" s="123"/>
      <c r="G26" s="122"/>
      <c r="H26" s="123"/>
      <c r="I26" s="122"/>
      <c r="J26" s="123"/>
      <c r="K26" s="122"/>
      <c r="L26" s="123"/>
      <c r="M26" s="122"/>
      <c r="N26" s="123"/>
      <c r="O26" s="122"/>
      <c r="P26" s="123"/>
      <c r="Q26" s="122"/>
      <c r="R26" s="123"/>
      <c r="S26" s="122"/>
      <c r="T26" s="123"/>
      <c r="U26" s="122"/>
      <c r="V26" s="123"/>
      <c r="W26" s="122"/>
      <c r="X26" s="123"/>
      <c r="Y26" s="122"/>
      <c r="Z26" s="123"/>
      <c r="AA26" s="122"/>
      <c r="AB26" s="123"/>
      <c r="AC26" s="13"/>
      <c r="AD26" s="13"/>
      <c r="AE26" s="13"/>
      <c r="AF26" s="13"/>
      <c r="AG26" s="13"/>
      <c r="AH26" s="13"/>
      <c r="AI26" s="13"/>
      <c r="AJ26" s="13"/>
      <c r="AK26" s="13"/>
      <c r="AL26" s="13"/>
      <c r="AM26" s="13"/>
      <c r="AN26" s="13"/>
      <c r="AO26" s="13"/>
      <c r="AP26" s="13"/>
      <c r="AQ26" s="13"/>
      <c r="AR26" s="13"/>
    </row>
    <row r="27" spans="1:44" ht="15" customHeight="1">
      <c r="A27" s="124"/>
      <c r="B27" s="125"/>
      <c r="C27" s="126"/>
      <c r="D27" s="127"/>
      <c r="E27" s="126"/>
      <c r="F27" s="127"/>
      <c r="G27" s="126"/>
      <c r="H27" s="127"/>
      <c r="I27" s="126"/>
      <c r="J27" s="127"/>
      <c r="K27" s="126"/>
      <c r="L27" s="127"/>
      <c r="M27" s="126"/>
      <c r="N27" s="127"/>
      <c r="O27" s="126"/>
      <c r="P27" s="127"/>
      <c r="Q27" s="126"/>
      <c r="R27" s="127"/>
      <c r="S27" s="126"/>
      <c r="T27" s="127"/>
      <c r="U27" s="126"/>
      <c r="V27" s="127"/>
      <c r="W27" s="126"/>
      <c r="X27" s="127"/>
      <c r="Y27" s="126"/>
      <c r="Z27" s="127"/>
      <c r="AA27" s="126"/>
      <c r="AB27" s="127"/>
      <c r="AC27" s="13"/>
      <c r="AD27" s="13"/>
      <c r="AE27" s="13"/>
      <c r="AF27" s="13"/>
      <c r="AG27" s="13"/>
      <c r="AH27" s="13"/>
      <c r="AI27" s="13"/>
      <c r="AJ27" s="13"/>
      <c r="AK27" s="13"/>
      <c r="AL27" s="13"/>
      <c r="AM27" s="13"/>
      <c r="AN27" s="13"/>
      <c r="AO27" s="13"/>
      <c r="AP27" s="13"/>
      <c r="AQ27" s="13"/>
      <c r="AR27" s="13"/>
    </row>
    <row r="28" spans="1:44" ht="15" customHeight="1">
      <c r="A28" s="124"/>
      <c r="B28" s="125"/>
      <c r="C28" s="126"/>
      <c r="D28" s="127"/>
      <c r="E28" s="126"/>
      <c r="F28" s="127"/>
      <c r="G28" s="126"/>
      <c r="H28" s="127"/>
      <c r="I28" s="126"/>
      <c r="J28" s="127"/>
      <c r="K28" s="126"/>
      <c r="L28" s="127"/>
      <c r="M28" s="126"/>
      <c r="N28" s="127"/>
      <c r="O28" s="126"/>
      <c r="P28" s="127"/>
      <c r="Q28" s="126"/>
      <c r="R28" s="127"/>
      <c r="S28" s="126"/>
      <c r="T28" s="127"/>
      <c r="U28" s="126"/>
      <c r="V28" s="127"/>
      <c r="W28" s="126"/>
      <c r="X28" s="127"/>
      <c r="Y28" s="126"/>
      <c r="Z28" s="127"/>
      <c r="AA28" s="126"/>
      <c r="AB28" s="127"/>
      <c r="AC28" s="13"/>
      <c r="AD28" s="13"/>
      <c r="AE28" s="13"/>
      <c r="AF28" s="13"/>
      <c r="AG28" s="13"/>
      <c r="AH28" s="13"/>
      <c r="AI28" s="13"/>
      <c r="AJ28" s="13"/>
      <c r="AK28" s="13"/>
      <c r="AL28" s="13"/>
      <c r="AM28" s="13"/>
      <c r="AN28" s="13"/>
      <c r="AO28" s="13"/>
      <c r="AP28" s="13"/>
      <c r="AQ28" s="13"/>
      <c r="AR28" s="13"/>
    </row>
    <row r="29" spans="1:44" ht="15" customHeight="1">
      <c r="A29" s="124"/>
      <c r="B29" s="125"/>
      <c r="C29" s="126"/>
      <c r="D29" s="127"/>
      <c r="E29" s="126"/>
      <c r="F29" s="127"/>
      <c r="G29" s="126"/>
      <c r="H29" s="127"/>
      <c r="I29" s="126"/>
      <c r="J29" s="127"/>
      <c r="K29" s="126"/>
      <c r="L29" s="127"/>
      <c r="M29" s="126"/>
      <c r="N29" s="127"/>
      <c r="O29" s="126"/>
      <c r="P29" s="127"/>
      <c r="Q29" s="126"/>
      <c r="R29" s="127"/>
      <c r="S29" s="126"/>
      <c r="T29" s="127"/>
      <c r="U29" s="126"/>
      <c r="V29" s="127"/>
      <c r="W29" s="126"/>
      <c r="X29" s="127"/>
      <c r="Y29" s="126"/>
      <c r="Z29" s="127"/>
      <c r="AA29" s="126"/>
      <c r="AB29" s="127"/>
      <c r="AC29" s="13"/>
      <c r="AD29" s="13"/>
      <c r="AE29" s="13"/>
      <c r="AF29" s="13"/>
      <c r="AG29" s="13"/>
      <c r="AH29" s="13"/>
      <c r="AI29" s="13"/>
      <c r="AJ29" s="13"/>
      <c r="AK29" s="13"/>
      <c r="AL29" s="13"/>
      <c r="AM29" s="13"/>
      <c r="AN29" s="13"/>
      <c r="AO29" s="13"/>
      <c r="AP29" s="13"/>
      <c r="AQ29" s="13"/>
      <c r="AR29" s="13"/>
    </row>
    <row r="30" spans="1:44" ht="15" customHeight="1">
      <c r="A30" s="128"/>
      <c r="B30" s="129"/>
      <c r="C30" s="130"/>
      <c r="D30" s="131"/>
      <c r="E30" s="130"/>
      <c r="F30" s="131"/>
      <c r="G30" s="130"/>
      <c r="H30" s="131"/>
      <c r="I30" s="130"/>
      <c r="J30" s="131"/>
      <c r="K30" s="130"/>
      <c r="L30" s="131"/>
      <c r="M30" s="130"/>
      <c r="N30" s="131"/>
      <c r="O30" s="130"/>
      <c r="P30" s="131"/>
      <c r="Q30" s="130"/>
      <c r="R30" s="131"/>
      <c r="S30" s="130"/>
      <c r="T30" s="131"/>
      <c r="U30" s="130"/>
      <c r="V30" s="131"/>
      <c r="W30" s="130"/>
      <c r="X30" s="131"/>
      <c r="Y30" s="130"/>
      <c r="Z30" s="131"/>
      <c r="AA30" s="130"/>
      <c r="AB30" s="131"/>
      <c r="AC30" s="13"/>
      <c r="AD30" s="13"/>
      <c r="AE30" s="13"/>
      <c r="AF30" s="13"/>
      <c r="AG30" s="13"/>
      <c r="AH30" s="13"/>
      <c r="AI30" s="13"/>
      <c r="AJ30" s="13"/>
      <c r="AK30" s="13"/>
      <c r="AL30" s="13"/>
      <c r="AM30" s="13"/>
      <c r="AN30" s="13"/>
      <c r="AO30" s="13"/>
      <c r="AP30" s="13"/>
      <c r="AQ30" s="13"/>
      <c r="AR30" s="13"/>
    </row>
    <row r="31" spans="1:44" ht="15" customHeight="1">
      <c r="A31" s="132"/>
      <c r="B31" s="133"/>
      <c r="C31" s="134"/>
      <c r="D31" s="135"/>
      <c r="E31" s="136"/>
      <c r="F31" s="137"/>
      <c r="G31" s="136"/>
      <c r="H31" s="137"/>
      <c r="I31" s="136"/>
      <c r="J31" s="137"/>
      <c r="K31" s="136"/>
      <c r="L31" s="137"/>
      <c r="M31" s="136"/>
      <c r="N31" s="137"/>
      <c r="O31" s="136"/>
      <c r="P31" s="137"/>
      <c r="Q31" s="136"/>
      <c r="R31" s="137"/>
      <c r="S31" s="136"/>
      <c r="T31" s="137"/>
      <c r="U31" s="136"/>
      <c r="V31" s="137"/>
      <c r="W31" s="136"/>
      <c r="X31" s="137"/>
      <c r="Y31" s="136"/>
      <c r="Z31" s="137"/>
      <c r="AA31" s="136"/>
      <c r="AB31" s="137"/>
      <c r="AC31" s="13"/>
      <c r="AD31" s="13"/>
      <c r="AE31" s="13"/>
      <c r="AF31" s="13"/>
      <c r="AG31" s="13"/>
      <c r="AH31" s="13"/>
      <c r="AI31" s="13"/>
      <c r="AJ31" s="13"/>
      <c r="AK31" s="13"/>
      <c r="AL31" s="13"/>
      <c r="AM31" s="13"/>
      <c r="AN31" s="13"/>
      <c r="AO31" s="13"/>
      <c r="AP31" s="13"/>
      <c r="AQ31" s="13"/>
      <c r="AR31" s="13"/>
    </row>
    <row r="32" spans="1:44" ht="15" customHeight="1">
      <c r="A32" s="618" t="s">
        <v>93</v>
      </c>
      <c r="B32" s="618"/>
      <c r="C32" s="138"/>
      <c r="D32" s="139">
        <f>SUM(D19:D31)</f>
        <v>105865</v>
      </c>
      <c r="E32" s="140"/>
      <c r="F32" s="141">
        <f>SUM(F19:F31)</f>
        <v>0</v>
      </c>
      <c r="G32" s="140"/>
      <c r="H32" s="141">
        <f>SUM(H19:H31)</f>
        <v>443</v>
      </c>
      <c r="I32" s="140"/>
      <c r="J32" s="141">
        <f>SUM(J19:J31)</f>
        <v>791</v>
      </c>
      <c r="K32" s="140"/>
      <c r="L32" s="141">
        <f>SUM(L19:L31)</f>
        <v>2087</v>
      </c>
      <c r="M32" s="140"/>
      <c r="N32" s="141">
        <f>SUM(N19:N31)</f>
        <v>3539</v>
      </c>
      <c r="O32" s="140"/>
      <c r="P32" s="141">
        <f>SUM(P19:P31)</f>
        <v>5684</v>
      </c>
      <c r="Q32" s="140"/>
      <c r="R32" s="141">
        <f>SUM(R19:R31)</f>
        <v>7680</v>
      </c>
      <c r="S32" s="140"/>
      <c r="T32" s="141">
        <f>SUM(T19:T31)</f>
        <v>10674</v>
      </c>
      <c r="U32" s="140"/>
      <c r="V32" s="141">
        <f>SUM(V19:V31)</f>
        <v>13141</v>
      </c>
      <c r="W32" s="140"/>
      <c r="X32" s="141">
        <f>SUM(X19:X31)</f>
        <v>17024</v>
      </c>
      <c r="Y32" s="140"/>
      <c r="Z32" s="141">
        <f>SUM(Z19:Z31)</f>
        <v>20035</v>
      </c>
      <c r="AA32" s="140"/>
      <c r="AB32" s="141">
        <f>SUM(AB19:AB31)</f>
        <v>24767</v>
      </c>
      <c r="AC32" s="142"/>
      <c r="AD32" s="13"/>
      <c r="AE32" s="13"/>
      <c r="AF32" s="13"/>
      <c r="AG32" s="13"/>
      <c r="AH32" s="13"/>
      <c r="AI32" s="13"/>
      <c r="AJ32" s="13"/>
      <c r="AK32" s="13"/>
      <c r="AL32" s="13"/>
      <c r="AM32" s="13"/>
      <c r="AN32" s="13"/>
      <c r="AO32" s="13"/>
      <c r="AP32" s="13"/>
      <c r="AQ32" s="13"/>
      <c r="AR32" s="13"/>
    </row>
    <row r="33" spans="1:44" ht="15" customHeight="1">
      <c r="A33" s="619"/>
      <c r="B33" s="619"/>
      <c r="C33" s="143">
        <f>C19</f>
        <v>74</v>
      </c>
      <c r="D33" s="144"/>
      <c r="E33" s="145">
        <f>E19</f>
        <v>0</v>
      </c>
      <c r="F33" s="146"/>
      <c r="G33" s="145">
        <f>G19</f>
        <v>1</v>
      </c>
      <c r="H33" s="146"/>
      <c r="I33" s="145">
        <f>I19</f>
        <v>1</v>
      </c>
      <c r="J33" s="146"/>
      <c r="K33" s="145">
        <f>K19</f>
        <v>2</v>
      </c>
      <c r="L33" s="146"/>
      <c r="M33" s="145">
        <f>M19</f>
        <v>4</v>
      </c>
      <c r="N33" s="146"/>
      <c r="O33" s="145">
        <f>O19</f>
        <v>5</v>
      </c>
      <c r="P33" s="146"/>
      <c r="Q33" s="145">
        <f>Q19</f>
        <v>7</v>
      </c>
      <c r="R33" s="146"/>
      <c r="S33" s="145">
        <f>S19</f>
        <v>8</v>
      </c>
      <c r="T33" s="146"/>
      <c r="U33" s="145">
        <f>U19</f>
        <v>9</v>
      </c>
      <c r="V33" s="146"/>
      <c r="W33" s="145">
        <f>W19</f>
        <v>11</v>
      </c>
      <c r="X33" s="146"/>
      <c r="Y33" s="145">
        <f>Y19</f>
        <v>12</v>
      </c>
      <c r="Z33" s="146"/>
      <c r="AA33" s="145">
        <f>AA19</f>
        <v>14</v>
      </c>
      <c r="AB33" s="144"/>
      <c r="AC33" s="13"/>
      <c r="AD33" s="13"/>
      <c r="AE33" s="13"/>
      <c r="AF33" s="13"/>
      <c r="AG33" s="13"/>
      <c r="AH33" s="13"/>
      <c r="AI33" s="13"/>
      <c r="AJ33" s="13"/>
      <c r="AK33" s="13"/>
      <c r="AL33" s="13"/>
      <c r="AM33" s="13"/>
      <c r="AN33" s="13"/>
      <c r="AO33" s="13"/>
      <c r="AP33" s="13"/>
      <c r="AQ33" s="13"/>
      <c r="AR33" s="13"/>
    </row>
    <row r="34" spans="1:44" ht="15" customHeight="1">
      <c r="A34" s="619"/>
      <c r="B34" s="619"/>
      <c r="C34" s="147">
        <f>C20</f>
        <v>172</v>
      </c>
      <c r="D34" s="148"/>
      <c r="E34" s="149">
        <f>E20</f>
        <v>0</v>
      </c>
      <c r="F34" s="150"/>
      <c r="G34" s="149">
        <f>G20</f>
        <v>2</v>
      </c>
      <c r="H34" s="150"/>
      <c r="I34" s="149">
        <f>I20</f>
        <v>3</v>
      </c>
      <c r="J34" s="150"/>
      <c r="K34" s="149">
        <f>K20</f>
        <v>5</v>
      </c>
      <c r="L34" s="150"/>
      <c r="M34" s="149">
        <f>M20</f>
        <v>9</v>
      </c>
      <c r="N34" s="150"/>
      <c r="O34" s="149">
        <f>O20</f>
        <v>12</v>
      </c>
      <c r="P34" s="150"/>
      <c r="Q34" s="149">
        <f>Q20</f>
        <v>15</v>
      </c>
      <c r="R34" s="150"/>
      <c r="S34" s="149">
        <f>S20</f>
        <v>19</v>
      </c>
      <c r="T34" s="150"/>
      <c r="U34" s="149">
        <f>U20</f>
        <v>21</v>
      </c>
      <c r="V34" s="150"/>
      <c r="W34" s="149">
        <f>W20</f>
        <v>26</v>
      </c>
      <c r="X34" s="150"/>
      <c r="Y34" s="149">
        <f>Y20</f>
        <v>27</v>
      </c>
      <c r="Z34" s="150"/>
      <c r="AA34" s="149">
        <f>AA20</f>
        <v>33</v>
      </c>
      <c r="AB34" s="148"/>
      <c r="AC34" s="13"/>
      <c r="AD34" s="13"/>
      <c r="AE34" s="13"/>
      <c r="AF34" s="13"/>
      <c r="AG34" s="13"/>
      <c r="AH34" s="13"/>
      <c r="AI34" s="13"/>
      <c r="AJ34" s="13"/>
      <c r="AK34" s="13"/>
      <c r="AL34" s="13"/>
      <c r="AM34" s="13"/>
      <c r="AN34" s="13"/>
      <c r="AO34" s="13"/>
      <c r="AP34" s="13"/>
      <c r="AQ34" s="13"/>
      <c r="AR34" s="13"/>
    </row>
    <row r="35" spans="1:44" ht="15" customHeight="1">
      <c r="A35" s="620"/>
      <c r="B35" s="620"/>
      <c r="C35" s="151">
        <f>C21</f>
        <v>25</v>
      </c>
      <c r="D35" s="152"/>
      <c r="E35" s="153">
        <f>E21</f>
        <v>0</v>
      </c>
      <c r="F35" s="154"/>
      <c r="G35" s="153">
        <f>G21</f>
        <v>0</v>
      </c>
      <c r="H35" s="154"/>
      <c r="I35" s="153">
        <f>I21</f>
        <v>0</v>
      </c>
      <c r="J35" s="154"/>
      <c r="K35" s="153">
        <f>K21</f>
        <v>1</v>
      </c>
      <c r="L35" s="154"/>
      <c r="M35" s="153">
        <f>M21</f>
        <v>1</v>
      </c>
      <c r="N35" s="154"/>
      <c r="O35" s="153">
        <f>O21</f>
        <v>2</v>
      </c>
      <c r="P35" s="154"/>
      <c r="Q35" s="153">
        <f>Q21</f>
        <v>2</v>
      </c>
      <c r="R35" s="154"/>
      <c r="S35" s="153">
        <f>S21</f>
        <v>3</v>
      </c>
      <c r="T35" s="154"/>
      <c r="U35" s="153">
        <f>U21</f>
        <v>3</v>
      </c>
      <c r="V35" s="154"/>
      <c r="W35" s="153">
        <f>W21</f>
        <v>4</v>
      </c>
      <c r="X35" s="154"/>
      <c r="Y35" s="153">
        <f>Y21</f>
        <v>4</v>
      </c>
      <c r="Z35" s="154"/>
      <c r="AA35" s="153">
        <f>AA21</f>
        <v>5</v>
      </c>
      <c r="AB35" s="152"/>
      <c r="AC35" s="13"/>
      <c r="AD35" s="13"/>
      <c r="AE35" s="13"/>
      <c r="AF35" s="13"/>
      <c r="AG35" s="13"/>
      <c r="AH35" s="13"/>
      <c r="AI35" s="13"/>
      <c r="AJ35" s="13"/>
      <c r="AK35" s="13"/>
      <c r="AL35" s="13"/>
      <c r="AM35" s="13"/>
      <c r="AN35" s="13"/>
      <c r="AO35" s="13"/>
      <c r="AP35" s="13"/>
      <c r="AQ35" s="13"/>
      <c r="AR35" s="13"/>
    </row>
    <row r="36" spans="1:44" ht="15" customHeight="1">
      <c r="A36" s="621"/>
      <c r="B36" s="621"/>
      <c r="C36" s="155">
        <f>SUM(C22:C25)</f>
        <v>1077</v>
      </c>
      <c r="D36" s="156"/>
      <c r="E36" s="157">
        <f>SUM(E22:E25)</f>
        <v>0</v>
      </c>
      <c r="F36" s="158"/>
      <c r="G36" s="157">
        <f>SUM(G22:G25)</f>
        <v>3</v>
      </c>
      <c r="H36" s="158"/>
      <c r="I36" s="157">
        <f>SUM(I22:I25)</f>
        <v>7</v>
      </c>
      <c r="J36" s="158"/>
      <c r="K36" s="157">
        <f>SUM(K22:K25)</f>
        <v>15</v>
      </c>
      <c r="L36" s="158"/>
      <c r="M36" s="157">
        <f>SUM(M22:M25)</f>
        <v>29</v>
      </c>
      <c r="N36" s="158"/>
      <c r="O36" s="157">
        <f>SUM(O22:O25)</f>
        <v>48</v>
      </c>
      <c r="P36" s="158"/>
      <c r="Q36" s="157">
        <f>SUM(Q22:Q25)</f>
        <v>72</v>
      </c>
      <c r="R36" s="158"/>
      <c r="S36" s="157">
        <f>SUM(S22:S25)</f>
        <v>102</v>
      </c>
      <c r="T36" s="158"/>
      <c r="U36" s="157">
        <f>SUM(U22:U25)</f>
        <v>135</v>
      </c>
      <c r="V36" s="158"/>
      <c r="W36" s="157">
        <f>SUM(W22:W25)</f>
        <v>176</v>
      </c>
      <c r="X36" s="158"/>
      <c r="Y36" s="157">
        <f>SUM(Y22:Y25)</f>
        <v>219</v>
      </c>
      <c r="Z36" s="158"/>
      <c r="AA36" s="157">
        <f>SUM(AA22:AA25)</f>
        <v>271</v>
      </c>
      <c r="AB36" s="159"/>
      <c r="AC36" s="13"/>
      <c r="AD36" s="13"/>
      <c r="AE36" s="13"/>
      <c r="AF36" s="13"/>
      <c r="AG36" s="13"/>
      <c r="AH36" s="13"/>
      <c r="AI36" s="13"/>
      <c r="AJ36" s="13"/>
      <c r="AK36" s="13"/>
      <c r="AL36" s="13"/>
      <c r="AM36" s="13"/>
      <c r="AN36" s="13"/>
      <c r="AO36" s="13"/>
      <c r="AP36" s="13"/>
      <c r="AQ36" s="13"/>
      <c r="AR36" s="13"/>
    </row>
    <row r="37" spans="1:44" ht="15" customHeight="1">
      <c r="A37" s="622"/>
      <c r="B37" s="622"/>
      <c r="C37" s="160">
        <f>SUM(C26:C30)</f>
        <v>0</v>
      </c>
      <c r="D37" s="161"/>
      <c r="E37" s="162">
        <f>SUM(E26:E30)</f>
        <v>0</v>
      </c>
      <c r="F37" s="163"/>
      <c r="G37" s="162">
        <f>SUM(G26:G30)</f>
        <v>0</v>
      </c>
      <c r="H37" s="163"/>
      <c r="I37" s="162">
        <f>SUM(I26:I30)</f>
        <v>0</v>
      </c>
      <c r="J37" s="163"/>
      <c r="K37" s="162">
        <f>SUM(K26:K30)</f>
        <v>0</v>
      </c>
      <c r="L37" s="163"/>
      <c r="M37" s="162">
        <f>SUM(M26:M30)</f>
        <v>0</v>
      </c>
      <c r="N37" s="163"/>
      <c r="O37" s="162">
        <f>SUM(O26:O30)</f>
        <v>0</v>
      </c>
      <c r="P37" s="163"/>
      <c r="Q37" s="162">
        <f>SUM(Q26:Q30)</f>
        <v>0</v>
      </c>
      <c r="R37" s="163"/>
      <c r="S37" s="162">
        <f>SUM(S26:S30)</f>
        <v>0</v>
      </c>
      <c r="T37" s="163"/>
      <c r="U37" s="162">
        <f>SUM(U26:U30)</f>
        <v>0</v>
      </c>
      <c r="V37" s="163"/>
      <c r="W37" s="162">
        <f>SUM(W26:W30)</f>
        <v>0</v>
      </c>
      <c r="X37" s="163"/>
      <c r="Y37" s="162">
        <f>SUM(Y26:Y30)</f>
        <v>0</v>
      </c>
      <c r="Z37" s="163"/>
      <c r="AA37" s="162">
        <f>SUM(AA26:AA30)</f>
        <v>0</v>
      </c>
      <c r="AB37" s="164"/>
      <c r="AC37" s="13"/>
      <c r="AD37" s="13"/>
      <c r="AE37" s="13"/>
      <c r="AF37" s="13"/>
      <c r="AG37" s="13"/>
      <c r="AH37" s="13"/>
      <c r="AI37" s="13"/>
      <c r="AJ37" s="13"/>
      <c r="AK37" s="13"/>
      <c r="AL37" s="13"/>
      <c r="AM37" s="13"/>
      <c r="AN37" s="13"/>
      <c r="AO37" s="13"/>
      <c r="AP37" s="13"/>
      <c r="AQ37" s="13"/>
      <c r="AR37" s="13"/>
    </row>
    <row r="38" spans="1:44" ht="15" customHeight="1">
      <c r="A38" s="623"/>
      <c r="B38" s="623"/>
      <c r="C38" s="165">
        <f>C31</f>
        <v>0</v>
      </c>
      <c r="D38" s="166"/>
      <c r="E38" s="167">
        <f>E31</f>
        <v>0</v>
      </c>
      <c r="F38" s="168"/>
      <c r="G38" s="167">
        <f>G31</f>
        <v>0</v>
      </c>
      <c r="H38" s="168"/>
      <c r="I38" s="167">
        <f>I31</f>
        <v>0</v>
      </c>
      <c r="J38" s="168"/>
      <c r="K38" s="167">
        <f>K31</f>
        <v>0</v>
      </c>
      <c r="L38" s="168"/>
      <c r="M38" s="167">
        <f>M31</f>
        <v>0</v>
      </c>
      <c r="N38" s="168"/>
      <c r="O38" s="167">
        <f>O31</f>
        <v>0</v>
      </c>
      <c r="P38" s="168"/>
      <c r="Q38" s="167">
        <f>Q31</f>
        <v>0</v>
      </c>
      <c r="R38" s="168"/>
      <c r="S38" s="167">
        <f>S31</f>
        <v>0</v>
      </c>
      <c r="T38" s="168"/>
      <c r="U38" s="167">
        <f>U31</f>
        <v>0</v>
      </c>
      <c r="V38" s="168"/>
      <c r="W38" s="167">
        <f>W31</f>
        <v>0</v>
      </c>
      <c r="X38" s="168"/>
      <c r="Y38" s="167">
        <f>Y31</f>
        <v>0</v>
      </c>
      <c r="Z38" s="168"/>
      <c r="AA38" s="167">
        <f>AA31</f>
        <v>0</v>
      </c>
      <c r="AB38" s="169"/>
      <c r="AC38" s="13"/>
      <c r="AD38" s="13"/>
      <c r="AE38" s="13"/>
      <c r="AF38" s="13"/>
      <c r="AG38" s="13"/>
      <c r="AH38" s="13"/>
      <c r="AI38" s="13"/>
      <c r="AJ38" s="13"/>
      <c r="AK38" s="13"/>
      <c r="AL38" s="13"/>
      <c r="AM38" s="13"/>
      <c r="AN38" s="13"/>
      <c r="AO38" s="13"/>
      <c r="AP38" s="13"/>
      <c r="AQ38" s="13"/>
      <c r="AR38" s="13"/>
    </row>
    <row r="39" spans="1:44" ht="14.25" customHeight="1">
      <c r="A39" s="13"/>
      <c r="B39" s="13"/>
      <c r="C39" s="13"/>
      <c r="D39" s="170"/>
      <c r="E39" s="13"/>
      <c r="F39" s="13"/>
      <c r="G39" s="13"/>
      <c r="H39" s="13"/>
      <c r="I39" s="171"/>
      <c r="J39" s="171"/>
      <c r="K39" s="171"/>
      <c r="L39" s="171"/>
      <c r="M39" s="13"/>
      <c r="N39" s="171"/>
      <c r="O39" s="171"/>
      <c r="P39" s="171"/>
      <c r="Q39" s="171"/>
      <c r="R39" s="171"/>
      <c r="S39" s="171"/>
      <c r="T39" s="171"/>
      <c r="U39" s="171"/>
      <c r="V39" s="171"/>
      <c r="W39" s="171"/>
      <c r="X39" s="171"/>
      <c r="Y39" s="171"/>
      <c r="Z39" s="171"/>
      <c r="AA39" s="13"/>
      <c r="AB39" s="171"/>
      <c r="AC39" s="13"/>
      <c r="AD39" s="13"/>
      <c r="AE39" s="13"/>
      <c r="AF39" s="13"/>
      <c r="AG39" s="13"/>
      <c r="AH39" s="13"/>
      <c r="AI39" s="13"/>
      <c r="AJ39" s="13"/>
      <c r="AK39" s="13"/>
      <c r="AL39" s="13"/>
      <c r="AM39" s="13"/>
      <c r="AN39" s="13"/>
      <c r="AO39" s="13"/>
      <c r="AP39" s="13"/>
      <c r="AQ39" s="13"/>
      <c r="AR39" s="13"/>
    </row>
    <row r="40" spans="1:44" ht="25.5" customHeight="1">
      <c r="A40" s="611" t="s">
        <v>94</v>
      </c>
      <c r="B40" s="611"/>
      <c r="C40" s="611"/>
      <c r="D40" s="611"/>
      <c r="E40" s="611"/>
      <c r="F40" s="611"/>
      <c r="G40" s="611"/>
      <c r="H40" s="611"/>
      <c r="I40" s="611"/>
      <c r="J40" s="611"/>
      <c r="K40" s="611"/>
      <c r="L40" s="611"/>
      <c r="M40" s="611"/>
      <c r="N40" s="611"/>
      <c r="O40" s="611"/>
      <c r="P40" s="611"/>
      <c r="Q40" s="611"/>
      <c r="R40" s="611"/>
      <c r="S40" s="611"/>
      <c r="T40" s="611"/>
      <c r="U40" s="611"/>
      <c r="V40" s="611"/>
      <c r="W40" s="611"/>
      <c r="X40" s="611"/>
      <c r="Y40" s="611"/>
      <c r="Z40" s="611"/>
      <c r="AA40" s="611"/>
      <c r="AB40" s="611"/>
      <c r="AC40" s="13"/>
      <c r="AD40" s="13"/>
      <c r="AE40" s="13"/>
      <c r="AF40" s="13"/>
      <c r="AG40" s="13"/>
      <c r="AH40" s="13"/>
      <c r="AI40" s="13"/>
      <c r="AJ40" s="13"/>
      <c r="AK40" s="13"/>
      <c r="AL40" s="13"/>
      <c r="AM40" s="13"/>
      <c r="AN40" s="13"/>
      <c r="AO40" s="13"/>
      <c r="AP40" s="13"/>
      <c r="AQ40" s="13"/>
      <c r="AR40" s="13"/>
    </row>
    <row r="41" spans="1:44" ht="25.5" customHeight="1">
      <c r="A41" s="172" t="s">
        <v>95</v>
      </c>
      <c r="B41" s="624" t="s">
        <v>96</v>
      </c>
      <c r="C41" s="624"/>
      <c r="D41" s="624"/>
      <c r="E41" s="624"/>
      <c r="F41" s="624"/>
      <c r="G41" s="624"/>
      <c r="H41" s="624"/>
      <c r="I41" s="624"/>
      <c r="J41" s="624"/>
      <c r="K41" s="624"/>
      <c r="L41" s="624"/>
      <c r="M41" s="624"/>
      <c r="N41" s="624"/>
      <c r="O41" s="624"/>
      <c r="P41" s="624"/>
      <c r="Q41" s="624"/>
      <c r="R41" s="624"/>
      <c r="S41" s="624"/>
      <c r="T41" s="624"/>
      <c r="U41" s="624"/>
      <c r="V41" s="624"/>
      <c r="W41" s="624"/>
      <c r="X41" s="624"/>
      <c r="Y41" s="624"/>
      <c r="Z41" s="624"/>
      <c r="AA41" s="624"/>
      <c r="AB41" s="624"/>
      <c r="AC41" s="13"/>
      <c r="AD41" s="13"/>
      <c r="AE41" s="13"/>
      <c r="AF41" s="13"/>
      <c r="AG41" s="13"/>
      <c r="AH41" s="13"/>
      <c r="AI41" s="13"/>
      <c r="AJ41" s="13"/>
      <c r="AK41" s="13"/>
      <c r="AL41" s="13"/>
      <c r="AM41" s="13"/>
      <c r="AN41" s="13"/>
      <c r="AO41" s="13"/>
      <c r="AP41" s="13"/>
      <c r="AQ41" s="13"/>
      <c r="AR41" s="13"/>
    </row>
    <row r="42" spans="1:44" ht="21" customHeight="1">
      <c r="A42" s="625" t="s">
        <v>97</v>
      </c>
      <c r="B42" s="625"/>
      <c r="C42" s="626" t="s">
        <v>98</v>
      </c>
      <c r="D42" s="626"/>
      <c r="E42" s="626" t="s">
        <v>99</v>
      </c>
      <c r="F42" s="626"/>
      <c r="G42" s="626"/>
      <c r="H42" s="626"/>
      <c r="I42" s="626"/>
      <c r="J42" s="626"/>
      <c r="K42" s="626"/>
      <c r="L42" s="626"/>
      <c r="M42" s="626"/>
      <c r="N42" s="626"/>
      <c r="O42" s="626"/>
      <c r="P42" s="626"/>
      <c r="Q42" s="626"/>
      <c r="R42" s="626"/>
      <c r="S42" s="626"/>
      <c r="T42" s="626"/>
      <c r="U42" s="626"/>
      <c r="V42" s="626"/>
      <c r="W42" s="626"/>
      <c r="X42" s="626"/>
      <c r="Y42" s="626"/>
      <c r="Z42" s="626"/>
      <c r="AA42" s="626"/>
      <c r="AB42" s="626"/>
      <c r="AC42" s="13"/>
      <c r="AD42" s="13"/>
      <c r="AE42" s="13"/>
      <c r="AF42" s="13"/>
      <c r="AG42" s="13"/>
      <c r="AH42" s="13"/>
      <c r="AI42" s="13"/>
      <c r="AJ42" s="13"/>
      <c r="AK42" s="13"/>
      <c r="AL42" s="13"/>
      <c r="AM42" s="13"/>
      <c r="AN42" s="13"/>
      <c r="AO42" s="13"/>
      <c r="AP42" s="13"/>
      <c r="AQ42" s="13"/>
      <c r="AR42" s="13"/>
    </row>
    <row r="43" spans="1:44" ht="14.25" customHeight="1">
      <c r="A43" s="625"/>
      <c r="B43" s="625"/>
      <c r="C43" s="627" t="s">
        <v>36</v>
      </c>
      <c r="D43" s="627"/>
      <c r="E43" s="627" t="s">
        <v>80</v>
      </c>
      <c r="F43" s="627"/>
      <c r="G43" s="628" t="s">
        <v>81</v>
      </c>
      <c r="H43" s="628"/>
      <c r="I43" s="628" t="s">
        <v>82</v>
      </c>
      <c r="J43" s="628"/>
      <c r="K43" s="628" t="s">
        <v>83</v>
      </c>
      <c r="L43" s="628"/>
      <c r="M43" s="628" t="s">
        <v>84</v>
      </c>
      <c r="N43" s="628"/>
      <c r="O43" s="628" t="s">
        <v>85</v>
      </c>
      <c r="P43" s="628"/>
      <c r="Q43" s="628" t="s">
        <v>86</v>
      </c>
      <c r="R43" s="628"/>
      <c r="S43" s="628" t="s">
        <v>87</v>
      </c>
      <c r="T43" s="628"/>
      <c r="U43" s="628" t="s">
        <v>88</v>
      </c>
      <c r="V43" s="628"/>
      <c r="W43" s="628" t="s">
        <v>89</v>
      </c>
      <c r="X43" s="628"/>
      <c r="Y43" s="628" t="s">
        <v>90</v>
      </c>
      <c r="Z43" s="628"/>
      <c r="AA43" s="628" t="s">
        <v>91</v>
      </c>
      <c r="AB43" s="628"/>
      <c r="AC43" s="13"/>
      <c r="AD43" s="13"/>
      <c r="AE43" s="13"/>
      <c r="AF43" s="13"/>
      <c r="AG43" s="13"/>
      <c r="AH43" s="13"/>
      <c r="AI43" s="13"/>
      <c r="AJ43" s="13"/>
      <c r="AK43" s="13"/>
      <c r="AL43" s="13"/>
      <c r="AM43" s="13"/>
      <c r="AN43" s="13"/>
      <c r="AO43" s="13"/>
      <c r="AP43" s="13"/>
      <c r="AQ43" s="13"/>
      <c r="AR43" s="13"/>
    </row>
    <row r="44" spans="1:44" ht="14.25" customHeight="1">
      <c r="A44" s="629" t="s">
        <v>100</v>
      </c>
      <c r="B44" s="629"/>
      <c r="C44" s="630" t="s">
        <v>101</v>
      </c>
      <c r="D44" s="630"/>
      <c r="E44" s="631" t="s">
        <v>102</v>
      </c>
      <c r="F44" s="631"/>
      <c r="G44" s="632" t="s">
        <v>102</v>
      </c>
      <c r="H44" s="632"/>
      <c r="I44" s="633" t="s">
        <v>102</v>
      </c>
      <c r="J44" s="633"/>
      <c r="K44" s="632" t="s">
        <v>102</v>
      </c>
      <c r="L44" s="632"/>
      <c r="M44" s="633" t="s">
        <v>102</v>
      </c>
      <c r="N44" s="633"/>
      <c r="O44" s="632" t="s">
        <v>102</v>
      </c>
      <c r="P44" s="632"/>
      <c r="Q44" s="633" t="s">
        <v>102</v>
      </c>
      <c r="R44" s="633"/>
      <c r="S44" s="632" t="s">
        <v>102</v>
      </c>
      <c r="T44" s="632"/>
      <c r="U44" s="632" t="s">
        <v>102</v>
      </c>
      <c r="V44" s="632"/>
      <c r="W44" s="632" t="s">
        <v>102</v>
      </c>
      <c r="X44" s="632"/>
      <c r="Y44" s="632" t="s">
        <v>102</v>
      </c>
      <c r="Z44" s="632"/>
      <c r="AA44" s="632" t="s">
        <v>102</v>
      </c>
      <c r="AB44" s="632"/>
      <c r="AC44" s="13"/>
      <c r="AD44" s="13"/>
      <c r="AE44" s="13"/>
      <c r="AF44" s="13"/>
      <c r="AG44" s="13"/>
      <c r="AH44" s="13"/>
      <c r="AI44" s="13"/>
      <c r="AJ44" s="13"/>
      <c r="AK44" s="13"/>
      <c r="AL44" s="13"/>
      <c r="AM44" s="13"/>
      <c r="AN44" s="13"/>
      <c r="AO44" s="13"/>
      <c r="AP44" s="13"/>
      <c r="AQ44" s="13"/>
      <c r="AR44" s="13"/>
    </row>
    <row r="45" spans="1:44" ht="14.25" customHeight="1">
      <c r="A45" s="629"/>
      <c r="B45" s="629"/>
      <c r="C45" s="634" t="s">
        <v>103</v>
      </c>
      <c r="D45" s="634"/>
      <c r="E45" s="633" t="s">
        <v>102</v>
      </c>
      <c r="F45" s="633"/>
      <c r="G45" s="633" t="s">
        <v>102</v>
      </c>
      <c r="H45" s="633"/>
      <c r="I45" s="633" t="s">
        <v>102</v>
      </c>
      <c r="J45" s="633"/>
      <c r="K45" s="633" t="s">
        <v>102</v>
      </c>
      <c r="L45" s="633"/>
      <c r="M45" s="633" t="s">
        <v>102</v>
      </c>
      <c r="N45" s="633"/>
      <c r="O45" s="633" t="s">
        <v>102</v>
      </c>
      <c r="P45" s="633"/>
      <c r="Q45" s="633" t="s">
        <v>102</v>
      </c>
      <c r="R45" s="633"/>
      <c r="S45" s="633" t="s">
        <v>102</v>
      </c>
      <c r="T45" s="633"/>
      <c r="U45" s="633" t="s">
        <v>102</v>
      </c>
      <c r="V45" s="633"/>
      <c r="W45" s="633" t="s">
        <v>102</v>
      </c>
      <c r="X45" s="633"/>
      <c r="Y45" s="633" t="s">
        <v>102</v>
      </c>
      <c r="Z45" s="633"/>
      <c r="AA45" s="633" t="s">
        <v>102</v>
      </c>
      <c r="AB45" s="633"/>
      <c r="AC45" s="13"/>
      <c r="AD45" s="13"/>
      <c r="AE45" s="13"/>
      <c r="AF45" s="13"/>
      <c r="AG45" s="13"/>
      <c r="AH45" s="13"/>
      <c r="AI45" s="13"/>
      <c r="AJ45" s="13"/>
      <c r="AK45" s="13"/>
      <c r="AL45" s="13"/>
      <c r="AM45" s="13"/>
      <c r="AN45" s="13"/>
      <c r="AO45" s="13"/>
      <c r="AP45" s="13"/>
      <c r="AQ45" s="13"/>
      <c r="AR45" s="13"/>
    </row>
    <row r="46" spans="1:44" ht="14.25" customHeight="1">
      <c r="A46" s="629"/>
      <c r="B46" s="629"/>
      <c r="C46" s="634" t="s">
        <v>104</v>
      </c>
      <c r="D46" s="634"/>
      <c r="E46" s="635" t="s">
        <v>105</v>
      </c>
      <c r="F46" s="635"/>
      <c r="G46" s="633" t="s">
        <v>102</v>
      </c>
      <c r="H46" s="633"/>
      <c r="I46" s="633" t="s">
        <v>102</v>
      </c>
      <c r="J46" s="633"/>
      <c r="K46" s="633" t="s">
        <v>102</v>
      </c>
      <c r="L46" s="633"/>
      <c r="M46" s="633" t="s">
        <v>102</v>
      </c>
      <c r="N46" s="633"/>
      <c r="O46" s="633" t="s">
        <v>102</v>
      </c>
      <c r="P46" s="633"/>
      <c r="Q46" s="633" t="s">
        <v>102</v>
      </c>
      <c r="R46" s="633"/>
      <c r="S46" s="633" t="s">
        <v>102</v>
      </c>
      <c r="T46" s="633"/>
      <c r="U46" s="633" t="s">
        <v>102</v>
      </c>
      <c r="V46" s="633"/>
      <c r="W46" s="633" t="s">
        <v>102</v>
      </c>
      <c r="X46" s="633"/>
      <c r="Y46" s="633" t="s">
        <v>102</v>
      </c>
      <c r="Z46" s="633"/>
      <c r="AA46" s="633" t="s">
        <v>102</v>
      </c>
      <c r="AB46" s="633"/>
      <c r="AC46" s="13"/>
      <c r="AD46" s="13"/>
      <c r="AE46" s="13"/>
      <c r="AF46" s="13"/>
      <c r="AG46" s="13"/>
      <c r="AH46" s="13"/>
      <c r="AI46" s="13"/>
      <c r="AJ46" s="13"/>
      <c r="AK46" s="13"/>
      <c r="AL46" s="13"/>
      <c r="AM46" s="13"/>
      <c r="AN46" s="13"/>
      <c r="AO46" s="13"/>
      <c r="AP46" s="13"/>
      <c r="AQ46" s="13"/>
      <c r="AR46" s="13"/>
    </row>
    <row r="47" spans="1:44" ht="14.25" customHeight="1">
      <c r="A47" s="629"/>
      <c r="B47" s="629"/>
      <c r="C47" s="634" t="s">
        <v>106</v>
      </c>
      <c r="D47" s="634"/>
      <c r="E47" s="634" t="s">
        <v>107</v>
      </c>
      <c r="F47" s="634"/>
      <c r="G47" s="633" t="s">
        <v>102</v>
      </c>
      <c r="H47" s="633"/>
      <c r="I47" s="633" t="s">
        <v>102</v>
      </c>
      <c r="J47" s="633"/>
      <c r="K47" s="633" t="s">
        <v>102</v>
      </c>
      <c r="L47" s="633"/>
      <c r="M47" s="633" t="s">
        <v>102</v>
      </c>
      <c r="N47" s="633"/>
      <c r="O47" s="633" t="s">
        <v>102</v>
      </c>
      <c r="P47" s="633"/>
      <c r="Q47" s="636" t="s">
        <v>102</v>
      </c>
      <c r="R47" s="636"/>
      <c r="S47" s="633" t="s">
        <v>102</v>
      </c>
      <c r="T47" s="633"/>
      <c r="U47" s="633" t="s">
        <v>102</v>
      </c>
      <c r="V47" s="633"/>
      <c r="W47" s="633" t="s">
        <v>102</v>
      </c>
      <c r="X47" s="633"/>
      <c r="Y47" s="633" t="s">
        <v>102</v>
      </c>
      <c r="Z47" s="633"/>
      <c r="AA47" s="633" t="s">
        <v>102</v>
      </c>
      <c r="AB47" s="633"/>
      <c r="AC47" s="13"/>
      <c r="AD47" s="13"/>
      <c r="AE47" s="13"/>
      <c r="AF47" s="13"/>
      <c r="AG47" s="13"/>
      <c r="AH47" s="13"/>
      <c r="AI47" s="13"/>
      <c r="AJ47" s="13"/>
      <c r="AK47" s="13"/>
      <c r="AL47" s="13"/>
      <c r="AM47" s="13"/>
      <c r="AN47" s="13"/>
      <c r="AO47" s="13"/>
      <c r="AP47" s="13"/>
      <c r="AQ47" s="13"/>
      <c r="AR47" s="13"/>
    </row>
    <row r="48" spans="1:44" ht="14.25" customHeight="1">
      <c r="A48" s="629"/>
      <c r="B48" s="629"/>
      <c r="C48" s="634" t="s">
        <v>108</v>
      </c>
      <c r="D48" s="634"/>
      <c r="E48" s="634" t="s">
        <v>109</v>
      </c>
      <c r="F48" s="634"/>
      <c r="G48" s="633" t="s">
        <v>102</v>
      </c>
      <c r="H48" s="633"/>
      <c r="I48" s="633" t="s">
        <v>102</v>
      </c>
      <c r="J48" s="633"/>
      <c r="K48" s="633" t="s">
        <v>102</v>
      </c>
      <c r="L48" s="633"/>
      <c r="M48" s="633" t="s">
        <v>102</v>
      </c>
      <c r="N48" s="633"/>
      <c r="O48" s="633" t="s">
        <v>102</v>
      </c>
      <c r="P48" s="633"/>
      <c r="Q48" s="633" t="s">
        <v>102</v>
      </c>
      <c r="R48" s="633"/>
      <c r="S48" s="633" t="s">
        <v>102</v>
      </c>
      <c r="T48" s="633"/>
      <c r="U48" s="633" t="s">
        <v>102</v>
      </c>
      <c r="V48" s="633"/>
      <c r="W48" s="637" t="s">
        <v>102</v>
      </c>
      <c r="X48" s="637"/>
      <c r="Y48" s="633" t="s">
        <v>102</v>
      </c>
      <c r="Z48" s="633"/>
      <c r="AA48" s="633" t="s">
        <v>102</v>
      </c>
      <c r="AB48" s="633"/>
      <c r="AC48" s="13"/>
      <c r="AD48" s="13"/>
      <c r="AE48" s="13"/>
      <c r="AF48" s="13"/>
      <c r="AG48" s="13"/>
      <c r="AH48" s="13"/>
      <c r="AI48" s="13"/>
      <c r="AJ48" s="13"/>
      <c r="AK48" s="13"/>
      <c r="AL48" s="13"/>
      <c r="AM48" s="13"/>
      <c r="AN48" s="13"/>
      <c r="AO48" s="13"/>
      <c r="AP48" s="13"/>
      <c r="AQ48" s="13"/>
      <c r="AR48" s="13"/>
    </row>
    <row r="49" spans="1:44" ht="14.25" customHeight="1">
      <c r="A49" s="629"/>
      <c r="B49" s="629"/>
      <c r="C49" s="634"/>
      <c r="D49" s="634"/>
      <c r="E49" s="634"/>
      <c r="F49" s="634"/>
      <c r="G49" s="633"/>
      <c r="H49" s="633"/>
      <c r="I49" s="633"/>
      <c r="J49" s="633"/>
      <c r="K49" s="633"/>
      <c r="L49" s="633"/>
      <c r="M49" s="633"/>
      <c r="N49" s="633"/>
      <c r="O49" s="633"/>
      <c r="P49" s="633"/>
      <c r="Q49" s="633"/>
      <c r="R49" s="633"/>
      <c r="S49" s="633"/>
      <c r="T49" s="633"/>
      <c r="U49" s="633"/>
      <c r="V49" s="633"/>
      <c r="W49" s="637"/>
      <c r="X49" s="637"/>
      <c r="Y49" s="633"/>
      <c r="Z49" s="633"/>
      <c r="AA49" s="633"/>
      <c r="AB49" s="633"/>
      <c r="AC49" s="13"/>
      <c r="AD49" s="13"/>
      <c r="AE49" s="13"/>
      <c r="AF49" s="13"/>
      <c r="AG49" s="13"/>
      <c r="AH49" s="13"/>
      <c r="AI49" s="13"/>
      <c r="AJ49" s="13"/>
      <c r="AK49" s="13"/>
      <c r="AL49" s="13"/>
      <c r="AM49" s="13"/>
      <c r="AN49" s="13"/>
      <c r="AO49" s="13"/>
      <c r="AP49" s="13"/>
      <c r="AQ49" s="13"/>
      <c r="AR49" s="13"/>
    </row>
    <row r="50" spans="1:44" ht="14.25" customHeight="1">
      <c r="A50" s="629"/>
      <c r="B50" s="629"/>
      <c r="C50" s="634"/>
      <c r="D50" s="634"/>
      <c r="E50" s="634"/>
      <c r="F50" s="634"/>
      <c r="G50" s="633"/>
      <c r="H50" s="633"/>
      <c r="I50" s="633"/>
      <c r="J50" s="633"/>
      <c r="K50" s="633"/>
      <c r="L50" s="633"/>
      <c r="M50" s="633"/>
      <c r="N50" s="633"/>
      <c r="O50" s="633"/>
      <c r="P50" s="633"/>
      <c r="Q50" s="633"/>
      <c r="R50" s="633"/>
      <c r="S50" s="633"/>
      <c r="T50" s="633"/>
      <c r="U50" s="633"/>
      <c r="V50" s="633"/>
      <c r="W50" s="637"/>
      <c r="X50" s="637"/>
      <c r="Y50" s="633"/>
      <c r="Z50" s="633"/>
      <c r="AA50" s="633"/>
      <c r="AB50" s="633"/>
      <c r="AC50" s="13"/>
      <c r="AD50" s="13"/>
      <c r="AE50" s="13"/>
      <c r="AF50" s="13"/>
      <c r="AG50" s="13"/>
      <c r="AH50" s="13"/>
      <c r="AI50" s="13"/>
      <c r="AJ50" s="13"/>
      <c r="AK50" s="13"/>
      <c r="AL50" s="13"/>
      <c r="AM50" s="13"/>
      <c r="AN50" s="13"/>
      <c r="AO50" s="13"/>
      <c r="AP50" s="13"/>
      <c r="AQ50" s="13"/>
      <c r="AR50" s="13"/>
    </row>
    <row r="51" spans="1:44" ht="14.25" customHeight="1">
      <c r="A51" s="629"/>
      <c r="B51" s="629"/>
      <c r="C51" s="634"/>
      <c r="D51" s="634"/>
      <c r="E51" s="634"/>
      <c r="F51" s="634"/>
      <c r="G51" s="633"/>
      <c r="H51" s="633"/>
      <c r="I51" s="633"/>
      <c r="J51" s="633"/>
      <c r="K51" s="633"/>
      <c r="L51" s="633"/>
      <c r="M51" s="633"/>
      <c r="N51" s="633"/>
      <c r="O51" s="633"/>
      <c r="P51" s="633"/>
      <c r="Q51" s="633"/>
      <c r="R51" s="633"/>
      <c r="S51" s="633"/>
      <c r="T51" s="633"/>
      <c r="U51" s="633"/>
      <c r="V51" s="633"/>
      <c r="W51" s="633"/>
      <c r="X51" s="633"/>
      <c r="Y51" s="633"/>
      <c r="Z51" s="633"/>
      <c r="AA51" s="633"/>
      <c r="AB51" s="633"/>
      <c r="AC51" s="13"/>
      <c r="AD51" s="13"/>
      <c r="AE51" s="13"/>
      <c r="AF51" s="13"/>
      <c r="AG51" s="13"/>
      <c r="AH51" s="13"/>
      <c r="AI51" s="13"/>
      <c r="AJ51" s="13"/>
      <c r="AK51" s="13"/>
      <c r="AL51" s="13"/>
      <c r="AM51" s="13"/>
      <c r="AN51" s="13"/>
      <c r="AO51" s="13"/>
      <c r="AP51" s="13"/>
      <c r="AQ51" s="13"/>
      <c r="AR51" s="13"/>
    </row>
    <row r="52" spans="1:44" ht="14.25" customHeight="1">
      <c r="A52" s="629"/>
      <c r="B52" s="629"/>
      <c r="C52" s="634"/>
      <c r="D52" s="634"/>
      <c r="E52" s="634"/>
      <c r="F52" s="634"/>
      <c r="G52" s="633"/>
      <c r="H52" s="633"/>
      <c r="I52" s="633"/>
      <c r="J52" s="633"/>
      <c r="K52" s="633"/>
      <c r="L52" s="633"/>
      <c r="M52" s="633"/>
      <c r="N52" s="633"/>
      <c r="O52" s="633"/>
      <c r="P52" s="633"/>
      <c r="Q52" s="633"/>
      <c r="R52" s="633"/>
      <c r="S52" s="633"/>
      <c r="T52" s="633"/>
      <c r="U52" s="633"/>
      <c r="V52" s="633"/>
      <c r="W52" s="633"/>
      <c r="X52" s="633"/>
      <c r="Y52" s="633"/>
      <c r="Z52" s="633"/>
      <c r="AA52" s="633"/>
      <c r="AB52" s="633"/>
      <c r="AC52" s="13"/>
      <c r="AD52" s="13"/>
      <c r="AE52" s="13"/>
      <c r="AF52" s="13"/>
      <c r="AG52" s="13"/>
      <c r="AH52" s="13"/>
      <c r="AI52" s="13"/>
      <c r="AJ52" s="13"/>
      <c r="AK52" s="13"/>
      <c r="AL52" s="13"/>
      <c r="AM52" s="13"/>
      <c r="AN52" s="13"/>
      <c r="AO52" s="13"/>
      <c r="AP52" s="13"/>
      <c r="AQ52" s="13"/>
      <c r="AR52" s="13"/>
    </row>
    <row r="53" spans="1:44" ht="14.25" customHeight="1">
      <c r="A53" s="629"/>
      <c r="B53" s="629"/>
      <c r="C53" s="634"/>
      <c r="D53" s="634"/>
      <c r="E53" s="634"/>
      <c r="F53" s="634"/>
      <c r="G53" s="633"/>
      <c r="H53" s="633"/>
      <c r="I53" s="633"/>
      <c r="J53" s="633"/>
      <c r="K53" s="633"/>
      <c r="L53" s="633"/>
      <c r="M53" s="633"/>
      <c r="N53" s="633"/>
      <c r="O53" s="633"/>
      <c r="P53" s="633"/>
      <c r="Q53" s="633"/>
      <c r="R53" s="633"/>
      <c r="S53" s="633"/>
      <c r="T53" s="633"/>
      <c r="U53" s="633"/>
      <c r="V53" s="633"/>
      <c r="W53" s="633"/>
      <c r="X53" s="633"/>
      <c r="Y53" s="633"/>
      <c r="Z53" s="633"/>
      <c r="AA53" s="633"/>
      <c r="AB53" s="633"/>
      <c r="AC53" s="13"/>
      <c r="AD53" s="13"/>
      <c r="AE53" s="13"/>
      <c r="AF53" s="13"/>
      <c r="AG53" s="13"/>
      <c r="AH53" s="13"/>
      <c r="AI53" s="13"/>
      <c r="AJ53" s="13"/>
      <c r="AK53" s="13"/>
      <c r="AL53" s="13"/>
      <c r="AM53" s="13"/>
      <c r="AN53" s="13"/>
      <c r="AO53" s="13"/>
      <c r="AP53" s="13"/>
      <c r="AQ53" s="13"/>
      <c r="AR53" s="13"/>
    </row>
    <row r="54" spans="1:44" ht="14.25" customHeight="1">
      <c r="A54" s="629"/>
      <c r="B54" s="629"/>
      <c r="C54" s="634"/>
      <c r="D54" s="634"/>
      <c r="E54" s="634"/>
      <c r="F54" s="634"/>
      <c r="G54" s="633"/>
      <c r="H54" s="633"/>
      <c r="I54" s="633"/>
      <c r="J54" s="633"/>
      <c r="K54" s="633"/>
      <c r="L54" s="633"/>
      <c r="M54" s="633"/>
      <c r="N54" s="633"/>
      <c r="O54" s="633"/>
      <c r="P54" s="633"/>
      <c r="Q54" s="633"/>
      <c r="R54" s="633"/>
      <c r="S54" s="633"/>
      <c r="T54" s="633"/>
      <c r="U54" s="633"/>
      <c r="V54" s="633"/>
      <c r="W54" s="633"/>
      <c r="X54" s="633"/>
      <c r="Y54" s="633"/>
      <c r="Z54" s="633"/>
      <c r="AA54" s="633"/>
      <c r="AB54" s="633"/>
      <c r="AC54" s="13"/>
      <c r="AD54" s="13"/>
      <c r="AE54" s="13"/>
      <c r="AF54" s="13"/>
      <c r="AG54" s="13"/>
      <c r="AH54" s="13"/>
      <c r="AI54" s="13"/>
      <c r="AJ54" s="13"/>
      <c r="AK54" s="13"/>
      <c r="AL54" s="13"/>
      <c r="AM54" s="13"/>
      <c r="AN54" s="13"/>
      <c r="AO54" s="13"/>
      <c r="AP54" s="13"/>
      <c r="AQ54" s="13"/>
      <c r="AR54" s="13"/>
    </row>
    <row r="55" spans="1:44" ht="14.25" customHeight="1">
      <c r="A55" s="629"/>
      <c r="B55" s="629"/>
      <c r="C55" s="634"/>
      <c r="D55" s="634"/>
      <c r="E55" s="634"/>
      <c r="F55" s="634"/>
      <c r="G55" s="633"/>
      <c r="H55" s="633"/>
      <c r="I55" s="633"/>
      <c r="J55" s="633"/>
      <c r="K55" s="633"/>
      <c r="L55" s="633"/>
      <c r="M55" s="633"/>
      <c r="N55" s="633"/>
      <c r="O55" s="633"/>
      <c r="P55" s="633"/>
      <c r="Q55" s="633"/>
      <c r="R55" s="633"/>
      <c r="S55" s="633"/>
      <c r="T55" s="633"/>
      <c r="U55" s="633"/>
      <c r="V55" s="633"/>
      <c r="W55" s="633"/>
      <c r="X55" s="633"/>
      <c r="Y55" s="633"/>
      <c r="Z55" s="633"/>
      <c r="AA55" s="633"/>
      <c r="AB55" s="633"/>
      <c r="AC55" s="13"/>
      <c r="AD55" s="13"/>
      <c r="AE55" s="13"/>
      <c r="AF55" s="13"/>
      <c r="AG55" s="13"/>
      <c r="AH55" s="13"/>
      <c r="AI55" s="13"/>
      <c r="AJ55" s="13"/>
      <c r="AK55" s="13"/>
      <c r="AL55" s="13"/>
      <c r="AM55" s="13"/>
      <c r="AN55" s="13"/>
      <c r="AO55" s="13"/>
      <c r="AP55" s="13"/>
      <c r="AQ55" s="13"/>
      <c r="AR55" s="13"/>
    </row>
    <row r="56" spans="1:44" ht="14.25" customHeight="1">
      <c r="A56" s="629"/>
      <c r="B56" s="629"/>
      <c r="C56" s="634"/>
      <c r="D56" s="634"/>
      <c r="E56" s="634"/>
      <c r="F56" s="634"/>
      <c r="G56" s="633"/>
      <c r="H56" s="633"/>
      <c r="I56" s="633"/>
      <c r="J56" s="633"/>
      <c r="K56" s="633"/>
      <c r="L56" s="633"/>
      <c r="M56" s="633"/>
      <c r="N56" s="633"/>
      <c r="O56" s="633"/>
      <c r="P56" s="633"/>
      <c r="Q56" s="633"/>
      <c r="R56" s="633"/>
      <c r="S56" s="633"/>
      <c r="T56" s="633"/>
      <c r="U56" s="633"/>
      <c r="V56" s="633"/>
      <c r="W56" s="633"/>
      <c r="X56" s="633"/>
      <c r="Y56" s="633"/>
      <c r="Z56" s="633"/>
      <c r="AA56" s="633"/>
      <c r="AB56" s="633"/>
      <c r="AC56" s="13"/>
      <c r="AD56" s="13"/>
      <c r="AE56" s="13"/>
      <c r="AF56" s="13"/>
      <c r="AG56" s="13"/>
      <c r="AH56" s="13"/>
      <c r="AI56" s="13"/>
      <c r="AJ56" s="13"/>
      <c r="AK56" s="13"/>
      <c r="AL56" s="13"/>
      <c r="AM56" s="13"/>
      <c r="AN56" s="13"/>
      <c r="AO56" s="13"/>
      <c r="AP56" s="13"/>
      <c r="AQ56" s="13"/>
      <c r="AR56" s="13"/>
    </row>
    <row r="57" spans="1:44" ht="14.25" customHeight="1">
      <c r="A57" s="629"/>
      <c r="B57" s="629"/>
      <c r="C57" s="634"/>
      <c r="D57" s="634"/>
      <c r="E57" s="634"/>
      <c r="F57" s="634"/>
      <c r="G57" s="633"/>
      <c r="H57" s="633"/>
      <c r="I57" s="633"/>
      <c r="J57" s="633"/>
      <c r="K57" s="633"/>
      <c r="L57" s="633"/>
      <c r="M57" s="633"/>
      <c r="N57" s="633"/>
      <c r="O57" s="633"/>
      <c r="P57" s="633"/>
      <c r="Q57" s="633"/>
      <c r="R57" s="633"/>
      <c r="S57" s="633"/>
      <c r="T57" s="633"/>
      <c r="U57" s="633"/>
      <c r="V57" s="633"/>
      <c r="W57" s="633"/>
      <c r="X57" s="633"/>
      <c r="Y57" s="633"/>
      <c r="Z57" s="633"/>
      <c r="AA57" s="633"/>
      <c r="AB57" s="633"/>
      <c r="AC57" s="13"/>
      <c r="AD57" s="13"/>
      <c r="AE57" s="13"/>
      <c r="AF57" s="13"/>
      <c r="AG57" s="13"/>
      <c r="AH57" s="13"/>
      <c r="AI57" s="13"/>
      <c r="AJ57" s="13"/>
      <c r="AK57" s="13"/>
      <c r="AL57" s="13"/>
      <c r="AM57" s="13"/>
      <c r="AN57" s="13"/>
      <c r="AO57" s="13"/>
      <c r="AP57" s="13"/>
      <c r="AQ57" s="13"/>
      <c r="AR57" s="13"/>
    </row>
    <row r="58" spans="1:44" ht="14.25" customHeight="1">
      <c r="A58" s="629"/>
      <c r="B58" s="629"/>
      <c r="C58" s="634"/>
      <c r="D58" s="634"/>
      <c r="E58" s="634"/>
      <c r="F58" s="634"/>
      <c r="G58" s="633"/>
      <c r="H58" s="633"/>
      <c r="I58" s="633"/>
      <c r="J58" s="633"/>
      <c r="K58" s="633"/>
      <c r="L58" s="633"/>
      <c r="M58" s="633"/>
      <c r="N58" s="633"/>
      <c r="O58" s="633"/>
      <c r="P58" s="633"/>
      <c r="Q58" s="633"/>
      <c r="R58" s="633"/>
      <c r="S58" s="633"/>
      <c r="T58" s="633"/>
      <c r="U58" s="633"/>
      <c r="V58" s="633"/>
      <c r="W58" s="633"/>
      <c r="X58" s="633"/>
      <c r="Y58" s="633"/>
      <c r="Z58" s="633"/>
      <c r="AA58" s="633"/>
      <c r="AB58" s="633"/>
      <c r="AC58" s="13"/>
      <c r="AD58" s="13"/>
      <c r="AE58" s="13"/>
      <c r="AF58" s="13"/>
      <c r="AG58" s="13"/>
      <c r="AH58" s="13"/>
      <c r="AI58" s="13"/>
      <c r="AJ58" s="13"/>
      <c r="AK58" s="13"/>
      <c r="AL58" s="13"/>
      <c r="AM58" s="13"/>
      <c r="AN58" s="13"/>
      <c r="AO58" s="13"/>
      <c r="AP58" s="13"/>
      <c r="AQ58" s="13"/>
      <c r="AR58" s="13"/>
    </row>
    <row r="59" spans="1:44" ht="14.25" customHeight="1">
      <c r="A59" s="629"/>
      <c r="B59" s="629"/>
      <c r="C59" s="634"/>
      <c r="D59" s="634"/>
      <c r="E59" s="634"/>
      <c r="F59" s="634"/>
      <c r="G59" s="633"/>
      <c r="H59" s="633"/>
      <c r="I59" s="633"/>
      <c r="J59" s="633"/>
      <c r="K59" s="633"/>
      <c r="L59" s="633"/>
      <c r="M59" s="633"/>
      <c r="N59" s="633"/>
      <c r="O59" s="633"/>
      <c r="P59" s="633"/>
      <c r="Q59" s="633"/>
      <c r="R59" s="633"/>
      <c r="S59" s="633"/>
      <c r="T59" s="633"/>
      <c r="U59" s="633"/>
      <c r="V59" s="633"/>
      <c r="W59" s="633"/>
      <c r="X59" s="633"/>
      <c r="Y59" s="633"/>
      <c r="Z59" s="633"/>
      <c r="AA59" s="633"/>
      <c r="AB59" s="633"/>
      <c r="AC59" s="13"/>
      <c r="AD59" s="13"/>
      <c r="AE59" s="13"/>
      <c r="AF59" s="13"/>
      <c r="AG59" s="13"/>
      <c r="AH59" s="13"/>
      <c r="AI59" s="13"/>
      <c r="AJ59" s="13"/>
      <c r="AK59" s="13"/>
      <c r="AL59" s="13"/>
      <c r="AM59" s="13"/>
      <c r="AN59" s="13"/>
      <c r="AO59" s="13"/>
      <c r="AP59" s="13"/>
      <c r="AQ59" s="13"/>
      <c r="AR59" s="13"/>
    </row>
    <row r="60" spans="1:44" ht="14.25" customHeight="1">
      <c r="A60" s="629"/>
      <c r="B60" s="629"/>
      <c r="C60" s="634"/>
      <c r="D60" s="634"/>
      <c r="E60" s="634"/>
      <c r="F60" s="634"/>
      <c r="G60" s="633"/>
      <c r="H60" s="633"/>
      <c r="I60" s="633"/>
      <c r="J60" s="633"/>
      <c r="K60" s="633"/>
      <c r="L60" s="633"/>
      <c r="M60" s="633"/>
      <c r="N60" s="633"/>
      <c r="O60" s="633"/>
      <c r="P60" s="633"/>
      <c r="Q60" s="633"/>
      <c r="R60" s="633"/>
      <c r="S60" s="633"/>
      <c r="T60" s="633"/>
      <c r="U60" s="633"/>
      <c r="V60" s="633"/>
      <c r="W60" s="633"/>
      <c r="X60" s="633"/>
      <c r="Y60" s="633"/>
      <c r="Z60" s="633"/>
      <c r="AA60" s="633"/>
      <c r="AB60" s="633"/>
      <c r="AC60" s="13"/>
      <c r="AD60" s="13"/>
      <c r="AE60" s="13"/>
      <c r="AF60" s="13"/>
      <c r="AG60" s="13"/>
      <c r="AH60" s="13"/>
      <c r="AI60" s="13"/>
      <c r="AJ60" s="13"/>
      <c r="AK60" s="13"/>
      <c r="AL60" s="13"/>
      <c r="AM60" s="13"/>
      <c r="AN60" s="13"/>
      <c r="AO60" s="13"/>
      <c r="AP60" s="13"/>
      <c r="AQ60" s="13"/>
      <c r="AR60" s="13"/>
    </row>
    <row r="61" spans="1:44" ht="14.25" customHeight="1">
      <c r="A61" s="629"/>
      <c r="B61" s="629"/>
      <c r="C61" s="638"/>
      <c r="D61" s="638"/>
      <c r="E61" s="639"/>
      <c r="F61" s="639"/>
      <c r="G61" s="640"/>
      <c r="H61" s="640"/>
      <c r="I61" s="640"/>
      <c r="J61" s="640"/>
      <c r="K61" s="640"/>
      <c r="L61" s="640"/>
      <c r="M61" s="640"/>
      <c r="N61" s="640"/>
      <c r="O61" s="640"/>
      <c r="P61" s="640"/>
      <c r="Q61" s="640"/>
      <c r="R61" s="640"/>
      <c r="S61" s="640"/>
      <c r="T61" s="640"/>
      <c r="U61" s="640"/>
      <c r="V61" s="640"/>
      <c r="W61" s="640"/>
      <c r="X61" s="640"/>
      <c r="Y61" s="640"/>
      <c r="Z61" s="640"/>
      <c r="AA61" s="640"/>
      <c r="AB61" s="640"/>
      <c r="AC61" s="13"/>
      <c r="AD61" s="13"/>
      <c r="AE61" s="13"/>
      <c r="AF61" s="13"/>
      <c r="AG61" s="13"/>
      <c r="AH61" s="13"/>
      <c r="AI61" s="13"/>
      <c r="AJ61" s="13"/>
      <c r="AK61" s="13"/>
      <c r="AL61" s="13"/>
      <c r="AM61" s="13"/>
      <c r="AN61" s="13"/>
      <c r="AO61" s="13"/>
      <c r="AP61" s="13"/>
      <c r="AQ61" s="13"/>
      <c r="AR61" s="13"/>
    </row>
    <row r="62" spans="1:44" ht="14.25" customHeight="1">
      <c r="A62" s="641" t="s">
        <v>110</v>
      </c>
      <c r="B62" s="641"/>
      <c r="C62" s="642" t="s">
        <v>111</v>
      </c>
      <c r="D62" s="642"/>
      <c r="E62" s="631" t="s">
        <v>112</v>
      </c>
      <c r="F62" s="631"/>
      <c r="G62" s="632" t="s">
        <v>102</v>
      </c>
      <c r="H62" s="632"/>
      <c r="I62" s="630" t="s">
        <v>102</v>
      </c>
      <c r="J62" s="630"/>
      <c r="K62" s="630" t="s">
        <v>102</v>
      </c>
      <c r="L62" s="630"/>
      <c r="M62" s="630" t="s">
        <v>102</v>
      </c>
      <c r="N62" s="630"/>
      <c r="O62" s="630" t="s">
        <v>102</v>
      </c>
      <c r="P62" s="630"/>
      <c r="Q62" s="630" t="s">
        <v>102</v>
      </c>
      <c r="R62" s="630"/>
      <c r="S62" s="630" t="s">
        <v>102</v>
      </c>
      <c r="T62" s="630"/>
      <c r="U62" s="630" t="s">
        <v>102</v>
      </c>
      <c r="V62" s="630"/>
      <c r="W62" s="632" t="s">
        <v>102</v>
      </c>
      <c r="X62" s="632"/>
      <c r="Y62" s="632" t="s">
        <v>102</v>
      </c>
      <c r="Z62" s="632"/>
      <c r="AA62" s="632" t="s">
        <v>102</v>
      </c>
      <c r="AB62" s="632"/>
      <c r="AC62" s="13"/>
      <c r="AD62" s="13"/>
      <c r="AE62" s="13"/>
      <c r="AF62" s="13"/>
      <c r="AG62" s="13"/>
      <c r="AH62" s="13"/>
      <c r="AI62" s="13"/>
      <c r="AJ62" s="13"/>
      <c r="AK62" s="13"/>
      <c r="AL62" s="13"/>
      <c r="AM62" s="13"/>
      <c r="AN62" s="13"/>
      <c r="AO62" s="13"/>
      <c r="AP62" s="13"/>
      <c r="AQ62" s="13"/>
      <c r="AR62" s="13"/>
    </row>
    <row r="63" spans="1:44" ht="14.25" customHeight="1">
      <c r="A63" s="641"/>
      <c r="B63" s="641"/>
      <c r="C63" s="643" t="s">
        <v>113</v>
      </c>
      <c r="D63" s="643"/>
      <c r="E63" s="635" t="s">
        <v>102</v>
      </c>
      <c r="F63" s="635"/>
      <c r="G63" s="633" t="s">
        <v>102</v>
      </c>
      <c r="H63" s="633"/>
      <c r="I63" s="634" t="s">
        <v>102</v>
      </c>
      <c r="J63" s="634"/>
      <c r="K63" s="634" t="s">
        <v>102</v>
      </c>
      <c r="L63" s="634"/>
      <c r="M63" s="634" t="s">
        <v>102</v>
      </c>
      <c r="N63" s="634"/>
      <c r="O63" s="634" t="s">
        <v>102</v>
      </c>
      <c r="P63" s="634"/>
      <c r="Q63" s="635" t="s">
        <v>102</v>
      </c>
      <c r="R63" s="635"/>
      <c r="S63" s="634" t="s">
        <v>102</v>
      </c>
      <c r="T63" s="634"/>
      <c r="U63" s="634" t="s">
        <v>102</v>
      </c>
      <c r="V63" s="634"/>
      <c r="W63" s="634" t="s">
        <v>102</v>
      </c>
      <c r="X63" s="634"/>
      <c r="Y63" s="634" t="s">
        <v>102</v>
      </c>
      <c r="Z63" s="634"/>
      <c r="AA63" s="633" t="s">
        <v>102</v>
      </c>
      <c r="AB63" s="633"/>
      <c r="AC63" s="13"/>
      <c r="AD63" s="13"/>
      <c r="AE63" s="13"/>
      <c r="AF63" s="13"/>
      <c r="AG63" s="13"/>
      <c r="AH63" s="13"/>
      <c r="AI63" s="13"/>
      <c r="AJ63" s="13"/>
      <c r="AK63" s="13"/>
      <c r="AL63" s="13"/>
      <c r="AM63" s="13"/>
      <c r="AN63" s="13"/>
      <c r="AO63" s="13"/>
      <c r="AP63" s="13"/>
      <c r="AQ63" s="13"/>
      <c r="AR63" s="13"/>
    </row>
    <row r="64" spans="1:44" ht="14.25" customHeight="1">
      <c r="A64" s="641"/>
      <c r="B64" s="641"/>
      <c r="C64" s="643" t="s">
        <v>114</v>
      </c>
      <c r="D64" s="643"/>
      <c r="E64" s="635" t="s">
        <v>102</v>
      </c>
      <c r="F64" s="635"/>
      <c r="G64" s="633" t="s">
        <v>102</v>
      </c>
      <c r="H64" s="633"/>
      <c r="I64" s="634" t="s">
        <v>102</v>
      </c>
      <c r="J64" s="634"/>
      <c r="K64" s="634" t="s">
        <v>102</v>
      </c>
      <c r="L64" s="634"/>
      <c r="M64" s="634" t="s">
        <v>102</v>
      </c>
      <c r="N64" s="634"/>
      <c r="O64" s="634" t="s">
        <v>102</v>
      </c>
      <c r="P64" s="634"/>
      <c r="Q64" s="634" t="s">
        <v>102</v>
      </c>
      <c r="R64" s="634"/>
      <c r="S64" s="634" t="s">
        <v>102</v>
      </c>
      <c r="T64" s="634"/>
      <c r="U64" s="634" t="s">
        <v>102</v>
      </c>
      <c r="V64" s="634"/>
      <c r="W64" s="634" t="s">
        <v>102</v>
      </c>
      <c r="X64" s="634"/>
      <c r="Y64" s="634" t="s">
        <v>102</v>
      </c>
      <c r="Z64" s="634"/>
      <c r="AA64" s="633" t="s">
        <v>102</v>
      </c>
      <c r="AB64" s="633"/>
      <c r="AC64" s="13"/>
      <c r="AD64" s="13"/>
      <c r="AE64" s="13"/>
      <c r="AF64" s="13"/>
      <c r="AG64" s="13"/>
      <c r="AH64" s="13"/>
      <c r="AI64" s="13"/>
      <c r="AJ64" s="13"/>
      <c r="AK64" s="13"/>
      <c r="AL64" s="13"/>
      <c r="AM64" s="13"/>
      <c r="AN64" s="13"/>
      <c r="AO64" s="13"/>
      <c r="AP64" s="13"/>
      <c r="AQ64" s="13"/>
      <c r="AR64" s="13"/>
    </row>
    <row r="65" spans="1:44" ht="14.25" customHeight="1">
      <c r="A65" s="641"/>
      <c r="B65" s="641"/>
      <c r="C65" s="643" t="s">
        <v>115</v>
      </c>
      <c r="D65" s="643"/>
      <c r="E65" s="635" t="s">
        <v>102</v>
      </c>
      <c r="F65" s="635"/>
      <c r="G65" s="633" t="s">
        <v>102</v>
      </c>
      <c r="H65" s="633"/>
      <c r="I65" s="634" t="s">
        <v>102</v>
      </c>
      <c r="J65" s="634"/>
      <c r="K65" s="634" t="s">
        <v>102</v>
      </c>
      <c r="L65" s="634"/>
      <c r="M65" s="634" t="s">
        <v>102</v>
      </c>
      <c r="N65" s="634"/>
      <c r="O65" s="634" t="s">
        <v>102</v>
      </c>
      <c r="P65" s="634"/>
      <c r="Q65" s="634" t="s">
        <v>102</v>
      </c>
      <c r="R65" s="634"/>
      <c r="S65" s="634" t="s">
        <v>102</v>
      </c>
      <c r="T65" s="634"/>
      <c r="U65" s="634" t="s">
        <v>102</v>
      </c>
      <c r="V65" s="634"/>
      <c r="W65" s="634" t="s">
        <v>102</v>
      </c>
      <c r="X65" s="634"/>
      <c r="Y65" s="634" t="s">
        <v>102</v>
      </c>
      <c r="Z65" s="634"/>
      <c r="AA65" s="633" t="s">
        <v>102</v>
      </c>
      <c r="AB65" s="633"/>
      <c r="AC65" s="13"/>
      <c r="AD65" s="13"/>
      <c r="AE65" s="13"/>
      <c r="AF65" s="13"/>
      <c r="AG65" s="13"/>
      <c r="AH65" s="13"/>
      <c r="AI65" s="13"/>
      <c r="AJ65" s="13"/>
      <c r="AK65" s="13"/>
      <c r="AL65" s="13"/>
      <c r="AM65" s="13"/>
      <c r="AN65" s="13"/>
      <c r="AO65" s="13"/>
      <c r="AP65" s="13"/>
      <c r="AQ65" s="13"/>
      <c r="AR65" s="13"/>
    </row>
    <row r="66" spans="1:44" ht="14.25" customHeight="1">
      <c r="A66" s="641"/>
      <c r="B66" s="641"/>
      <c r="C66" s="643">
        <v>0</v>
      </c>
      <c r="D66" s="643"/>
      <c r="E66" s="634" t="s">
        <v>102</v>
      </c>
      <c r="F66" s="634"/>
      <c r="G66" s="633" t="s">
        <v>102</v>
      </c>
      <c r="H66" s="633"/>
      <c r="I66" s="634" t="s">
        <v>102</v>
      </c>
      <c r="J66" s="634"/>
      <c r="K66" s="634" t="s">
        <v>102</v>
      </c>
      <c r="L66" s="634"/>
      <c r="M66" s="634" t="s">
        <v>102</v>
      </c>
      <c r="N66" s="634"/>
      <c r="O66" s="634" t="s">
        <v>102</v>
      </c>
      <c r="P66" s="634"/>
      <c r="Q66" s="634" t="s">
        <v>102</v>
      </c>
      <c r="R66" s="634"/>
      <c r="S66" s="634" t="s">
        <v>102</v>
      </c>
      <c r="T66" s="634"/>
      <c r="U66" s="634" t="s">
        <v>102</v>
      </c>
      <c r="V66" s="634"/>
      <c r="W66" s="633" t="s">
        <v>102</v>
      </c>
      <c r="X66" s="633"/>
      <c r="Y66" s="633" t="s">
        <v>102</v>
      </c>
      <c r="Z66" s="633"/>
      <c r="AA66" s="633" t="s">
        <v>102</v>
      </c>
      <c r="AB66" s="633"/>
      <c r="AC66" s="13"/>
      <c r="AD66" s="13"/>
      <c r="AE66" s="13"/>
      <c r="AF66" s="13"/>
      <c r="AG66" s="13"/>
      <c r="AH66" s="13"/>
      <c r="AI66" s="13"/>
      <c r="AJ66" s="13"/>
      <c r="AK66" s="13"/>
      <c r="AL66" s="13"/>
      <c r="AM66" s="13"/>
      <c r="AN66" s="13"/>
      <c r="AO66" s="13"/>
      <c r="AP66" s="13"/>
      <c r="AQ66" s="13"/>
      <c r="AR66" s="13"/>
    </row>
    <row r="67" spans="1:44" ht="14.25" customHeight="1">
      <c r="A67" s="641"/>
      <c r="B67" s="641"/>
      <c r="C67" s="643">
        <v>0</v>
      </c>
      <c r="D67" s="643"/>
      <c r="E67" s="634" t="s">
        <v>102</v>
      </c>
      <c r="F67" s="634"/>
      <c r="G67" s="633" t="s">
        <v>102</v>
      </c>
      <c r="H67" s="633"/>
      <c r="I67" s="634" t="s">
        <v>102</v>
      </c>
      <c r="J67" s="634"/>
      <c r="K67" s="634" t="s">
        <v>102</v>
      </c>
      <c r="L67" s="634"/>
      <c r="M67" s="634" t="s">
        <v>102</v>
      </c>
      <c r="N67" s="634"/>
      <c r="O67" s="634" t="s">
        <v>102</v>
      </c>
      <c r="P67" s="634"/>
      <c r="Q67" s="634" t="s">
        <v>102</v>
      </c>
      <c r="R67" s="634"/>
      <c r="S67" s="634" t="s">
        <v>102</v>
      </c>
      <c r="T67" s="634"/>
      <c r="U67" s="634" t="s">
        <v>102</v>
      </c>
      <c r="V67" s="634"/>
      <c r="W67" s="633" t="s">
        <v>102</v>
      </c>
      <c r="X67" s="633"/>
      <c r="Y67" s="633" t="s">
        <v>102</v>
      </c>
      <c r="Z67" s="633"/>
      <c r="AA67" s="633" t="s">
        <v>102</v>
      </c>
      <c r="AB67" s="633"/>
      <c r="AC67" s="13"/>
      <c r="AD67" s="13"/>
      <c r="AE67" s="13"/>
      <c r="AF67" s="13"/>
      <c r="AG67" s="13"/>
      <c r="AH67" s="13"/>
      <c r="AI67" s="13"/>
      <c r="AJ67" s="13"/>
      <c r="AK67" s="13"/>
      <c r="AL67" s="13"/>
      <c r="AM67" s="13"/>
      <c r="AN67" s="13"/>
      <c r="AO67" s="13"/>
      <c r="AP67" s="13"/>
      <c r="AQ67" s="13"/>
      <c r="AR67" s="13"/>
    </row>
    <row r="68" spans="1:44" ht="14.25" customHeight="1">
      <c r="A68" s="641"/>
      <c r="B68" s="641"/>
      <c r="C68" s="644">
        <v>0</v>
      </c>
      <c r="D68" s="644"/>
      <c r="E68" s="638" t="s">
        <v>102</v>
      </c>
      <c r="F68" s="638"/>
      <c r="G68" s="645" t="s">
        <v>102</v>
      </c>
      <c r="H68" s="645"/>
      <c r="I68" s="638" t="s">
        <v>102</v>
      </c>
      <c r="J68" s="638"/>
      <c r="K68" s="638" t="s">
        <v>102</v>
      </c>
      <c r="L68" s="638"/>
      <c r="M68" s="638" t="s">
        <v>102</v>
      </c>
      <c r="N68" s="638"/>
      <c r="O68" s="638" t="s">
        <v>102</v>
      </c>
      <c r="P68" s="638"/>
      <c r="Q68" s="638" t="s">
        <v>102</v>
      </c>
      <c r="R68" s="638"/>
      <c r="S68" s="638" t="s">
        <v>102</v>
      </c>
      <c r="T68" s="638"/>
      <c r="U68" s="638" t="s">
        <v>102</v>
      </c>
      <c r="V68" s="638"/>
      <c r="W68" s="645" t="s">
        <v>102</v>
      </c>
      <c r="X68" s="645"/>
      <c r="Y68" s="645" t="s">
        <v>102</v>
      </c>
      <c r="Z68" s="645"/>
      <c r="AA68" s="640" t="s">
        <v>102</v>
      </c>
      <c r="AB68" s="640"/>
      <c r="AC68" s="13"/>
      <c r="AD68" s="13"/>
      <c r="AE68" s="13"/>
      <c r="AF68" s="13"/>
      <c r="AG68" s="13"/>
      <c r="AH68" s="13"/>
      <c r="AI68" s="13"/>
      <c r="AJ68" s="13"/>
      <c r="AK68" s="13"/>
      <c r="AL68" s="13"/>
      <c r="AM68" s="13"/>
      <c r="AN68" s="13"/>
      <c r="AO68" s="13"/>
      <c r="AP68" s="13"/>
      <c r="AQ68" s="13"/>
      <c r="AR68" s="13"/>
    </row>
    <row r="69" spans="1:44" ht="14.25" customHeight="1">
      <c r="A69" s="629" t="s">
        <v>116</v>
      </c>
      <c r="B69" s="629"/>
      <c r="C69" s="646" t="s">
        <v>117</v>
      </c>
      <c r="D69" s="646"/>
      <c r="E69" s="647" t="s">
        <v>118</v>
      </c>
      <c r="F69" s="647"/>
      <c r="G69" s="647" t="s">
        <v>102</v>
      </c>
      <c r="H69" s="647"/>
      <c r="I69" s="647" t="s">
        <v>102</v>
      </c>
      <c r="J69" s="647"/>
      <c r="K69" s="647" t="s">
        <v>118</v>
      </c>
      <c r="L69" s="647"/>
      <c r="M69" s="642" t="s">
        <v>102</v>
      </c>
      <c r="N69" s="642"/>
      <c r="O69" s="642" t="s">
        <v>102</v>
      </c>
      <c r="P69" s="642"/>
      <c r="Q69" s="647" t="s">
        <v>118</v>
      </c>
      <c r="R69" s="647"/>
      <c r="S69" s="642" t="s">
        <v>102</v>
      </c>
      <c r="T69" s="642"/>
      <c r="U69" s="642" t="s">
        <v>102</v>
      </c>
      <c r="V69" s="642"/>
      <c r="W69" s="642" t="s">
        <v>118</v>
      </c>
      <c r="X69" s="642"/>
      <c r="Y69" s="642" t="s">
        <v>102</v>
      </c>
      <c r="Z69" s="642"/>
      <c r="AA69" s="642" t="s">
        <v>102</v>
      </c>
      <c r="AB69" s="642"/>
      <c r="AC69" s="13"/>
      <c r="AD69" s="13"/>
      <c r="AE69" s="13"/>
      <c r="AF69" s="13"/>
      <c r="AG69" s="13"/>
      <c r="AH69" s="13"/>
      <c r="AI69" s="13"/>
      <c r="AJ69" s="13"/>
      <c r="AK69" s="13"/>
      <c r="AL69" s="13"/>
      <c r="AM69" s="13"/>
      <c r="AN69" s="13"/>
      <c r="AO69" s="13"/>
      <c r="AP69" s="13"/>
      <c r="AQ69" s="13"/>
      <c r="AR69" s="13"/>
    </row>
    <row r="70" spans="1:44" ht="14.25" customHeight="1">
      <c r="A70" s="629"/>
      <c r="B70" s="629"/>
      <c r="C70" s="643" t="s">
        <v>119</v>
      </c>
      <c r="D70" s="643"/>
      <c r="E70" s="648" t="s">
        <v>120</v>
      </c>
      <c r="F70" s="648"/>
      <c r="G70" s="648" t="s">
        <v>102</v>
      </c>
      <c r="H70" s="648"/>
      <c r="I70" s="643" t="s">
        <v>102</v>
      </c>
      <c r="J70" s="643"/>
      <c r="K70" s="648" t="s">
        <v>120</v>
      </c>
      <c r="L70" s="648"/>
      <c r="M70" s="643" t="s">
        <v>102</v>
      </c>
      <c r="N70" s="643"/>
      <c r="O70" s="643" t="s">
        <v>102</v>
      </c>
      <c r="P70" s="643"/>
      <c r="Q70" s="648" t="s">
        <v>120</v>
      </c>
      <c r="R70" s="648"/>
      <c r="S70" s="643" t="s">
        <v>102</v>
      </c>
      <c r="T70" s="643"/>
      <c r="U70" s="643" t="s">
        <v>102</v>
      </c>
      <c r="V70" s="643"/>
      <c r="W70" s="643" t="s">
        <v>120</v>
      </c>
      <c r="X70" s="643"/>
      <c r="Y70" s="643" t="s">
        <v>102</v>
      </c>
      <c r="Z70" s="643"/>
      <c r="AA70" s="643" t="s">
        <v>102</v>
      </c>
      <c r="AB70" s="643"/>
      <c r="AC70" s="13"/>
      <c r="AD70" s="13"/>
      <c r="AE70" s="13"/>
      <c r="AF70" s="13"/>
      <c r="AG70" s="13"/>
      <c r="AH70" s="13"/>
      <c r="AI70" s="13"/>
      <c r="AJ70" s="13"/>
      <c r="AK70" s="13"/>
      <c r="AL70" s="13"/>
      <c r="AM70" s="13"/>
      <c r="AN70" s="13"/>
      <c r="AO70" s="13"/>
      <c r="AP70" s="13"/>
      <c r="AQ70" s="13"/>
      <c r="AR70" s="13"/>
    </row>
    <row r="71" spans="1:44" ht="14.25" customHeight="1">
      <c r="A71" s="629"/>
      <c r="B71" s="629"/>
      <c r="C71" s="643" t="s">
        <v>121</v>
      </c>
      <c r="D71" s="643"/>
      <c r="E71" s="648" t="s">
        <v>122</v>
      </c>
      <c r="F71" s="648"/>
      <c r="G71" s="648" t="s">
        <v>102</v>
      </c>
      <c r="H71" s="648"/>
      <c r="I71" s="643" t="s">
        <v>102</v>
      </c>
      <c r="J71" s="643"/>
      <c r="K71" s="643" t="s">
        <v>122</v>
      </c>
      <c r="L71" s="643"/>
      <c r="M71" s="643" t="s">
        <v>102</v>
      </c>
      <c r="N71" s="643"/>
      <c r="O71" s="643" t="s">
        <v>102</v>
      </c>
      <c r="P71" s="643"/>
      <c r="Q71" s="648" t="s">
        <v>122</v>
      </c>
      <c r="R71" s="648"/>
      <c r="S71" s="643" t="s">
        <v>102</v>
      </c>
      <c r="T71" s="643"/>
      <c r="U71" s="643" t="s">
        <v>102</v>
      </c>
      <c r="V71" s="643"/>
      <c r="W71" s="643" t="s">
        <v>122</v>
      </c>
      <c r="X71" s="643"/>
      <c r="Y71" s="643" t="s">
        <v>102</v>
      </c>
      <c r="Z71" s="643"/>
      <c r="AA71" s="643" t="s">
        <v>102</v>
      </c>
      <c r="AB71" s="643"/>
      <c r="AC71" s="13"/>
      <c r="AD71" s="13"/>
      <c r="AE71" s="13"/>
      <c r="AF71" s="13"/>
      <c r="AG71" s="13"/>
      <c r="AH71" s="13"/>
      <c r="AI71" s="13"/>
      <c r="AJ71" s="13"/>
      <c r="AK71" s="13"/>
      <c r="AL71" s="13"/>
      <c r="AM71" s="13"/>
      <c r="AN71" s="13"/>
      <c r="AO71" s="13"/>
      <c r="AP71" s="13"/>
      <c r="AQ71" s="13"/>
      <c r="AR71" s="13"/>
    </row>
    <row r="72" spans="1:44" ht="14.25" customHeight="1">
      <c r="A72" s="629"/>
      <c r="B72" s="629"/>
      <c r="C72" s="643" t="s">
        <v>123</v>
      </c>
      <c r="D72" s="643"/>
      <c r="E72" s="648" t="s">
        <v>124</v>
      </c>
      <c r="F72" s="648"/>
      <c r="G72" s="648" t="s">
        <v>102</v>
      </c>
      <c r="H72" s="648"/>
      <c r="I72" s="643" t="s">
        <v>102</v>
      </c>
      <c r="J72" s="643"/>
      <c r="K72" s="643" t="s">
        <v>124</v>
      </c>
      <c r="L72" s="643"/>
      <c r="M72" s="643" t="s">
        <v>102</v>
      </c>
      <c r="N72" s="643"/>
      <c r="O72" s="643" t="s">
        <v>102</v>
      </c>
      <c r="P72" s="643"/>
      <c r="Q72" s="648" t="s">
        <v>124</v>
      </c>
      <c r="R72" s="648"/>
      <c r="S72" s="643" t="s">
        <v>102</v>
      </c>
      <c r="T72" s="643"/>
      <c r="U72" s="643" t="s">
        <v>102</v>
      </c>
      <c r="V72" s="643"/>
      <c r="W72" s="643" t="s">
        <v>124</v>
      </c>
      <c r="X72" s="643"/>
      <c r="Y72" s="643" t="s">
        <v>102</v>
      </c>
      <c r="Z72" s="643"/>
      <c r="AA72" s="643" t="s">
        <v>102</v>
      </c>
      <c r="AB72" s="643"/>
      <c r="AC72" s="13"/>
      <c r="AD72" s="13"/>
      <c r="AE72" s="13"/>
      <c r="AF72" s="13"/>
      <c r="AG72" s="13"/>
      <c r="AH72" s="13"/>
      <c r="AI72" s="13"/>
      <c r="AJ72" s="13"/>
      <c r="AK72" s="13"/>
      <c r="AL72" s="13"/>
      <c r="AM72" s="13"/>
      <c r="AN72" s="13"/>
      <c r="AO72" s="13"/>
      <c r="AP72" s="13"/>
      <c r="AQ72" s="13"/>
      <c r="AR72" s="13"/>
    </row>
    <row r="73" spans="1:44" ht="14.25" customHeight="1">
      <c r="A73" s="629"/>
      <c r="B73" s="629"/>
      <c r="C73" s="643"/>
      <c r="D73" s="643"/>
      <c r="E73" s="648"/>
      <c r="F73" s="648"/>
      <c r="G73" s="648"/>
      <c r="H73" s="648"/>
      <c r="I73" s="643"/>
      <c r="J73" s="643"/>
      <c r="K73" s="643"/>
      <c r="L73" s="643"/>
      <c r="M73" s="643"/>
      <c r="N73" s="643"/>
      <c r="O73" s="643"/>
      <c r="P73" s="643"/>
      <c r="Q73" s="648"/>
      <c r="R73" s="648"/>
      <c r="S73" s="643"/>
      <c r="T73" s="643"/>
      <c r="U73" s="643"/>
      <c r="V73" s="643"/>
      <c r="W73" s="643"/>
      <c r="X73" s="643"/>
      <c r="Y73" s="643"/>
      <c r="Z73" s="643"/>
      <c r="AA73" s="643"/>
      <c r="AB73" s="643"/>
      <c r="AC73" s="13"/>
      <c r="AD73" s="13"/>
      <c r="AE73" s="13"/>
      <c r="AF73" s="13"/>
      <c r="AG73" s="13"/>
      <c r="AH73" s="13"/>
      <c r="AI73" s="13"/>
      <c r="AJ73" s="13"/>
      <c r="AK73" s="13"/>
      <c r="AL73" s="13"/>
      <c r="AM73" s="13"/>
      <c r="AN73" s="13"/>
      <c r="AO73" s="13"/>
      <c r="AP73" s="13"/>
      <c r="AQ73" s="13"/>
      <c r="AR73" s="13"/>
    </row>
    <row r="74" spans="1:44" ht="14.25" customHeight="1">
      <c r="A74" s="629"/>
      <c r="B74" s="629"/>
      <c r="C74" s="644"/>
      <c r="D74" s="644"/>
      <c r="E74" s="649"/>
      <c r="F74" s="649"/>
      <c r="G74" s="649"/>
      <c r="H74" s="649"/>
      <c r="I74" s="644"/>
      <c r="J74" s="644"/>
      <c r="K74" s="644"/>
      <c r="L74" s="644"/>
      <c r="M74" s="644"/>
      <c r="N74" s="644"/>
      <c r="O74" s="644"/>
      <c r="P74" s="644"/>
      <c r="Q74" s="649"/>
      <c r="R74" s="649"/>
      <c r="S74" s="644"/>
      <c r="T74" s="644"/>
      <c r="U74" s="644"/>
      <c r="V74" s="644"/>
      <c r="W74" s="644"/>
      <c r="X74" s="644"/>
      <c r="Y74" s="644"/>
      <c r="Z74" s="644"/>
      <c r="AA74" s="644"/>
      <c r="AB74" s="644"/>
      <c r="AC74" s="13"/>
      <c r="AD74" s="13"/>
      <c r="AE74" s="13"/>
      <c r="AF74" s="13"/>
      <c r="AG74" s="13"/>
      <c r="AH74" s="13"/>
      <c r="AI74" s="13"/>
      <c r="AJ74" s="13"/>
      <c r="AK74" s="13"/>
      <c r="AL74" s="13"/>
      <c r="AM74" s="13"/>
      <c r="AN74" s="13"/>
      <c r="AO74" s="13"/>
      <c r="AP74" s="13"/>
      <c r="AQ74" s="13"/>
      <c r="AR74" s="13"/>
    </row>
    <row r="75" spans="1:44" ht="25.5" customHeight="1">
      <c r="A75" s="173"/>
      <c r="B75" s="173"/>
      <c r="C75" s="13"/>
      <c r="D75" s="170"/>
      <c r="E75" s="174"/>
      <c r="F75" s="174"/>
      <c r="G75" s="174"/>
      <c r="H75" s="174"/>
      <c r="I75" s="174"/>
      <c r="J75" s="174"/>
      <c r="K75" s="174"/>
      <c r="L75" s="174"/>
      <c r="M75" s="174"/>
      <c r="N75" s="174"/>
      <c r="O75" s="174"/>
      <c r="P75" s="174"/>
      <c r="Q75" s="174"/>
      <c r="R75" s="174"/>
      <c r="S75" s="174"/>
      <c r="T75" s="174"/>
      <c r="U75" s="174"/>
      <c r="V75" s="174"/>
      <c r="W75" s="174"/>
      <c r="X75" s="174"/>
      <c r="Y75" s="174"/>
      <c r="Z75" s="174"/>
      <c r="AA75" s="174"/>
      <c r="AB75" s="174"/>
      <c r="AC75" s="13"/>
      <c r="AD75" s="13"/>
      <c r="AE75" s="13"/>
      <c r="AF75" s="13"/>
      <c r="AG75" s="13"/>
      <c r="AH75" s="13"/>
      <c r="AI75" s="13"/>
      <c r="AJ75" s="13"/>
      <c r="AK75" s="13"/>
      <c r="AL75" s="13"/>
      <c r="AM75" s="13"/>
      <c r="AN75" s="13"/>
      <c r="AO75" s="13"/>
      <c r="AP75" s="13"/>
      <c r="AQ75" s="13"/>
      <c r="AR75" s="13"/>
    </row>
    <row r="76" spans="1:44" ht="25.5" customHeight="1">
      <c r="A76" s="175"/>
      <c r="B76" s="175"/>
      <c r="C76" s="176"/>
      <c r="D76" s="177"/>
      <c r="E76" s="178"/>
      <c r="F76" s="178"/>
      <c r="G76" s="178"/>
      <c r="H76" s="178"/>
      <c r="I76" s="178"/>
      <c r="J76" s="178"/>
      <c r="K76" s="178"/>
      <c r="L76" s="178"/>
      <c r="M76" s="178"/>
      <c r="N76" s="178"/>
      <c r="O76" s="178"/>
      <c r="P76" s="178"/>
      <c r="Q76" s="178"/>
      <c r="R76" s="178"/>
      <c r="S76" s="178"/>
      <c r="T76" s="178"/>
      <c r="U76" s="178"/>
      <c r="V76" s="178"/>
      <c r="W76" s="178"/>
      <c r="X76" s="178"/>
      <c r="Y76" s="178"/>
      <c r="Z76" s="178"/>
      <c r="AA76" s="178"/>
      <c r="AB76" s="178"/>
      <c r="AC76" s="176"/>
      <c r="AD76" s="176"/>
      <c r="AE76" s="176"/>
      <c r="AF76" s="176"/>
      <c r="AG76" s="176"/>
      <c r="AH76" s="176"/>
      <c r="AI76" s="176"/>
      <c r="AJ76" s="176"/>
      <c r="AK76" s="176"/>
      <c r="AL76" s="176"/>
      <c r="AM76" s="176"/>
      <c r="AN76" s="176"/>
      <c r="AO76" s="176"/>
      <c r="AP76" s="176"/>
      <c r="AQ76" s="176"/>
      <c r="AR76" s="13"/>
    </row>
    <row r="77" spans="1:44"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25.5" customHeight="1">
      <c r="A78" s="611" t="s">
        <v>125</v>
      </c>
      <c r="B78" s="611"/>
      <c r="C78" s="611"/>
      <c r="D78" s="611"/>
      <c r="E78" s="611"/>
      <c r="F78" s="611"/>
      <c r="G78" s="611"/>
      <c r="H78" s="611"/>
      <c r="I78" s="611"/>
      <c r="J78" s="611"/>
      <c r="K78" s="611"/>
      <c r="L78" s="611"/>
      <c r="M78" s="611"/>
      <c r="N78" s="611"/>
      <c r="O78" s="611"/>
      <c r="P78" s="611"/>
      <c r="Q78" s="611"/>
      <c r="R78" s="611"/>
      <c r="S78" s="611"/>
      <c r="T78" s="611"/>
      <c r="U78" s="611"/>
      <c r="V78" s="611"/>
      <c r="W78" s="611"/>
      <c r="X78" s="611"/>
      <c r="Y78" s="611"/>
      <c r="Z78" s="611"/>
      <c r="AA78" s="611"/>
      <c r="AB78" s="611"/>
      <c r="AC78" s="13"/>
      <c r="AD78" s="13"/>
      <c r="AE78" s="13"/>
      <c r="AF78" s="13"/>
      <c r="AG78" s="13"/>
      <c r="AH78" s="13"/>
      <c r="AI78" s="13"/>
      <c r="AJ78" s="13"/>
      <c r="AK78" s="13"/>
      <c r="AL78" s="13"/>
      <c r="AM78" s="13"/>
      <c r="AN78" s="13"/>
      <c r="AO78" s="13"/>
      <c r="AP78" s="13"/>
      <c r="AQ78" s="13"/>
      <c r="AR78" s="13"/>
    </row>
    <row r="79" spans="1:44" ht="14.25" customHeight="1">
      <c r="A79" s="650" t="s">
        <v>78</v>
      </c>
      <c r="B79" s="651" t="s">
        <v>56</v>
      </c>
      <c r="C79" s="613" t="s">
        <v>79</v>
      </c>
      <c r="D79" s="613"/>
      <c r="E79" s="614" t="s">
        <v>80</v>
      </c>
      <c r="F79" s="614"/>
      <c r="G79" s="614" t="s">
        <v>81</v>
      </c>
      <c r="H79" s="614"/>
      <c r="I79" s="614" t="s">
        <v>82</v>
      </c>
      <c r="J79" s="614"/>
      <c r="K79" s="614" t="s">
        <v>83</v>
      </c>
      <c r="L79" s="614"/>
      <c r="M79" s="614" t="s">
        <v>84</v>
      </c>
      <c r="N79" s="614"/>
      <c r="O79" s="614" t="s">
        <v>85</v>
      </c>
      <c r="P79" s="614"/>
      <c r="Q79" s="614" t="s">
        <v>86</v>
      </c>
      <c r="R79" s="614"/>
      <c r="S79" s="614" t="s">
        <v>87</v>
      </c>
      <c r="T79" s="614"/>
      <c r="U79" s="614" t="s">
        <v>88</v>
      </c>
      <c r="V79" s="614"/>
      <c r="W79" s="614" t="s">
        <v>89</v>
      </c>
      <c r="X79" s="614"/>
      <c r="Y79" s="614" t="s">
        <v>90</v>
      </c>
      <c r="Z79" s="614"/>
      <c r="AA79" s="614" t="s">
        <v>91</v>
      </c>
      <c r="AB79" s="614"/>
      <c r="AC79" s="13"/>
      <c r="AD79" s="13"/>
      <c r="AE79" s="13"/>
      <c r="AF79" s="13"/>
      <c r="AG79" s="13"/>
      <c r="AH79" s="13"/>
      <c r="AI79" s="13"/>
      <c r="AJ79" s="13"/>
      <c r="AK79" s="13"/>
      <c r="AL79" s="13"/>
      <c r="AM79" s="13"/>
      <c r="AN79" s="13"/>
      <c r="AO79" s="13"/>
      <c r="AP79" s="13"/>
      <c r="AQ79" s="13"/>
      <c r="AR79" s="13"/>
    </row>
    <row r="80" spans="1:44" ht="14.25" customHeight="1">
      <c r="A80" s="650"/>
      <c r="B80" s="651"/>
      <c r="C80" s="615" t="s">
        <v>36</v>
      </c>
      <c r="D80" s="652" t="s">
        <v>92</v>
      </c>
      <c r="E80" s="617">
        <f>F95/$D$95</f>
        <v>5.7573462704544102E-2</v>
      </c>
      <c r="F80" s="617"/>
      <c r="G80" s="617">
        <f>H95/$D$95</f>
        <v>6.1341907536114265E-2</v>
      </c>
      <c r="H80" s="617"/>
      <c r="I80" s="617">
        <f>J95/$D$95</f>
        <v>6.6255359953682758E-2</v>
      </c>
      <c r="J80" s="617"/>
      <c r="K80" s="617">
        <f>L95/$D$95</f>
        <v>7.044510554488663E-2</v>
      </c>
      <c r="L80" s="617"/>
      <c r="M80" s="617">
        <f>N95/$D$95</f>
        <v>7.5113014574938547E-2</v>
      </c>
      <c r="N80" s="617"/>
      <c r="O80" s="617">
        <f>P95/$D$95</f>
        <v>7.9470763536548486E-2</v>
      </c>
      <c r="P80" s="617"/>
      <c r="Q80" s="617">
        <f>R95/$D$95</f>
        <v>8.4306675937006484E-2</v>
      </c>
      <c r="R80" s="617"/>
      <c r="S80" s="617">
        <f>T95/$D$95</f>
        <v>8.8832428269022504E-2</v>
      </c>
      <c r="T80" s="617"/>
      <c r="U80" s="617">
        <f>V95/$D$95</f>
        <v>9.564044177132415E-2</v>
      </c>
      <c r="V80" s="617"/>
      <c r="W80" s="617">
        <f>X95/$D$95</f>
        <v>0.10087180825904569</v>
      </c>
      <c r="X80" s="617"/>
      <c r="Y80" s="617">
        <f>Z95/$D$95</f>
        <v>0.10724818233276556</v>
      </c>
      <c r="Z80" s="617"/>
      <c r="AA80" s="617">
        <f>AB95/$D$95</f>
        <v>0.11290084958012081</v>
      </c>
      <c r="AB80" s="617"/>
      <c r="AC80" s="13"/>
      <c r="AD80" s="13"/>
      <c r="AE80" s="13"/>
      <c r="AF80" s="13"/>
      <c r="AG80" s="13"/>
      <c r="AH80" s="13"/>
      <c r="AI80" s="13"/>
      <c r="AJ80" s="13"/>
      <c r="AK80" s="13"/>
      <c r="AL80" s="13"/>
      <c r="AM80" s="13"/>
      <c r="AN80" s="13"/>
      <c r="AO80" s="13"/>
      <c r="AP80" s="13"/>
      <c r="AQ80" s="13"/>
      <c r="AR80" s="13"/>
    </row>
    <row r="81" spans="1:44" ht="14.25" customHeight="1">
      <c r="A81" s="650"/>
      <c r="B81" s="651"/>
      <c r="C81" s="615"/>
      <c r="D81" s="652"/>
      <c r="E81" s="179" t="s">
        <v>36</v>
      </c>
      <c r="F81" s="180" t="s">
        <v>92</v>
      </c>
      <c r="G81" s="179" t="s">
        <v>36</v>
      </c>
      <c r="H81" s="180" t="s">
        <v>92</v>
      </c>
      <c r="I81" s="179" t="s">
        <v>36</v>
      </c>
      <c r="J81" s="180" t="s">
        <v>92</v>
      </c>
      <c r="K81" s="179" t="s">
        <v>36</v>
      </c>
      <c r="L81" s="180" t="s">
        <v>92</v>
      </c>
      <c r="M81" s="179" t="s">
        <v>36</v>
      </c>
      <c r="N81" s="180" t="s">
        <v>92</v>
      </c>
      <c r="O81" s="179" t="s">
        <v>36</v>
      </c>
      <c r="P81" s="180" t="s">
        <v>92</v>
      </c>
      <c r="Q81" s="179" t="s">
        <v>36</v>
      </c>
      <c r="R81" s="180" t="s">
        <v>92</v>
      </c>
      <c r="S81" s="90" t="s">
        <v>36</v>
      </c>
      <c r="T81" s="91" t="s">
        <v>92</v>
      </c>
      <c r="U81" s="90" t="s">
        <v>36</v>
      </c>
      <c r="V81" s="91" t="s">
        <v>92</v>
      </c>
      <c r="W81" s="90" t="s">
        <v>36</v>
      </c>
      <c r="X81" s="91" t="s">
        <v>92</v>
      </c>
      <c r="Y81" s="90" t="s">
        <v>36</v>
      </c>
      <c r="Z81" s="91" t="s">
        <v>92</v>
      </c>
      <c r="AA81" s="90" t="s">
        <v>36</v>
      </c>
      <c r="AB81" s="91" t="s">
        <v>92</v>
      </c>
      <c r="AC81" s="13"/>
      <c r="AD81" s="13"/>
      <c r="AE81" s="13"/>
      <c r="AF81" s="13"/>
      <c r="AG81" s="13"/>
      <c r="AH81" s="13"/>
      <c r="AI81" s="13"/>
      <c r="AJ81" s="13"/>
      <c r="AK81" s="13"/>
      <c r="AL81" s="13"/>
      <c r="AM81" s="13"/>
      <c r="AN81" s="13"/>
      <c r="AO81" s="13"/>
      <c r="AP81" s="13"/>
      <c r="AQ81" s="13"/>
      <c r="AR81" s="13"/>
    </row>
    <row r="82" spans="1:44" ht="15" customHeight="1">
      <c r="A82" s="92" t="str">
        <f>Hipótesis!$B$58</f>
        <v>Alta e instalación Plan Básico</v>
      </c>
      <c r="B82" s="93">
        <f>Hipótesis!C58</f>
        <v>40</v>
      </c>
      <c r="C82" s="94">
        <f t="shared" ref="C82:C87" si="2">E82+G82+I82+K82+M82+O82+Q82+S82+U82+W82+Y82+AA82</f>
        <v>88</v>
      </c>
      <c r="D82" s="181">
        <f t="shared" ref="D82:D87" si="3">B82*C82</f>
        <v>3520</v>
      </c>
      <c r="E82" s="96">
        <v>6</v>
      </c>
      <c r="F82" s="97">
        <f>E82*$B$82</f>
        <v>240</v>
      </c>
      <c r="G82" s="96">
        <v>6</v>
      </c>
      <c r="H82" s="97">
        <f>G82*$B$82</f>
        <v>240</v>
      </c>
      <c r="I82" s="96">
        <v>7</v>
      </c>
      <c r="J82" s="97">
        <f>I82*$B$82</f>
        <v>280</v>
      </c>
      <c r="K82" s="96">
        <v>7</v>
      </c>
      <c r="L82" s="97">
        <f>K82*$B$82</f>
        <v>280</v>
      </c>
      <c r="M82" s="96">
        <v>7</v>
      </c>
      <c r="N82" s="97">
        <f>M82*$B$82</f>
        <v>280</v>
      </c>
      <c r="O82" s="96">
        <v>7</v>
      </c>
      <c r="P82" s="97">
        <f>O82*$B$82</f>
        <v>280</v>
      </c>
      <c r="Q82" s="96">
        <v>7</v>
      </c>
      <c r="R82" s="97">
        <f>Q82*$B$82</f>
        <v>280</v>
      </c>
      <c r="S82" s="96">
        <v>7</v>
      </c>
      <c r="T82" s="97">
        <f>S82*$B$82</f>
        <v>280</v>
      </c>
      <c r="U82" s="96">
        <v>8</v>
      </c>
      <c r="V82" s="97">
        <f>U82*$B$82</f>
        <v>320</v>
      </c>
      <c r="W82" s="96">
        <v>8</v>
      </c>
      <c r="X82" s="97">
        <f>W82*$B$82</f>
        <v>320</v>
      </c>
      <c r="Y82" s="96">
        <v>9</v>
      </c>
      <c r="Z82" s="97">
        <f>Y82*$B$82</f>
        <v>360</v>
      </c>
      <c r="AA82" s="96">
        <v>9</v>
      </c>
      <c r="AB82" s="97">
        <f>AA82*$B$82</f>
        <v>360</v>
      </c>
      <c r="AC82" s="13"/>
      <c r="AD82" s="13"/>
      <c r="AE82" s="13"/>
      <c r="AF82" s="13"/>
      <c r="AG82" s="13"/>
      <c r="AH82" s="13"/>
      <c r="AI82" s="13"/>
      <c r="AJ82" s="13"/>
      <c r="AK82" s="13"/>
      <c r="AL82" s="13"/>
      <c r="AM82" s="13"/>
      <c r="AN82" s="13"/>
      <c r="AO82" s="13"/>
      <c r="AP82" s="13"/>
      <c r="AQ82" s="13"/>
      <c r="AR82" s="13"/>
    </row>
    <row r="83" spans="1:44" ht="15" customHeight="1">
      <c r="A83" s="92" t="str">
        <f>Hipótesis!$B$59</f>
        <v>Alta e instalación Plan Vidriera</v>
      </c>
      <c r="B83" s="98">
        <f>Hipótesis!C59</f>
        <v>120</v>
      </c>
      <c r="C83" s="99">
        <f t="shared" si="2"/>
        <v>210</v>
      </c>
      <c r="D83" s="101">
        <f t="shared" si="3"/>
        <v>25200</v>
      </c>
      <c r="E83" s="99">
        <v>14</v>
      </c>
      <c r="F83" s="101">
        <f>E83*$B$83</f>
        <v>1680</v>
      </c>
      <c r="G83" s="99">
        <v>14</v>
      </c>
      <c r="H83" s="101">
        <f>G83*$B$83</f>
        <v>1680</v>
      </c>
      <c r="I83" s="99">
        <v>16</v>
      </c>
      <c r="J83" s="101">
        <f>I83*$B$83</f>
        <v>1920</v>
      </c>
      <c r="K83" s="99">
        <v>16</v>
      </c>
      <c r="L83" s="101">
        <f>K83*$B$83</f>
        <v>1920</v>
      </c>
      <c r="M83" s="99">
        <v>17</v>
      </c>
      <c r="N83" s="101">
        <f>M83*$B$83</f>
        <v>2040</v>
      </c>
      <c r="O83" s="99">
        <v>17</v>
      </c>
      <c r="P83" s="101">
        <f>O83*$B$83</f>
        <v>2040</v>
      </c>
      <c r="Q83" s="99">
        <v>18</v>
      </c>
      <c r="R83" s="101">
        <f>Q83*$B$83</f>
        <v>2160</v>
      </c>
      <c r="S83" s="99">
        <v>18</v>
      </c>
      <c r="T83" s="101">
        <f>S83*$B$83</f>
        <v>2160</v>
      </c>
      <c r="U83" s="99">
        <v>19</v>
      </c>
      <c r="V83" s="101">
        <f>U83*$B$83</f>
        <v>2280</v>
      </c>
      <c r="W83" s="99">
        <v>19</v>
      </c>
      <c r="X83" s="101">
        <f>W83*$B$83</f>
        <v>2280</v>
      </c>
      <c r="Y83" s="99">
        <v>21</v>
      </c>
      <c r="Z83" s="101">
        <f>Y83*$B$83</f>
        <v>2520</v>
      </c>
      <c r="AA83" s="99">
        <v>21</v>
      </c>
      <c r="AB83" s="101">
        <f>AA83*$B$83</f>
        <v>2520</v>
      </c>
      <c r="AC83" s="13"/>
      <c r="AD83" s="13"/>
      <c r="AE83" s="13"/>
      <c r="AF83" s="13"/>
      <c r="AG83" s="13"/>
      <c r="AH83" s="13"/>
      <c r="AI83" s="13"/>
      <c r="AJ83" s="13"/>
      <c r="AK83" s="13"/>
      <c r="AL83" s="13"/>
      <c r="AM83" s="13"/>
      <c r="AN83" s="13"/>
      <c r="AO83" s="13"/>
      <c r="AP83" s="13"/>
      <c r="AQ83" s="13"/>
      <c r="AR83" s="13"/>
    </row>
    <row r="84" spans="1:44" ht="15" customHeight="1">
      <c r="A84" s="92" t="str">
        <f>Hipótesis!$B$60</f>
        <v>Alta e instalación Plan Cadena</v>
      </c>
      <c r="B84" s="102">
        <f>Hipótesis!C60</f>
        <v>450</v>
      </c>
      <c r="C84" s="103">
        <f t="shared" si="2"/>
        <v>28</v>
      </c>
      <c r="D84" s="182">
        <f t="shared" si="3"/>
        <v>12600</v>
      </c>
      <c r="E84" s="104">
        <v>2</v>
      </c>
      <c r="F84" s="105">
        <f>E84*$B$84</f>
        <v>900</v>
      </c>
      <c r="G84" s="104">
        <v>2</v>
      </c>
      <c r="H84" s="105">
        <f>G84*$B$84</f>
        <v>900</v>
      </c>
      <c r="I84" s="104">
        <v>2</v>
      </c>
      <c r="J84" s="105">
        <f>I84*$B$84</f>
        <v>900</v>
      </c>
      <c r="K84" s="104">
        <v>2</v>
      </c>
      <c r="L84" s="105">
        <f>K84*$B$84</f>
        <v>900</v>
      </c>
      <c r="M84" s="104">
        <v>2</v>
      </c>
      <c r="N84" s="105">
        <f>M84*$B$84</f>
        <v>900</v>
      </c>
      <c r="O84" s="104">
        <v>2</v>
      </c>
      <c r="P84" s="105">
        <f>O84*$B$84</f>
        <v>900</v>
      </c>
      <c r="Q84" s="104">
        <v>2</v>
      </c>
      <c r="R84" s="105">
        <f>Q84*$B$84</f>
        <v>900</v>
      </c>
      <c r="S84" s="104">
        <v>2</v>
      </c>
      <c r="T84" s="105">
        <f>S84*$B$84</f>
        <v>900</v>
      </c>
      <c r="U84" s="104">
        <v>3</v>
      </c>
      <c r="V84" s="105">
        <f>U84*$B$84</f>
        <v>1350</v>
      </c>
      <c r="W84" s="104">
        <v>3</v>
      </c>
      <c r="X84" s="105">
        <f>W84*$B$84</f>
        <v>1350</v>
      </c>
      <c r="Y84" s="104">
        <v>3</v>
      </c>
      <c r="Z84" s="105">
        <f>Y84*$B$84</f>
        <v>1350</v>
      </c>
      <c r="AA84" s="104">
        <v>3</v>
      </c>
      <c r="AB84" s="105">
        <f>AA84*$B$84</f>
        <v>1350</v>
      </c>
      <c r="AC84" s="13"/>
      <c r="AD84" s="13"/>
      <c r="AE84" s="13"/>
      <c r="AF84" s="13"/>
      <c r="AG84" s="13"/>
      <c r="AH84" s="13"/>
      <c r="AI84" s="13"/>
      <c r="AJ84" s="13"/>
      <c r="AK84" s="13"/>
      <c r="AL84" s="13"/>
      <c r="AM84" s="13"/>
      <c r="AN84" s="13"/>
      <c r="AO84" s="13"/>
      <c r="AP84" s="13"/>
      <c r="AQ84" s="13"/>
      <c r="AR84" s="13"/>
    </row>
    <row r="85" spans="1:44" ht="15" customHeight="1">
      <c r="A85" s="106" t="str">
        <f>Hipótesis!$B$61</f>
        <v>Abono Plan Básico</v>
      </c>
      <c r="B85" s="107">
        <f>Hipótesis!C61</f>
        <v>33</v>
      </c>
      <c r="C85" s="108">
        <f t="shared" si="2"/>
        <v>1424</v>
      </c>
      <c r="D85" s="107">
        <f t="shared" si="3"/>
        <v>46992</v>
      </c>
      <c r="E85" s="109">
        <f>AA22+E82</f>
        <v>80</v>
      </c>
      <c r="F85" s="183">
        <f>E85*$B$85</f>
        <v>2640</v>
      </c>
      <c r="G85" s="109">
        <f>E85+G82</f>
        <v>86</v>
      </c>
      <c r="H85" s="110">
        <f>G85*$B$85</f>
        <v>2838</v>
      </c>
      <c r="I85" s="109">
        <f>G85+I82</f>
        <v>93</v>
      </c>
      <c r="J85" s="110">
        <f>I85*$B$85</f>
        <v>3069</v>
      </c>
      <c r="K85" s="109">
        <f>I85+K82</f>
        <v>100</v>
      </c>
      <c r="L85" s="110">
        <f>K85*$B$85</f>
        <v>3300</v>
      </c>
      <c r="M85" s="109">
        <f>K85+M82</f>
        <v>107</v>
      </c>
      <c r="N85" s="110">
        <f>M85*$B$85</f>
        <v>3531</v>
      </c>
      <c r="O85" s="109">
        <f>M85+O82</f>
        <v>114</v>
      </c>
      <c r="P85" s="110">
        <f>O85*$B$85</f>
        <v>3762</v>
      </c>
      <c r="Q85" s="109">
        <f>O85+Q82</f>
        <v>121</v>
      </c>
      <c r="R85" s="110">
        <f>Q85*$B$85</f>
        <v>3993</v>
      </c>
      <c r="S85" s="109">
        <f>Q85+S82</f>
        <v>128</v>
      </c>
      <c r="T85" s="110">
        <f>S85*$B$85</f>
        <v>4224</v>
      </c>
      <c r="U85" s="109">
        <f>S85+U82</f>
        <v>136</v>
      </c>
      <c r="V85" s="110">
        <f>U85*$B$85</f>
        <v>4488</v>
      </c>
      <c r="W85" s="109">
        <f>U85+W82</f>
        <v>144</v>
      </c>
      <c r="X85" s="110">
        <f>W85*$B$85</f>
        <v>4752</v>
      </c>
      <c r="Y85" s="109">
        <f>W85+Y82</f>
        <v>153</v>
      </c>
      <c r="Z85" s="110">
        <f>Y85*$B$85</f>
        <v>5049</v>
      </c>
      <c r="AA85" s="109">
        <f>Y85+AA82</f>
        <v>162</v>
      </c>
      <c r="AB85" s="110">
        <f>AA85*$B$85</f>
        <v>5346</v>
      </c>
      <c r="AC85" s="13"/>
      <c r="AD85" s="13"/>
      <c r="AE85" s="13"/>
      <c r="AF85" s="13"/>
      <c r="AG85" s="13"/>
      <c r="AH85" s="13"/>
      <c r="AI85" s="13"/>
      <c r="AJ85" s="13"/>
      <c r="AK85" s="13"/>
      <c r="AL85" s="13"/>
      <c r="AM85" s="13"/>
      <c r="AN85" s="13"/>
      <c r="AO85" s="13"/>
      <c r="AP85" s="13"/>
      <c r="AQ85" s="13"/>
      <c r="AR85" s="13"/>
    </row>
    <row r="86" spans="1:44" ht="15" customHeight="1">
      <c r="A86" s="106" t="str">
        <f>Hipótesis!$B$62</f>
        <v>Abono Plan Vidriera</v>
      </c>
      <c r="B86" s="111">
        <f>Hipótesis!C62</f>
        <v>65</v>
      </c>
      <c r="C86" s="112">
        <f t="shared" si="2"/>
        <v>3339</v>
      </c>
      <c r="D86" s="111">
        <f t="shared" si="3"/>
        <v>217035</v>
      </c>
      <c r="E86" s="112">
        <f>AA23+E83</f>
        <v>186</v>
      </c>
      <c r="F86" s="184">
        <f>E86*$B$86</f>
        <v>12090</v>
      </c>
      <c r="G86" s="112">
        <f>E86+G83</f>
        <v>200</v>
      </c>
      <c r="H86" s="113">
        <f>G86*$B$86</f>
        <v>13000</v>
      </c>
      <c r="I86" s="112">
        <f>G86+I83</f>
        <v>216</v>
      </c>
      <c r="J86" s="113">
        <f>I86*$B$86</f>
        <v>14040</v>
      </c>
      <c r="K86" s="112">
        <f>I86+K83</f>
        <v>232</v>
      </c>
      <c r="L86" s="113">
        <f>K86*$B$86</f>
        <v>15080</v>
      </c>
      <c r="M86" s="112">
        <f>K86+M83</f>
        <v>249</v>
      </c>
      <c r="N86" s="113">
        <f>M86*$B$86</f>
        <v>16185</v>
      </c>
      <c r="O86" s="112">
        <f>M86+O83</f>
        <v>266</v>
      </c>
      <c r="P86" s="113">
        <f>O86*$B$86</f>
        <v>17290</v>
      </c>
      <c r="Q86" s="112">
        <f>O86+Q83</f>
        <v>284</v>
      </c>
      <c r="R86" s="113">
        <f>Q86*$B$86</f>
        <v>18460</v>
      </c>
      <c r="S86" s="112">
        <f>Q86+S83</f>
        <v>302</v>
      </c>
      <c r="T86" s="113">
        <f>S86*$B$86</f>
        <v>19630</v>
      </c>
      <c r="U86" s="112">
        <f>S86+U83</f>
        <v>321</v>
      </c>
      <c r="V86" s="113">
        <f>U86*$B$86</f>
        <v>20865</v>
      </c>
      <c r="W86" s="112">
        <f>U86+W83</f>
        <v>340</v>
      </c>
      <c r="X86" s="113">
        <f>W86*$B$86</f>
        <v>22100</v>
      </c>
      <c r="Y86" s="112">
        <f>W86+Y83</f>
        <v>361</v>
      </c>
      <c r="Z86" s="113">
        <f>Y86*$B$86</f>
        <v>23465</v>
      </c>
      <c r="AA86" s="112">
        <f>Y86+AA83</f>
        <v>382</v>
      </c>
      <c r="AB86" s="113">
        <f>AA86*$B$86</f>
        <v>24830</v>
      </c>
      <c r="AC86" s="13"/>
      <c r="AD86" s="13"/>
      <c r="AE86" s="13"/>
      <c r="AF86" s="13"/>
      <c r="AG86" s="13"/>
      <c r="AH86" s="13"/>
      <c r="AI86" s="13"/>
      <c r="AJ86" s="13"/>
      <c r="AK86" s="13"/>
      <c r="AL86" s="13"/>
      <c r="AM86" s="13"/>
      <c r="AN86" s="13"/>
      <c r="AO86" s="13"/>
      <c r="AP86" s="13"/>
      <c r="AQ86" s="13"/>
      <c r="AR86" s="13"/>
    </row>
    <row r="87" spans="1:44" ht="15" customHeight="1">
      <c r="A87" s="106" t="str">
        <f>Hipótesis!$B$63</f>
        <v>Abono Plan Cadena</v>
      </c>
      <c r="B87" s="111">
        <f>Hipótesis!C63</f>
        <v>175</v>
      </c>
      <c r="C87" s="112">
        <f t="shared" si="2"/>
        <v>466</v>
      </c>
      <c r="D87" s="111">
        <f t="shared" si="3"/>
        <v>81550</v>
      </c>
      <c r="E87" s="112">
        <f>AA24+E84</f>
        <v>27</v>
      </c>
      <c r="F87" s="184">
        <f>E87*$B$87</f>
        <v>4725</v>
      </c>
      <c r="G87" s="112">
        <f>E87+G84</f>
        <v>29</v>
      </c>
      <c r="H87" s="113">
        <f>G87*$B$87</f>
        <v>5075</v>
      </c>
      <c r="I87" s="112">
        <f>G87+I84</f>
        <v>31</v>
      </c>
      <c r="J87" s="113">
        <f>I87*$B$87</f>
        <v>5425</v>
      </c>
      <c r="K87" s="112">
        <f>I87+K84</f>
        <v>33</v>
      </c>
      <c r="L87" s="113">
        <f>K87*$B$87</f>
        <v>5775</v>
      </c>
      <c r="M87" s="112">
        <f>K87+M84</f>
        <v>35</v>
      </c>
      <c r="N87" s="113">
        <f>M87*$B$87</f>
        <v>6125</v>
      </c>
      <c r="O87" s="112">
        <f>M87+O84</f>
        <v>37</v>
      </c>
      <c r="P87" s="113">
        <f>O87*$B$87</f>
        <v>6475</v>
      </c>
      <c r="Q87" s="112">
        <f>O87+Q84</f>
        <v>39</v>
      </c>
      <c r="R87" s="113">
        <f>Q87*$B$87</f>
        <v>6825</v>
      </c>
      <c r="S87" s="112">
        <f>Q87+S84</f>
        <v>41</v>
      </c>
      <c r="T87" s="113">
        <f>S87*$B$87</f>
        <v>7175</v>
      </c>
      <c r="U87" s="112">
        <f>S87+U84</f>
        <v>44</v>
      </c>
      <c r="V87" s="113">
        <f>U87*$B$87</f>
        <v>7700</v>
      </c>
      <c r="W87" s="112">
        <f>U87+W84</f>
        <v>47</v>
      </c>
      <c r="X87" s="113">
        <f>W87*$B$87</f>
        <v>8225</v>
      </c>
      <c r="Y87" s="112">
        <f>W87+Y84</f>
        <v>50</v>
      </c>
      <c r="Z87" s="113">
        <f>Y87*$B$87</f>
        <v>8750</v>
      </c>
      <c r="AA87" s="112">
        <f>Y87+AA84</f>
        <v>53</v>
      </c>
      <c r="AB87" s="113">
        <f>AA87*$B$87</f>
        <v>9275</v>
      </c>
      <c r="AC87" s="13"/>
      <c r="AD87" s="13"/>
      <c r="AE87" s="13"/>
      <c r="AF87" s="13"/>
      <c r="AG87" s="13"/>
      <c r="AH87" s="13"/>
      <c r="AI87" s="13"/>
      <c r="AJ87" s="13"/>
      <c r="AK87" s="13"/>
      <c r="AL87" s="13"/>
      <c r="AM87" s="13"/>
      <c r="AN87" s="13"/>
      <c r="AO87" s="13"/>
      <c r="AP87" s="13"/>
      <c r="AQ87" s="13"/>
      <c r="AR87" s="13"/>
    </row>
    <row r="88" spans="1:44" ht="15" customHeight="1">
      <c r="A88" s="114"/>
      <c r="B88" s="115"/>
      <c r="C88" s="185"/>
      <c r="D88" s="115"/>
      <c r="E88" s="116"/>
      <c r="F88" s="184"/>
      <c r="G88" s="116"/>
      <c r="H88" s="113"/>
      <c r="I88" s="116"/>
      <c r="J88" s="113"/>
      <c r="K88" s="116"/>
      <c r="L88" s="113"/>
      <c r="M88" s="116"/>
      <c r="N88" s="113"/>
      <c r="O88" s="116"/>
      <c r="P88" s="113"/>
      <c r="Q88" s="116"/>
      <c r="R88" s="113"/>
      <c r="S88" s="116"/>
      <c r="T88" s="113"/>
      <c r="U88" s="116"/>
      <c r="V88" s="113"/>
      <c r="W88" s="116"/>
      <c r="X88" s="113"/>
      <c r="Y88" s="116"/>
      <c r="Z88" s="113"/>
      <c r="AA88" s="116"/>
      <c r="AB88" s="113"/>
      <c r="AC88" s="13"/>
      <c r="AD88" s="13"/>
      <c r="AE88" s="13"/>
      <c r="AF88" s="13"/>
      <c r="AG88" s="13"/>
      <c r="AH88" s="13"/>
      <c r="AI88" s="13"/>
      <c r="AJ88" s="13"/>
      <c r="AK88" s="13"/>
      <c r="AL88" s="13"/>
      <c r="AM88" s="13"/>
      <c r="AN88" s="13"/>
      <c r="AO88" s="13"/>
      <c r="AP88" s="13"/>
      <c r="AQ88" s="13"/>
      <c r="AR88" s="13"/>
    </row>
    <row r="89" spans="1:44" ht="15" customHeight="1">
      <c r="A89" s="118"/>
      <c r="B89" s="119"/>
      <c r="C89" s="186"/>
      <c r="D89" s="121"/>
      <c r="E89" s="122"/>
      <c r="F89" s="121"/>
      <c r="G89" s="120"/>
      <c r="H89" s="121"/>
      <c r="I89" s="120"/>
      <c r="J89" s="121"/>
      <c r="K89" s="120"/>
      <c r="L89" s="121"/>
      <c r="M89" s="120"/>
      <c r="N89" s="121"/>
      <c r="O89" s="120"/>
      <c r="P89" s="121"/>
      <c r="Q89" s="120"/>
      <c r="R89" s="121"/>
      <c r="S89" s="120"/>
      <c r="T89" s="121"/>
      <c r="U89" s="120"/>
      <c r="V89" s="121"/>
      <c r="W89" s="120"/>
      <c r="X89" s="121"/>
      <c r="Y89" s="120"/>
      <c r="Z89" s="187"/>
      <c r="AA89" s="120"/>
      <c r="AB89" s="121"/>
      <c r="AC89" s="13"/>
      <c r="AD89" s="13"/>
      <c r="AE89" s="13"/>
      <c r="AF89" s="13"/>
      <c r="AG89" s="13"/>
      <c r="AH89" s="13"/>
      <c r="AI89" s="13"/>
      <c r="AJ89" s="13"/>
      <c r="AK89" s="13"/>
      <c r="AL89" s="13"/>
      <c r="AM89" s="13"/>
      <c r="AN89" s="13"/>
      <c r="AO89" s="13"/>
      <c r="AP89" s="13"/>
      <c r="AQ89" s="13"/>
      <c r="AR89" s="13"/>
    </row>
    <row r="90" spans="1:44" ht="15" customHeight="1">
      <c r="A90" s="124"/>
      <c r="B90" s="125"/>
      <c r="C90" s="188"/>
      <c r="D90" s="127"/>
      <c r="E90" s="126"/>
      <c r="F90" s="127"/>
      <c r="G90" s="126"/>
      <c r="H90" s="127"/>
      <c r="I90" s="126"/>
      <c r="J90" s="127"/>
      <c r="K90" s="126"/>
      <c r="L90" s="127"/>
      <c r="M90" s="126"/>
      <c r="N90" s="127"/>
      <c r="O90" s="126"/>
      <c r="P90" s="127"/>
      <c r="Q90" s="126"/>
      <c r="R90" s="127"/>
      <c r="S90" s="126"/>
      <c r="T90" s="127"/>
      <c r="U90" s="126"/>
      <c r="V90" s="127"/>
      <c r="W90" s="126"/>
      <c r="X90" s="127"/>
      <c r="Y90" s="126"/>
      <c r="Z90" s="189"/>
      <c r="AA90" s="126"/>
      <c r="AB90" s="127"/>
      <c r="AC90" s="13"/>
      <c r="AD90" s="13"/>
      <c r="AE90" s="13"/>
      <c r="AF90" s="13"/>
      <c r="AG90" s="13"/>
      <c r="AH90" s="13"/>
      <c r="AI90" s="13"/>
      <c r="AJ90" s="13"/>
      <c r="AK90" s="13"/>
      <c r="AL90" s="13"/>
      <c r="AM90" s="13"/>
      <c r="AN90" s="13"/>
      <c r="AO90" s="13"/>
      <c r="AP90" s="13"/>
      <c r="AQ90" s="13"/>
      <c r="AR90" s="13"/>
    </row>
    <row r="91" spans="1:44" ht="15" customHeight="1">
      <c r="A91" s="124"/>
      <c r="B91" s="125"/>
      <c r="C91" s="188"/>
      <c r="D91" s="127"/>
      <c r="E91" s="126"/>
      <c r="F91" s="127"/>
      <c r="G91" s="126"/>
      <c r="H91" s="127"/>
      <c r="I91" s="126"/>
      <c r="J91" s="127"/>
      <c r="K91" s="126"/>
      <c r="L91" s="127"/>
      <c r="M91" s="126"/>
      <c r="N91" s="127"/>
      <c r="O91" s="126"/>
      <c r="P91" s="127"/>
      <c r="Q91" s="126"/>
      <c r="R91" s="127"/>
      <c r="S91" s="126"/>
      <c r="T91" s="127"/>
      <c r="U91" s="126"/>
      <c r="V91" s="127"/>
      <c r="W91" s="126"/>
      <c r="X91" s="127"/>
      <c r="Y91" s="126"/>
      <c r="Z91" s="189"/>
      <c r="AA91" s="126"/>
      <c r="AB91" s="127"/>
      <c r="AC91" s="13"/>
      <c r="AD91" s="13"/>
      <c r="AE91" s="13"/>
      <c r="AF91" s="13"/>
      <c r="AG91" s="13"/>
      <c r="AH91" s="13"/>
      <c r="AI91" s="13"/>
      <c r="AJ91" s="13"/>
      <c r="AK91" s="13"/>
      <c r="AL91" s="13"/>
      <c r="AM91" s="13"/>
      <c r="AN91" s="13"/>
      <c r="AO91" s="13"/>
      <c r="AP91" s="13"/>
      <c r="AQ91" s="13"/>
      <c r="AR91" s="13"/>
    </row>
    <row r="92" spans="1:44" ht="15" customHeight="1">
      <c r="A92" s="124"/>
      <c r="B92" s="125"/>
      <c r="C92" s="188"/>
      <c r="D92" s="127"/>
      <c r="E92" s="126"/>
      <c r="F92" s="127"/>
      <c r="G92" s="126"/>
      <c r="H92" s="127"/>
      <c r="I92" s="126"/>
      <c r="J92" s="127"/>
      <c r="K92" s="126"/>
      <c r="L92" s="127"/>
      <c r="M92" s="126"/>
      <c r="N92" s="127"/>
      <c r="O92" s="126"/>
      <c r="P92" s="127"/>
      <c r="Q92" s="126"/>
      <c r="R92" s="127"/>
      <c r="S92" s="126"/>
      <c r="T92" s="127"/>
      <c r="U92" s="126"/>
      <c r="V92" s="127"/>
      <c r="W92" s="126"/>
      <c r="X92" s="127"/>
      <c r="Y92" s="126"/>
      <c r="Z92" s="189"/>
      <c r="AA92" s="126"/>
      <c r="AB92" s="127"/>
      <c r="AC92" s="13"/>
      <c r="AD92" s="13"/>
      <c r="AE92" s="13"/>
      <c r="AF92" s="13"/>
      <c r="AG92" s="13"/>
      <c r="AH92" s="13"/>
      <c r="AI92" s="13"/>
      <c r="AJ92" s="13"/>
      <c r="AK92" s="13"/>
      <c r="AL92" s="13"/>
      <c r="AM92" s="13"/>
      <c r="AN92" s="13"/>
      <c r="AO92" s="13"/>
      <c r="AP92" s="13"/>
      <c r="AQ92" s="13"/>
      <c r="AR92" s="13"/>
    </row>
    <row r="93" spans="1:44" ht="15" customHeight="1">
      <c r="A93" s="128"/>
      <c r="B93" s="129"/>
      <c r="C93" s="190"/>
      <c r="D93" s="131"/>
      <c r="E93" s="130"/>
      <c r="F93" s="131"/>
      <c r="G93" s="130"/>
      <c r="H93" s="131"/>
      <c r="I93" s="130"/>
      <c r="J93" s="131"/>
      <c r="K93" s="130"/>
      <c r="L93" s="131"/>
      <c r="M93" s="130"/>
      <c r="N93" s="131"/>
      <c r="O93" s="130"/>
      <c r="P93" s="131"/>
      <c r="Q93" s="130"/>
      <c r="R93" s="131"/>
      <c r="S93" s="130"/>
      <c r="T93" s="131"/>
      <c r="U93" s="130"/>
      <c r="V93" s="131"/>
      <c r="W93" s="130"/>
      <c r="X93" s="131"/>
      <c r="Y93" s="130"/>
      <c r="Z93" s="191"/>
      <c r="AA93" s="130"/>
      <c r="AB93" s="131"/>
      <c r="AC93" s="13"/>
      <c r="AD93" s="13"/>
      <c r="AE93" s="13"/>
      <c r="AF93" s="13"/>
      <c r="AG93" s="13"/>
      <c r="AH93" s="13"/>
      <c r="AI93" s="13"/>
      <c r="AJ93" s="13"/>
      <c r="AK93" s="13"/>
      <c r="AL93" s="13"/>
      <c r="AM93" s="13"/>
      <c r="AN93" s="13"/>
      <c r="AO93" s="13"/>
      <c r="AP93" s="13"/>
      <c r="AQ93" s="13"/>
      <c r="AR93" s="13"/>
    </row>
    <row r="94" spans="1:44" ht="15" customHeight="1">
      <c r="A94" s="192"/>
      <c r="B94" s="193"/>
      <c r="C94" s="194"/>
      <c r="D94" s="195"/>
      <c r="E94" s="196"/>
      <c r="F94" s="195"/>
      <c r="G94" s="196"/>
      <c r="H94" s="195"/>
      <c r="I94" s="196"/>
      <c r="J94" s="195"/>
      <c r="K94" s="196"/>
      <c r="L94" s="195"/>
      <c r="M94" s="196"/>
      <c r="N94" s="195"/>
      <c r="O94" s="196"/>
      <c r="P94" s="195"/>
      <c r="Q94" s="196"/>
      <c r="R94" s="195"/>
      <c r="S94" s="196"/>
      <c r="T94" s="195"/>
      <c r="U94" s="196"/>
      <c r="V94" s="195"/>
      <c r="W94" s="196"/>
      <c r="X94" s="195"/>
      <c r="Y94" s="196"/>
      <c r="Z94" s="197"/>
      <c r="AA94" s="196"/>
      <c r="AB94" s="195"/>
      <c r="AC94" s="13"/>
      <c r="AD94" s="13"/>
      <c r="AE94" s="13"/>
      <c r="AF94" s="13"/>
      <c r="AG94" s="13"/>
      <c r="AH94" s="13"/>
      <c r="AI94" s="13"/>
      <c r="AJ94" s="13"/>
      <c r="AK94" s="13"/>
      <c r="AL94" s="13"/>
      <c r="AM94" s="13"/>
      <c r="AN94" s="13"/>
      <c r="AO94" s="13"/>
      <c r="AP94" s="13"/>
      <c r="AQ94" s="13"/>
      <c r="AR94" s="13"/>
    </row>
    <row r="95" spans="1:44" ht="15" customHeight="1">
      <c r="A95" s="653" t="s">
        <v>93</v>
      </c>
      <c r="B95" s="653"/>
      <c r="C95" s="176"/>
      <c r="D95" s="141">
        <f>SUM(D82:D94)</f>
        <v>386897</v>
      </c>
      <c r="E95" s="140"/>
      <c r="F95" s="141">
        <f>SUM(F82:F94)</f>
        <v>22275</v>
      </c>
      <c r="G95" s="140"/>
      <c r="H95" s="141">
        <f>SUM(H82:H94)</f>
        <v>23733</v>
      </c>
      <c r="I95" s="140"/>
      <c r="J95" s="141">
        <f>SUM(J82:J94)</f>
        <v>25634</v>
      </c>
      <c r="K95" s="140"/>
      <c r="L95" s="141">
        <f>SUM(L82:L94)</f>
        <v>27255</v>
      </c>
      <c r="M95" s="140"/>
      <c r="N95" s="141">
        <f>SUM(N82:N94)</f>
        <v>29061</v>
      </c>
      <c r="O95" s="140"/>
      <c r="P95" s="141">
        <f>SUM(P82:P94)</f>
        <v>30747</v>
      </c>
      <c r="Q95" s="140"/>
      <c r="R95" s="141">
        <f>SUM(R82:R94)</f>
        <v>32618</v>
      </c>
      <c r="S95" s="140"/>
      <c r="T95" s="141">
        <f>SUM(T82:T94)</f>
        <v>34369</v>
      </c>
      <c r="U95" s="140"/>
      <c r="V95" s="141">
        <f>SUM(V82:V94)</f>
        <v>37003</v>
      </c>
      <c r="W95" s="140"/>
      <c r="X95" s="141">
        <f>SUM(X82:X94)</f>
        <v>39027</v>
      </c>
      <c r="Y95" s="140"/>
      <c r="Z95" s="141">
        <f>SUM(Z82:Z94)</f>
        <v>41494</v>
      </c>
      <c r="AA95" s="140"/>
      <c r="AB95" s="141">
        <f>SUM(AB82:AB94)</f>
        <v>43681</v>
      </c>
      <c r="AC95" s="13"/>
      <c r="AD95" s="13"/>
      <c r="AE95" s="13"/>
      <c r="AF95" s="13"/>
      <c r="AG95" s="13"/>
      <c r="AH95" s="13"/>
      <c r="AI95" s="13"/>
      <c r="AJ95" s="13"/>
      <c r="AK95" s="13"/>
      <c r="AL95" s="13"/>
      <c r="AM95" s="13"/>
      <c r="AN95" s="13"/>
      <c r="AO95" s="13"/>
      <c r="AP95" s="13"/>
      <c r="AQ95" s="13"/>
      <c r="AR95" s="13"/>
    </row>
    <row r="96" spans="1:44" ht="15" customHeight="1">
      <c r="A96" s="654"/>
      <c r="B96" s="654"/>
      <c r="C96" s="143">
        <f>C82</f>
        <v>88</v>
      </c>
      <c r="D96" s="146"/>
      <c r="E96" s="145">
        <f>E82</f>
        <v>6</v>
      </c>
      <c r="F96" s="146"/>
      <c r="G96" s="145">
        <f>G82</f>
        <v>6</v>
      </c>
      <c r="H96" s="146"/>
      <c r="I96" s="145">
        <f>I82</f>
        <v>7</v>
      </c>
      <c r="J96" s="146"/>
      <c r="K96" s="145">
        <f>K82</f>
        <v>7</v>
      </c>
      <c r="L96" s="146"/>
      <c r="M96" s="145">
        <f>M82</f>
        <v>7</v>
      </c>
      <c r="N96" s="146"/>
      <c r="O96" s="145">
        <f>O82</f>
        <v>7</v>
      </c>
      <c r="P96" s="146"/>
      <c r="Q96" s="145">
        <f>Q82</f>
        <v>7</v>
      </c>
      <c r="R96" s="146"/>
      <c r="S96" s="145">
        <f>S82</f>
        <v>7</v>
      </c>
      <c r="T96" s="146"/>
      <c r="U96" s="145">
        <f>U82</f>
        <v>8</v>
      </c>
      <c r="V96" s="146"/>
      <c r="W96" s="145">
        <f>W82</f>
        <v>8</v>
      </c>
      <c r="X96" s="146"/>
      <c r="Y96" s="145">
        <f>Y82</f>
        <v>9</v>
      </c>
      <c r="Z96" s="146"/>
      <c r="AA96" s="145">
        <f>AA82</f>
        <v>9</v>
      </c>
      <c r="AB96" s="144"/>
      <c r="AC96" s="13"/>
      <c r="AD96" s="13"/>
      <c r="AE96" s="13"/>
      <c r="AF96" s="13"/>
      <c r="AG96" s="13"/>
      <c r="AH96" s="13"/>
      <c r="AI96" s="13"/>
      <c r="AJ96" s="13"/>
      <c r="AK96" s="13"/>
      <c r="AL96" s="13"/>
      <c r="AM96" s="13"/>
      <c r="AN96" s="13"/>
      <c r="AO96" s="13"/>
      <c r="AP96" s="13"/>
      <c r="AQ96" s="13"/>
      <c r="AR96" s="13"/>
    </row>
    <row r="97" spans="1:44" ht="15" customHeight="1">
      <c r="A97" s="619"/>
      <c r="B97" s="619"/>
      <c r="C97" s="147">
        <f>C83</f>
        <v>210</v>
      </c>
      <c r="D97" s="150"/>
      <c r="E97" s="149">
        <f>E83</f>
        <v>14</v>
      </c>
      <c r="F97" s="150"/>
      <c r="G97" s="149">
        <f>G83</f>
        <v>14</v>
      </c>
      <c r="H97" s="150"/>
      <c r="I97" s="149">
        <f>I83</f>
        <v>16</v>
      </c>
      <c r="J97" s="150"/>
      <c r="K97" s="149">
        <f>K83</f>
        <v>16</v>
      </c>
      <c r="L97" s="150"/>
      <c r="M97" s="149">
        <f>M83</f>
        <v>17</v>
      </c>
      <c r="N97" s="150"/>
      <c r="O97" s="149">
        <f>O83</f>
        <v>17</v>
      </c>
      <c r="P97" s="150"/>
      <c r="Q97" s="149">
        <f>Q83</f>
        <v>18</v>
      </c>
      <c r="R97" s="150"/>
      <c r="S97" s="149">
        <f>S83</f>
        <v>18</v>
      </c>
      <c r="T97" s="150"/>
      <c r="U97" s="149">
        <f>U83</f>
        <v>19</v>
      </c>
      <c r="V97" s="150"/>
      <c r="W97" s="149">
        <f>W83</f>
        <v>19</v>
      </c>
      <c r="X97" s="150"/>
      <c r="Y97" s="149">
        <f>Y83</f>
        <v>21</v>
      </c>
      <c r="Z97" s="150"/>
      <c r="AA97" s="149">
        <f>AA83</f>
        <v>21</v>
      </c>
      <c r="AB97" s="148"/>
      <c r="AC97" s="13"/>
      <c r="AD97" s="13"/>
      <c r="AE97" s="13"/>
      <c r="AF97" s="13"/>
      <c r="AG97" s="13"/>
      <c r="AH97" s="13"/>
      <c r="AI97" s="13"/>
      <c r="AJ97" s="13"/>
      <c r="AK97" s="13"/>
      <c r="AL97" s="13"/>
      <c r="AM97" s="13"/>
      <c r="AN97" s="13"/>
      <c r="AO97" s="13"/>
      <c r="AP97" s="13"/>
      <c r="AQ97" s="13"/>
      <c r="AR97" s="13"/>
    </row>
    <row r="98" spans="1:44" ht="15" customHeight="1">
      <c r="A98" s="620"/>
      <c r="B98" s="620"/>
      <c r="C98" s="151">
        <f>C84</f>
        <v>28</v>
      </c>
      <c r="D98" s="154"/>
      <c r="E98" s="153">
        <f>E84</f>
        <v>2</v>
      </c>
      <c r="F98" s="154"/>
      <c r="G98" s="153">
        <f>G84</f>
        <v>2</v>
      </c>
      <c r="H98" s="154"/>
      <c r="I98" s="153">
        <f>I84</f>
        <v>2</v>
      </c>
      <c r="J98" s="154"/>
      <c r="K98" s="153">
        <f>K84</f>
        <v>2</v>
      </c>
      <c r="L98" s="154"/>
      <c r="M98" s="153">
        <f>M84</f>
        <v>2</v>
      </c>
      <c r="N98" s="154"/>
      <c r="O98" s="153">
        <f>O84</f>
        <v>2</v>
      </c>
      <c r="P98" s="154"/>
      <c r="Q98" s="153">
        <f>Q84</f>
        <v>2</v>
      </c>
      <c r="R98" s="154"/>
      <c r="S98" s="153">
        <f>S84</f>
        <v>2</v>
      </c>
      <c r="T98" s="154"/>
      <c r="U98" s="153">
        <f>U84</f>
        <v>3</v>
      </c>
      <c r="V98" s="154"/>
      <c r="W98" s="153">
        <f>W84</f>
        <v>3</v>
      </c>
      <c r="X98" s="154"/>
      <c r="Y98" s="153">
        <f>Y84</f>
        <v>3</v>
      </c>
      <c r="Z98" s="154"/>
      <c r="AA98" s="153">
        <f>AA84</f>
        <v>3</v>
      </c>
      <c r="AB98" s="152"/>
      <c r="AC98" s="13"/>
      <c r="AD98" s="13"/>
      <c r="AE98" s="13"/>
      <c r="AF98" s="13"/>
      <c r="AG98" s="13"/>
      <c r="AH98" s="13"/>
      <c r="AI98" s="13"/>
      <c r="AJ98" s="13"/>
      <c r="AK98" s="13"/>
      <c r="AL98" s="13"/>
      <c r="AM98" s="13"/>
      <c r="AN98" s="13"/>
      <c r="AO98" s="13"/>
      <c r="AP98" s="13"/>
      <c r="AQ98" s="13"/>
      <c r="AR98" s="13"/>
    </row>
    <row r="99" spans="1:44" ht="15" customHeight="1">
      <c r="A99" s="655"/>
      <c r="B99" s="655"/>
      <c r="C99" s="198">
        <f>SUM(C85:C88)</f>
        <v>5229</v>
      </c>
      <c r="D99" s="156"/>
      <c r="E99" s="157">
        <f>SUM(E85:E88)</f>
        <v>293</v>
      </c>
      <c r="F99" s="158"/>
      <c r="G99" s="157">
        <f>SUM(G85:G88)</f>
        <v>315</v>
      </c>
      <c r="H99" s="158"/>
      <c r="I99" s="157">
        <f>SUM(I85:I88)</f>
        <v>340</v>
      </c>
      <c r="J99" s="158"/>
      <c r="K99" s="157">
        <f>SUM(K85:K88)</f>
        <v>365</v>
      </c>
      <c r="L99" s="158"/>
      <c r="M99" s="157">
        <f>SUM(M85:M88)</f>
        <v>391</v>
      </c>
      <c r="N99" s="158"/>
      <c r="O99" s="157">
        <f>SUM(O85:O88)</f>
        <v>417</v>
      </c>
      <c r="P99" s="158"/>
      <c r="Q99" s="157">
        <f>SUM(Q85:Q88)</f>
        <v>444</v>
      </c>
      <c r="R99" s="158"/>
      <c r="S99" s="157">
        <f>SUM(S85:S88)</f>
        <v>471</v>
      </c>
      <c r="T99" s="158"/>
      <c r="U99" s="157">
        <f>SUM(U85:U88)</f>
        <v>501</v>
      </c>
      <c r="V99" s="158"/>
      <c r="W99" s="157">
        <f>SUM(W85:W88)</f>
        <v>531</v>
      </c>
      <c r="X99" s="158"/>
      <c r="Y99" s="157">
        <f>SUM(Y85:Y88)</f>
        <v>564</v>
      </c>
      <c r="Z99" s="158"/>
      <c r="AA99" s="157">
        <f>SUM(AA85:AA88)</f>
        <v>597</v>
      </c>
      <c r="AB99" s="159"/>
      <c r="AC99" s="13"/>
      <c r="AD99" s="13"/>
      <c r="AE99" s="13"/>
      <c r="AF99" s="13"/>
      <c r="AG99" s="13"/>
      <c r="AH99" s="13"/>
      <c r="AI99" s="13"/>
      <c r="AJ99" s="13"/>
      <c r="AK99" s="13"/>
      <c r="AL99" s="13"/>
      <c r="AM99" s="13"/>
      <c r="AN99" s="13"/>
      <c r="AO99" s="13"/>
      <c r="AP99" s="13"/>
      <c r="AQ99" s="13"/>
      <c r="AR99" s="13"/>
    </row>
    <row r="100" spans="1:44" ht="15" customHeight="1">
      <c r="A100" s="656"/>
      <c r="B100" s="656"/>
      <c r="C100" s="199">
        <f>SUM(C89:C93)</f>
        <v>0</v>
      </c>
      <c r="D100" s="200"/>
      <c r="E100" s="162">
        <f>SUM(E89:E93)</f>
        <v>0</v>
      </c>
      <c r="F100" s="163"/>
      <c r="G100" s="162">
        <f>SUM(G89:G93)</f>
        <v>0</v>
      </c>
      <c r="H100" s="163"/>
      <c r="I100" s="162">
        <f>SUM(I89:I93)</f>
        <v>0</v>
      </c>
      <c r="J100" s="163"/>
      <c r="K100" s="162">
        <f>SUM(K89:K93)</f>
        <v>0</v>
      </c>
      <c r="L100" s="163"/>
      <c r="M100" s="162">
        <f>SUM(M89:M93)</f>
        <v>0</v>
      </c>
      <c r="N100" s="163"/>
      <c r="O100" s="162">
        <f>SUM(O89:O93)</f>
        <v>0</v>
      </c>
      <c r="P100" s="163"/>
      <c r="Q100" s="162">
        <f>SUM(Q89:Q93)</f>
        <v>0</v>
      </c>
      <c r="R100" s="163"/>
      <c r="S100" s="162">
        <f>SUM(S89:S93)</f>
        <v>0</v>
      </c>
      <c r="T100" s="163"/>
      <c r="U100" s="162">
        <f>SUM(U89:U93)</f>
        <v>0</v>
      </c>
      <c r="V100" s="163"/>
      <c r="W100" s="162">
        <f>SUM(W89:W93)</f>
        <v>0</v>
      </c>
      <c r="X100" s="163"/>
      <c r="Y100" s="162">
        <f>SUM(Y89:Y93)</f>
        <v>0</v>
      </c>
      <c r="Z100" s="163"/>
      <c r="AA100" s="162">
        <f>SUM(AA89:AA93)</f>
        <v>0</v>
      </c>
      <c r="AB100" s="164"/>
      <c r="AC100" s="13"/>
      <c r="AD100" s="13"/>
      <c r="AE100" s="13"/>
      <c r="AF100" s="13"/>
      <c r="AG100" s="13"/>
      <c r="AH100" s="13"/>
      <c r="AI100" s="13"/>
      <c r="AJ100" s="13"/>
      <c r="AK100" s="13"/>
      <c r="AL100" s="13"/>
      <c r="AM100" s="13"/>
      <c r="AN100" s="13"/>
      <c r="AO100" s="13"/>
      <c r="AP100" s="13"/>
      <c r="AQ100" s="13"/>
      <c r="AR100" s="13"/>
    </row>
    <row r="101" spans="1:44" ht="15" customHeight="1">
      <c r="A101" s="657"/>
      <c r="B101" s="657"/>
      <c r="C101" s="165">
        <f>C94</f>
        <v>0</v>
      </c>
      <c r="D101" s="201"/>
      <c r="E101" s="167">
        <f>E94</f>
        <v>0</v>
      </c>
      <c r="F101" s="168"/>
      <c r="G101" s="167">
        <f>G94</f>
        <v>0</v>
      </c>
      <c r="H101" s="168"/>
      <c r="I101" s="167">
        <f>I94</f>
        <v>0</v>
      </c>
      <c r="J101" s="168"/>
      <c r="K101" s="167">
        <f>K94</f>
        <v>0</v>
      </c>
      <c r="L101" s="168"/>
      <c r="M101" s="167">
        <f>M94</f>
        <v>0</v>
      </c>
      <c r="N101" s="168"/>
      <c r="O101" s="167">
        <f>O94</f>
        <v>0</v>
      </c>
      <c r="P101" s="168"/>
      <c r="Q101" s="167">
        <f>Q94</f>
        <v>0</v>
      </c>
      <c r="R101" s="168"/>
      <c r="S101" s="167">
        <f>S94</f>
        <v>0</v>
      </c>
      <c r="T101" s="168"/>
      <c r="U101" s="167">
        <f>U94</f>
        <v>0</v>
      </c>
      <c r="V101" s="168"/>
      <c r="W101" s="167">
        <f>W94</f>
        <v>0</v>
      </c>
      <c r="X101" s="168"/>
      <c r="Y101" s="167">
        <f>Y94</f>
        <v>0</v>
      </c>
      <c r="Z101" s="168"/>
      <c r="AA101" s="167">
        <f>AA94</f>
        <v>0</v>
      </c>
      <c r="AB101" s="169"/>
      <c r="AC101" s="13"/>
      <c r="AD101" s="13"/>
      <c r="AE101" s="13"/>
      <c r="AF101" s="13"/>
      <c r="AG101" s="13"/>
      <c r="AH101" s="13"/>
      <c r="AI101" s="13"/>
      <c r="AJ101" s="13"/>
      <c r="AK101" s="13"/>
      <c r="AL101" s="13"/>
      <c r="AM101" s="13"/>
      <c r="AN101" s="13"/>
      <c r="AO101" s="13"/>
      <c r="AP101" s="13"/>
      <c r="AQ101" s="13"/>
      <c r="AR101" s="13"/>
    </row>
    <row r="102" spans="1:44" ht="14.25" customHeight="1">
      <c r="A102" s="13"/>
      <c r="B102" s="13"/>
      <c r="C102" s="13"/>
      <c r="D102" s="170"/>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25.5" customHeight="1">
      <c r="A103" s="611" t="s">
        <v>126</v>
      </c>
      <c r="B103" s="611"/>
      <c r="C103" s="611"/>
      <c r="D103" s="611"/>
      <c r="E103" s="611"/>
      <c r="F103" s="611"/>
      <c r="G103" s="611"/>
      <c r="H103" s="611"/>
      <c r="I103" s="611"/>
      <c r="J103" s="611"/>
      <c r="K103" s="611"/>
      <c r="L103" s="611"/>
      <c r="M103" s="611"/>
      <c r="N103" s="611"/>
      <c r="O103" s="611"/>
      <c r="P103" s="611"/>
      <c r="Q103" s="611"/>
      <c r="R103" s="611"/>
      <c r="S103" s="611"/>
      <c r="T103" s="611"/>
      <c r="U103" s="611"/>
      <c r="V103" s="611"/>
      <c r="W103" s="611"/>
      <c r="X103" s="611"/>
      <c r="Y103" s="611"/>
      <c r="Z103" s="611"/>
      <c r="AA103" s="611"/>
      <c r="AB103" s="611"/>
      <c r="AC103" s="13"/>
      <c r="AD103" s="13"/>
      <c r="AE103" s="13"/>
      <c r="AF103" s="13"/>
      <c r="AG103" s="13"/>
      <c r="AH103" s="13"/>
      <c r="AI103" s="13"/>
      <c r="AJ103" s="13"/>
      <c r="AK103" s="13"/>
      <c r="AL103" s="13"/>
      <c r="AM103" s="13"/>
      <c r="AN103" s="13"/>
      <c r="AO103" s="13"/>
      <c r="AP103" s="13"/>
      <c r="AQ103" s="13"/>
      <c r="AR103" s="13"/>
    </row>
    <row r="104" spans="1:44" ht="25.5" customHeight="1">
      <c r="A104" s="172" t="s">
        <v>95</v>
      </c>
      <c r="B104" s="624" t="s">
        <v>127</v>
      </c>
      <c r="C104" s="624"/>
      <c r="D104" s="624"/>
      <c r="E104" s="624"/>
      <c r="F104" s="624"/>
      <c r="G104" s="624"/>
      <c r="H104" s="624"/>
      <c r="I104" s="624"/>
      <c r="J104" s="624"/>
      <c r="K104" s="624"/>
      <c r="L104" s="624"/>
      <c r="M104" s="624"/>
      <c r="N104" s="624"/>
      <c r="O104" s="624"/>
      <c r="P104" s="624"/>
      <c r="Q104" s="624"/>
      <c r="R104" s="624"/>
      <c r="S104" s="624"/>
      <c r="T104" s="624"/>
      <c r="U104" s="624"/>
      <c r="V104" s="624"/>
      <c r="W104" s="624"/>
      <c r="X104" s="624"/>
      <c r="Y104" s="624"/>
      <c r="Z104" s="624"/>
      <c r="AA104" s="624"/>
      <c r="AB104" s="624"/>
      <c r="AC104" s="13"/>
      <c r="AD104" s="13"/>
      <c r="AE104" s="13"/>
      <c r="AF104" s="13"/>
      <c r="AG104" s="13"/>
      <c r="AH104" s="13"/>
      <c r="AI104" s="13"/>
      <c r="AJ104" s="13"/>
      <c r="AK104" s="13"/>
      <c r="AL104" s="13"/>
      <c r="AM104" s="13"/>
      <c r="AN104" s="13"/>
      <c r="AO104" s="13"/>
      <c r="AP104" s="13"/>
      <c r="AQ104" s="13"/>
      <c r="AR104" s="13"/>
    </row>
    <row r="105" spans="1:44" ht="21" customHeight="1">
      <c r="A105" s="658"/>
      <c r="B105" s="658"/>
      <c r="C105" s="659" t="s">
        <v>97</v>
      </c>
      <c r="D105" s="659"/>
      <c r="E105" s="627" t="s">
        <v>80</v>
      </c>
      <c r="F105" s="627"/>
      <c r="G105" s="628" t="s">
        <v>81</v>
      </c>
      <c r="H105" s="628"/>
      <c r="I105" s="628" t="s">
        <v>82</v>
      </c>
      <c r="J105" s="628"/>
      <c r="K105" s="628" t="s">
        <v>83</v>
      </c>
      <c r="L105" s="628"/>
      <c r="M105" s="628" t="s">
        <v>84</v>
      </c>
      <c r="N105" s="628"/>
      <c r="O105" s="628" t="s">
        <v>85</v>
      </c>
      <c r="P105" s="628"/>
      <c r="Q105" s="628" t="s">
        <v>86</v>
      </c>
      <c r="R105" s="628"/>
      <c r="S105" s="628" t="s">
        <v>87</v>
      </c>
      <c r="T105" s="628"/>
      <c r="U105" s="628" t="s">
        <v>88</v>
      </c>
      <c r="V105" s="628"/>
      <c r="W105" s="628" t="s">
        <v>89</v>
      </c>
      <c r="X105" s="628"/>
      <c r="Y105" s="628" t="s">
        <v>90</v>
      </c>
      <c r="Z105" s="628"/>
      <c r="AA105" s="628" t="s">
        <v>91</v>
      </c>
      <c r="AB105" s="628"/>
      <c r="AC105" s="13"/>
      <c r="AD105" s="13"/>
      <c r="AE105" s="13"/>
      <c r="AF105" s="13"/>
      <c r="AG105" s="13"/>
      <c r="AH105" s="13"/>
      <c r="AI105" s="13"/>
      <c r="AJ105" s="13"/>
      <c r="AK105" s="13"/>
      <c r="AL105" s="13"/>
      <c r="AM105" s="13"/>
      <c r="AN105" s="13"/>
      <c r="AO105" s="13"/>
      <c r="AP105" s="13"/>
      <c r="AQ105" s="13"/>
      <c r="AR105" s="13"/>
    </row>
    <row r="106" spans="1:44" ht="14.25" customHeight="1">
      <c r="A106" s="629" t="s">
        <v>100</v>
      </c>
      <c r="B106" s="629"/>
      <c r="C106" s="630" t="s">
        <v>101</v>
      </c>
      <c r="D106" s="630"/>
      <c r="E106" s="642" t="s">
        <v>102</v>
      </c>
      <c r="F106" s="642"/>
      <c r="G106" s="642" t="s">
        <v>102</v>
      </c>
      <c r="H106" s="642"/>
      <c r="I106" s="642" t="s">
        <v>102</v>
      </c>
      <c r="J106" s="642"/>
      <c r="K106" s="642" t="s">
        <v>102</v>
      </c>
      <c r="L106" s="642"/>
      <c r="M106" s="642" t="s">
        <v>102</v>
      </c>
      <c r="N106" s="642"/>
      <c r="O106" s="642" t="s">
        <v>102</v>
      </c>
      <c r="P106" s="642"/>
      <c r="Q106" s="642" t="s">
        <v>102</v>
      </c>
      <c r="R106" s="642"/>
      <c r="S106" s="642" t="s">
        <v>102</v>
      </c>
      <c r="T106" s="642"/>
      <c r="U106" s="642" t="s">
        <v>102</v>
      </c>
      <c r="V106" s="642"/>
      <c r="W106" s="642" t="s">
        <v>102</v>
      </c>
      <c r="X106" s="642"/>
      <c r="Y106" s="642" t="s">
        <v>102</v>
      </c>
      <c r="Z106" s="642"/>
      <c r="AA106" s="642" t="s">
        <v>102</v>
      </c>
      <c r="AB106" s="642"/>
      <c r="AC106" s="13"/>
      <c r="AD106" s="13"/>
      <c r="AE106" s="13"/>
      <c r="AF106" s="13"/>
      <c r="AG106" s="13"/>
      <c r="AH106" s="13"/>
      <c r="AI106" s="13"/>
      <c r="AJ106" s="13"/>
      <c r="AK106" s="13"/>
      <c r="AL106" s="13"/>
      <c r="AM106" s="13"/>
      <c r="AN106" s="13"/>
      <c r="AO106" s="13"/>
      <c r="AP106" s="13"/>
      <c r="AQ106" s="13"/>
      <c r="AR106" s="13"/>
    </row>
    <row r="107" spans="1:44" ht="14.25" customHeight="1">
      <c r="A107" s="629"/>
      <c r="B107" s="629"/>
      <c r="C107" s="634" t="s">
        <v>103</v>
      </c>
      <c r="D107" s="634"/>
      <c r="E107" s="635" t="s">
        <v>102</v>
      </c>
      <c r="F107" s="635"/>
      <c r="G107" s="643" t="s">
        <v>102</v>
      </c>
      <c r="H107" s="643"/>
      <c r="I107" s="643" t="s">
        <v>102</v>
      </c>
      <c r="J107" s="643"/>
      <c r="K107" s="643" t="s">
        <v>102</v>
      </c>
      <c r="L107" s="643"/>
      <c r="M107" s="643" t="s">
        <v>102</v>
      </c>
      <c r="N107" s="643"/>
      <c r="O107" s="643" t="s">
        <v>102</v>
      </c>
      <c r="P107" s="643"/>
      <c r="Q107" s="643" t="s">
        <v>102</v>
      </c>
      <c r="R107" s="643"/>
      <c r="S107" s="643" t="s">
        <v>102</v>
      </c>
      <c r="T107" s="643"/>
      <c r="U107" s="643" t="s">
        <v>102</v>
      </c>
      <c r="V107" s="643"/>
      <c r="W107" s="643" t="s">
        <v>102</v>
      </c>
      <c r="X107" s="643"/>
      <c r="Y107" s="643" t="s">
        <v>102</v>
      </c>
      <c r="Z107" s="643"/>
      <c r="AA107" s="643" t="s">
        <v>102</v>
      </c>
      <c r="AB107" s="643"/>
      <c r="AC107" s="13"/>
      <c r="AD107" s="13"/>
      <c r="AE107" s="13"/>
      <c r="AF107" s="13"/>
      <c r="AG107" s="13"/>
      <c r="AH107" s="13"/>
      <c r="AI107" s="13"/>
      <c r="AJ107" s="13"/>
      <c r="AK107" s="13"/>
      <c r="AL107" s="13"/>
      <c r="AM107" s="13"/>
      <c r="AN107" s="13"/>
      <c r="AO107" s="13"/>
      <c r="AP107" s="13"/>
      <c r="AQ107" s="13"/>
      <c r="AR107" s="13"/>
    </row>
    <row r="108" spans="1:44" ht="14.25" customHeight="1">
      <c r="A108" s="629"/>
      <c r="B108" s="629"/>
      <c r="C108" s="634" t="s">
        <v>104</v>
      </c>
      <c r="D108" s="634"/>
      <c r="E108" s="643" t="s">
        <v>102</v>
      </c>
      <c r="F108" s="643"/>
      <c r="G108" s="643" t="s">
        <v>102</v>
      </c>
      <c r="H108" s="643"/>
      <c r="I108" s="643" t="s">
        <v>102</v>
      </c>
      <c r="J108" s="643"/>
      <c r="K108" s="643" t="s">
        <v>102</v>
      </c>
      <c r="L108" s="643"/>
      <c r="M108" s="643" t="s">
        <v>102</v>
      </c>
      <c r="N108" s="643"/>
      <c r="O108" s="643" t="s">
        <v>102</v>
      </c>
      <c r="P108" s="643"/>
      <c r="Q108" s="643" t="s">
        <v>102</v>
      </c>
      <c r="R108" s="643"/>
      <c r="S108" s="643" t="s">
        <v>102</v>
      </c>
      <c r="T108" s="643"/>
      <c r="U108" s="643" t="s">
        <v>102</v>
      </c>
      <c r="V108" s="643"/>
      <c r="W108" s="643" t="s">
        <v>102</v>
      </c>
      <c r="X108" s="643"/>
      <c r="Y108" s="643" t="s">
        <v>102</v>
      </c>
      <c r="Z108" s="643"/>
      <c r="AA108" s="643" t="s">
        <v>102</v>
      </c>
      <c r="AB108" s="643"/>
      <c r="AC108" s="13"/>
      <c r="AD108" s="13"/>
      <c r="AE108" s="13"/>
      <c r="AF108" s="13"/>
      <c r="AG108" s="13"/>
      <c r="AH108" s="13"/>
      <c r="AI108" s="13"/>
      <c r="AJ108" s="13"/>
      <c r="AK108" s="13"/>
      <c r="AL108" s="13"/>
      <c r="AM108" s="13"/>
      <c r="AN108" s="13"/>
      <c r="AO108" s="13"/>
      <c r="AP108" s="13"/>
      <c r="AQ108" s="13"/>
      <c r="AR108" s="13"/>
    </row>
    <row r="109" spans="1:44" ht="14.25" customHeight="1">
      <c r="A109" s="629"/>
      <c r="B109" s="629"/>
      <c r="C109" s="634" t="s">
        <v>106</v>
      </c>
      <c r="D109" s="634"/>
      <c r="E109" s="643" t="s">
        <v>102</v>
      </c>
      <c r="F109" s="643"/>
      <c r="G109" s="643" t="s">
        <v>102</v>
      </c>
      <c r="H109" s="643"/>
      <c r="I109" s="643" t="s">
        <v>102</v>
      </c>
      <c r="J109" s="643"/>
      <c r="K109" s="643" t="s">
        <v>102</v>
      </c>
      <c r="L109" s="643"/>
      <c r="M109" s="643" t="s">
        <v>102</v>
      </c>
      <c r="N109" s="643"/>
      <c r="O109" s="643" t="s">
        <v>102</v>
      </c>
      <c r="P109" s="643"/>
      <c r="Q109" s="643" t="s">
        <v>102</v>
      </c>
      <c r="R109" s="643"/>
      <c r="S109" s="643" t="s">
        <v>102</v>
      </c>
      <c r="T109" s="643"/>
      <c r="U109" s="643" t="s">
        <v>102</v>
      </c>
      <c r="V109" s="643"/>
      <c r="W109" s="643" t="s">
        <v>102</v>
      </c>
      <c r="X109" s="643"/>
      <c r="Y109" s="643" t="s">
        <v>102</v>
      </c>
      <c r="Z109" s="643"/>
      <c r="AA109" s="643" t="s">
        <v>102</v>
      </c>
      <c r="AB109" s="643"/>
      <c r="AC109" s="13"/>
      <c r="AD109" s="13"/>
      <c r="AE109" s="13"/>
      <c r="AF109" s="13"/>
      <c r="AG109" s="13"/>
      <c r="AH109" s="13"/>
      <c r="AI109" s="13"/>
      <c r="AJ109" s="13"/>
      <c r="AK109" s="13"/>
      <c r="AL109" s="13"/>
      <c r="AM109" s="13"/>
      <c r="AN109" s="13"/>
      <c r="AO109" s="13"/>
      <c r="AP109" s="13"/>
      <c r="AQ109" s="13"/>
      <c r="AR109" s="13"/>
    </row>
    <row r="110" spans="1:44" ht="14.25" customHeight="1">
      <c r="A110" s="629"/>
      <c r="B110" s="629"/>
      <c r="C110" s="634" t="s">
        <v>108</v>
      </c>
      <c r="D110" s="634"/>
      <c r="E110" s="648" t="s">
        <v>102</v>
      </c>
      <c r="F110" s="648"/>
      <c r="G110" s="643" t="s">
        <v>102</v>
      </c>
      <c r="H110" s="643"/>
      <c r="I110" s="643" t="s">
        <v>102</v>
      </c>
      <c r="J110" s="643"/>
      <c r="K110" s="643" t="s">
        <v>102</v>
      </c>
      <c r="L110" s="643"/>
      <c r="M110" s="643" t="s">
        <v>102</v>
      </c>
      <c r="N110" s="643"/>
      <c r="O110" s="643" t="s">
        <v>102</v>
      </c>
      <c r="P110" s="643"/>
      <c r="Q110" s="643" t="s">
        <v>102</v>
      </c>
      <c r="R110" s="643"/>
      <c r="S110" s="643" t="s">
        <v>102</v>
      </c>
      <c r="T110" s="643"/>
      <c r="U110" s="643" t="s">
        <v>102</v>
      </c>
      <c r="V110" s="643"/>
      <c r="W110" s="643" t="s">
        <v>102</v>
      </c>
      <c r="X110" s="643"/>
      <c r="Y110" s="643" t="s">
        <v>102</v>
      </c>
      <c r="Z110" s="643"/>
      <c r="AA110" s="643" t="s">
        <v>102</v>
      </c>
      <c r="AB110" s="643"/>
      <c r="AC110" s="13"/>
      <c r="AD110" s="13"/>
      <c r="AE110" s="13"/>
      <c r="AF110" s="13"/>
      <c r="AG110" s="13"/>
      <c r="AH110" s="13"/>
      <c r="AI110" s="13"/>
      <c r="AJ110" s="13"/>
      <c r="AK110" s="13"/>
      <c r="AL110" s="13"/>
      <c r="AM110" s="13"/>
      <c r="AN110" s="13"/>
      <c r="AO110" s="13"/>
      <c r="AP110" s="13"/>
      <c r="AQ110" s="13"/>
      <c r="AR110" s="13"/>
    </row>
    <row r="111" spans="1:44" ht="14.25" customHeight="1">
      <c r="A111" s="629"/>
      <c r="B111" s="629"/>
      <c r="C111" s="634"/>
      <c r="D111" s="634"/>
      <c r="E111" s="643"/>
      <c r="F111" s="643"/>
      <c r="G111" s="643"/>
      <c r="H111" s="643"/>
      <c r="I111" s="648"/>
      <c r="J111" s="648"/>
      <c r="K111" s="643"/>
      <c r="L111" s="643"/>
      <c r="M111" s="643"/>
      <c r="N111" s="643"/>
      <c r="O111" s="643"/>
      <c r="P111" s="643"/>
      <c r="Q111" s="643"/>
      <c r="R111" s="643"/>
      <c r="S111" s="643"/>
      <c r="T111" s="643"/>
      <c r="U111" s="643"/>
      <c r="V111" s="643"/>
      <c r="W111" s="643"/>
      <c r="X111" s="643"/>
      <c r="Y111" s="643"/>
      <c r="Z111" s="643"/>
      <c r="AA111" s="643"/>
      <c r="AB111" s="643"/>
      <c r="AC111" s="13"/>
      <c r="AD111" s="13"/>
      <c r="AE111" s="13"/>
      <c r="AF111" s="13"/>
      <c r="AG111" s="13"/>
      <c r="AH111" s="13"/>
      <c r="AI111" s="13"/>
      <c r="AJ111" s="13"/>
      <c r="AK111" s="13"/>
      <c r="AL111" s="13"/>
      <c r="AM111" s="13"/>
      <c r="AN111" s="13"/>
      <c r="AO111" s="13"/>
      <c r="AP111" s="13"/>
      <c r="AQ111" s="13"/>
      <c r="AR111" s="13"/>
    </row>
    <row r="112" spans="1:44" ht="14.25" customHeight="1">
      <c r="A112" s="629"/>
      <c r="B112" s="629"/>
      <c r="C112" s="634"/>
      <c r="D112" s="634"/>
      <c r="E112" s="643"/>
      <c r="F112" s="643"/>
      <c r="G112" s="643"/>
      <c r="H112" s="643"/>
      <c r="I112" s="643"/>
      <c r="J112" s="643"/>
      <c r="K112" s="643"/>
      <c r="L112" s="643"/>
      <c r="M112" s="643"/>
      <c r="N112" s="643"/>
      <c r="O112" s="643"/>
      <c r="P112" s="643"/>
      <c r="Q112" s="643"/>
      <c r="R112" s="643"/>
      <c r="S112" s="643"/>
      <c r="T112" s="643"/>
      <c r="U112" s="643"/>
      <c r="V112" s="643"/>
      <c r="W112" s="643"/>
      <c r="X112" s="643"/>
      <c r="Y112" s="643"/>
      <c r="Z112" s="643"/>
      <c r="AA112" s="643"/>
      <c r="AB112" s="643"/>
      <c r="AC112" s="13"/>
      <c r="AD112" s="13"/>
      <c r="AE112" s="13"/>
      <c r="AF112" s="13"/>
      <c r="AG112" s="13"/>
      <c r="AH112" s="13"/>
      <c r="AI112" s="13"/>
      <c r="AJ112" s="13"/>
      <c r="AK112" s="13"/>
      <c r="AL112" s="13"/>
      <c r="AM112" s="13"/>
      <c r="AN112" s="13"/>
      <c r="AO112" s="13"/>
      <c r="AP112" s="13"/>
      <c r="AQ112" s="13"/>
      <c r="AR112" s="13"/>
    </row>
    <row r="113" spans="1:44" ht="14.25" customHeight="1">
      <c r="A113" s="629"/>
      <c r="B113" s="629"/>
      <c r="C113" s="634"/>
      <c r="D113" s="634"/>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c r="AA113" s="643"/>
      <c r="AB113" s="643"/>
      <c r="AC113" s="13"/>
      <c r="AD113" s="13"/>
      <c r="AE113" s="13"/>
      <c r="AF113" s="13"/>
      <c r="AG113" s="13"/>
      <c r="AH113" s="13"/>
      <c r="AI113" s="13"/>
      <c r="AJ113" s="13"/>
      <c r="AK113" s="13"/>
      <c r="AL113" s="13"/>
      <c r="AM113" s="13"/>
      <c r="AN113" s="13"/>
      <c r="AO113" s="13"/>
      <c r="AP113" s="13"/>
      <c r="AQ113" s="13"/>
      <c r="AR113" s="13"/>
    </row>
    <row r="114" spans="1:44" ht="14.25" customHeight="1">
      <c r="A114" s="629"/>
      <c r="B114" s="629"/>
      <c r="C114" s="634"/>
      <c r="D114" s="634"/>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c r="AA114" s="643"/>
      <c r="AB114" s="643"/>
      <c r="AC114" s="13"/>
      <c r="AD114" s="13"/>
      <c r="AE114" s="13"/>
      <c r="AF114" s="13"/>
      <c r="AG114" s="13"/>
      <c r="AH114" s="13"/>
      <c r="AI114" s="13"/>
      <c r="AJ114" s="13"/>
      <c r="AK114" s="13"/>
      <c r="AL114" s="13"/>
      <c r="AM114" s="13"/>
      <c r="AN114" s="13"/>
      <c r="AO114" s="13"/>
      <c r="AP114" s="13"/>
      <c r="AQ114" s="13"/>
      <c r="AR114" s="13"/>
    </row>
    <row r="115" spans="1:44" ht="14.25" customHeight="1">
      <c r="A115" s="629"/>
      <c r="B115" s="629"/>
      <c r="C115" s="634"/>
      <c r="D115" s="634"/>
      <c r="E115" s="643"/>
      <c r="F115" s="643"/>
      <c r="G115" s="643"/>
      <c r="H115" s="643"/>
      <c r="I115" s="643"/>
      <c r="J115" s="643"/>
      <c r="K115" s="643"/>
      <c r="L115" s="643"/>
      <c r="M115" s="643"/>
      <c r="N115" s="643"/>
      <c r="O115" s="643"/>
      <c r="P115" s="643"/>
      <c r="Q115" s="643"/>
      <c r="R115" s="643"/>
      <c r="S115" s="643"/>
      <c r="T115" s="643"/>
      <c r="U115" s="643"/>
      <c r="V115" s="643"/>
      <c r="W115" s="643"/>
      <c r="X115" s="643"/>
      <c r="Y115" s="643"/>
      <c r="Z115" s="643"/>
      <c r="AA115" s="643"/>
      <c r="AB115" s="643"/>
      <c r="AC115" s="13"/>
      <c r="AD115" s="13"/>
      <c r="AE115" s="13"/>
      <c r="AF115" s="13"/>
      <c r="AG115" s="13"/>
      <c r="AH115" s="13"/>
      <c r="AI115" s="13"/>
      <c r="AJ115" s="13"/>
      <c r="AK115" s="13"/>
      <c r="AL115" s="13"/>
      <c r="AM115" s="13"/>
      <c r="AN115" s="13"/>
      <c r="AO115" s="13"/>
      <c r="AP115" s="13"/>
      <c r="AQ115" s="13"/>
      <c r="AR115" s="13"/>
    </row>
    <row r="116" spans="1:44" ht="14.25" customHeight="1">
      <c r="A116" s="629"/>
      <c r="B116" s="629"/>
      <c r="C116" s="634"/>
      <c r="D116" s="634"/>
      <c r="E116" s="643"/>
      <c r="F116" s="643"/>
      <c r="G116" s="643"/>
      <c r="H116" s="643"/>
      <c r="I116" s="643"/>
      <c r="J116" s="643"/>
      <c r="K116" s="643"/>
      <c r="L116" s="643"/>
      <c r="M116" s="643"/>
      <c r="N116" s="643"/>
      <c r="O116" s="643"/>
      <c r="P116" s="643"/>
      <c r="Q116" s="643"/>
      <c r="R116" s="643"/>
      <c r="S116" s="643"/>
      <c r="T116" s="643"/>
      <c r="U116" s="643"/>
      <c r="V116" s="643"/>
      <c r="W116" s="643"/>
      <c r="X116" s="643"/>
      <c r="Y116" s="643"/>
      <c r="Z116" s="643"/>
      <c r="AA116" s="643"/>
      <c r="AB116" s="643"/>
      <c r="AC116" s="13"/>
      <c r="AD116" s="13"/>
      <c r="AE116" s="13"/>
      <c r="AF116" s="13"/>
      <c r="AG116" s="13"/>
      <c r="AH116" s="13"/>
      <c r="AI116" s="13"/>
      <c r="AJ116" s="13"/>
      <c r="AK116" s="13"/>
      <c r="AL116" s="13"/>
      <c r="AM116" s="13"/>
      <c r="AN116" s="13"/>
      <c r="AO116" s="13"/>
      <c r="AP116" s="13"/>
      <c r="AQ116" s="13"/>
      <c r="AR116" s="13"/>
    </row>
    <row r="117" spans="1:44" ht="14.25" customHeight="1">
      <c r="A117" s="629"/>
      <c r="B117" s="629"/>
      <c r="C117" s="634"/>
      <c r="D117" s="634"/>
      <c r="E117" s="643"/>
      <c r="F117" s="643"/>
      <c r="G117" s="643"/>
      <c r="H117" s="643"/>
      <c r="I117" s="643"/>
      <c r="J117" s="643"/>
      <c r="K117" s="643"/>
      <c r="L117" s="643"/>
      <c r="M117" s="643"/>
      <c r="N117" s="643"/>
      <c r="O117" s="643"/>
      <c r="P117" s="643"/>
      <c r="Q117" s="643"/>
      <c r="R117" s="643"/>
      <c r="S117" s="643"/>
      <c r="T117" s="643"/>
      <c r="U117" s="643"/>
      <c r="V117" s="643"/>
      <c r="W117" s="643"/>
      <c r="X117" s="643"/>
      <c r="Y117" s="643"/>
      <c r="Z117" s="643"/>
      <c r="AA117" s="643"/>
      <c r="AB117" s="643"/>
      <c r="AC117" s="13"/>
      <c r="AD117" s="13"/>
      <c r="AE117" s="13"/>
      <c r="AF117" s="13"/>
      <c r="AG117" s="13"/>
      <c r="AH117" s="13"/>
      <c r="AI117" s="13"/>
      <c r="AJ117" s="13"/>
      <c r="AK117" s="13"/>
      <c r="AL117" s="13"/>
      <c r="AM117" s="13"/>
      <c r="AN117" s="13"/>
      <c r="AO117" s="13"/>
      <c r="AP117" s="13"/>
      <c r="AQ117" s="13"/>
      <c r="AR117" s="13"/>
    </row>
    <row r="118" spans="1:44" ht="14.25" customHeight="1">
      <c r="A118" s="629"/>
      <c r="B118" s="629"/>
      <c r="C118" s="634"/>
      <c r="D118" s="634"/>
      <c r="E118" s="643"/>
      <c r="F118" s="643"/>
      <c r="G118" s="643"/>
      <c r="H118" s="643"/>
      <c r="I118" s="643"/>
      <c r="J118" s="643"/>
      <c r="K118" s="643"/>
      <c r="L118" s="643"/>
      <c r="M118" s="643"/>
      <c r="N118" s="643"/>
      <c r="O118" s="643"/>
      <c r="P118" s="643"/>
      <c r="Q118" s="643"/>
      <c r="R118" s="643"/>
      <c r="S118" s="643"/>
      <c r="T118" s="643"/>
      <c r="U118" s="643"/>
      <c r="V118" s="643"/>
      <c r="W118" s="643"/>
      <c r="X118" s="643"/>
      <c r="Y118" s="643"/>
      <c r="Z118" s="643"/>
      <c r="AA118" s="643"/>
      <c r="AB118" s="643"/>
      <c r="AC118" s="13"/>
      <c r="AD118" s="13"/>
      <c r="AE118" s="13"/>
      <c r="AF118" s="13"/>
      <c r="AG118" s="13"/>
      <c r="AH118" s="13"/>
      <c r="AI118" s="13"/>
      <c r="AJ118" s="13"/>
      <c r="AK118" s="13"/>
      <c r="AL118" s="13"/>
      <c r="AM118" s="13"/>
      <c r="AN118" s="13"/>
      <c r="AO118" s="13"/>
      <c r="AP118" s="13"/>
      <c r="AQ118" s="13"/>
      <c r="AR118" s="13"/>
    </row>
    <row r="119" spans="1:44" ht="14.25" customHeight="1">
      <c r="A119" s="629"/>
      <c r="B119" s="629"/>
      <c r="C119" s="634"/>
      <c r="D119" s="634"/>
      <c r="E119" s="643"/>
      <c r="F119" s="643"/>
      <c r="G119" s="643"/>
      <c r="H119" s="643"/>
      <c r="I119" s="643"/>
      <c r="J119" s="643"/>
      <c r="K119" s="643"/>
      <c r="L119" s="643"/>
      <c r="M119" s="643"/>
      <c r="N119" s="643"/>
      <c r="O119" s="643"/>
      <c r="P119" s="643"/>
      <c r="Q119" s="643"/>
      <c r="R119" s="643"/>
      <c r="S119" s="643"/>
      <c r="T119" s="643"/>
      <c r="U119" s="643"/>
      <c r="V119" s="643"/>
      <c r="W119" s="643"/>
      <c r="X119" s="643"/>
      <c r="Y119" s="643"/>
      <c r="Z119" s="643"/>
      <c r="AA119" s="643"/>
      <c r="AB119" s="643"/>
      <c r="AC119" s="13"/>
      <c r="AD119" s="13"/>
      <c r="AE119" s="13"/>
      <c r="AF119" s="13"/>
      <c r="AG119" s="13"/>
      <c r="AH119" s="13"/>
      <c r="AI119" s="13"/>
      <c r="AJ119" s="13"/>
      <c r="AK119" s="13"/>
      <c r="AL119" s="13"/>
      <c r="AM119" s="13"/>
      <c r="AN119" s="13"/>
      <c r="AO119" s="13"/>
      <c r="AP119" s="13"/>
      <c r="AQ119" s="13"/>
      <c r="AR119" s="13"/>
    </row>
    <row r="120" spans="1:44" ht="14.25" customHeight="1">
      <c r="A120" s="629"/>
      <c r="B120" s="629"/>
      <c r="C120" s="634"/>
      <c r="D120" s="634"/>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c r="AB120" s="643"/>
      <c r="AC120" s="13"/>
      <c r="AD120" s="13"/>
      <c r="AE120" s="13"/>
      <c r="AF120" s="13"/>
      <c r="AG120" s="13"/>
      <c r="AH120" s="13"/>
      <c r="AI120" s="13"/>
      <c r="AJ120" s="13"/>
      <c r="AK120" s="13"/>
      <c r="AL120" s="13"/>
      <c r="AM120" s="13"/>
      <c r="AN120" s="13"/>
      <c r="AO120" s="13"/>
      <c r="AP120" s="13"/>
      <c r="AQ120" s="13"/>
      <c r="AR120" s="13"/>
    </row>
    <row r="121" spans="1:44" ht="14.25" customHeight="1">
      <c r="A121" s="629"/>
      <c r="B121" s="629"/>
      <c r="C121" s="634"/>
      <c r="D121" s="634"/>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c r="AA121" s="643"/>
      <c r="AB121" s="643"/>
      <c r="AC121" s="13"/>
      <c r="AD121" s="13"/>
      <c r="AE121" s="13"/>
      <c r="AF121" s="13"/>
      <c r="AG121" s="13"/>
      <c r="AH121" s="13"/>
      <c r="AI121" s="13"/>
      <c r="AJ121" s="13"/>
      <c r="AK121" s="13"/>
      <c r="AL121" s="13"/>
      <c r="AM121" s="13"/>
      <c r="AN121" s="13"/>
      <c r="AO121" s="13"/>
      <c r="AP121" s="13"/>
      <c r="AQ121" s="13"/>
      <c r="AR121" s="13"/>
    </row>
    <row r="122" spans="1:44" ht="14.25" customHeight="1">
      <c r="A122" s="629"/>
      <c r="B122" s="629"/>
      <c r="C122" s="634"/>
      <c r="D122" s="634"/>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c r="AA122" s="643"/>
      <c r="AB122" s="643"/>
      <c r="AC122" s="13"/>
      <c r="AD122" s="13"/>
      <c r="AE122" s="13"/>
      <c r="AF122" s="13"/>
      <c r="AG122" s="13"/>
      <c r="AH122" s="13"/>
      <c r="AI122" s="13"/>
      <c r="AJ122" s="13"/>
      <c r="AK122" s="13"/>
      <c r="AL122" s="13"/>
      <c r="AM122" s="13"/>
      <c r="AN122" s="13"/>
      <c r="AO122" s="13"/>
      <c r="AP122" s="13"/>
      <c r="AQ122" s="13"/>
      <c r="AR122" s="13"/>
    </row>
    <row r="123" spans="1:44" ht="14.25" customHeight="1">
      <c r="A123" s="629"/>
      <c r="B123" s="629"/>
      <c r="C123" s="638"/>
      <c r="D123" s="638"/>
      <c r="E123" s="644"/>
      <c r="F123" s="644"/>
      <c r="G123" s="644"/>
      <c r="H123" s="644"/>
      <c r="I123" s="644"/>
      <c r="J123" s="644"/>
      <c r="K123" s="644"/>
      <c r="L123" s="644"/>
      <c r="M123" s="660"/>
      <c r="N123" s="660"/>
      <c r="O123" s="644"/>
      <c r="P123" s="644"/>
      <c r="Q123" s="644"/>
      <c r="R123" s="644"/>
      <c r="S123" s="644"/>
      <c r="T123" s="644"/>
      <c r="U123" s="644"/>
      <c r="V123" s="644"/>
      <c r="W123" s="644"/>
      <c r="X123" s="644"/>
      <c r="Y123" s="644"/>
      <c r="Z123" s="644"/>
      <c r="AA123" s="644"/>
      <c r="AB123" s="644"/>
      <c r="AC123" s="13"/>
      <c r="AD123" s="13"/>
      <c r="AE123" s="13"/>
      <c r="AF123" s="13"/>
      <c r="AG123" s="13"/>
      <c r="AH123" s="13"/>
      <c r="AI123" s="13"/>
      <c r="AJ123" s="13"/>
      <c r="AK123" s="13"/>
      <c r="AL123" s="13"/>
      <c r="AM123" s="13"/>
      <c r="AN123" s="13"/>
      <c r="AO123" s="13"/>
      <c r="AP123" s="13"/>
      <c r="AQ123" s="13"/>
      <c r="AR123" s="13"/>
    </row>
    <row r="124" spans="1:44" ht="14.25" customHeight="1">
      <c r="A124" s="641" t="s">
        <v>110</v>
      </c>
      <c r="B124" s="641"/>
      <c r="C124" s="642" t="s">
        <v>111</v>
      </c>
      <c r="D124" s="642"/>
      <c r="E124" s="660" t="s">
        <v>102</v>
      </c>
      <c r="F124" s="660"/>
      <c r="G124" s="642" t="s">
        <v>102</v>
      </c>
      <c r="H124" s="642"/>
      <c r="I124" s="661" t="s">
        <v>102</v>
      </c>
      <c r="J124" s="661"/>
      <c r="K124" s="642" t="s">
        <v>102</v>
      </c>
      <c r="L124" s="642"/>
      <c r="M124" s="642" t="s">
        <v>102</v>
      </c>
      <c r="N124" s="642"/>
      <c r="O124" s="642" t="s">
        <v>102</v>
      </c>
      <c r="P124" s="642"/>
      <c r="Q124" s="642" t="s">
        <v>102</v>
      </c>
      <c r="R124" s="642"/>
      <c r="S124" s="642" t="s">
        <v>102</v>
      </c>
      <c r="T124" s="642"/>
      <c r="U124" s="642" t="s">
        <v>102</v>
      </c>
      <c r="V124" s="642"/>
      <c r="W124" s="642" t="s">
        <v>102</v>
      </c>
      <c r="X124" s="642"/>
      <c r="Y124" s="642" t="s">
        <v>102</v>
      </c>
      <c r="Z124" s="642"/>
      <c r="AA124" s="642" t="s">
        <v>102</v>
      </c>
      <c r="AB124" s="642"/>
      <c r="AC124" s="13"/>
      <c r="AD124" s="13"/>
      <c r="AE124" s="13"/>
      <c r="AF124" s="13"/>
      <c r="AG124" s="13"/>
      <c r="AH124" s="13"/>
      <c r="AI124" s="13"/>
      <c r="AJ124" s="13"/>
      <c r="AK124" s="13"/>
      <c r="AL124" s="13"/>
      <c r="AM124" s="13"/>
      <c r="AN124" s="13"/>
      <c r="AO124" s="13"/>
      <c r="AP124" s="13"/>
      <c r="AQ124" s="13"/>
      <c r="AR124" s="13"/>
    </row>
    <row r="125" spans="1:44" ht="14.25" customHeight="1">
      <c r="A125" s="641"/>
      <c r="B125" s="641"/>
      <c r="C125" s="643" t="s">
        <v>113</v>
      </c>
      <c r="D125" s="643"/>
      <c r="E125" s="648" t="s">
        <v>128</v>
      </c>
      <c r="F125" s="648"/>
      <c r="G125" s="643" t="s">
        <v>102</v>
      </c>
      <c r="H125" s="643"/>
      <c r="I125" s="648" t="s">
        <v>128</v>
      </c>
      <c r="J125" s="648"/>
      <c r="K125" s="643" t="s">
        <v>102</v>
      </c>
      <c r="L125" s="643"/>
      <c r="M125" s="643" t="s">
        <v>102</v>
      </c>
      <c r="N125" s="643"/>
      <c r="O125" s="643" t="s">
        <v>102</v>
      </c>
      <c r="P125" s="643"/>
      <c r="Q125" s="643" t="s">
        <v>102</v>
      </c>
      <c r="R125" s="643"/>
      <c r="S125" s="643" t="s">
        <v>102</v>
      </c>
      <c r="T125" s="643"/>
      <c r="U125" s="643" t="s">
        <v>102</v>
      </c>
      <c r="V125" s="643"/>
      <c r="W125" s="643" t="s">
        <v>102</v>
      </c>
      <c r="X125" s="643"/>
      <c r="Y125" s="643" t="s">
        <v>102</v>
      </c>
      <c r="Z125" s="643"/>
      <c r="AA125" s="643" t="s">
        <v>102</v>
      </c>
      <c r="AB125" s="643"/>
      <c r="AC125" s="13"/>
      <c r="AD125" s="13"/>
      <c r="AE125" s="13"/>
      <c r="AF125" s="13"/>
      <c r="AG125" s="13"/>
      <c r="AH125" s="13"/>
      <c r="AI125" s="13"/>
      <c r="AJ125" s="13"/>
      <c r="AK125" s="13"/>
      <c r="AL125" s="13"/>
      <c r="AM125" s="13"/>
      <c r="AN125" s="13"/>
      <c r="AO125" s="13"/>
      <c r="AP125" s="13"/>
      <c r="AQ125" s="13"/>
      <c r="AR125" s="13"/>
    </row>
    <row r="126" spans="1:44" ht="14.25" customHeight="1">
      <c r="A126" s="641"/>
      <c r="B126" s="641"/>
      <c r="C126" s="643" t="s">
        <v>114</v>
      </c>
      <c r="D126" s="643"/>
      <c r="E126" s="648" t="s">
        <v>129</v>
      </c>
      <c r="F126" s="648"/>
      <c r="G126" s="643" t="s">
        <v>102</v>
      </c>
      <c r="H126" s="643"/>
      <c r="I126" s="643" t="s">
        <v>102</v>
      </c>
      <c r="J126" s="643"/>
      <c r="K126" s="643" t="s">
        <v>102</v>
      </c>
      <c r="L126" s="643"/>
      <c r="M126" s="643" t="s">
        <v>102</v>
      </c>
      <c r="N126" s="643"/>
      <c r="O126" s="643" t="s">
        <v>102</v>
      </c>
      <c r="P126" s="643"/>
      <c r="Q126" s="643" t="s">
        <v>102</v>
      </c>
      <c r="R126" s="643"/>
      <c r="S126" s="643" t="s">
        <v>102</v>
      </c>
      <c r="T126" s="643"/>
      <c r="U126" s="643" t="s">
        <v>102</v>
      </c>
      <c r="V126" s="643"/>
      <c r="W126" s="643" t="s">
        <v>102</v>
      </c>
      <c r="X126" s="643"/>
      <c r="Y126" s="643" t="s">
        <v>102</v>
      </c>
      <c r="Z126" s="643"/>
      <c r="AA126" s="643" t="s">
        <v>102</v>
      </c>
      <c r="AB126" s="643"/>
      <c r="AC126" s="13"/>
      <c r="AD126" s="13"/>
      <c r="AE126" s="13"/>
      <c r="AF126" s="13"/>
      <c r="AG126" s="13"/>
      <c r="AH126" s="13"/>
      <c r="AI126" s="13"/>
      <c r="AJ126" s="13"/>
      <c r="AK126" s="13"/>
      <c r="AL126" s="13"/>
      <c r="AM126" s="13"/>
      <c r="AN126" s="13"/>
      <c r="AO126" s="13"/>
      <c r="AP126" s="13"/>
      <c r="AQ126" s="13"/>
      <c r="AR126" s="13"/>
    </row>
    <row r="127" spans="1:44" ht="14.25" customHeight="1">
      <c r="A127" s="641"/>
      <c r="B127" s="641"/>
      <c r="C127" s="643" t="s">
        <v>115</v>
      </c>
      <c r="D127" s="643"/>
      <c r="E127" s="648" t="s">
        <v>130</v>
      </c>
      <c r="F127" s="648"/>
      <c r="G127" s="643" t="s">
        <v>102</v>
      </c>
      <c r="H127" s="643"/>
      <c r="I127" s="643" t="s">
        <v>102</v>
      </c>
      <c r="J127" s="643"/>
      <c r="K127" s="643" t="s">
        <v>102</v>
      </c>
      <c r="L127" s="643"/>
      <c r="M127" s="643" t="s">
        <v>102</v>
      </c>
      <c r="N127" s="643"/>
      <c r="O127" s="643" t="s">
        <v>102</v>
      </c>
      <c r="P127" s="643"/>
      <c r="Q127" s="643" t="s">
        <v>102</v>
      </c>
      <c r="R127" s="643"/>
      <c r="S127" s="643" t="s">
        <v>102</v>
      </c>
      <c r="T127" s="643"/>
      <c r="U127" s="643" t="s">
        <v>102</v>
      </c>
      <c r="V127" s="643"/>
      <c r="W127" s="643" t="s">
        <v>102</v>
      </c>
      <c r="X127" s="643"/>
      <c r="Y127" s="643" t="s">
        <v>102</v>
      </c>
      <c r="Z127" s="643"/>
      <c r="AA127" s="643" t="s">
        <v>102</v>
      </c>
      <c r="AB127" s="643"/>
      <c r="AC127" s="13"/>
      <c r="AD127" s="13"/>
      <c r="AE127" s="13"/>
      <c r="AF127" s="13"/>
      <c r="AG127" s="13"/>
      <c r="AH127" s="13"/>
      <c r="AI127" s="13"/>
      <c r="AJ127" s="13"/>
      <c r="AK127" s="13"/>
      <c r="AL127" s="13"/>
      <c r="AM127" s="13"/>
      <c r="AN127" s="13"/>
      <c r="AO127" s="13"/>
      <c r="AP127" s="13"/>
      <c r="AQ127" s="13"/>
      <c r="AR127" s="13"/>
    </row>
    <row r="128" spans="1:44" ht="14.25" customHeight="1">
      <c r="A128" s="641"/>
      <c r="B128" s="641"/>
      <c r="C128" s="643">
        <v>0</v>
      </c>
      <c r="D128" s="643"/>
      <c r="E128" s="643" t="s">
        <v>102</v>
      </c>
      <c r="F128" s="643"/>
      <c r="G128" s="643" t="s">
        <v>102</v>
      </c>
      <c r="H128" s="643"/>
      <c r="I128" s="643" t="s">
        <v>102</v>
      </c>
      <c r="J128" s="643"/>
      <c r="K128" s="643" t="s">
        <v>102</v>
      </c>
      <c r="L128" s="643"/>
      <c r="M128" s="643" t="s">
        <v>102</v>
      </c>
      <c r="N128" s="643"/>
      <c r="O128" s="643" t="s">
        <v>102</v>
      </c>
      <c r="P128" s="643"/>
      <c r="Q128" s="643" t="s">
        <v>102</v>
      </c>
      <c r="R128" s="643"/>
      <c r="S128" s="643" t="s">
        <v>102</v>
      </c>
      <c r="T128" s="643"/>
      <c r="U128" s="643" t="s">
        <v>102</v>
      </c>
      <c r="V128" s="643"/>
      <c r="W128" s="643" t="s">
        <v>102</v>
      </c>
      <c r="X128" s="643"/>
      <c r="Y128" s="643" t="s">
        <v>102</v>
      </c>
      <c r="Z128" s="643"/>
      <c r="AA128" s="643" t="s">
        <v>102</v>
      </c>
      <c r="AB128" s="643"/>
      <c r="AC128" s="13"/>
      <c r="AD128" s="13"/>
      <c r="AE128" s="13"/>
      <c r="AF128" s="13"/>
      <c r="AG128" s="13"/>
      <c r="AH128" s="13"/>
      <c r="AI128" s="13"/>
      <c r="AJ128" s="13"/>
      <c r="AK128" s="13"/>
      <c r="AL128" s="13"/>
      <c r="AM128" s="13"/>
      <c r="AN128" s="13"/>
      <c r="AO128" s="13"/>
      <c r="AP128" s="13"/>
      <c r="AQ128" s="13"/>
      <c r="AR128" s="13"/>
    </row>
    <row r="129" spans="1:44" ht="14.25" customHeight="1">
      <c r="A129" s="641"/>
      <c r="B129" s="641"/>
      <c r="C129" s="643">
        <v>0</v>
      </c>
      <c r="D129" s="643"/>
      <c r="E129" s="643" t="s">
        <v>102</v>
      </c>
      <c r="F129" s="643"/>
      <c r="G129" s="643" t="s">
        <v>102</v>
      </c>
      <c r="H129" s="643"/>
      <c r="I129" s="643" t="s">
        <v>102</v>
      </c>
      <c r="J129" s="643"/>
      <c r="K129" s="643" t="s">
        <v>102</v>
      </c>
      <c r="L129" s="643"/>
      <c r="M129" s="643" t="s">
        <v>102</v>
      </c>
      <c r="N129" s="643"/>
      <c r="O129" s="643" t="s">
        <v>102</v>
      </c>
      <c r="P129" s="643"/>
      <c r="Q129" s="643" t="s">
        <v>102</v>
      </c>
      <c r="R129" s="643"/>
      <c r="S129" s="643" t="s">
        <v>102</v>
      </c>
      <c r="T129" s="643"/>
      <c r="U129" s="643" t="s">
        <v>102</v>
      </c>
      <c r="V129" s="643"/>
      <c r="W129" s="643" t="s">
        <v>102</v>
      </c>
      <c r="X129" s="643"/>
      <c r="Y129" s="643" t="s">
        <v>102</v>
      </c>
      <c r="Z129" s="643"/>
      <c r="AA129" s="643" t="s">
        <v>102</v>
      </c>
      <c r="AB129" s="643"/>
      <c r="AC129" s="13"/>
      <c r="AD129" s="13"/>
      <c r="AE129" s="13"/>
      <c r="AF129" s="13"/>
      <c r="AG129" s="13"/>
      <c r="AH129" s="13"/>
      <c r="AI129" s="13"/>
      <c r="AJ129" s="13"/>
      <c r="AK129" s="13"/>
      <c r="AL129" s="13"/>
      <c r="AM129" s="13"/>
      <c r="AN129" s="13"/>
      <c r="AO129" s="13"/>
      <c r="AP129" s="13"/>
      <c r="AQ129" s="13"/>
      <c r="AR129" s="13"/>
    </row>
    <row r="130" spans="1:44" ht="14.25" customHeight="1">
      <c r="A130" s="641"/>
      <c r="B130" s="641"/>
      <c r="C130" s="644">
        <v>0</v>
      </c>
      <c r="D130" s="644"/>
      <c r="E130" s="660" t="s">
        <v>102</v>
      </c>
      <c r="F130" s="660"/>
      <c r="G130" s="660" t="s">
        <v>102</v>
      </c>
      <c r="H130" s="660"/>
      <c r="I130" s="660" t="s">
        <v>102</v>
      </c>
      <c r="J130" s="660"/>
      <c r="K130" s="660" t="s">
        <v>102</v>
      </c>
      <c r="L130" s="660"/>
      <c r="M130" s="660" t="s">
        <v>102</v>
      </c>
      <c r="N130" s="660"/>
      <c r="O130" s="660" t="s">
        <v>102</v>
      </c>
      <c r="P130" s="660"/>
      <c r="Q130" s="660" t="s">
        <v>102</v>
      </c>
      <c r="R130" s="660"/>
      <c r="S130" s="660" t="s">
        <v>102</v>
      </c>
      <c r="T130" s="660"/>
      <c r="U130" s="660" t="s">
        <v>102</v>
      </c>
      <c r="V130" s="660"/>
      <c r="W130" s="660" t="s">
        <v>102</v>
      </c>
      <c r="X130" s="660"/>
      <c r="Y130" s="660" t="s">
        <v>102</v>
      </c>
      <c r="Z130" s="660"/>
      <c r="AA130" s="662" t="s">
        <v>102</v>
      </c>
      <c r="AB130" s="662"/>
      <c r="AC130" s="13"/>
      <c r="AD130" s="13"/>
      <c r="AE130" s="13"/>
      <c r="AF130" s="13"/>
      <c r="AG130" s="13"/>
      <c r="AH130" s="13"/>
      <c r="AI130" s="13"/>
      <c r="AJ130" s="13"/>
      <c r="AK130" s="13"/>
      <c r="AL130" s="13"/>
      <c r="AM130" s="13"/>
      <c r="AN130" s="13"/>
      <c r="AO130" s="13"/>
      <c r="AP130" s="13"/>
      <c r="AQ130" s="13"/>
      <c r="AR130" s="13"/>
    </row>
    <row r="131" spans="1:44" ht="14.25" customHeight="1">
      <c r="A131" s="641" t="s">
        <v>116</v>
      </c>
      <c r="B131" s="641"/>
      <c r="C131" s="646" t="s">
        <v>117</v>
      </c>
      <c r="D131" s="646"/>
      <c r="E131" s="647" t="s">
        <v>131</v>
      </c>
      <c r="F131" s="647"/>
      <c r="G131" s="642" t="s">
        <v>102</v>
      </c>
      <c r="H131" s="642"/>
      <c r="I131" s="642" t="s">
        <v>131</v>
      </c>
      <c r="J131" s="642"/>
      <c r="K131" s="642" t="s">
        <v>102</v>
      </c>
      <c r="L131" s="642"/>
      <c r="M131" s="642" t="s">
        <v>102</v>
      </c>
      <c r="N131" s="642"/>
      <c r="O131" s="642" t="s">
        <v>131</v>
      </c>
      <c r="P131" s="642"/>
      <c r="Q131" s="647" t="s">
        <v>102</v>
      </c>
      <c r="R131" s="647"/>
      <c r="S131" s="642" t="s">
        <v>102</v>
      </c>
      <c r="T131" s="642"/>
      <c r="U131" s="642" t="s">
        <v>131</v>
      </c>
      <c r="V131" s="642"/>
      <c r="W131" s="642" t="s">
        <v>102</v>
      </c>
      <c r="X131" s="642"/>
      <c r="Y131" s="642" t="s">
        <v>102</v>
      </c>
      <c r="Z131" s="642"/>
      <c r="AA131" s="663" t="s">
        <v>102</v>
      </c>
      <c r="AB131" s="663"/>
      <c r="AC131" s="13"/>
      <c r="AD131" s="13"/>
      <c r="AE131" s="13"/>
      <c r="AF131" s="13"/>
      <c r="AG131" s="13"/>
      <c r="AH131" s="13"/>
      <c r="AI131" s="13"/>
      <c r="AJ131" s="13"/>
      <c r="AK131" s="13"/>
      <c r="AL131" s="13"/>
      <c r="AM131" s="13"/>
      <c r="AN131" s="13"/>
      <c r="AO131" s="13"/>
      <c r="AP131" s="13"/>
      <c r="AQ131" s="13"/>
      <c r="AR131" s="13"/>
    </row>
    <row r="132" spans="1:44" ht="14.25" customHeight="1">
      <c r="A132" s="641"/>
      <c r="B132" s="641"/>
      <c r="C132" s="643" t="s">
        <v>119</v>
      </c>
      <c r="D132" s="643"/>
      <c r="E132" s="648" t="s">
        <v>132</v>
      </c>
      <c r="F132" s="648"/>
      <c r="G132" s="643" t="s">
        <v>102</v>
      </c>
      <c r="H132" s="643"/>
      <c r="I132" s="643" t="s">
        <v>132</v>
      </c>
      <c r="J132" s="643"/>
      <c r="K132" s="643" t="s">
        <v>102</v>
      </c>
      <c r="L132" s="643"/>
      <c r="M132" s="643" t="s">
        <v>102</v>
      </c>
      <c r="N132" s="643"/>
      <c r="O132" s="643" t="s">
        <v>132</v>
      </c>
      <c r="P132" s="643"/>
      <c r="Q132" s="648" t="s">
        <v>102</v>
      </c>
      <c r="R132" s="648"/>
      <c r="S132" s="643" t="s">
        <v>102</v>
      </c>
      <c r="T132" s="643"/>
      <c r="U132" s="643" t="s">
        <v>132</v>
      </c>
      <c r="V132" s="643"/>
      <c r="W132" s="643" t="s">
        <v>102</v>
      </c>
      <c r="X132" s="643"/>
      <c r="Y132" s="643" t="s">
        <v>102</v>
      </c>
      <c r="Z132" s="643"/>
      <c r="AA132" s="664" t="s">
        <v>102</v>
      </c>
      <c r="AB132" s="664"/>
      <c r="AC132" s="13"/>
      <c r="AD132" s="13"/>
      <c r="AE132" s="13"/>
      <c r="AF132" s="13"/>
      <c r="AG132" s="13"/>
      <c r="AH132" s="13"/>
      <c r="AI132" s="13"/>
      <c r="AJ132" s="13"/>
      <c r="AK132" s="13"/>
      <c r="AL132" s="13"/>
      <c r="AM132" s="13"/>
      <c r="AN132" s="13"/>
      <c r="AO132" s="13"/>
      <c r="AP132" s="13"/>
      <c r="AQ132" s="13"/>
      <c r="AR132" s="13"/>
    </row>
    <row r="133" spans="1:44" ht="14.25" customHeight="1">
      <c r="A133" s="641"/>
      <c r="B133" s="641"/>
      <c r="C133" s="643" t="s">
        <v>121</v>
      </c>
      <c r="D133" s="643"/>
      <c r="E133" s="648" t="s">
        <v>133</v>
      </c>
      <c r="F133" s="648"/>
      <c r="G133" s="643" t="s">
        <v>102</v>
      </c>
      <c r="H133" s="643"/>
      <c r="I133" s="643" t="s">
        <v>133</v>
      </c>
      <c r="J133" s="643"/>
      <c r="K133" s="643" t="s">
        <v>102</v>
      </c>
      <c r="L133" s="643"/>
      <c r="M133" s="643" t="s">
        <v>102</v>
      </c>
      <c r="N133" s="643"/>
      <c r="O133" s="643" t="s">
        <v>133</v>
      </c>
      <c r="P133" s="643"/>
      <c r="Q133" s="648" t="s">
        <v>102</v>
      </c>
      <c r="R133" s="648"/>
      <c r="S133" s="643" t="s">
        <v>102</v>
      </c>
      <c r="T133" s="643"/>
      <c r="U133" s="643" t="s">
        <v>133</v>
      </c>
      <c r="V133" s="643"/>
      <c r="W133" s="643" t="s">
        <v>102</v>
      </c>
      <c r="X133" s="643"/>
      <c r="Y133" s="643" t="s">
        <v>102</v>
      </c>
      <c r="Z133" s="643"/>
      <c r="AA133" s="664" t="s">
        <v>102</v>
      </c>
      <c r="AB133" s="664"/>
      <c r="AC133" s="13"/>
      <c r="AD133" s="13"/>
      <c r="AE133" s="13"/>
      <c r="AF133" s="13"/>
      <c r="AG133" s="13"/>
      <c r="AH133" s="13"/>
      <c r="AI133" s="13"/>
      <c r="AJ133" s="13"/>
      <c r="AK133" s="13"/>
      <c r="AL133" s="13"/>
      <c r="AM133" s="13"/>
      <c r="AN133" s="13"/>
      <c r="AO133" s="13"/>
      <c r="AP133" s="13"/>
      <c r="AQ133" s="13"/>
      <c r="AR133" s="13"/>
    </row>
    <row r="134" spans="1:44" ht="14.25" customHeight="1">
      <c r="A134" s="641"/>
      <c r="B134" s="641"/>
      <c r="C134" s="643" t="s">
        <v>123</v>
      </c>
      <c r="D134" s="643"/>
      <c r="E134" s="648" t="s">
        <v>134</v>
      </c>
      <c r="F134" s="648"/>
      <c r="G134" s="643" t="s">
        <v>102</v>
      </c>
      <c r="H134" s="643"/>
      <c r="I134" s="643" t="s">
        <v>134</v>
      </c>
      <c r="J134" s="643"/>
      <c r="K134" s="643" t="s">
        <v>102</v>
      </c>
      <c r="L134" s="643"/>
      <c r="M134" s="643" t="s">
        <v>102</v>
      </c>
      <c r="N134" s="643"/>
      <c r="O134" s="643" t="s">
        <v>134</v>
      </c>
      <c r="P134" s="643"/>
      <c r="Q134" s="648" t="s">
        <v>102</v>
      </c>
      <c r="R134" s="648"/>
      <c r="S134" s="643" t="s">
        <v>102</v>
      </c>
      <c r="T134" s="643"/>
      <c r="U134" s="643" t="s">
        <v>134</v>
      </c>
      <c r="V134" s="643"/>
      <c r="W134" s="643" t="s">
        <v>102</v>
      </c>
      <c r="X134" s="643"/>
      <c r="Y134" s="643" t="s">
        <v>102</v>
      </c>
      <c r="Z134" s="643"/>
      <c r="AA134" s="664" t="s">
        <v>102</v>
      </c>
      <c r="AB134" s="664"/>
      <c r="AC134" s="13"/>
      <c r="AD134" s="13"/>
      <c r="AE134" s="13"/>
      <c r="AF134" s="13"/>
      <c r="AG134" s="13"/>
      <c r="AH134" s="13"/>
      <c r="AI134" s="13"/>
      <c r="AJ134" s="13"/>
      <c r="AK134" s="13"/>
      <c r="AL134" s="13"/>
      <c r="AM134" s="13"/>
      <c r="AN134" s="13"/>
      <c r="AO134" s="13"/>
      <c r="AP134" s="13"/>
      <c r="AQ134" s="13"/>
      <c r="AR134" s="13"/>
    </row>
    <row r="135" spans="1:44" ht="14.25" customHeight="1">
      <c r="A135" s="641"/>
      <c r="B135" s="641"/>
      <c r="C135" s="643"/>
      <c r="D135" s="643"/>
      <c r="E135" s="648"/>
      <c r="F135" s="648"/>
      <c r="G135" s="646"/>
      <c r="H135" s="646"/>
      <c r="I135" s="646"/>
      <c r="J135" s="646"/>
      <c r="K135" s="646"/>
      <c r="L135" s="646"/>
      <c r="M135" s="646"/>
      <c r="N135" s="646"/>
      <c r="O135" s="646"/>
      <c r="P135" s="646"/>
      <c r="Q135" s="648"/>
      <c r="R135" s="648"/>
      <c r="S135" s="646"/>
      <c r="T135" s="646"/>
      <c r="U135" s="646"/>
      <c r="V135" s="646"/>
      <c r="W135" s="646"/>
      <c r="X135" s="646"/>
      <c r="Y135" s="646"/>
      <c r="Z135" s="646"/>
      <c r="AA135" s="665"/>
      <c r="AB135" s="665"/>
      <c r="AC135" s="13"/>
      <c r="AD135" s="13"/>
      <c r="AE135" s="13"/>
      <c r="AF135" s="13"/>
      <c r="AG135" s="13"/>
      <c r="AH135" s="13"/>
      <c r="AI135" s="13"/>
      <c r="AJ135" s="13"/>
      <c r="AK135" s="13"/>
      <c r="AL135" s="13"/>
      <c r="AM135" s="13"/>
      <c r="AN135" s="13"/>
      <c r="AO135" s="13"/>
      <c r="AP135" s="13"/>
      <c r="AQ135" s="13"/>
      <c r="AR135" s="13"/>
    </row>
    <row r="136" spans="1:44" ht="14.25" customHeight="1">
      <c r="A136" s="641"/>
      <c r="B136" s="641"/>
      <c r="C136" s="644"/>
      <c r="D136" s="644"/>
      <c r="E136" s="649"/>
      <c r="F136" s="649"/>
      <c r="G136" s="644"/>
      <c r="H136" s="644"/>
      <c r="I136" s="644"/>
      <c r="J136" s="644"/>
      <c r="K136" s="644"/>
      <c r="L136" s="644"/>
      <c r="M136" s="644"/>
      <c r="N136" s="644"/>
      <c r="O136" s="644"/>
      <c r="P136" s="644"/>
      <c r="Q136" s="649"/>
      <c r="R136" s="649"/>
      <c r="S136" s="644"/>
      <c r="T136" s="644"/>
      <c r="U136" s="644"/>
      <c r="V136" s="644"/>
      <c r="W136" s="644"/>
      <c r="X136" s="644"/>
      <c r="Y136" s="644"/>
      <c r="Z136" s="644"/>
      <c r="AA136" s="666"/>
      <c r="AB136" s="666"/>
      <c r="AC136" s="13"/>
      <c r="AD136" s="13"/>
      <c r="AE136" s="13"/>
      <c r="AF136" s="13"/>
      <c r="AG136" s="13"/>
      <c r="AH136" s="13"/>
      <c r="AI136" s="13"/>
      <c r="AJ136" s="13"/>
      <c r="AK136" s="13"/>
      <c r="AL136" s="13"/>
      <c r="AM136" s="13"/>
      <c r="AN136" s="13"/>
      <c r="AO136" s="13"/>
      <c r="AP136" s="13"/>
      <c r="AQ136" s="13"/>
      <c r="AR136" s="13"/>
    </row>
    <row r="137" spans="1:44" ht="25.5" customHeight="1">
      <c r="A137" s="173"/>
      <c r="B137" s="173"/>
      <c r="C137" s="170"/>
      <c r="D137" s="170"/>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c r="AA137" s="174"/>
      <c r="AB137" s="174"/>
      <c r="AC137" s="13"/>
      <c r="AD137" s="13"/>
      <c r="AE137" s="13"/>
      <c r="AF137" s="13"/>
      <c r="AG137" s="13"/>
      <c r="AH137" s="13"/>
      <c r="AI137" s="13"/>
      <c r="AJ137" s="13"/>
      <c r="AK137" s="13"/>
      <c r="AL137" s="13"/>
      <c r="AM137" s="13"/>
      <c r="AN137" s="13"/>
      <c r="AO137" s="13"/>
      <c r="AP137" s="13"/>
      <c r="AQ137" s="13"/>
      <c r="AR137" s="13"/>
    </row>
    <row r="138" spans="1:44" ht="25.5" customHeight="1">
      <c r="A138" s="175"/>
      <c r="B138" s="175"/>
      <c r="C138" s="177"/>
      <c r="D138" s="177"/>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c r="AC138" s="176"/>
      <c r="AD138" s="176"/>
      <c r="AE138" s="176"/>
      <c r="AF138" s="176"/>
      <c r="AG138" s="176"/>
      <c r="AH138" s="176"/>
      <c r="AI138" s="176"/>
      <c r="AJ138" s="176"/>
      <c r="AK138" s="176"/>
      <c r="AL138" s="176"/>
      <c r="AM138" s="176"/>
      <c r="AN138" s="176"/>
      <c r="AO138" s="176"/>
      <c r="AP138" s="176"/>
      <c r="AQ138" s="176"/>
      <c r="AR138" s="13"/>
    </row>
    <row r="139" spans="1:44" ht="25.5" customHeight="1">
      <c r="A139" s="173"/>
      <c r="B139" s="173"/>
      <c r="C139" s="170"/>
      <c r="D139" s="170"/>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c r="AA139" s="174"/>
      <c r="AB139" s="174"/>
      <c r="AC139" s="13"/>
      <c r="AD139" s="13"/>
      <c r="AE139" s="13"/>
      <c r="AF139" s="13"/>
      <c r="AG139" s="13"/>
      <c r="AH139" s="13"/>
      <c r="AI139" s="13"/>
      <c r="AJ139" s="13"/>
      <c r="AK139" s="13"/>
      <c r="AL139" s="13"/>
      <c r="AM139" s="13"/>
      <c r="AN139" s="13"/>
      <c r="AO139" s="13"/>
      <c r="AP139" s="13"/>
      <c r="AQ139" s="13"/>
      <c r="AR139" s="13"/>
    </row>
    <row r="140" spans="1:44" ht="25.5" customHeight="1">
      <c r="A140" s="12" t="s">
        <v>135</v>
      </c>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3"/>
      <c r="AD140" s="13"/>
      <c r="AE140" s="13"/>
      <c r="AF140" s="13"/>
      <c r="AG140" s="13"/>
      <c r="AH140" s="13"/>
      <c r="AI140" s="13"/>
      <c r="AJ140" s="13"/>
      <c r="AK140" s="13"/>
      <c r="AL140" s="13"/>
      <c r="AM140" s="13"/>
      <c r="AN140" s="13"/>
      <c r="AO140" s="13"/>
      <c r="AP140" s="13"/>
      <c r="AQ140" s="13"/>
      <c r="AR140" s="13"/>
    </row>
    <row r="141" spans="1:44" ht="14.25" customHeight="1">
      <c r="A141" s="667" t="s">
        <v>78</v>
      </c>
      <c r="B141" s="668" t="s">
        <v>56</v>
      </c>
      <c r="C141" s="669" t="s">
        <v>79</v>
      </c>
      <c r="D141" s="669"/>
      <c r="E141" s="670" t="s">
        <v>80</v>
      </c>
      <c r="F141" s="670"/>
      <c r="G141" s="614" t="s">
        <v>81</v>
      </c>
      <c r="H141" s="614"/>
      <c r="I141" s="614" t="s">
        <v>82</v>
      </c>
      <c r="J141" s="614"/>
      <c r="K141" s="614" t="s">
        <v>83</v>
      </c>
      <c r="L141" s="614"/>
      <c r="M141" s="614" t="s">
        <v>84</v>
      </c>
      <c r="N141" s="614"/>
      <c r="O141" s="614" t="s">
        <v>85</v>
      </c>
      <c r="P141" s="614"/>
      <c r="Q141" s="614" t="s">
        <v>86</v>
      </c>
      <c r="R141" s="614"/>
      <c r="S141" s="614" t="s">
        <v>87</v>
      </c>
      <c r="T141" s="614"/>
      <c r="U141" s="614" t="s">
        <v>88</v>
      </c>
      <c r="V141" s="614"/>
      <c r="W141" s="614" t="s">
        <v>89</v>
      </c>
      <c r="X141" s="614"/>
      <c r="Y141" s="614" t="s">
        <v>90</v>
      </c>
      <c r="Z141" s="614"/>
      <c r="AA141" s="614" t="s">
        <v>91</v>
      </c>
      <c r="AB141" s="614"/>
      <c r="AC141" s="13"/>
      <c r="AD141" s="13"/>
      <c r="AE141" s="13"/>
      <c r="AF141" s="13"/>
      <c r="AG141" s="13"/>
      <c r="AH141" s="13"/>
      <c r="AI141" s="13"/>
      <c r="AJ141" s="13"/>
      <c r="AK141" s="13"/>
      <c r="AL141" s="13"/>
      <c r="AM141" s="13"/>
      <c r="AN141" s="13"/>
      <c r="AO141" s="13"/>
      <c r="AP141" s="13"/>
      <c r="AQ141" s="13"/>
      <c r="AR141" s="13"/>
    </row>
    <row r="142" spans="1:44" ht="14.25" customHeight="1">
      <c r="A142" s="667"/>
      <c r="B142" s="668"/>
      <c r="C142" s="615" t="s">
        <v>36</v>
      </c>
      <c r="D142" s="652" t="s">
        <v>92</v>
      </c>
      <c r="E142" s="617">
        <f>F157/$D$157</f>
        <v>6.4386412022009731E-2</v>
      </c>
      <c r="F142" s="617"/>
      <c r="G142" s="617">
        <f>H157/$D$157</f>
        <v>6.7255274937420798E-2</v>
      </c>
      <c r="H142" s="617"/>
      <c r="I142" s="617">
        <f>J157/$D$157</f>
        <v>7.0752055971175301E-2</v>
      </c>
      <c r="J142" s="617"/>
      <c r="K142" s="617">
        <f>L157/$D$157</f>
        <v>7.385195873599941E-2</v>
      </c>
      <c r="L142" s="617"/>
      <c r="M142" s="617">
        <f>N157/$D$157</f>
        <v>7.7214084642795389E-2</v>
      </c>
      <c r="N142" s="617"/>
      <c r="O142" s="617">
        <f>P157/$D$157</f>
        <v>8.0406119862906911E-2</v>
      </c>
      <c r="P142" s="617"/>
      <c r="Q142" s="617">
        <f>R157/$D$157</f>
        <v>8.4226073201361856E-2</v>
      </c>
      <c r="R142" s="617"/>
      <c r="S142" s="617">
        <f>T157/$D$157</f>
        <v>8.7649148270886434E-2</v>
      </c>
      <c r="T142" s="617"/>
      <c r="U142" s="617">
        <f>V157/$D$157</f>
        <v>9.2323807309930742E-2</v>
      </c>
      <c r="V142" s="617"/>
      <c r="W142" s="617">
        <f>X157/$D$157</f>
        <v>9.6133838691662435E-2</v>
      </c>
      <c r="X142" s="617"/>
      <c r="Y142" s="617">
        <f>Z157/$D$157</f>
        <v>0.10083401133370942</v>
      </c>
      <c r="Z142" s="617"/>
      <c r="AA142" s="617">
        <f>AB157/$D$157</f>
        <v>0.10496721502014157</v>
      </c>
      <c r="AB142" s="617"/>
      <c r="AC142" s="13"/>
      <c r="AD142" s="13"/>
      <c r="AE142" s="13"/>
      <c r="AF142" s="13"/>
      <c r="AG142" s="13"/>
      <c r="AH142" s="13"/>
      <c r="AI142" s="13"/>
      <c r="AJ142" s="13"/>
      <c r="AK142" s="13"/>
      <c r="AL142" s="13"/>
      <c r="AM142" s="13"/>
      <c r="AN142" s="13"/>
      <c r="AO142" s="13"/>
      <c r="AP142" s="13"/>
      <c r="AQ142" s="13"/>
      <c r="AR142" s="13"/>
    </row>
    <row r="143" spans="1:44" ht="14.25" customHeight="1">
      <c r="A143" s="667"/>
      <c r="B143" s="668"/>
      <c r="C143" s="615"/>
      <c r="D143" s="652"/>
      <c r="E143" s="179" t="s">
        <v>36</v>
      </c>
      <c r="F143" s="180" t="s">
        <v>92</v>
      </c>
      <c r="G143" s="179" t="s">
        <v>36</v>
      </c>
      <c r="H143" s="180" t="s">
        <v>92</v>
      </c>
      <c r="I143" s="179" t="s">
        <v>36</v>
      </c>
      <c r="J143" s="180" t="s">
        <v>92</v>
      </c>
      <c r="K143" s="179" t="s">
        <v>36</v>
      </c>
      <c r="L143" s="180" t="s">
        <v>92</v>
      </c>
      <c r="M143" s="179" t="s">
        <v>36</v>
      </c>
      <c r="N143" s="180" t="s">
        <v>92</v>
      </c>
      <c r="O143" s="179" t="s">
        <v>36</v>
      </c>
      <c r="P143" s="180" t="s">
        <v>92</v>
      </c>
      <c r="Q143" s="179" t="s">
        <v>36</v>
      </c>
      <c r="R143" s="180" t="s">
        <v>92</v>
      </c>
      <c r="S143" s="90" t="s">
        <v>36</v>
      </c>
      <c r="T143" s="91" t="s">
        <v>92</v>
      </c>
      <c r="U143" s="90" t="s">
        <v>36</v>
      </c>
      <c r="V143" s="91" t="s">
        <v>92</v>
      </c>
      <c r="W143" s="90" t="s">
        <v>36</v>
      </c>
      <c r="X143" s="91" t="s">
        <v>92</v>
      </c>
      <c r="Y143" s="90" t="s">
        <v>36</v>
      </c>
      <c r="Z143" s="91" t="s">
        <v>92</v>
      </c>
      <c r="AA143" s="90" t="s">
        <v>36</v>
      </c>
      <c r="AB143" s="91" t="s">
        <v>92</v>
      </c>
      <c r="AC143" s="13"/>
      <c r="AD143" s="13"/>
      <c r="AE143" s="13"/>
      <c r="AF143" s="13"/>
      <c r="AG143" s="13"/>
      <c r="AH143" s="13"/>
      <c r="AI143" s="13"/>
      <c r="AJ143" s="13"/>
      <c r="AK143" s="13"/>
      <c r="AL143" s="13"/>
      <c r="AM143" s="13"/>
      <c r="AN143" s="13"/>
      <c r="AO143" s="13"/>
      <c r="AP143" s="13"/>
      <c r="AQ143" s="13"/>
      <c r="AR143" s="13"/>
    </row>
    <row r="144" spans="1:44" ht="15" customHeight="1">
      <c r="A144" s="92" t="str">
        <f>Hipótesis!$B$58</f>
        <v>Alta e instalación Plan Básico</v>
      </c>
      <c r="B144" s="93">
        <f>Hipótesis!C58</f>
        <v>40</v>
      </c>
      <c r="C144" s="94">
        <f t="shared" ref="C144:C149" si="4">E144+G144+I144+K144+M144+O144+Q144+S144+U144+W144+Y144+AA144</f>
        <v>118</v>
      </c>
      <c r="D144" s="181">
        <f t="shared" ref="D144:D149" si="5">B144*C144</f>
        <v>4720</v>
      </c>
      <c r="E144" s="96">
        <v>8</v>
      </c>
      <c r="F144" s="97">
        <f>E144*$B$144</f>
        <v>320</v>
      </c>
      <c r="G144" s="96">
        <v>8</v>
      </c>
      <c r="H144" s="97">
        <f>G144*$B$144</f>
        <v>320</v>
      </c>
      <c r="I144" s="96">
        <v>9</v>
      </c>
      <c r="J144" s="97">
        <f>I144*$B$144</f>
        <v>360</v>
      </c>
      <c r="K144" s="96">
        <v>9</v>
      </c>
      <c r="L144" s="97">
        <f>K144*$B$144</f>
        <v>360</v>
      </c>
      <c r="M144" s="96">
        <v>9</v>
      </c>
      <c r="N144" s="97">
        <f>M144*$B$144</f>
        <v>360</v>
      </c>
      <c r="O144" s="96">
        <v>9</v>
      </c>
      <c r="P144" s="97">
        <f>O144*$B$144</f>
        <v>360</v>
      </c>
      <c r="Q144" s="96">
        <v>10</v>
      </c>
      <c r="R144" s="97">
        <f>Q144*$B$144</f>
        <v>400</v>
      </c>
      <c r="S144" s="96">
        <v>10</v>
      </c>
      <c r="T144" s="97">
        <f>S144*$B$144</f>
        <v>400</v>
      </c>
      <c r="U144" s="96">
        <v>11</v>
      </c>
      <c r="V144" s="97">
        <f>U144*$B$144</f>
        <v>440</v>
      </c>
      <c r="W144" s="96">
        <v>11</v>
      </c>
      <c r="X144" s="97">
        <f>W144*$B$144</f>
        <v>440</v>
      </c>
      <c r="Y144" s="96">
        <v>12</v>
      </c>
      <c r="Z144" s="97">
        <f>Y144*$B$144</f>
        <v>480</v>
      </c>
      <c r="AA144" s="96">
        <v>12</v>
      </c>
      <c r="AB144" s="97">
        <f>AA144*$B$144</f>
        <v>480</v>
      </c>
      <c r="AC144" s="13"/>
      <c r="AD144" s="13"/>
      <c r="AE144" s="13"/>
      <c r="AF144" s="13"/>
      <c r="AG144" s="13"/>
      <c r="AH144" s="13"/>
      <c r="AI144" s="13"/>
      <c r="AJ144" s="13"/>
      <c r="AK144" s="13"/>
      <c r="AL144" s="13"/>
      <c r="AM144" s="13"/>
      <c r="AN144" s="13"/>
      <c r="AO144" s="13"/>
      <c r="AP144" s="13"/>
      <c r="AQ144" s="13"/>
      <c r="AR144" s="13"/>
    </row>
    <row r="145" spans="1:44" ht="15" customHeight="1">
      <c r="A145" s="92" t="str">
        <f>Hipótesis!$B$59</f>
        <v>Alta e instalación Plan Vidriera</v>
      </c>
      <c r="B145" s="98">
        <f>Hipótesis!C59</f>
        <v>120</v>
      </c>
      <c r="C145" s="99">
        <f t="shared" si="4"/>
        <v>278</v>
      </c>
      <c r="D145" s="101">
        <f t="shared" si="5"/>
        <v>33360</v>
      </c>
      <c r="E145" s="99">
        <v>19</v>
      </c>
      <c r="F145" s="101">
        <f>E145*$B$145</f>
        <v>2280</v>
      </c>
      <c r="G145" s="99">
        <v>19</v>
      </c>
      <c r="H145" s="101">
        <f>G145*$B$145</f>
        <v>2280</v>
      </c>
      <c r="I145" s="99">
        <v>21</v>
      </c>
      <c r="J145" s="101">
        <f>I145*$B$145</f>
        <v>2520</v>
      </c>
      <c r="K145" s="99">
        <v>21</v>
      </c>
      <c r="L145" s="101">
        <f>K145*$B$145</f>
        <v>2520</v>
      </c>
      <c r="M145" s="99">
        <v>22</v>
      </c>
      <c r="N145" s="101">
        <f>M145*$B$145</f>
        <v>2640</v>
      </c>
      <c r="O145" s="99">
        <v>22</v>
      </c>
      <c r="P145" s="101">
        <f>O145*$B$145</f>
        <v>2640</v>
      </c>
      <c r="Q145" s="99">
        <v>24</v>
      </c>
      <c r="R145" s="101">
        <f>Q145*$B$145</f>
        <v>2880</v>
      </c>
      <c r="S145" s="99">
        <v>24</v>
      </c>
      <c r="T145" s="101">
        <f>S145*$B$145</f>
        <v>2880</v>
      </c>
      <c r="U145" s="99">
        <v>25</v>
      </c>
      <c r="V145" s="101">
        <f>U145*$B$145</f>
        <v>3000</v>
      </c>
      <c r="W145" s="99">
        <v>25</v>
      </c>
      <c r="X145" s="101">
        <f>W145*$B$145</f>
        <v>3000</v>
      </c>
      <c r="Y145" s="99">
        <v>28</v>
      </c>
      <c r="Z145" s="101">
        <f>Y145*$B$145</f>
        <v>3360</v>
      </c>
      <c r="AA145" s="99">
        <v>28</v>
      </c>
      <c r="AB145" s="101">
        <f>AA145*$B$145</f>
        <v>3360</v>
      </c>
      <c r="AC145" s="13"/>
      <c r="AD145" s="13"/>
      <c r="AE145" s="13"/>
      <c r="AF145" s="13"/>
      <c r="AG145" s="13"/>
      <c r="AH145" s="13"/>
      <c r="AI145" s="13"/>
      <c r="AJ145" s="13"/>
      <c r="AK145" s="13"/>
      <c r="AL145" s="13"/>
      <c r="AM145" s="13"/>
      <c r="AN145" s="13"/>
      <c r="AO145" s="13"/>
      <c r="AP145" s="13"/>
      <c r="AQ145" s="13"/>
      <c r="AR145" s="13"/>
    </row>
    <row r="146" spans="1:44" ht="15" customHeight="1">
      <c r="A146" s="92" t="str">
        <f>Hipótesis!$B$60</f>
        <v>Alta e instalación Plan Cadena</v>
      </c>
      <c r="B146" s="102">
        <f>Hipótesis!C60</f>
        <v>450</v>
      </c>
      <c r="C146" s="103">
        <f t="shared" si="4"/>
        <v>40</v>
      </c>
      <c r="D146" s="182">
        <f t="shared" si="5"/>
        <v>18000</v>
      </c>
      <c r="E146" s="104">
        <v>3</v>
      </c>
      <c r="F146" s="105">
        <f>E146*$B$146</f>
        <v>1350</v>
      </c>
      <c r="G146" s="104">
        <v>3</v>
      </c>
      <c r="H146" s="105">
        <f>G146*$B$146</f>
        <v>1350</v>
      </c>
      <c r="I146" s="104">
        <v>3</v>
      </c>
      <c r="J146" s="105">
        <f>I146*$B$146</f>
        <v>1350</v>
      </c>
      <c r="K146" s="104">
        <v>3</v>
      </c>
      <c r="L146" s="105">
        <f>K146*$B$146</f>
        <v>1350</v>
      </c>
      <c r="M146" s="104">
        <v>3</v>
      </c>
      <c r="N146" s="105">
        <f>M146*$B$146</f>
        <v>1350</v>
      </c>
      <c r="O146" s="104">
        <v>3</v>
      </c>
      <c r="P146" s="105">
        <f>O146*$B$146</f>
        <v>1350</v>
      </c>
      <c r="Q146" s="104">
        <v>3</v>
      </c>
      <c r="R146" s="105">
        <f>Q146*$B$146</f>
        <v>1350</v>
      </c>
      <c r="S146" s="104">
        <v>3</v>
      </c>
      <c r="T146" s="105">
        <f>S146*$B$146</f>
        <v>1350</v>
      </c>
      <c r="U146" s="104">
        <v>4</v>
      </c>
      <c r="V146" s="105">
        <f>U146*$B$146</f>
        <v>1800</v>
      </c>
      <c r="W146" s="104">
        <v>4</v>
      </c>
      <c r="X146" s="105">
        <f>W146*$B$146</f>
        <v>1800</v>
      </c>
      <c r="Y146" s="104">
        <v>4</v>
      </c>
      <c r="Z146" s="105">
        <f>Y146*$B$146</f>
        <v>1800</v>
      </c>
      <c r="AA146" s="104">
        <v>4</v>
      </c>
      <c r="AB146" s="105">
        <f>AA146*$B$146</f>
        <v>1800</v>
      </c>
      <c r="AC146" s="13"/>
      <c r="AD146" s="13"/>
      <c r="AE146" s="13"/>
      <c r="AF146" s="13"/>
      <c r="AG146" s="13"/>
      <c r="AH146" s="13"/>
      <c r="AI146" s="13"/>
      <c r="AJ146" s="13"/>
      <c r="AK146" s="13"/>
      <c r="AL146" s="13"/>
      <c r="AM146" s="13"/>
      <c r="AN146" s="13"/>
      <c r="AO146" s="13"/>
      <c r="AP146" s="13"/>
      <c r="AQ146" s="13"/>
      <c r="AR146" s="13"/>
    </row>
    <row r="147" spans="1:44" ht="15" customHeight="1">
      <c r="A147" s="106" t="str">
        <f>Hipótesis!$B$61</f>
        <v>Abono Plan Básico</v>
      </c>
      <c r="B147" s="107">
        <f>Hipótesis!C61</f>
        <v>33</v>
      </c>
      <c r="C147" s="108">
        <f t="shared" si="4"/>
        <v>2657</v>
      </c>
      <c r="D147" s="110">
        <f t="shared" si="5"/>
        <v>87681</v>
      </c>
      <c r="E147" s="109">
        <f>AA85+E144</f>
        <v>170</v>
      </c>
      <c r="F147" s="183">
        <f>E147*$B$147</f>
        <v>5610</v>
      </c>
      <c r="G147" s="109">
        <f>E147+G144</f>
        <v>178</v>
      </c>
      <c r="H147" s="110">
        <f>G147*$B$147</f>
        <v>5874</v>
      </c>
      <c r="I147" s="109">
        <f>G147+I144</f>
        <v>187</v>
      </c>
      <c r="J147" s="110">
        <f>I147*$B$147</f>
        <v>6171</v>
      </c>
      <c r="K147" s="109">
        <f>I147+K144</f>
        <v>196</v>
      </c>
      <c r="L147" s="110">
        <f>K147*$B$147</f>
        <v>6468</v>
      </c>
      <c r="M147" s="109">
        <f>K147+M144</f>
        <v>205</v>
      </c>
      <c r="N147" s="110">
        <f>M147*$B$147</f>
        <v>6765</v>
      </c>
      <c r="O147" s="109">
        <f>M147+O144</f>
        <v>214</v>
      </c>
      <c r="P147" s="110">
        <f>O147*$B$147</f>
        <v>7062</v>
      </c>
      <c r="Q147" s="109">
        <f>O147+Q144</f>
        <v>224</v>
      </c>
      <c r="R147" s="110">
        <f>Q147*$B$147</f>
        <v>7392</v>
      </c>
      <c r="S147" s="109">
        <f>Q147+S144</f>
        <v>234</v>
      </c>
      <c r="T147" s="110">
        <f>S147*$B$147</f>
        <v>7722</v>
      </c>
      <c r="U147" s="109">
        <f>S147+U144</f>
        <v>245</v>
      </c>
      <c r="V147" s="110">
        <f>U147*$B$147</f>
        <v>8085</v>
      </c>
      <c r="W147" s="109">
        <f>U147+W144</f>
        <v>256</v>
      </c>
      <c r="X147" s="110">
        <f>W147*$B$147</f>
        <v>8448</v>
      </c>
      <c r="Y147" s="109">
        <f>W147+Y144</f>
        <v>268</v>
      </c>
      <c r="Z147" s="110">
        <f>Y147*$B$147</f>
        <v>8844</v>
      </c>
      <c r="AA147" s="109">
        <f>Y147+AA144</f>
        <v>280</v>
      </c>
      <c r="AB147" s="110">
        <f>AA147*$B$147</f>
        <v>9240</v>
      </c>
      <c r="AC147" s="13"/>
      <c r="AD147" s="13"/>
      <c r="AE147" s="13"/>
      <c r="AF147" s="13"/>
      <c r="AG147" s="13"/>
      <c r="AH147" s="13"/>
      <c r="AI147" s="13"/>
      <c r="AJ147" s="13"/>
      <c r="AK147" s="13"/>
      <c r="AL147" s="13"/>
      <c r="AM147" s="13"/>
      <c r="AN147" s="13"/>
      <c r="AO147" s="13"/>
      <c r="AP147" s="13"/>
      <c r="AQ147" s="13"/>
      <c r="AR147" s="13"/>
    </row>
    <row r="148" spans="1:44" ht="15" customHeight="1">
      <c r="A148" s="106" t="str">
        <f>Hipótesis!$B$62</f>
        <v>Abono Plan Vidriera</v>
      </c>
      <c r="B148" s="111">
        <f>Hipótesis!C62</f>
        <v>65</v>
      </c>
      <c r="C148" s="112">
        <f t="shared" si="4"/>
        <v>6273</v>
      </c>
      <c r="D148" s="113">
        <f t="shared" si="5"/>
        <v>407745</v>
      </c>
      <c r="E148" s="112">
        <f>AA86+E145</f>
        <v>401</v>
      </c>
      <c r="F148" s="184">
        <f>E148*$B$148</f>
        <v>26065</v>
      </c>
      <c r="G148" s="112">
        <f>E148+G145</f>
        <v>420</v>
      </c>
      <c r="H148" s="113">
        <f>G148*$B$148</f>
        <v>27300</v>
      </c>
      <c r="I148" s="112">
        <f>G148+I145</f>
        <v>441</v>
      </c>
      <c r="J148" s="113">
        <f>I148*$B$148</f>
        <v>28665</v>
      </c>
      <c r="K148" s="112">
        <f>I148+K145</f>
        <v>462</v>
      </c>
      <c r="L148" s="113">
        <f>K148*$B$148</f>
        <v>30030</v>
      </c>
      <c r="M148" s="112">
        <f>K148+M145</f>
        <v>484</v>
      </c>
      <c r="N148" s="113">
        <f>M148*$B$148</f>
        <v>31460</v>
      </c>
      <c r="O148" s="112">
        <f>M148+O145</f>
        <v>506</v>
      </c>
      <c r="P148" s="113">
        <f>O148*$B$148</f>
        <v>32890</v>
      </c>
      <c r="Q148" s="112">
        <f>O148+Q145</f>
        <v>530</v>
      </c>
      <c r="R148" s="113">
        <f>Q148*$B$148</f>
        <v>34450</v>
      </c>
      <c r="S148" s="112">
        <f>Q148+S145</f>
        <v>554</v>
      </c>
      <c r="T148" s="113">
        <f>S148*$B$148</f>
        <v>36010</v>
      </c>
      <c r="U148" s="112">
        <f>S148+U145</f>
        <v>579</v>
      </c>
      <c r="V148" s="113">
        <f>U148*$B$148</f>
        <v>37635</v>
      </c>
      <c r="W148" s="112">
        <f>U148+W145</f>
        <v>604</v>
      </c>
      <c r="X148" s="113">
        <f>W148*$B$148</f>
        <v>39260</v>
      </c>
      <c r="Y148" s="112">
        <f>W148+Y145</f>
        <v>632</v>
      </c>
      <c r="Z148" s="113">
        <f>Y148*$B$148</f>
        <v>41080</v>
      </c>
      <c r="AA148" s="112">
        <f>Y148+AA145</f>
        <v>660</v>
      </c>
      <c r="AB148" s="113">
        <f>AA148*$B$148</f>
        <v>42900</v>
      </c>
      <c r="AC148" s="13"/>
      <c r="AD148" s="13"/>
      <c r="AE148" s="13"/>
      <c r="AF148" s="13"/>
      <c r="AG148" s="13"/>
      <c r="AH148" s="13"/>
      <c r="AI148" s="13"/>
      <c r="AJ148" s="13"/>
      <c r="AK148" s="13"/>
      <c r="AL148" s="13"/>
      <c r="AM148" s="13"/>
      <c r="AN148" s="13"/>
      <c r="AO148" s="13"/>
      <c r="AP148" s="13"/>
      <c r="AQ148" s="13"/>
      <c r="AR148" s="13"/>
    </row>
    <row r="149" spans="1:44" ht="15" customHeight="1">
      <c r="A149" s="106" t="str">
        <f>Hipótesis!$B$63</f>
        <v>Abono Plan Cadena</v>
      </c>
      <c r="B149" s="111">
        <f>Hipótesis!C63</f>
        <v>175</v>
      </c>
      <c r="C149" s="112">
        <f t="shared" si="4"/>
        <v>880</v>
      </c>
      <c r="D149" s="113">
        <f t="shared" si="5"/>
        <v>154000</v>
      </c>
      <c r="E149" s="112">
        <f>AA87+E146</f>
        <v>56</v>
      </c>
      <c r="F149" s="184">
        <f>E149*$B$149</f>
        <v>9800</v>
      </c>
      <c r="G149" s="112">
        <f>E149+G146</f>
        <v>59</v>
      </c>
      <c r="H149" s="113">
        <f>G149*$B$149</f>
        <v>10325</v>
      </c>
      <c r="I149" s="112">
        <f>G149+I146</f>
        <v>62</v>
      </c>
      <c r="J149" s="113">
        <f>I149*$B$149</f>
        <v>10850</v>
      </c>
      <c r="K149" s="112">
        <f>I149+K146</f>
        <v>65</v>
      </c>
      <c r="L149" s="113">
        <f>K149*$B$149</f>
        <v>11375</v>
      </c>
      <c r="M149" s="112">
        <f>K149+M146</f>
        <v>68</v>
      </c>
      <c r="N149" s="113">
        <f>M149*$B$149</f>
        <v>11900</v>
      </c>
      <c r="O149" s="112">
        <f>M149+O146</f>
        <v>71</v>
      </c>
      <c r="P149" s="113">
        <f>O149*$B$149</f>
        <v>12425</v>
      </c>
      <c r="Q149" s="112">
        <f>O149+Q146</f>
        <v>74</v>
      </c>
      <c r="R149" s="113">
        <f>Q149*$B$149</f>
        <v>12950</v>
      </c>
      <c r="S149" s="112">
        <f>Q149+S146</f>
        <v>77</v>
      </c>
      <c r="T149" s="113">
        <f>S149*$B$149</f>
        <v>13475</v>
      </c>
      <c r="U149" s="112">
        <f>S149+U146</f>
        <v>81</v>
      </c>
      <c r="V149" s="113">
        <f>U149*$B$149</f>
        <v>14175</v>
      </c>
      <c r="W149" s="112">
        <f>U149+W146</f>
        <v>85</v>
      </c>
      <c r="X149" s="113">
        <f>W149*$B$149</f>
        <v>14875</v>
      </c>
      <c r="Y149" s="112">
        <f>W149+Y146</f>
        <v>89</v>
      </c>
      <c r="Z149" s="113">
        <f>Y149*$B$149</f>
        <v>15575</v>
      </c>
      <c r="AA149" s="112">
        <f>Y149+AA146</f>
        <v>93</v>
      </c>
      <c r="AB149" s="113">
        <f>AA149*$B$149</f>
        <v>16275</v>
      </c>
      <c r="AC149" s="13"/>
      <c r="AD149" s="13"/>
      <c r="AE149" s="13"/>
      <c r="AF149" s="13"/>
      <c r="AG149" s="13"/>
      <c r="AH149" s="13"/>
      <c r="AI149" s="13"/>
      <c r="AJ149" s="13"/>
      <c r="AK149" s="13"/>
      <c r="AL149" s="13"/>
      <c r="AM149" s="13"/>
      <c r="AN149" s="13"/>
      <c r="AO149" s="13"/>
      <c r="AP149" s="13"/>
      <c r="AQ149" s="13"/>
      <c r="AR149" s="13"/>
    </row>
    <row r="150" spans="1:44" ht="15" customHeight="1">
      <c r="A150" s="114"/>
      <c r="B150" s="115"/>
      <c r="C150" s="116"/>
      <c r="D150" s="117"/>
      <c r="E150" s="116"/>
      <c r="F150" s="184"/>
      <c r="G150" s="116"/>
      <c r="H150" s="113"/>
      <c r="I150" s="116"/>
      <c r="J150" s="113"/>
      <c r="K150" s="116"/>
      <c r="L150" s="113"/>
      <c r="M150" s="116"/>
      <c r="N150" s="113"/>
      <c r="O150" s="116"/>
      <c r="P150" s="113"/>
      <c r="Q150" s="116"/>
      <c r="R150" s="113"/>
      <c r="S150" s="116"/>
      <c r="T150" s="113"/>
      <c r="U150" s="116"/>
      <c r="V150" s="113"/>
      <c r="W150" s="116"/>
      <c r="X150" s="113"/>
      <c r="Y150" s="116"/>
      <c r="Z150" s="113"/>
      <c r="AA150" s="116"/>
      <c r="AB150" s="113"/>
      <c r="AC150" s="13"/>
      <c r="AD150" s="13"/>
      <c r="AE150" s="13"/>
      <c r="AF150" s="13"/>
      <c r="AG150" s="13"/>
      <c r="AH150" s="13"/>
      <c r="AI150" s="13"/>
      <c r="AJ150" s="13"/>
      <c r="AK150" s="13"/>
      <c r="AL150" s="13"/>
      <c r="AM150" s="13"/>
      <c r="AN150" s="13"/>
      <c r="AO150" s="13"/>
      <c r="AP150" s="13"/>
      <c r="AQ150" s="13"/>
      <c r="AR150" s="13"/>
    </row>
    <row r="151" spans="1:44" ht="15" customHeight="1">
      <c r="A151" s="118"/>
      <c r="B151" s="119"/>
      <c r="C151" s="120"/>
      <c r="D151" s="121"/>
      <c r="E151" s="120"/>
      <c r="F151" s="121"/>
      <c r="G151" s="120"/>
      <c r="H151" s="121"/>
      <c r="I151" s="120"/>
      <c r="J151" s="121"/>
      <c r="K151" s="120"/>
      <c r="L151" s="121"/>
      <c r="M151" s="120"/>
      <c r="N151" s="121"/>
      <c r="O151" s="120"/>
      <c r="P151" s="121"/>
      <c r="Q151" s="120"/>
      <c r="R151" s="121"/>
      <c r="S151" s="120"/>
      <c r="T151" s="121"/>
      <c r="U151" s="120"/>
      <c r="V151" s="121"/>
      <c r="W151" s="120"/>
      <c r="X151" s="121"/>
      <c r="Y151" s="120"/>
      <c r="Z151" s="187"/>
      <c r="AA151" s="120"/>
      <c r="AB151" s="121"/>
      <c r="AC151" s="13"/>
      <c r="AD151" s="13"/>
      <c r="AE151" s="13"/>
      <c r="AF151" s="13"/>
      <c r="AG151" s="13"/>
      <c r="AH151" s="13"/>
      <c r="AI151" s="13"/>
      <c r="AJ151" s="13"/>
      <c r="AK151" s="13"/>
      <c r="AL151" s="13"/>
      <c r="AM151" s="13"/>
      <c r="AN151" s="13"/>
      <c r="AO151" s="13"/>
      <c r="AP151" s="13"/>
      <c r="AQ151" s="13"/>
      <c r="AR151" s="13"/>
    </row>
    <row r="152" spans="1:44" ht="15" customHeight="1">
      <c r="A152" s="124"/>
      <c r="B152" s="125"/>
      <c r="C152" s="126"/>
      <c r="D152" s="127"/>
      <c r="E152" s="126"/>
      <c r="F152" s="127"/>
      <c r="G152" s="126"/>
      <c r="H152" s="127"/>
      <c r="I152" s="126"/>
      <c r="J152" s="127"/>
      <c r="K152" s="126"/>
      <c r="L152" s="127"/>
      <c r="M152" s="126"/>
      <c r="N152" s="127"/>
      <c r="O152" s="126"/>
      <c r="P152" s="127"/>
      <c r="Q152" s="126"/>
      <c r="R152" s="127"/>
      <c r="S152" s="126"/>
      <c r="T152" s="127"/>
      <c r="U152" s="126"/>
      <c r="V152" s="127"/>
      <c r="W152" s="126"/>
      <c r="X152" s="127"/>
      <c r="Y152" s="126"/>
      <c r="Z152" s="189"/>
      <c r="AA152" s="126"/>
      <c r="AB152" s="127"/>
      <c r="AC152" s="13"/>
      <c r="AD152" s="13"/>
      <c r="AE152" s="13"/>
      <c r="AF152" s="13"/>
      <c r="AG152" s="13"/>
      <c r="AH152" s="13"/>
      <c r="AI152" s="13"/>
      <c r="AJ152" s="13"/>
      <c r="AK152" s="13"/>
      <c r="AL152" s="13"/>
      <c r="AM152" s="13"/>
      <c r="AN152" s="13"/>
      <c r="AO152" s="13"/>
      <c r="AP152" s="13"/>
      <c r="AQ152" s="13"/>
      <c r="AR152" s="13"/>
    </row>
    <row r="153" spans="1:44" ht="15" customHeight="1">
      <c r="A153" s="124"/>
      <c r="B153" s="125"/>
      <c r="C153" s="126"/>
      <c r="D153" s="127"/>
      <c r="E153" s="126"/>
      <c r="F153" s="127"/>
      <c r="G153" s="126"/>
      <c r="H153" s="127"/>
      <c r="I153" s="126"/>
      <c r="J153" s="127"/>
      <c r="K153" s="126"/>
      <c r="L153" s="127"/>
      <c r="M153" s="126"/>
      <c r="N153" s="127"/>
      <c r="O153" s="126"/>
      <c r="P153" s="127"/>
      <c r="Q153" s="126"/>
      <c r="R153" s="127"/>
      <c r="S153" s="126"/>
      <c r="T153" s="127"/>
      <c r="U153" s="126"/>
      <c r="V153" s="127"/>
      <c r="W153" s="126"/>
      <c r="X153" s="127"/>
      <c r="Y153" s="126"/>
      <c r="Z153" s="189"/>
      <c r="AA153" s="126"/>
      <c r="AB153" s="127"/>
      <c r="AC153" s="13"/>
      <c r="AD153" s="13"/>
      <c r="AE153" s="13"/>
      <c r="AF153" s="13"/>
      <c r="AG153" s="13"/>
      <c r="AH153" s="13"/>
      <c r="AI153" s="13"/>
      <c r="AJ153" s="13"/>
      <c r="AK153" s="13"/>
      <c r="AL153" s="13"/>
      <c r="AM153" s="13"/>
      <c r="AN153" s="13"/>
      <c r="AO153" s="13"/>
      <c r="AP153" s="13"/>
      <c r="AQ153" s="13"/>
      <c r="AR153" s="13"/>
    </row>
    <row r="154" spans="1:44" ht="15" customHeight="1">
      <c r="A154" s="124"/>
      <c r="B154" s="125"/>
      <c r="C154" s="126"/>
      <c r="D154" s="127"/>
      <c r="E154" s="126"/>
      <c r="F154" s="127"/>
      <c r="G154" s="126"/>
      <c r="H154" s="127"/>
      <c r="I154" s="126"/>
      <c r="J154" s="127"/>
      <c r="K154" s="126"/>
      <c r="L154" s="127"/>
      <c r="M154" s="126"/>
      <c r="N154" s="127"/>
      <c r="O154" s="126"/>
      <c r="P154" s="127"/>
      <c r="Q154" s="126"/>
      <c r="R154" s="127"/>
      <c r="S154" s="126"/>
      <c r="T154" s="127"/>
      <c r="U154" s="126"/>
      <c r="V154" s="127"/>
      <c r="W154" s="126"/>
      <c r="X154" s="127"/>
      <c r="Y154" s="126"/>
      <c r="Z154" s="189"/>
      <c r="AA154" s="126"/>
      <c r="AB154" s="127"/>
      <c r="AC154" s="13"/>
      <c r="AD154" s="13"/>
      <c r="AE154" s="13"/>
      <c r="AF154" s="13"/>
      <c r="AG154" s="13"/>
      <c r="AH154" s="13"/>
      <c r="AI154" s="13"/>
      <c r="AJ154" s="13"/>
      <c r="AK154" s="13"/>
      <c r="AL154" s="13"/>
      <c r="AM154" s="13"/>
      <c r="AN154" s="13"/>
      <c r="AO154" s="13"/>
      <c r="AP154" s="13"/>
      <c r="AQ154" s="13"/>
      <c r="AR154" s="13"/>
    </row>
    <row r="155" spans="1:44" ht="15" customHeight="1">
      <c r="A155" s="128"/>
      <c r="B155" s="129"/>
      <c r="C155" s="130"/>
      <c r="D155" s="131"/>
      <c r="E155" s="130"/>
      <c r="F155" s="131"/>
      <c r="G155" s="130"/>
      <c r="H155" s="131"/>
      <c r="I155" s="130"/>
      <c r="J155" s="131"/>
      <c r="K155" s="130"/>
      <c r="L155" s="131"/>
      <c r="M155" s="130"/>
      <c r="N155" s="131"/>
      <c r="O155" s="130"/>
      <c r="P155" s="131"/>
      <c r="Q155" s="130"/>
      <c r="R155" s="131"/>
      <c r="S155" s="130"/>
      <c r="T155" s="131"/>
      <c r="U155" s="130"/>
      <c r="V155" s="131"/>
      <c r="W155" s="130"/>
      <c r="X155" s="131"/>
      <c r="Y155" s="130"/>
      <c r="Z155" s="191"/>
      <c r="AA155" s="130"/>
      <c r="AB155" s="131"/>
      <c r="AC155" s="13"/>
      <c r="AD155" s="13"/>
      <c r="AE155" s="13"/>
      <c r="AF155" s="13"/>
      <c r="AG155" s="13"/>
      <c r="AH155" s="13"/>
      <c r="AI155" s="13"/>
      <c r="AJ155" s="13"/>
      <c r="AK155" s="13"/>
      <c r="AL155" s="13"/>
      <c r="AM155" s="13"/>
      <c r="AN155" s="13"/>
      <c r="AO155" s="13"/>
      <c r="AP155" s="13"/>
      <c r="AQ155" s="13"/>
      <c r="AR155" s="13"/>
    </row>
    <row r="156" spans="1:44" ht="15" customHeight="1">
      <c r="A156" s="202"/>
      <c r="B156" s="203"/>
      <c r="C156" s="204"/>
      <c r="D156" s="205"/>
      <c r="E156" s="204"/>
      <c r="F156" s="205"/>
      <c r="G156" s="204"/>
      <c r="H156" s="205"/>
      <c r="I156" s="204"/>
      <c r="J156" s="205"/>
      <c r="K156" s="204"/>
      <c r="L156" s="205"/>
      <c r="M156" s="204"/>
      <c r="N156" s="205"/>
      <c r="O156" s="204"/>
      <c r="P156" s="205"/>
      <c r="Q156" s="204"/>
      <c r="R156" s="205"/>
      <c r="S156" s="204"/>
      <c r="T156" s="205"/>
      <c r="U156" s="204"/>
      <c r="V156" s="205"/>
      <c r="W156" s="204"/>
      <c r="X156" s="205"/>
      <c r="Y156" s="204"/>
      <c r="Z156" s="206"/>
      <c r="AA156" s="204"/>
      <c r="AB156" s="205"/>
      <c r="AC156" s="13"/>
      <c r="AD156" s="13"/>
      <c r="AE156" s="13"/>
      <c r="AF156" s="13"/>
      <c r="AG156" s="13"/>
      <c r="AH156" s="13"/>
      <c r="AI156" s="13"/>
      <c r="AJ156" s="13"/>
      <c r="AK156" s="13"/>
      <c r="AL156" s="13"/>
      <c r="AM156" s="13"/>
      <c r="AN156" s="13"/>
      <c r="AO156" s="13"/>
      <c r="AP156" s="13"/>
      <c r="AQ156" s="13"/>
      <c r="AR156" s="13"/>
    </row>
    <row r="157" spans="1:44" ht="14.25" customHeight="1">
      <c r="A157" s="671" t="s">
        <v>93</v>
      </c>
      <c r="B157" s="671"/>
      <c r="C157" s="176"/>
      <c r="D157" s="141">
        <f>SUM(D144:D156)</f>
        <v>705506</v>
      </c>
      <c r="E157" s="140"/>
      <c r="F157" s="141">
        <f>SUM(F144:F156)</f>
        <v>45425</v>
      </c>
      <c r="G157" s="140"/>
      <c r="H157" s="141">
        <f>SUM(H144:H156)</f>
        <v>47449</v>
      </c>
      <c r="I157" s="140"/>
      <c r="J157" s="141">
        <f>SUM(J144:J156)</f>
        <v>49916</v>
      </c>
      <c r="K157" s="140"/>
      <c r="L157" s="141">
        <f>SUM(L144:L156)</f>
        <v>52103</v>
      </c>
      <c r="M157" s="140"/>
      <c r="N157" s="141">
        <f>SUM(N144:N156)</f>
        <v>54475</v>
      </c>
      <c r="O157" s="140"/>
      <c r="P157" s="141">
        <f>SUM(P144:P156)</f>
        <v>56727</v>
      </c>
      <c r="Q157" s="140"/>
      <c r="R157" s="141">
        <f>SUM(R144:R156)</f>
        <v>59422</v>
      </c>
      <c r="S157" s="140"/>
      <c r="T157" s="141">
        <f>SUM(T144:T156)</f>
        <v>61837</v>
      </c>
      <c r="U157" s="140"/>
      <c r="V157" s="141">
        <f>SUM(V144:V156)</f>
        <v>65135</v>
      </c>
      <c r="W157" s="140"/>
      <c r="X157" s="141">
        <f>SUM(X144:X156)</f>
        <v>67823</v>
      </c>
      <c r="Y157" s="140"/>
      <c r="Z157" s="141">
        <f>SUM(Z144:Z156)</f>
        <v>71139</v>
      </c>
      <c r="AA157" s="140"/>
      <c r="AB157" s="141">
        <f>SUM(AB144:AB156)</f>
        <v>74055</v>
      </c>
      <c r="AC157" s="13"/>
      <c r="AD157" s="13"/>
      <c r="AE157" s="13"/>
      <c r="AF157" s="13"/>
      <c r="AG157" s="13"/>
      <c r="AH157" s="13"/>
      <c r="AI157" s="13"/>
      <c r="AJ157" s="13"/>
      <c r="AK157" s="13"/>
      <c r="AL157" s="13"/>
      <c r="AM157" s="13"/>
      <c r="AN157" s="13"/>
      <c r="AO157" s="13"/>
      <c r="AP157" s="13"/>
      <c r="AQ157" s="13"/>
      <c r="AR157" s="13"/>
    </row>
    <row r="158" spans="1:44" ht="15" customHeight="1">
      <c r="A158" s="654"/>
      <c r="B158" s="654"/>
      <c r="C158" s="143">
        <f>C144</f>
        <v>118</v>
      </c>
      <c r="D158" s="146"/>
      <c r="E158" s="145">
        <f>E144</f>
        <v>8</v>
      </c>
      <c r="F158" s="146"/>
      <c r="G158" s="145">
        <f>G144</f>
        <v>8</v>
      </c>
      <c r="H158" s="146"/>
      <c r="I158" s="145">
        <f>I144</f>
        <v>9</v>
      </c>
      <c r="J158" s="146"/>
      <c r="K158" s="145">
        <f>K144</f>
        <v>9</v>
      </c>
      <c r="L158" s="146"/>
      <c r="M158" s="145">
        <f>M144</f>
        <v>9</v>
      </c>
      <c r="N158" s="146"/>
      <c r="O158" s="145">
        <f>O144</f>
        <v>9</v>
      </c>
      <c r="P158" s="146"/>
      <c r="Q158" s="145">
        <f>Q144</f>
        <v>10</v>
      </c>
      <c r="R158" s="146"/>
      <c r="S158" s="145">
        <f>S144</f>
        <v>10</v>
      </c>
      <c r="T158" s="146"/>
      <c r="U158" s="145">
        <f>U144</f>
        <v>11</v>
      </c>
      <c r="V158" s="146"/>
      <c r="W158" s="145">
        <f>W144</f>
        <v>11</v>
      </c>
      <c r="X158" s="146"/>
      <c r="Y158" s="145">
        <f>Y144</f>
        <v>12</v>
      </c>
      <c r="Z158" s="146"/>
      <c r="AA158" s="145">
        <f>AA144</f>
        <v>12</v>
      </c>
      <c r="AB158" s="144"/>
      <c r="AC158" s="13"/>
      <c r="AD158" s="13"/>
      <c r="AE158" s="13"/>
      <c r="AF158" s="13"/>
      <c r="AG158" s="13"/>
      <c r="AH158" s="13"/>
      <c r="AI158" s="13"/>
      <c r="AJ158" s="13"/>
      <c r="AK158" s="13"/>
      <c r="AL158" s="13"/>
      <c r="AM158" s="13"/>
      <c r="AN158" s="13"/>
      <c r="AO158" s="13"/>
      <c r="AP158" s="13"/>
      <c r="AQ158" s="13"/>
      <c r="AR158" s="13"/>
    </row>
    <row r="159" spans="1:44" ht="15" customHeight="1">
      <c r="A159" s="619"/>
      <c r="B159" s="619"/>
      <c r="C159" s="147">
        <f>C145</f>
        <v>278</v>
      </c>
      <c r="D159" s="150"/>
      <c r="E159" s="149">
        <f>E145</f>
        <v>19</v>
      </c>
      <c r="F159" s="150"/>
      <c r="G159" s="149">
        <f>G145</f>
        <v>19</v>
      </c>
      <c r="H159" s="150"/>
      <c r="I159" s="149">
        <f>I145</f>
        <v>21</v>
      </c>
      <c r="J159" s="150"/>
      <c r="K159" s="149">
        <f>K145</f>
        <v>21</v>
      </c>
      <c r="L159" s="150"/>
      <c r="M159" s="149">
        <f>M145</f>
        <v>22</v>
      </c>
      <c r="N159" s="150"/>
      <c r="O159" s="149">
        <f>O145</f>
        <v>22</v>
      </c>
      <c r="P159" s="150"/>
      <c r="Q159" s="149">
        <f>Q145</f>
        <v>24</v>
      </c>
      <c r="R159" s="150"/>
      <c r="S159" s="149">
        <f>S145</f>
        <v>24</v>
      </c>
      <c r="T159" s="150"/>
      <c r="U159" s="149">
        <f>U145</f>
        <v>25</v>
      </c>
      <c r="V159" s="150"/>
      <c r="W159" s="149">
        <f>W145</f>
        <v>25</v>
      </c>
      <c r="X159" s="150"/>
      <c r="Y159" s="149">
        <f>Y145</f>
        <v>28</v>
      </c>
      <c r="Z159" s="150"/>
      <c r="AA159" s="149">
        <f>AA145</f>
        <v>28</v>
      </c>
      <c r="AB159" s="148"/>
      <c r="AC159" s="13"/>
      <c r="AD159" s="13"/>
      <c r="AE159" s="13"/>
      <c r="AF159" s="13"/>
      <c r="AG159" s="13"/>
      <c r="AH159" s="13"/>
      <c r="AI159" s="13"/>
      <c r="AJ159" s="13"/>
      <c r="AK159" s="13"/>
      <c r="AL159" s="13"/>
      <c r="AM159" s="13"/>
      <c r="AN159" s="13"/>
      <c r="AO159" s="13"/>
      <c r="AP159" s="13"/>
      <c r="AQ159" s="13"/>
      <c r="AR159" s="13"/>
    </row>
    <row r="160" spans="1:44" ht="15" customHeight="1">
      <c r="A160" s="620"/>
      <c r="B160" s="620"/>
      <c r="C160" s="151">
        <f>C146</f>
        <v>40</v>
      </c>
      <c r="D160" s="154"/>
      <c r="E160" s="153">
        <f>E146</f>
        <v>3</v>
      </c>
      <c r="F160" s="154"/>
      <c r="G160" s="153">
        <f>G146</f>
        <v>3</v>
      </c>
      <c r="H160" s="154"/>
      <c r="I160" s="153">
        <f>I146</f>
        <v>3</v>
      </c>
      <c r="J160" s="154"/>
      <c r="K160" s="153">
        <f>K146</f>
        <v>3</v>
      </c>
      <c r="L160" s="154"/>
      <c r="M160" s="153">
        <f>M146</f>
        <v>3</v>
      </c>
      <c r="N160" s="154"/>
      <c r="O160" s="153">
        <f>O146</f>
        <v>3</v>
      </c>
      <c r="P160" s="154"/>
      <c r="Q160" s="153">
        <f>Q146</f>
        <v>3</v>
      </c>
      <c r="R160" s="154"/>
      <c r="S160" s="153">
        <f>S146</f>
        <v>3</v>
      </c>
      <c r="T160" s="154"/>
      <c r="U160" s="153">
        <f>U146</f>
        <v>4</v>
      </c>
      <c r="V160" s="154"/>
      <c r="W160" s="153">
        <f>W146</f>
        <v>4</v>
      </c>
      <c r="X160" s="154"/>
      <c r="Y160" s="153">
        <f>Y146</f>
        <v>4</v>
      </c>
      <c r="Z160" s="154"/>
      <c r="AA160" s="153">
        <f>AA146</f>
        <v>4</v>
      </c>
      <c r="AB160" s="152"/>
      <c r="AC160" s="13"/>
      <c r="AD160" s="13"/>
      <c r="AE160" s="13"/>
      <c r="AF160" s="13"/>
      <c r="AG160" s="13"/>
      <c r="AH160" s="13"/>
      <c r="AI160" s="13"/>
      <c r="AJ160" s="13"/>
      <c r="AK160" s="13"/>
      <c r="AL160" s="13"/>
      <c r="AM160" s="13"/>
      <c r="AN160" s="13"/>
      <c r="AO160" s="13"/>
      <c r="AP160" s="13"/>
      <c r="AQ160" s="13"/>
      <c r="AR160" s="13"/>
    </row>
    <row r="161" spans="1:44" ht="15" customHeight="1">
      <c r="A161" s="672"/>
      <c r="B161" s="672"/>
      <c r="C161" s="198">
        <f>SUM(C147:C150)</f>
        <v>9810</v>
      </c>
      <c r="D161" s="156"/>
      <c r="E161" s="157">
        <f>SUM(E147:E150)</f>
        <v>627</v>
      </c>
      <c r="F161" s="158"/>
      <c r="G161" s="157">
        <f>SUM(G147:G150)</f>
        <v>657</v>
      </c>
      <c r="H161" s="158"/>
      <c r="I161" s="157">
        <f>SUM(I147:I150)</f>
        <v>690</v>
      </c>
      <c r="J161" s="158"/>
      <c r="K161" s="157">
        <f>SUM(K147:K150)</f>
        <v>723</v>
      </c>
      <c r="L161" s="158"/>
      <c r="M161" s="157">
        <f>SUM(M147:M150)</f>
        <v>757</v>
      </c>
      <c r="N161" s="158"/>
      <c r="O161" s="157">
        <f>SUM(O147:O150)</f>
        <v>791</v>
      </c>
      <c r="P161" s="158"/>
      <c r="Q161" s="157">
        <f>SUM(Q147:Q150)</f>
        <v>828</v>
      </c>
      <c r="R161" s="158"/>
      <c r="S161" s="157">
        <f>SUM(S147:S150)</f>
        <v>865</v>
      </c>
      <c r="T161" s="158"/>
      <c r="U161" s="157">
        <f>SUM(U147:U150)</f>
        <v>905</v>
      </c>
      <c r="V161" s="158"/>
      <c r="W161" s="157">
        <f>SUM(W147:W150)</f>
        <v>945</v>
      </c>
      <c r="X161" s="158"/>
      <c r="Y161" s="157">
        <f>SUM(Y147:Y150)</f>
        <v>989</v>
      </c>
      <c r="Z161" s="158"/>
      <c r="AA161" s="157">
        <f>SUM(AA147:AA150)</f>
        <v>1033</v>
      </c>
      <c r="AB161" s="159"/>
      <c r="AC161" s="13"/>
      <c r="AD161" s="13"/>
      <c r="AE161" s="13"/>
      <c r="AF161" s="13"/>
      <c r="AG161" s="13"/>
      <c r="AH161" s="13"/>
      <c r="AI161" s="13"/>
      <c r="AJ161" s="13"/>
      <c r="AK161" s="13"/>
      <c r="AL161" s="13"/>
      <c r="AM161" s="13"/>
      <c r="AN161" s="13"/>
      <c r="AO161" s="13"/>
      <c r="AP161" s="13"/>
      <c r="AQ161" s="13"/>
      <c r="AR161" s="13"/>
    </row>
    <row r="162" spans="1:44" ht="15" customHeight="1">
      <c r="A162" s="656"/>
      <c r="B162" s="656"/>
      <c r="C162" s="199">
        <f>SUM(C151:C155)</f>
        <v>0</v>
      </c>
      <c r="D162" s="200"/>
      <c r="E162" s="162">
        <f>SUM(E151:E155)</f>
        <v>0</v>
      </c>
      <c r="F162" s="163"/>
      <c r="G162" s="162">
        <f>SUM(G151:G155)</f>
        <v>0</v>
      </c>
      <c r="H162" s="163"/>
      <c r="I162" s="162">
        <f>SUM(I151:I155)</f>
        <v>0</v>
      </c>
      <c r="J162" s="163"/>
      <c r="K162" s="162">
        <f>SUM(K151:K155)</f>
        <v>0</v>
      </c>
      <c r="L162" s="163"/>
      <c r="M162" s="162">
        <f>SUM(M151:M155)</f>
        <v>0</v>
      </c>
      <c r="N162" s="163"/>
      <c r="O162" s="162">
        <f>SUM(O151:O155)</f>
        <v>0</v>
      </c>
      <c r="P162" s="163"/>
      <c r="Q162" s="162">
        <f>SUM(Q151:Q155)</f>
        <v>0</v>
      </c>
      <c r="R162" s="163"/>
      <c r="S162" s="162">
        <f>SUM(S151:S155)</f>
        <v>0</v>
      </c>
      <c r="T162" s="163"/>
      <c r="U162" s="162">
        <f>SUM(U151:U155)</f>
        <v>0</v>
      </c>
      <c r="V162" s="163"/>
      <c r="W162" s="162">
        <f>SUM(W151:W155)</f>
        <v>0</v>
      </c>
      <c r="X162" s="163"/>
      <c r="Y162" s="162">
        <f>SUM(Y151:Y155)</f>
        <v>0</v>
      </c>
      <c r="Z162" s="163"/>
      <c r="AA162" s="162">
        <f>SUM(AA151:AA155)</f>
        <v>0</v>
      </c>
      <c r="AB162" s="164"/>
      <c r="AC162" s="13"/>
      <c r="AD162" s="13"/>
      <c r="AE162" s="13"/>
      <c r="AF162" s="13"/>
      <c r="AG162" s="13"/>
      <c r="AH162" s="13"/>
      <c r="AI162" s="13"/>
      <c r="AJ162" s="13"/>
      <c r="AK162" s="13"/>
      <c r="AL162" s="13"/>
      <c r="AM162" s="13"/>
      <c r="AN162" s="13"/>
      <c r="AO162" s="13"/>
      <c r="AP162" s="13"/>
      <c r="AQ162" s="13"/>
      <c r="AR162" s="13"/>
    </row>
    <row r="163" spans="1:44" ht="15" customHeight="1">
      <c r="A163" s="673"/>
      <c r="B163" s="673"/>
      <c r="C163" s="165">
        <f>C156</f>
        <v>0</v>
      </c>
      <c r="D163" s="201"/>
      <c r="E163" s="167">
        <f>E156</f>
        <v>0</v>
      </c>
      <c r="F163" s="168"/>
      <c r="G163" s="167">
        <f>G156</f>
        <v>0</v>
      </c>
      <c r="H163" s="168"/>
      <c r="I163" s="167">
        <f>I156</f>
        <v>0</v>
      </c>
      <c r="J163" s="168"/>
      <c r="K163" s="167">
        <f>K156</f>
        <v>0</v>
      </c>
      <c r="L163" s="168"/>
      <c r="M163" s="167">
        <f>M156</f>
        <v>0</v>
      </c>
      <c r="N163" s="168"/>
      <c r="O163" s="167">
        <f>O156</f>
        <v>0</v>
      </c>
      <c r="P163" s="168"/>
      <c r="Q163" s="167">
        <f>Q156</f>
        <v>0</v>
      </c>
      <c r="R163" s="168"/>
      <c r="S163" s="167">
        <f>S156</f>
        <v>0</v>
      </c>
      <c r="T163" s="168"/>
      <c r="U163" s="167">
        <f>U156</f>
        <v>0</v>
      </c>
      <c r="V163" s="168"/>
      <c r="W163" s="167">
        <f>W156</f>
        <v>0</v>
      </c>
      <c r="X163" s="168"/>
      <c r="Y163" s="167">
        <f>Y156</f>
        <v>0</v>
      </c>
      <c r="Z163" s="168"/>
      <c r="AA163" s="167">
        <f>AA156</f>
        <v>0</v>
      </c>
      <c r="AB163" s="169"/>
      <c r="AC163" s="13"/>
      <c r="AD163" s="13"/>
      <c r="AE163" s="13"/>
      <c r="AF163" s="13"/>
      <c r="AG163" s="13"/>
      <c r="AH163" s="13"/>
      <c r="AI163" s="13"/>
      <c r="AJ163" s="13"/>
      <c r="AK163" s="13"/>
      <c r="AL163" s="13"/>
      <c r="AM163" s="13"/>
      <c r="AN163" s="13"/>
      <c r="AO163" s="13"/>
      <c r="AP163" s="13"/>
      <c r="AQ163" s="13"/>
      <c r="AR163" s="13"/>
    </row>
    <row r="164" spans="1:44" ht="14.25" customHeight="1">
      <c r="A164" s="13"/>
      <c r="B164" s="13"/>
      <c r="C164" s="13"/>
      <c r="D164" s="142"/>
      <c r="E164" s="142"/>
      <c r="F164" s="142"/>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25.5" customHeight="1">
      <c r="A165" s="611" t="s">
        <v>136</v>
      </c>
      <c r="B165" s="611"/>
      <c r="C165" s="611"/>
      <c r="D165" s="611"/>
      <c r="E165" s="611"/>
      <c r="F165" s="611"/>
      <c r="G165" s="611"/>
      <c r="H165" s="611"/>
      <c r="I165" s="611"/>
      <c r="J165" s="611"/>
      <c r="K165" s="611"/>
      <c r="L165" s="611"/>
      <c r="M165" s="611"/>
      <c r="N165" s="611"/>
      <c r="O165" s="611"/>
      <c r="P165" s="611"/>
      <c r="Q165" s="611"/>
      <c r="R165" s="611"/>
      <c r="S165" s="611"/>
      <c r="T165" s="611"/>
      <c r="U165" s="611"/>
      <c r="V165" s="611"/>
      <c r="W165" s="611"/>
      <c r="X165" s="611"/>
      <c r="Y165" s="611"/>
      <c r="Z165" s="611"/>
      <c r="AA165" s="611"/>
      <c r="AB165" s="611"/>
      <c r="AC165" s="13"/>
      <c r="AD165" s="13"/>
      <c r="AE165" s="13"/>
      <c r="AF165" s="13"/>
      <c r="AG165" s="13"/>
      <c r="AH165" s="13"/>
      <c r="AI165" s="13"/>
      <c r="AJ165" s="13"/>
      <c r="AK165" s="13"/>
      <c r="AL165" s="13"/>
      <c r="AM165" s="13"/>
      <c r="AN165" s="13"/>
      <c r="AO165" s="13"/>
      <c r="AP165" s="13"/>
      <c r="AQ165" s="13"/>
      <c r="AR165" s="13"/>
    </row>
    <row r="166" spans="1:44" ht="66" customHeight="1">
      <c r="A166" s="172" t="s">
        <v>95</v>
      </c>
      <c r="B166" s="624" t="s">
        <v>127</v>
      </c>
      <c r="C166" s="624"/>
      <c r="D166" s="624"/>
      <c r="E166" s="624"/>
      <c r="F166" s="624"/>
      <c r="G166" s="624"/>
      <c r="H166" s="624"/>
      <c r="I166" s="624"/>
      <c r="J166" s="624"/>
      <c r="K166" s="624"/>
      <c r="L166" s="624"/>
      <c r="M166" s="624"/>
      <c r="N166" s="624"/>
      <c r="O166" s="624"/>
      <c r="P166" s="624"/>
      <c r="Q166" s="624"/>
      <c r="R166" s="624"/>
      <c r="S166" s="624"/>
      <c r="T166" s="624"/>
      <c r="U166" s="624"/>
      <c r="V166" s="624"/>
      <c r="W166" s="624"/>
      <c r="X166" s="624"/>
      <c r="Y166" s="624"/>
      <c r="Z166" s="624"/>
      <c r="AA166" s="624"/>
      <c r="AB166" s="624"/>
      <c r="AC166" s="13"/>
      <c r="AD166" s="13"/>
      <c r="AE166" s="13"/>
      <c r="AF166" s="13"/>
      <c r="AG166" s="13"/>
      <c r="AH166" s="13"/>
      <c r="AI166" s="13"/>
      <c r="AJ166" s="13"/>
      <c r="AK166" s="13"/>
      <c r="AL166" s="13"/>
      <c r="AM166" s="13"/>
      <c r="AN166" s="13"/>
      <c r="AO166" s="13"/>
      <c r="AP166" s="13"/>
      <c r="AQ166" s="13"/>
      <c r="AR166" s="13"/>
    </row>
    <row r="167" spans="1:44" ht="21" customHeight="1">
      <c r="A167" s="658"/>
      <c r="B167" s="658"/>
      <c r="C167" s="659" t="s">
        <v>97</v>
      </c>
      <c r="D167" s="659"/>
      <c r="E167" s="627" t="s">
        <v>80</v>
      </c>
      <c r="F167" s="627"/>
      <c r="G167" s="628" t="s">
        <v>81</v>
      </c>
      <c r="H167" s="628"/>
      <c r="I167" s="628" t="s">
        <v>82</v>
      </c>
      <c r="J167" s="628"/>
      <c r="K167" s="628" t="s">
        <v>83</v>
      </c>
      <c r="L167" s="628"/>
      <c r="M167" s="628" t="s">
        <v>84</v>
      </c>
      <c r="N167" s="628"/>
      <c r="O167" s="628" t="s">
        <v>85</v>
      </c>
      <c r="P167" s="628"/>
      <c r="Q167" s="628" t="s">
        <v>86</v>
      </c>
      <c r="R167" s="628"/>
      <c r="S167" s="628" t="s">
        <v>87</v>
      </c>
      <c r="T167" s="628"/>
      <c r="U167" s="628" t="s">
        <v>88</v>
      </c>
      <c r="V167" s="628"/>
      <c r="W167" s="628" t="s">
        <v>89</v>
      </c>
      <c r="X167" s="628"/>
      <c r="Y167" s="628" t="s">
        <v>90</v>
      </c>
      <c r="Z167" s="628"/>
      <c r="AA167" s="628" t="s">
        <v>91</v>
      </c>
      <c r="AB167" s="628"/>
      <c r="AC167" s="13"/>
      <c r="AD167" s="13"/>
      <c r="AE167" s="13"/>
      <c r="AF167" s="13"/>
      <c r="AG167" s="13"/>
      <c r="AH167" s="13"/>
      <c r="AI167" s="13"/>
      <c r="AJ167" s="13"/>
      <c r="AK167" s="13"/>
      <c r="AL167" s="13"/>
      <c r="AM167" s="13"/>
      <c r="AN167" s="13"/>
      <c r="AO167" s="13"/>
      <c r="AP167" s="13"/>
      <c r="AQ167" s="13"/>
      <c r="AR167" s="13"/>
    </row>
    <row r="168" spans="1:44" ht="14.25" customHeight="1">
      <c r="A168" s="629" t="s">
        <v>100</v>
      </c>
      <c r="B168" s="629"/>
      <c r="C168" s="630" t="s">
        <v>101</v>
      </c>
      <c r="D168" s="630"/>
      <c r="E168" s="642" t="s">
        <v>102</v>
      </c>
      <c r="F168" s="642"/>
      <c r="G168" s="642" t="s">
        <v>102</v>
      </c>
      <c r="H168" s="642"/>
      <c r="I168" s="642" t="s">
        <v>102</v>
      </c>
      <c r="J168" s="642"/>
      <c r="K168" s="642" t="s">
        <v>102</v>
      </c>
      <c r="L168" s="642"/>
      <c r="M168" s="642" t="s">
        <v>102</v>
      </c>
      <c r="N168" s="642"/>
      <c r="O168" s="642" t="s">
        <v>102</v>
      </c>
      <c r="P168" s="642"/>
      <c r="Q168" s="642" t="s">
        <v>102</v>
      </c>
      <c r="R168" s="642"/>
      <c r="S168" s="642" t="s">
        <v>102</v>
      </c>
      <c r="T168" s="642"/>
      <c r="U168" s="642" t="s">
        <v>102</v>
      </c>
      <c r="V168" s="642"/>
      <c r="W168" s="642" t="s">
        <v>102</v>
      </c>
      <c r="X168" s="642"/>
      <c r="Y168" s="642" t="s">
        <v>102</v>
      </c>
      <c r="Z168" s="642"/>
      <c r="AA168" s="642" t="s">
        <v>102</v>
      </c>
      <c r="AB168" s="642"/>
      <c r="AC168" s="13"/>
      <c r="AD168" s="13"/>
      <c r="AE168" s="13"/>
      <c r="AF168" s="13"/>
      <c r="AG168" s="13"/>
      <c r="AH168" s="13"/>
      <c r="AI168" s="13"/>
      <c r="AJ168" s="13"/>
      <c r="AK168" s="13"/>
      <c r="AL168" s="13"/>
      <c r="AM168" s="13"/>
      <c r="AN168" s="13"/>
      <c r="AO168" s="13"/>
      <c r="AP168" s="13"/>
      <c r="AQ168" s="13"/>
      <c r="AR168" s="13"/>
    </row>
    <row r="169" spans="1:44" ht="14.25" customHeight="1">
      <c r="A169" s="629"/>
      <c r="B169" s="629"/>
      <c r="C169" s="634" t="s">
        <v>103</v>
      </c>
      <c r="D169" s="634"/>
      <c r="E169" s="643" t="s">
        <v>102</v>
      </c>
      <c r="F169" s="643"/>
      <c r="G169" s="643" t="s">
        <v>102</v>
      </c>
      <c r="H169" s="643"/>
      <c r="I169" s="643" t="s">
        <v>102</v>
      </c>
      <c r="J169" s="643"/>
      <c r="K169" s="643" t="s">
        <v>102</v>
      </c>
      <c r="L169" s="643"/>
      <c r="M169" s="643" t="s">
        <v>102</v>
      </c>
      <c r="N169" s="643"/>
      <c r="O169" s="643" t="s">
        <v>102</v>
      </c>
      <c r="P169" s="643"/>
      <c r="Q169" s="643" t="s">
        <v>102</v>
      </c>
      <c r="R169" s="643"/>
      <c r="S169" s="643" t="s">
        <v>102</v>
      </c>
      <c r="T169" s="643"/>
      <c r="U169" s="643" t="s">
        <v>102</v>
      </c>
      <c r="V169" s="643"/>
      <c r="W169" s="643" t="s">
        <v>102</v>
      </c>
      <c r="X169" s="643"/>
      <c r="Y169" s="643" t="s">
        <v>102</v>
      </c>
      <c r="Z169" s="643"/>
      <c r="AA169" s="643" t="s">
        <v>102</v>
      </c>
      <c r="AB169" s="643"/>
      <c r="AC169" s="13"/>
      <c r="AD169" s="13"/>
      <c r="AE169" s="13"/>
      <c r="AF169" s="13"/>
      <c r="AG169" s="13"/>
      <c r="AH169" s="13"/>
      <c r="AI169" s="13"/>
      <c r="AJ169" s="13"/>
      <c r="AK169" s="13"/>
      <c r="AL169" s="13"/>
      <c r="AM169" s="13"/>
      <c r="AN169" s="13"/>
      <c r="AO169" s="13"/>
      <c r="AP169" s="13"/>
      <c r="AQ169" s="13"/>
      <c r="AR169" s="13"/>
    </row>
    <row r="170" spans="1:44" ht="14.25" customHeight="1">
      <c r="A170" s="629"/>
      <c r="B170" s="629"/>
      <c r="C170" s="634" t="s">
        <v>104</v>
      </c>
      <c r="D170" s="634"/>
      <c r="E170" s="643" t="s">
        <v>102</v>
      </c>
      <c r="F170" s="643"/>
      <c r="G170" s="643" t="s">
        <v>102</v>
      </c>
      <c r="H170" s="643"/>
      <c r="I170" s="643" t="s">
        <v>102</v>
      </c>
      <c r="J170" s="643"/>
      <c r="K170" s="643" t="s">
        <v>102</v>
      </c>
      <c r="L170" s="643"/>
      <c r="M170" s="643" t="s">
        <v>102</v>
      </c>
      <c r="N170" s="643"/>
      <c r="O170" s="643" t="s">
        <v>102</v>
      </c>
      <c r="P170" s="643"/>
      <c r="Q170" s="643" t="s">
        <v>102</v>
      </c>
      <c r="R170" s="643"/>
      <c r="S170" s="643" t="s">
        <v>102</v>
      </c>
      <c r="T170" s="643"/>
      <c r="U170" s="643" t="s">
        <v>102</v>
      </c>
      <c r="V170" s="643"/>
      <c r="W170" s="643" t="s">
        <v>102</v>
      </c>
      <c r="X170" s="643"/>
      <c r="Y170" s="643" t="s">
        <v>102</v>
      </c>
      <c r="Z170" s="643"/>
      <c r="AA170" s="643" t="s">
        <v>102</v>
      </c>
      <c r="AB170" s="643"/>
      <c r="AC170" s="13"/>
      <c r="AD170" s="13"/>
      <c r="AE170" s="13"/>
      <c r="AF170" s="13"/>
      <c r="AG170" s="13"/>
      <c r="AH170" s="13"/>
      <c r="AI170" s="13"/>
      <c r="AJ170" s="13"/>
      <c r="AK170" s="13"/>
      <c r="AL170" s="13"/>
      <c r="AM170" s="13"/>
      <c r="AN170" s="13"/>
      <c r="AO170" s="13"/>
      <c r="AP170" s="13"/>
      <c r="AQ170" s="13"/>
      <c r="AR170" s="13"/>
    </row>
    <row r="171" spans="1:44" ht="14.25" customHeight="1">
      <c r="A171" s="629"/>
      <c r="B171" s="629"/>
      <c r="C171" s="634" t="s">
        <v>106</v>
      </c>
      <c r="D171" s="634"/>
      <c r="E171" s="643" t="s">
        <v>102</v>
      </c>
      <c r="F171" s="643"/>
      <c r="G171" s="643" t="s">
        <v>102</v>
      </c>
      <c r="H171" s="643"/>
      <c r="I171" s="643" t="s">
        <v>102</v>
      </c>
      <c r="J171" s="643"/>
      <c r="K171" s="643" t="s">
        <v>102</v>
      </c>
      <c r="L171" s="643"/>
      <c r="M171" s="643" t="s">
        <v>102</v>
      </c>
      <c r="N171" s="643"/>
      <c r="O171" s="643" t="s">
        <v>102</v>
      </c>
      <c r="P171" s="643"/>
      <c r="Q171" s="643" t="s">
        <v>102</v>
      </c>
      <c r="R171" s="643"/>
      <c r="S171" s="643" t="s">
        <v>102</v>
      </c>
      <c r="T171" s="643"/>
      <c r="U171" s="643" t="s">
        <v>102</v>
      </c>
      <c r="V171" s="643"/>
      <c r="W171" s="643" t="s">
        <v>102</v>
      </c>
      <c r="X171" s="643"/>
      <c r="Y171" s="643" t="s">
        <v>102</v>
      </c>
      <c r="Z171" s="643"/>
      <c r="AA171" s="643" t="s">
        <v>102</v>
      </c>
      <c r="AB171" s="643"/>
      <c r="AC171" s="13"/>
      <c r="AD171" s="13"/>
      <c r="AE171" s="13"/>
      <c r="AF171" s="13"/>
      <c r="AG171" s="13"/>
      <c r="AH171" s="13"/>
      <c r="AI171" s="13"/>
      <c r="AJ171" s="13"/>
      <c r="AK171" s="13"/>
      <c r="AL171" s="13"/>
      <c r="AM171" s="13"/>
      <c r="AN171" s="13"/>
      <c r="AO171" s="13"/>
      <c r="AP171" s="13"/>
      <c r="AQ171" s="13"/>
      <c r="AR171" s="13"/>
    </row>
    <row r="172" spans="1:44" ht="14.25" customHeight="1">
      <c r="A172" s="629"/>
      <c r="B172" s="629"/>
      <c r="C172" s="634" t="s">
        <v>108</v>
      </c>
      <c r="D172" s="634"/>
      <c r="E172" s="643" t="s">
        <v>102</v>
      </c>
      <c r="F172" s="643"/>
      <c r="G172" s="648" t="s">
        <v>102</v>
      </c>
      <c r="H172" s="648"/>
      <c r="I172" s="643" t="s">
        <v>102</v>
      </c>
      <c r="J172" s="643"/>
      <c r="K172" s="643" t="s">
        <v>102</v>
      </c>
      <c r="L172" s="643"/>
      <c r="M172" s="643" t="s">
        <v>102</v>
      </c>
      <c r="N172" s="643"/>
      <c r="O172" s="643" t="s">
        <v>102</v>
      </c>
      <c r="P172" s="643"/>
      <c r="Q172" s="648" t="s">
        <v>102</v>
      </c>
      <c r="R172" s="648"/>
      <c r="S172" s="643" t="s">
        <v>102</v>
      </c>
      <c r="T172" s="643"/>
      <c r="U172" s="643" t="s">
        <v>102</v>
      </c>
      <c r="V172" s="643"/>
      <c r="W172" s="643" t="s">
        <v>102</v>
      </c>
      <c r="X172" s="643"/>
      <c r="Y172" s="643" t="s">
        <v>102</v>
      </c>
      <c r="Z172" s="643"/>
      <c r="AA172" s="643" t="s">
        <v>102</v>
      </c>
      <c r="AB172" s="643"/>
      <c r="AC172" s="13"/>
      <c r="AD172" s="13"/>
      <c r="AE172" s="13"/>
      <c r="AF172" s="13"/>
      <c r="AG172" s="13"/>
      <c r="AH172" s="13"/>
      <c r="AI172" s="13"/>
      <c r="AJ172" s="13"/>
      <c r="AK172" s="13"/>
      <c r="AL172" s="13"/>
      <c r="AM172" s="13"/>
      <c r="AN172" s="13"/>
      <c r="AO172" s="13"/>
      <c r="AP172" s="13"/>
      <c r="AQ172" s="13"/>
      <c r="AR172" s="13"/>
    </row>
    <row r="173" spans="1:44" ht="14.25" customHeight="1">
      <c r="A173" s="629"/>
      <c r="B173" s="629"/>
      <c r="C173" s="634"/>
      <c r="D173" s="634"/>
      <c r="E173" s="643"/>
      <c r="F173" s="643"/>
      <c r="G173" s="643"/>
      <c r="H173" s="643"/>
      <c r="I173" s="643"/>
      <c r="J173" s="643"/>
      <c r="K173" s="643"/>
      <c r="L173" s="643"/>
      <c r="M173" s="643"/>
      <c r="N173" s="643"/>
      <c r="O173" s="643"/>
      <c r="P173" s="643"/>
      <c r="Q173" s="643"/>
      <c r="R173" s="643"/>
      <c r="S173" s="643"/>
      <c r="T173" s="643"/>
      <c r="U173" s="643"/>
      <c r="V173" s="643"/>
      <c r="W173" s="643"/>
      <c r="X173" s="643"/>
      <c r="Y173" s="643"/>
      <c r="Z173" s="643"/>
      <c r="AA173" s="643"/>
      <c r="AB173" s="643"/>
      <c r="AC173" s="13"/>
      <c r="AD173" s="13"/>
      <c r="AE173" s="13"/>
      <c r="AF173" s="13"/>
      <c r="AG173" s="13"/>
      <c r="AH173" s="13"/>
      <c r="AI173" s="13"/>
      <c r="AJ173" s="13"/>
      <c r="AK173" s="13"/>
      <c r="AL173" s="13"/>
      <c r="AM173" s="13"/>
      <c r="AN173" s="13"/>
      <c r="AO173" s="13"/>
      <c r="AP173" s="13"/>
      <c r="AQ173" s="13"/>
      <c r="AR173" s="13"/>
    </row>
    <row r="174" spans="1:44" ht="14.25" customHeight="1">
      <c r="A174" s="629"/>
      <c r="B174" s="629"/>
      <c r="C174" s="634"/>
      <c r="D174" s="634"/>
      <c r="E174" s="648"/>
      <c r="F174" s="648"/>
      <c r="G174" s="643"/>
      <c r="H174" s="643"/>
      <c r="I174" s="643"/>
      <c r="J174" s="643"/>
      <c r="K174" s="643"/>
      <c r="L174" s="643"/>
      <c r="M174" s="643"/>
      <c r="N174" s="643"/>
      <c r="O174" s="643"/>
      <c r="P174" s="643"/>
      <c r="Q174" s="643"/>
      <c r="R174" s="643"/>
      <c r="S174" s="643"/>
      <c r="T174" s="643"/>
      <c r="U174" s="643"/>
      <c r="V174" s="643"/>
      <c r="W174" s="643"/>
      <c r="X174" s="643"/>
      <c r="Y174" s="643"/>
      <c r="Z174" s="643"/>
      <c r="AA174" s="643"/>
      <c r="AB174" s="643"/>
      <c r="AC174" s="13"/>
      <c r="AD174" s="13"/>
      <c r="AE174" s="13"/>
      <c r="AF174" s="13"/>
      <c r="AG174" s="13"/>
      <c r="AH174" s="13"/>
      <c r="AI174" s="13"/>
      <c r="AJ174" s="13"/>
      <c r="AK174" s="13"/>
      <c r="AL174" s="13"/>
      <c r="AM174" s="13"/>
      <c r="AN174" s="13"/>
      <c r="AO174" s="13"/>
      <c r="AP174" s="13"/>
      <c r="AQ174" s="13"/>
      <c r="AR174" s="13"/>
    </row>
    <row r="175" spans="1:44" ht="14.25" customHeight="1">
      <c r="A175" s="629"/>
      <c r="B175" s="629"/>
      <c r="C175" s="634"/>
      <c r="D175" s="634"/>
      <c r="E175" s="643"/>
      <c r="F175" s="643"/>
      <c r="G175" s="643"/>
      <c r="H175" s="643"/>
      <c r="I175" s="643"/>
      <c r="J175" s="643"/>
      <c r="K175" s="643"/>
      <c r="L175" s="643"/>
      <c r="M175" s="643"/>
      <c r="N175" s="643"/>
      <c r="O175" s="643"/>
      <c r="P175" s="643"/>
      <c r="Q175" s="643"/>
      <c r="R175" s="643"/>
      <c r="S175" s="643"/>
      <c r="T175" s="643"/>
      <c r="U175" s="643"/>
      <c r="V175" s="643"/>
      <c r="W175" s="643"/>
      <c r="X175" s="643"/>
      <c r="Y175" s="643"/>
      <c r="Z175" s="643"/>
      <c r="AA175" s="643"/>
      <c r="AB175" s="643"/>
      <c r="AC175" s="13"/>
      <c r="AD175" s="13"/>
      <c r="AE175" s="13"/>
      <c r="AF175" s="13"/>
      <c r="AG175" s="13"/>
      <c r="AH175" s="13"/>
      <c r="AI175" s="13"/>
      <c r="AJ175" s="13"/>
      <c r="AK175" s="13"/>
      <c r="AL175" s="13"/>
      <c r="AM175" s="13"/>
      <c r="AN175" s="13"/>
      <c r="AO175" s="13"/>
      <c r="AP175" s="13"/>
      <c r="AQ175" s="13"/>
      <c r="AR175" s="13"/>
    </row>
    <row r="176" spans="1:44" ht="14.25" customHeight="1">
      <c r="A176" s="629"/>
      <c r="B176" s="629"/>
      <c r="C176" s="634"/>
      <c r="D176" s="634"/>
      <c r="E176" s="643"/>
      <c r="F176" s="643"/>
      <c r="G176" s="643"/>
      <c r="H176" s="643"/>
      <c r="I176" s="643"/>
      <c r="J176" s="643"/>
      <c r="K176" s="643"/>
      <c r="L176" s="643"/>
      <c r="M176" s="643"/>
      <c r="N176" s="643"/>
      <c r="O176" s="643"/>
      <c r="P176" s="643"/>
      <c r="Q176" s="643"/>
      <c r="R176" s="643"/>
      <c r="S176" s="643"/>
      <c r="T176" s="643"/>
      <c r="U176" s="643"/>
      <c r="V176" s="643"/>
      <c r="W176" s="643"/>
      <c r="X176" s="643"/>
      <c r="Y176" s="643"/>
      <c r="Z176" s="643"/>
      <c r="AA176" s="643"/>
      <c r="AB176" s="643"/>
      <c r="AC176" s="13"/>
      <c r="AD176" s="13"/>
      <c r="AE176" s="13"/>
      <c r="AF176" s="13"/>
      <c r="AG176" s="13"/>
      <c r="AH176" s="13"/>
      <c r="AI176" s="13"/>
      <c r="AJ176" s="13"/>
      <c r="AK176" s="13"/>
      <c r="AL176" s="13"/>
      <c r="AM176" s="13"/>
      <c r="AN176" s="13"/>
      <c r="AO176" s="13"/>
      <c r="AP176" s="13"/>
      <c r="AQ176" s="13"/>
      <c r="AR176" s="13"/>
    </row>
    <row r="177" spans="1:44" ht="14.25" customHeight="1">
      <c r="A177" s="629"/>
      <c r="B177" s="629"/>
      <c r="C177" s="634"/>
      <c r="D177" s="634"/>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c r="AB177" s="643"/>
      <c r="AC177" s="13"/>
      <c r="AD177" s="13"/>
      <c r="AE177" s="13"/>
      <c r="AF177" s="13"/>
      <c r="AG177" s="13"/>
      <c r="AH177" s="13"/>
      <c r="AI177" s="13"/>
      <c r="AJ177" s="13"/>
      <c r="AK177" s="13"/>
      <c r="AL177" s="13"/>
      <c r="AM177" s="13"/>
      <c r="AN177" s="13"/>
      <c r="AO177" s="13"/>
      <c r="AP177" s="13"/>
      <c r="AQ177" s="13"/>
      <c r="AR177" s="13"/>
    </row>
    <row r="178" spans="1:44" ht="14.25" customHeight="1">
      <c r="A178" s="629"/>
      <c r="B178" s="629"/>
      <c r="C178" s="634"/>
      <c r="D178" s="634"/>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c r="AB178" s="643"/>
      <c r="AC178" s="13"/>
      <c r="AD178" s="13"/>
      <c r="AE178" s="13"/>
      <c r="AF178" s="13"/>
      <c r="AG178" s="13"/>
      <c r="AH178" s="13"/>
      <c r="AI178" s="13"/>
      <c r="AJ178" s="13"/>
      <c r="AK178" s="13"/>
      <c r="AL178" s="13"/>
      <c r="AM178" s="13"/>
      <c r="AN178" s="13"/>
      <c r="AO178" s="13"/>
      <c r="AP178" s="13"/>
      <c r="AQ178" s="13"/>
      <c r="AR178" s="13"/>
    </row>
    <row r="179" spans="1:44" ht="14.25" customHeight="1">
      <c r="A179" s="629"/>
      <c r="B179" s="629"/>
      <c r="C179" s="634"/>
      <c r="D179" s="634"/>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c r="AA179" s="643"/>
      <c r="AB179" s="643"/>
      <c r="AC179" s="13"/>
      <c r="AD179" s="13"/>
      <c r="AE179" s="13"/>
      <c r="AF179" s="13"/>
      <c r="AG179" s="13"/>
      <c r="AH179" s="13"/>
      <c r="AI179" s="13"/>
      <c r="AJ179" s="13"/>
      <c r="AK179" s="13"/>
      <c r="AL179" s="13"/>
      <c r="AM179" s="13"/>
      <c r="AN179" s="13"/>
      <c r="AO179" s="13"/>
      <c r="AP179" s="13"/>
      <c r="AQ179" s="13"/>
      <c r="AR179" s="13"/>
    </row>
    <row r="180" spans="1:44" ht="14.25" customHeight="1">
      <c r="A180" s="629"/>
      <c r="B180" s="629"/>
      <c r="C180" s="634"/>
      <c r="D180" s="634"/>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c r="AA180" s="643"/>
      <c r="AB180" s="643"/>
      <c r="AC180" s="13"/>
      <c r="AD180" s="13"/>
      <c r="AE180" s="13"/>
      <c r="AF180" s="13"/>
      <c r="AG180" s="13"/>
      <c r="AH180" s="13"/>
      <c r="AI180" s="13"/>
      <c r="AJ180" s="13"/>
      <c r="AK180" s="13"/>
      <c r="AL180" s="13"/>
      <c r="AM180" s="13"/>
      <c r="AN180" s="13"/>
      <c r="AO180" s="13"/>
      <c r="AP180" s="13"/>
      <c r="AQ180" s="13"/>
      <c r="AR180" s="13"/>
    </row>
    <row r="181" spans="1:44" ht="14.25" customHeight="1">
      <c r="A181" s="629"/>
      <c r="B181" s="629"/>
      <c r="C181" s="634"/>
      <c r="D181" s="634"/>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c r="AB181" s="643"/>
      <c r="AC181" s="13"/>
      <c r="AD181" s="13"/>
      <c r="AE181" s="13"/>
      <c r="AF181" s="13"/>
      <c r="AG181" s="13"/>
      <c r="AH181" s="13"/>
      <c r="AI181" s="13"/>
      <c r="AJ181" s="13"/>
      <c r="AK181" s="13"/>
      <c r="AL181" s="13"/>
      <c r="AM181" s="13"/>
      <c r="AN181" s="13"/>
      <c r="AO181" s="13"/>
      <c r="AP181" s="13"/>
      <c r="AQ181" s="13"/>
      <c r="AR181" s="13"/>
    </row>
    <row r="182" spans="1:44" ht="14.25" customHeight="1">
      <c r="A182" s="629"/>
      <c r="B182" s="629"/>
      <c r="C182" s="634"/>
      <c r="D182" s="634"/>
      <c r="E182" s="643"/>
      <c r="F182" s="643"/>
      <c r="G182" s="643"/>
      <c r="H182" s="643"/>
      <c r="I182" s="643"/>
      <c r="J182" s="643"/>
      <c r="K182" s="643"/>
      <c r="L182" s="643"/>
      <c r="M182" s="643"/>
      <c r="N182" s="643"/>
      <c r="O182" s="643"/>
      <c r="P182" s="643"/>
      <c r="Q182" s="643"/>
      <c r="R182" s="643"/>
      <c r="S182" s="643"/>
      <c r="T182" s="643"/>
      <c r="U182" s="643"/>
      <c r="V182" s="643"/>
      <c r="W182" s="643"/>
      <c r="X182" s="643"/>
      <c r="Y182" s="643"/>
      <c r="Z182" s="643"/>
      <c r="AA182" s="643"/>
      <c r="AB182" s="643"/>
      <c r="AC182" s="13"/>
      <c r="AD182" s="13"/>
      <c r="AE182" s="13"/>
      <c r="AF182" s="13"/>
      <c r="AG182" s="13"/>
      <c r="AH182" s="13"/>
      <c r="AI182" s="13"/>
      <c r="AJ182" s="13"/>
      <c r="AK182" s="13"/>
      <c r="AL182" s="13"/>
      <c r="AM182" s="13"/>
      <c r="AN182" s="13"/>
      <c r="AO182" s="13"/>
      <c r="AP182" s="13"/>
      <c r="AQ182" s="13"/>
      <c r="AR182" s="13"/>
    </row>
    <row r="183" spans="1:44" ht="14.25" customHeight="1">
      <c r="A183" s="629"/>
      <c r="B183" s="629"/>
      <c r="C183" s="634"/>
      <c r="D183" s="634"/>
      <c r="E183" s="643"/>
      <c r="F183" s="643"/>
      <c r="G183" s="643"/>
      <c r="H183" s="643"/>
      <c r="I183" s="643"/>
      <c r="J183" s="643"/>
      <c r="K183" s="643"/>
      <c r="L183" s="643"/>
      <c r="M183" s="643"/>
      <c r="N183" s="643"/>
      <c r="O183" s="643"/>
      <c r="P183" s="643"/>
      <c r="Q183" s="643"/>
      <c r="R183" s="643"/>
      <c r="S183" s="643"/>
      <c r="T183" s="643"/>
      <c r="U183" s="643"/>
      <c r="V183" s="643"/>
      <c r="W183" s="643"/>
      <c r="X183" s="643"/>
      <c r="Y183" s="643"/>
      <c r="Z183" s="643"/>
      <c r="AA183" s="643"/>
      <c r="AB183" s="643"/>
      <c r="AC183" s="13"/>
      <c r="AD183" s="13"/>
      <c r="AE183" s="13"/>
      <c r="AF183" s="13"/>
      <c r="AG183" s="13"/>
      <c r="AH183" s="13"/>
      <c r="AI183" s="13"/>
      <c r="AJ183" s="13"/>
      <c r="AK183" s="13"/>
      <c r="AL183" s="13"/>
      <c r="AM183" s="13"/>
      <c r="AN183" s="13"/>
      <c r="AO183" s="13"/>
      <c r="AP183" s="13"/>
      <c r="AQ183" s="13"/>
      <c r="AR183" s="13"/>
    </row>
    <row r="184" spans="1:44" ht="14.25" customHeight="1">
      <c r="A184" s="629"/>
      <c r="B184" s="629"/>
      <c r="C184" s="634"/>
      <c r="D184" s="634"/>
      <c r="E184" s="643"/>
      <c r="F184" s="643"/>
      <c r="G184" s="643"/>
      <c r="H184" s="643"/>
      <c r="I184" s="643"/>
      <c r="J184" s="643"/>
      <c r="K184" s="643"/>
      <c r="L184" s="643"/>
      <c r="M184" s="643"/>
      <c r="N184" s="643"/>
      <c r="O184" s="643"/>
      <c r="P184" s="643"/>
      <c r="Q184" s="643"/>
      <c r="R184" s="643"/>
      <c r="S184" s="643"/>
      <c r="T184" s="643"/>
      <c r="U184" s="643"/>
      <c r="V184" s="643"/>
      <c r="W184" s="643"/>
      <c r="X184" s="643"/>
      <c r="Y184" s="643"/>
      <c r="Z184" s="643"/>
      <c r="AA184" s="643"/>
      <c r="AB184" s="643"/>
      <c r="AC184" s="13"/>
      <c r="AD184" s="13"/>
      <c r="AE184" s="13"/>
      <c r="AF184" s="13"/>
      <c r="AG184" s="13"/>
      <c r="AH184" s="13"/>
      <c r="AI184" s="13"/>
      <c r="AJ184" s="13"/>
      <c r="AK184" s="13"/>
      <c r="AL184" s="13"/>
      <c r="AM184" s="13"/>
      <c r="AN184" s="13"/>
      <c r="AO184" s="13"/>
      <c r="AP184" s="13"/>
      <c r="AQ184" s="13"/>
      <c r="AR184" s="13"/>
    </row>
    <row r="185" spans="1:44" ht="14.25" customHeight="1">
      <c r="A185" s="629"/>
      <c r="B185" s="629"/>
      <c r="C185" s="638"/>
      <c r="D185" s="638"/>
      <c r="E185" s="644"/>
      <c r="F185" s="644"/>
      <c r="G185" s="644"/>
      <c r="H185" s="644"/>
      <c r="I185" s="644"/>
      <c r="J185" s="644"/>
      <c r="K185" s="644"/>
      <c r="L185" s="644"/>
      <c r="M185" s="644"/>
      <c r="N185" s="644"/>
      <c r="O185" s="644"/>
      <c r="P185" s="644"/>
      <c r="Q185" s="644"/>
      <c r="R185" s="644"/>
      <c r="S185" s="644"/>
      <c r="T185" s="644"/>
      <c r="U185" s="660"/>
      <c r="V185" s="660"/>
      <c r="W185" s="644"/>
      <c r="X185" s="644"/>
      <c r="Y185" s="644"/>
      <c r="Z185" s="644"/>
      <c r="AA185" s="644"/>
      <c r="AB185" s="644"/>
      <c r="AC185" s="13"/>
      <c r="AD185" s="13"/>
      <c r="AE185" s="13"/>
      <c r="AF185" s="13"/>
      <c r="AG185" s="13"/>
      <c r="AH185" s="13"/>
      <c r="AI185" s="13"/>
      <c r="AJ185" s="13"/>
      <c r="AK185" s="13"/>
      <c r="AL185" s="13"/>
      <c r="AM185" s="13"/>
      <c r="AN185" s="13"/>
      <c r="AO185" s="13"/>
      <c r="AP185" s="13"/>
      <c r="AQ185" s="13"/>
      <c r="AR185" s="13"/>
    </row>
    <row r="186" spans="1:44" ht="14.25" customHeight="1">
      <c r="A186" s="641" t="s">
        <v>110</v>
      </c>
      <c r="B186" s="641"/>
      <c r="C186" s="642" t="s">
        <v>111</v>
      </c>
      <c r="D186" s="642"/>
      <c r="E186" s="661" t="s">
        <v>102</v>
      </c>
      <c r="F186" s="661"/>
      <c r="G186" s="642" t="s">
        <v>102</v>
      </c>
      <c r="H186" s="642"/>
      <c r="I186" s="642" t="s">
        <v>102</v>
      </c>
      <c r="J186" s="642"/>
      <c r="K186" s="661" t="s">
        <v>102</v>
      </c>
      <c r="L186" s="661"/>
      <c r="M186" s="642" t="s">
        <v>102</v>
      </c>
      <c r="N186" s="642"/>
      <c r="O186" s="642" t="s">
        <v>102</v>
      </c>
      <c r="P186" s="642"/>
      <c r="Q186" s="642" t="s">
        <v>102</v>
      </c>
      <c r="R186" s="642"/>
      <c r="S186" s="642" t="s">
        <v>102</v>
      </c>
      <c r="T186" s="642"/>
      <c r="U186" s="642" t="s">
        <v>102</v>
      </c>
      <c r="V186" s="642"/>
      <c r="W186" s="642" t="s">
        <v>102</v>
      </c>
      <c r="X186" s="642"/>
      <c r="Y186" s="642" t="s">
        <v>102</v>
      </c>
      <c r="Z186" s="642"/>
      <c r="AA186" s="642" t="s">
        <v>102</v>
      </c>
      <c r="AB186" s="642"/>
      <c r="AC186" s="13"/>
      <c r="AD186" s="13"/>
      <c r="AE186" s="13"/>
      <c r="AF186" s="13"/>
      <c r="AG186" s="13"/>
      <c r="AH186" s="13"/>
      <c r="AI186" s="13"/>
      <c r="AJ186" s="13"/>
      <c r="AK186" s="13"/>
      <c r="AL186" s="13"/>
      <c r="AM186" s="13"/>
      <c r="AN186" s="13"/>
      <c r="AO186" s="13"/>
      <c r="AP186" s="13"/>
      <c r="AQ186" s="13"/>
      <c r="AR186" s="13"/>
    </row>
    <row r="187" spans="1:44" ht="14.25" customHeight="1">
      <c r="A187" s="641"/>
      <c r="B187" s="641"/>
      <c r="C187" s="643" t="s">
        <v>113</v>
      </c>
      <c r="D187" s="643"/>
      <c r="E187" s="648" t="s">
        <v>137</v>
      </c>
      <c r="F187" s="648"/>
      <c r="G187" s="643" t="s">
        <v>102</v>
      </c>
      <c r="H187" s="643"/>
      <c r="I187" s="643" t="s">
        <v>102</v>
      </c>
      <c r="J187" s="643"/>
      <c r="K187" s="674" t="s">
        <v>102</v>
      </c>
      <c r="L187" s="674"/>
      <c r="M187" s="643" t="s">
        <v>102</v>
      </c>
      <c r="N187" s="643"/>
      <c r="O187" s="643" t="s">
        <v>102</v>
      </c>
      <c r="P187" s="643"/>
      <c r="Q187" s="643" t="s">
        <v>102</v>
      </c>
      <c r="R187" s="643"/>
      <c r="S187" s="643" t="s">
        <v>102</v>
      </c>
      <c r="T187" s="643"/>
      <c r="U187" s="643" t="s">
        <v>102</v>
      </c>
      <c r="V187" s="643"/>
      <c r="W187" s="643" t="s">
        <v>102</v>
      </c>
      <c r="X187" s="643"/>
      <c r="Y187" s="643" t="s">
        <v>102</v>
      </c>
      <c r="Z187" s="643"/>
      <c r="AA187" s="643" t="s">
        <v>102</v>
      </c>
      <c r="AB187" s="643"/>
      <c r="AC187" s="13"/>
      <c r="AD187" s="13"/>
      <c r="AE187" s="13"/>
      <c r="AF187" s="13"/>
      <c r="AG187" s="13"/>
      <c r="AH187" s="13"/>
      <c r="AI187" s="13"/>
      <c r="AJ187" s="13"/>
      <c r="AK187" s="13"/>
      <c r="AL187" s="13"/>
      <c r="AM187" s="13"/>
      <c r="AN187" s="13"/>
      <c r="AO187" s="13"/>
      <c r="AP187" s="13"/>
      <c r="AQ187" s="13"/>
      <c r="AR187" s="13"/>
    </row>
    <row r="188" spans="1:44" ht="14.25" customHeight="1">
      <c r="A188" s="641"/>
      <c r="B188" s="641"/>
      <c r="C188" s="643" t="s">
        <v>114</v>
      </c>
      <c r="D188" s="643"/>
      <c r="E188" s="648" t="s">
        <v>129</v>
      </c>
      <c r="F188" s="648"/>
      <c r="G188" s="643" t="s">
        <v>102</v>
      </c>
      <c r="H188" s="643"/>
      <c r="I188" s="643" t="s">
        <v>102</v>
      </c>
      <c r="J188" s="643"/>
      <c r="K188" s="674" t="s">
        <v>102</v>
      </c>
      <c r="L188" s="674"/>
      <c r="M188" s="643" t="s">
        <v>102</v>
      </c>
      <c r="N188" s="643"/>
      <c r="O188" s="643" t="s">
        <v>102</v>
      </c>
      <c r="P188" s="643"/>
      <c r="Q188" s="643" t="s">
        <v>102</v>
      </c>
      <c r="R188" s="643"/>
      <c r="S188" s="643" t="s">
        <v>102</v>
      </c>
      <c r="T188" s="643"/>
      <c r="U188" s="643" t="s">
        <v>102</v>
      </c>
      <c r="V188" s="643"/>
      <c r="W188" s="643" t="s">
        <v>102</v>
      </c>
      <c r="X188" s="643"/>
      <c r="Y188" s="643" t="s">
        <v>102</v>
      </c>
      <c r="Z188" s="643"/>
      <c r="AA188" s="643" t="s">
        <v>102</v>
      </c>
      <c r="AB188" s="643"/>
      <c r="AC188" s="13"/>
      <c r="AD188" s="13"/>
      <c r="AE188" s="13"/>
      <c r="AF188" s="13"/>
      <c r="AG188" s="13"/>
      <c r="AH188" s="13"/>
      <c r="AI188" s="13"/>
      <c r="AJ188" s="13"/>
      <c r="AK188" s="13"/>
      <c r="AL188" s="13"/>
      <c r="AM188" s="13"/>
      <c r="AN188" s="13"/>
      <c r="AO188" s="13"/>
      <c r="AP188" s="13"/>
      <c r="AQ188" s="13"/>
      <c r="AR188" s="13"/>
    </row>
    <row r="189" spans="1:44" ht="14.25" customHeight="1">
      <c r="A189" s="641"/>
      <c r="B189" s="641"/>
      <c r="C189" s="643" t="s">
        <v>115</v>
      </c>
      <c r="D189" s="643"/>
      <c r="E189" s="648" t="s">
        <v>130</v>
      </c>
      <c r="F189" s="648"/>
      <c r="G189" s="643" t="s">
        <v>102</v>
      </c>
      <c r="H189" s="643"/>
      <c r="I189" s="643" t="s">
        <v>102</v>
      </c>
      <c r="J189" s="643"/>
      <c r="K189" s="674" t="s">
        <v>102</v>
      </c>
      <c r="L189" s="674"/>
      <c r="M189" s="643" t="s">
        <v>102</v>
      </c>
      <c r="N189" s="643"/>
      <c r="O189" s="643" t="s">
        <v>102</v>
      </c>
      <c r="P189" s="643"/>
      <c r="Q189" s="643" t="s">
        <v>102</v>
      </c>
      <c r="R189" s="643"/>
      <c r="S189" s="643" t="s">
        <v>102</v>
      </c>
      <c r="T189" s="643"/>
      <c r="U189" s="643" t="s">
        <v>102</v>
      </c>
      <c r="V189" s="643"/>
      <c r="W189" s="643" t="s">
        <v>102</v>
      </c>
      <c r="X189" s="643"/>
      <c r="Y189" s="643" t="s">
        <v>102</v>
      </c>
      <c r="Z189" s="643"/>
      <c r="AA189" s="643" t="s">
        <v>102</v>
      </c>
      <c r="AB189" s="643"/>
      <c r="AC189" s="13"/>
      <c r="AD189" s="13"/>
      <c r="AE189" s="13"/>
      <c r="AF189" s="13"/>
      <c r="AG189" s="13"/>
      <c r="AH189" s="13"/>
      <c r="AI189" s="13"/>
      <c r="AJ189" s="13"/>
      <c r="AK189" s="13"/>
      <c r="AL189" s="13"/>
      <c r="AM189" s="13"/>
      <c r="AN189" s="13"/>
      <c r="AO189" s="13"/>
      <c r="AP189" s="13"/>
      <c r="AQ189" s="13"/>
      <c r="AR189" s="13"/>
    </row>
    <row r="190" spans="1:44" ht="14.25" customHeight="1">
      <c r="A190" s="641"/>
      <c r="B190" s="641"/>
      <c r="C190" s="643">
        <v>0</v>
      </c>
      <c r="D190" s="643"/>
      <c r="E190" s="643" t="s">
        <v>102</v>
      </c>
      <c r="F190" s="643"/>
      <c r="G190" s="643" t="s">
        <v>102</v>
      </c>
      <c r="H190" s="643"/>
      <c r="I190" s="643" t="s">
        <v>102</v>
      </c>
      <c r="J190" s="643"/>
      <c r="K190" s="674" t="s">
        <v>102</v>
      </c>
      <c r="L190" s="674"/>
      <c r="M190" s="643" t="s">
        <v>102</v>
      </c>
      <c r="N190" s="643"/>
      <c r="O190" s="643" t="s">
        <v>102</v>
      </c>
      <c r="P190" s="643"/>
      <c r="Q190" s="643" t="s">
        <v>102</v>
      </c>
      <c r="R190" s="643"/>
      <c r="S190" s="643" t="s">
        <v>102</v>
      </c>
      <c r="T190" s="643"/>
      <c r="U190" s="643" t="s">
        <v>102</v>
      </c>
      <c r="V190" s="643"/>
      <c r="W190" s="643" t="s">
        <v>102</v>
      </c>
      <c r="X190" s="643"/>
      <c r="Y190" s="643" t="s">
        <v>102</v>
      </c>
      <c r="Z190" s="643"/>
      <c r="AA190" s="643" t="s">
        <v>102</v>
      </c>
      <c r="AB190" s="643"/>
      <c r="AC190" s="13"/>
      <c r="AD190" s="13"/>
      <c r="AE190" s="13"/>
      <c r="AF190" s="13"/>
      <c r="AG190" s="13"/>
      <c r="AH190" s="13"/>
      <c r="AI190" s="13"/>
      <c r="AJ190" s="13"/>
      <c r="AK190" s="13"/>
      <c r="AL190" s="13"/>
      <c r="AM190" s="13"/>
      <c r="AN190" s="13"/>
      <c r="AO190" s="13"/>
      <c r="AP190" s="13"/>
      <c r="AQ190" s="13"/>
      <c r="AR190" s="13"/>
    </row>
    <row r="191" spans="1:44" ht="14.25" customHeight="1">
      <c r="A191" s="641"/>
      <c r="B191" s="641"/>
      <c r="C191" s="643">
        <v>0</v>
      </c>
      <c r="D191" s="643"/>
      <c r="E191" s="643" t="s">
        <v>102</v>
      </c>
      <c r="F191" s="643"/>
      <c r="G191" s="643" t="s">
        <v>102</v>
      </c>
      <c r="H191" s="643"/>
      <c r="I191" s="643" t="s">
        <v>102</v>
      </c>
      <c r="J191" s="643"/>
      <c r="K191" s="674" t="s">
        <v>102</v>
      </c>
      <c r="L191" s="674"/>
      <c r="M191" s="643" t="s">
        <v>102</v>
      </c>
      <c r="N191" s="643"/>
      <c r="O191" s="643" t="s">
        <v>102</v>
      </c>
      <c r="P191" s="643"/>
      <c r="Q191" s="643" t="s">
        <v>102</v>
      </c>
      <c r="R191" s="643"/>
      <c r="S191" s="643" t="s">
        <v>102</v>
      </c>
      <c r="T191" s="643"/>
      <c r="U191" s="643" t="s">
        <v>102</v>
      </c>
      <c r="V191" s="643"/>
      <c r="W191" s="643" t="s">
        <v>102</v>
      </c>
      <c r="X191" s="643"/>
      <c r="Y191" s="643" t="s">
        <v>102</v>
      </c>
      <c r="Z191" s="643"/>
      <c r="AA191" s="643" t="s">
        <v>102</v>
      </c>
      <c r="AB191" s="643"/>
      <c r="AC191" s="13"/>
      <c r="AD191" s="13"/>
      <c r="AE191" s="13"/>
      <c r="AF191" s="13"/>
      <c r="AG191" s="13"/>
      <c r="AH191" s="13"/>
      <c r="AI191" s="13"/>
      <c r="AJ191" s="13"/>
      <c r="AK191" s="13"/>
      <c r="AL191" s="13"/>
      <c r="AM191" s="13"/>
      <c r="AN191" s="13"/>
      <c r="AO191" s="13"/>
      <c r="AP191" s="13"/>
      <c r="AQ191" s="13"/>
      <c r="AR191" s="13"/>
    </row>
    <row r="192" spans="1:44" ht="14.25" customHeight="1">
      <c r="A192" s="641"/>
      <c r="B192" s="641"/>
      <c r="C192" s="644">
        <v>0</v>
      </c>
      <c r="D192" s="644"/>
      <c r="E192" s="660" t="s">
        <v>102</v>
      </c>
      <c r="F192" s="660"/>
      <c r="G192" s="660" t="s">
        <v>102</v>
      </c>
      <c r="H192" s="660"/>
      <c r="I192" s="660" t="s">
        <v>102</v>
      </c>
      <c r="J192" s="660"/>
      <c r="K192" s="660" t="s">
        <v>102</v>
      </c>
      <c r="L192" s="660"/>
      <c r="M192" s="660" t="s">
        <v>102</v>
      </c>
      <c r="N192" s="660"/>
      <c r="O192" s="660" t="s">
        <v>102</v>
      </c>
      <c r="P192" s="660"/>
      <c r="Q192" s="660" t="s">
        <v>102</v>
      </c>
      <c r="R192" s="660"/>
      <c r="S192" s="660" t="s">
        <v>102</v>
      </c>
      <c r="T192" s="660"/>
      <c r="U192" s="660" t="s">
        <v>102</v>
      </c>
      <c r="V192" s="660"/>
      <c r="W192" s="660" t="s">
        <v>102</v>
      </c>
      <c r="X192" s="660"/>
      <c r="Y192" s="660" t="s">
        <v>102</v>
      </c>
      <c r="Z192" s="660"/>
      <c r="AA192" s="660" t="s">
        <v>102</v>
      </c>
      <c r="AB192" s="660"/>
      <c r="AC192" s="13"/>
      <c r="AD192" s="13"/>
      <c r="AE192" s="13"/>
      <c r="AF192" s="13"/>
      <c r="AG192" s="13"/>
      <c r="AH192" s="13"/>
      <c r="AI192" s="13"/>
      <c r="AJ192" s="13"/>
      <c r="AK192" s="13"/>
      <c r="AL192" s="13"/>
      <c r="AM192" s="13"/>
      <c r="AN192" s="13"/>
      <c r="AO192" s="13"/>
      <c r="AP192" s="13"/>
      <c r="AQ192" s="13"/>
      <c r="AR192" s="13"/>
    </row>
    <row r="193" spans="1:44" ht="14.25" customHeight="1">
      <c r="A193" s="641" t="s">
        <v>116</v>
      </c>
      <c r="B193" s="641"/>
      <c r="C193" s="646" t="s">
        <v>117</v>
      </c>
      <c r="D193" s="646"/>
      <c r="E193" s="647" t="s">
        <v>138</v>
      </c>
      <c r="F193" s="647"/>
      <c r="G193" s="642" t="s">
        <v>102</v>
      </c>
      <c r="H193" s="642"/>
      <c r="I193" s="642" t="s">
        <v>102</v>
      </c>
      <c r="J193" s="642"/>
      <c r="K193" s="642" t="s">
        <v>138</v>
      </c>
      <c r="L193" s="642"/>
      <c r="M193" s="642" t="s">
        <v>102</v>
      </c>
      <c r="N193" s="642"/>
      <c r="O193" s="642" t="s">
        <v>102</v>
      </c>
      <c r="P193" s="642"/>
      <c r="Q193" s="642" t="s">
        <v>139</v>
      </c>
      <c r="R193" s="642"/>
      <c r="S193" s="642" t="s">
        <v>102</v>
      </c>
      <c r="T193" s="642"/>
      <c r="U193" s="642" t="s">
        <v>102</v>
      </c>
      <c r="V193" s="642"/>
      <c r="W193" s="642" t="s">
        <v>139</v>
      </c>
      <c r="X193" s="642"/>
      <c r="Y193" s="642" t="s">
        <v>102</v>
      </c>
      <c r="Z193" s="642"/>
      <c r="AA193" s="642" t="s">
        <v>102</v>
      </c>
      <c r="AB193" s="642"/>
      <c r="AC193" s="13"/>
      <c r="AD193" s="13"/>
      <c r="AE193" s="13"/>
      <c r="AF193" s="13"/>
      <c r="AG193" s="13"/>
      <c r="AH193" s="13"/>
      <c r="AI193" s="13"/>
      <c r="AJ193" s="13"/>
      <c r="AK193" s="13"/>
      <c r="AL193" s="13"/>
      <c r="AM193" s="13"/>
      <c r="AN193" s="13"/>
      <c r="AO193" s="13"/>
      <c r="AP193" s="13"/>
      <c r="AQ193" s="13"/>
      <c r="AR193" s="13"/>
    </row>
    <row r="194" spans="1:44" ht="14.25" customHeight="1">
      <c r="A194" s="641"/>
      <c r="B194" s="641"/>
      <c r="C194" s="643" t="s">
        <v>119</v>
      </c>
      <c r="D194" s="643"/>
      <c r="E194" s="648" t="s">
        <v>140</v>
      </c>
      <c r="F194" s="648"/>
      <c r="G194" s="643" t="s">
        <v>102</v>
      </c>
      <c r="H194" s="643"/>
      <c r="I194" s="643" t="s">
        <v>102</v>
      </c>
      <c r="J194" s="643"/>
      <c r="K194" s="674" t="s">
        <v>140</v>
      </c>
      <c r="L194" s="674"/>
      <c r="M194" s="643" t="s">
        <v>102</v>
      </c>
      <c r="N194" s="643"/>
      <c r="O194" s="643" t="s">
        <v>102</v>
      </c>
      <c r="P194" s="643"/>
      <c r="Q194" s="643" t="s">
        <v>141</v>
      </c>
      <c r="R194" s="643"/>
      <c r="S194" s="643" t="s">
        <v>102</v>
      </c>
      <c r="T194" s="643"/>
      <c r="U194" s="648" t="s">
        <v>102</v>
      </c>
      <c r="V194" s="648"/>
      <c r="W194" s="643" t="s">
        <v>141</v>
      </c>
      <c r="X194" s="643"/>
      <c r="Y194" s="643" t="s">
        <v>102</v>
      </c>
      <c r="Z194" s="643"/>
      <c r="AA194" s="643" t="s">
        <v>102</v>
      </c>
      <c r="AB194" s="643"/>
      <c r="AC194" s="13"/>
      <c r="AD194" s="13"/>
      <c r="AE194" s="13"/>
      <c r="AF194" s="13"/>
      <c r="AG194" s="13"/>
      <c r="AH194" s="13"/>
      <c r="AI194" s="13"/>
      <c r="AJ194" s="13"/>
      <c r="AK194" s="13"/>
      <c r="AL194" s="13"/>
      <c r="AM194" s="13"/>
      <c r="AN194" s="13"/>
      <c r="AO194" s="13"/>
      <c r="AP194" s="13"/>
      <c r="AQ194" s="13"/>
      <c r="AR194" s="13"/>
    </row>
    <row r="195" spans="1:44" ht="14.25" customHeight="1">
      <c r="A195" s="641"/>
      <c r="B195" s="641"/>
      <c r="C195" s="643" t="s">
        <v>121</v>
      </c>
      <c r="D195" s="643"/>
      <c r="E195" s="648" t="s">
        <v>142</v>
      </c>
      <c r="F195" s="648"/>
      <c r="G195" s="643" t="s">
        <v>102</v>
      </c>
      <c r="H195" s="643"/>
      <c r="I195" s="643" t="s">
        <v>102</v>
      </c>
      <c r="J195" s="643"/>
      <c r="K195" s="674" t="s">
        <v>142</v>
      </c>
      <c r="L195" s="674"/>
      <c r="M195" s="643" t="s">
        <v>102</v>
      </c>
      <c r="N195" s="643"/>
      <c r="O195" s="643" t="s">
        <v>102</v>
      </c>
      <c r="P195" s="643"/>
      <c r="Q195" s="643" t="s">
        <v>143</v>
      </c>
      <c r="R195" s="643"/>
      <c r="S195" s="643" t="s">
        <v>102</v>
      </c>
      <c r="T195" s="643"/>
      <c r="U195" s="648" t="s">
        <v>102</v>
      </c>
      <c r="V195" s="648"/>
      <c r="W195" s="643" t="s">
        <v>143</v>
      </c>
      <c r="X195" s="643"/>
      <c r="Y195" s="643" t="s">
        <v>102</v>
      </c>
      <c r="Z195" s="643"/>
      <c r="AA195" s="643" t="s">
        <v>102</v>
      </c>
      <c r="AB195" s="643"/>
      <c r="AC195" s="13"/>
      <c r="AD195" s="13"/>
      <c r="AE195" s="13"/>
      <c r="AF195" s="13"/>
      <c r="AG195" s="13"/>
      <c r="AH195" s="13"/>
      <c r="AI195" s="13"/>
      <c r="AJ195" s="13"/>
      <c r="AK195" s="13"/>
      <c r="AL195" s="13"/>
      <c r="AM195" s="13"/>
      <c r="AN195" s="13"/>
      <c r="AO195" s="13"/>
      <c r="AP195" s="13"/>
      <c r="AQ195" s="13"/>
      <c r="AR195" s="13"/>
    </row>
    <row r="196" spans="1:44" ht="14.25" customHeight="1">
      <c r="A196" s="641"/>
      <c r="B196" s="641"/>
      <c r="C196" s="643" t="s">
        <v>123</v>
      </c>
      <c r="D196" s="643"/>
      <c r="E196" s="648" t="s">
        <v>144</v>
      </c>
      <c r="F196" s="648"/>
      <c r="G196" s="643" t="s">
        <v>102</v>
      </c>
      <c r="H196" s="643"/>
      <c r="I196" s="643" t="s">
        <v>102</v>
      </c>
      <c r="J196" s="643"/>
      <c r="K196" s="643" t="s">
        <v>144</v>
      </c>
      <c r="L196" s="643"/>
      <c r="M196" s="643" t="s">
        <v>102</v>
      </c>
      <c r="N196" s="643"/>
      <c r="O196" s="643" t="s">
        <v>102</v>
      </c>
      <c r="P196" s="643"/>
      <c r="Q196" s="643" t="s">
        <v>145</v>
      </c>
      <c r="R196" s="643"/>
      <c r="S196" s="643" t="s">
        <v>102</v>
      </c>
      <c r="T196" s="643"/>
      <c r="U196" s="648" t="s">
        <v>102</v>
      </c>
      <c r="V196" s="648"/>
      <c r="W196" s="643" t="s">
        <v>145</v>
      </c>
      <c r="X196" s="643"/>
      <c r="Y196" s="643" t="s">
        <v>102</v>
      </c>
      <c r="Z196" s="643"/>
      <c r="AA196" s="643" t="s">
        <v>102</v>
      </c>
      <c r="AB196" s="643"/>
      <c r="AC196" s="13"/>
      <c r="AD196" s="13"/>
      <c r="AE196" s="13"/>
      <c r="AF196" s="13"/>
      <c r="AG196" s="13"/>
      <c r="AH196" s="13"/>
      <c r="AI196" s="13"/>
      <c r="AJ196" s="13"/>
      <c r="AK196" s="13"/>
      <c r="AL196" s="13"/>
      <c r="AM196" s="13"/>
      <c r="AN196" s="13"/>
      <c r="AO196" s="13"/>
      <c r="AP196" s="13"/>
      <c r="AQ196" s="13"/>
      <c r="AR196" s="13"/>
    </row>
    <row r="197" spans="1:44" ht="14.25" customHeight="1">
      <c r="A197" s="641"/>
      <c r="B197" s="641"/>
      <c r="C197" s="643"/>
      <c r="D197" s="643"/>
      <c r="E197" s="648"/>
      <c r="F197" s="648"/>
      <c r="G197" s="646"/>
      <c r="H197" s="646"/>
      <c r="I197" s="646"/>
      <c r="J197" s="646"/>
      <c r="K197" s="646"/>
      <c r="L197" s="646"/>
      <c r="M197" s="646"/>
      <c r="N197" s="646"/>
      <c r="O197" s="646"/>
      <c r="P197" s="646"/>
      <c r="Q197" s="646"/>
      <c r="R197" s="646"/>
      <c r="S197" s="646"/>
      <c r="T197" s="646"/>
      <c r="U197" s="648"/>
      <c r="V197" s="648"/>
      <c r="W197" s="646"/>
      <c r="X197" s="646"/>
      <c r="Y197" s="646"/>
      <c r="Z197" s="646"/>
      <c r="AA197" s="646"/>
      <c r="AB197" s="646"/>
      <c r="AC197" s="13"/>
      <c r="AD197" s="13"/>
      <c r="AE197" s="13"/>
      <c r="AF197" s="13"/>
      <c r="AG197" s="13"/>
      <c r="AH197" s="13"/>
      <c r="AI197" s="13"/>
      <c r="AJ197" s="13"/>
      <c r="AK197" s="13"/>
      <c r="AL197" s="13"/>
      <c r="AM197" s="13"/>
      <c r="AN197" s="13"/>
      <c r="AO197" s="13"/>
      <c r="AP197" s="13"/>
      <c r="AQ197" s="13"/>
      <c r="AR197" s="13"/>
    </row>
    <row r="198" spans="1:44" ht="14.25" customHeight="1">
      <c r="A198" s="641"/>
      <c r="B198" s="641"/>
      <c r="C198" s="644"/>
      <c r="D198" s="644"/>
      <c r="E198" s="649"/>
      <c r="F198" s="649"/>
      <c r="G198" s="644"/>
      <c r="H198" s="644"/>
      <c r="I198" s="644"/>
      <c r="J198" s="644"/>
      <c r="K198" s="644"/>
      <c r="L198" s="644"/>
      <c r="M198" s="644"/>
      <c r="N198" s="644"/>
      <c r="O198" s="644"/>
      <c r="P198" s="644"/>
      <c r="Q198" s="644"/>
      <c r="R198" s="644"/>
      <c r="S198" s="644"/>
      <c r="T198" s="644"/>
      <c r="U198" s="649"/>
      <c r="V198" s="649"/>
      <c r="W198" s="644"/>
      <c r="X198" s="644"/>
      <c r="Y198" s="644"/>
      <c r="Z198" s="644"/>
      <c r="AA198" s="644"/>
      <c r="AB198" s="644"/>
      <c r="AC198" s="13"/>
      <c r="AD198" s="13"/>
      <c r="AE198" s="13"/>
      <c r="AF198" s="13"/>
      <c r="AG198" s="13"/>
      <c r="AH198" s="13"/>
      <c r="AI198" s="13"/>
      <c r="AJ198" s="13"/>
      <c r="AK198" s="13"/>
      <c r="AL198" s="13"/>
      <c r="AM198" s="13"/>
      <c r="AN198" s="13"/>
      <c r="AO198" s="13"/>
      <c r="AP198" s="13"/>
      <c r="AQ198" s="13"/>
      <c r="AR198" s="13"/>
    </row>
    <row r="199" spans="1:44"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sheetData>
  <mergeCells count="1382">
    <mergeCell ref="C198:D198"/>
    <mergeCell ref="E198:F198"/>
    <mergeCell ref="G198:H198"/>
    <mergeCell ref="I198:J198"/>
    <mergeCell ref="K198:L198"/>
    <mergeCell ref="M198:N198"/>
    <mergeCell ref="O198:P198"/>
    <mergeCell ref="Q198:R198"/>
    <mergeCell ref="S198:T198"/>
    <mergeCell ref="U198:V198"/>
    <mergeCell ref="W198:X198"/>
    <mergeCell ref="Y198:Z198"/>
    <mergeCell ref="AA198:AB198"/>
    <mergeCell ref="C196:D196"/>
    <mergeCell ref="E196:F196"/>
    <mergeCell ref="G196:H196"/>
    <mergeCell ref="I196:J196"/>
    <mergeCell ref="K196:L196"/>
    <mergeCell ref="M196:N196"/>
    <mergeCell ref="O196:P196"/>
    <mergeCell ref="Q196:R196"/>
    <mergeCell ref="S196:T196"/>
    <mergeCell ref="U196:V196"/>
    <mergeCell ref="W196:X196"/>
    <mergeCell ref="Y196:Z196"/>
    <mergeCell ref="AA196:AB196"/>
    <mergeCell ref="C197:D197"/>
    <mergeCell ref="E197:F197"/>
    <mergeCell ref="G197:H197"/>
    <mergeCell ref="I197:J197"/>
    <mergeCell ref="K197:L197"/>
    <mergeCell ref="M197:N197"/>
    <mergeCell ref="O197:P197"/>
    <mergeCell ref="Q197:R197"/>
    <mergeCell ref="S197:T197"/>
    <mergeCell ref="U197:V197"/>
    <mergeCell ref="W197:X197"/>
    <mergeCell ref="Y197:Z197"/>
    <mergeCell ref="AA197:AB197"/>
    <mergeCell ref="M194:N194"/>
    <mergeCell ref="O194:P194"/>
    <mergeCell ref="Q194:R194"/>
    <mergeCell ref="S194:T194"/>
    <mergeCell ref="U194:V194"/>
    <mergeCell ref="W194:X194"/>
    <mergeCell ref="Y194:Z194"/>
    <mergeCell ref="AA194:AB194"/>
    <mergeCell ref="C195:D195"/>
    <mergeCell ref="E195:F195"/>
    <mergeCell ref="G195:H195"/>
    <mergeCell ref="I195:J195"/>
    <mergeCell ref="K195:L195"/>
    <mergeCell ref="M195:N195"/>
    <mergeCell ref="O195:P195"/>
    <mergeCell ref="Q195:R195"/>
    <mergeCell ref="S195:T195"/>
    <mergeCell ref="U195:V195"/>
    <mergeCell ref="W195:X195"/>
    <mergeCell ref="Y195:Z195"/>
    <mergeCell ref="AA195:AB195"/>
    <mergeCell ref="C192:D192"/>
    <mergeCell ref="E192:F192"/>
    <mergeCell ref="G192:H192"/>
    <mergeCell ref="I192:J192"/>
    <mergeCell ref="K192:L192"/>
    <mergeCell ref="M192:N192"/>
    <mergeCell ref="O192:P192"/>
    <mergeCell ref="Q192:R192"/>
    <mergeCell ref="S192:T192"/>
    <mergeCell ref="U192:V192"/>
    <mergeCell ref="W192:X192"/>
    <mergeCell ref="Y192:Z192"/>
    <mergeCell ref="AA192:AB192"/>
    <mergeCell ref="A193:B198"/>
    <mergeCell ref="C193:D193"/>
    <mergeCell ref="E193:F193"/>
    <mergeCell ref="G193:H193"/>
    <mergeCell ref="I193:J193"/>
    <mergeCell ref="K193:L193"/>
    <mergeCell ref="M193:N193"/>
    <mergeCell ref="O193:P193"/>
    <mergeCell ref="Q193:R193"/>
    <mergeCell ref="S193:T193"/>
    <mergeCell ref="U193:V193"/>
    <mergeCell ref="W193:X193"/>
    <mergeCell ref="Y193:Z193"/>
    <mergeCell ref="AA193:AB193"/>
    <mergeCell ref="C194:D194"/>
    <mergeCell ref="E194:F194"/>
    <mergeCell ref="G194:H194"/>
    <mergeCell ref="I194:J194"/>
    <mergeCell ref="K194:L194"/>
    <mergeCell ref="C190:D190"/>
    <mergeCell ref="E190:F190"/>
    <mergeCell ref="G190:H190"/>
    <mergeCell ref="I190:J190"/>
    <mergeCell ref="K190:L190"/>
    <mergeCell ref="M190:N190"/>
    <mergeCell ref="O190:P190"/>
    <mergeCell ref="Q190:R190"/>
    <mergeCell ref="S190:T190"/>
    <mergeCell ref="U190:V190"/>
    <mergeCell ref="W190:X190"/>
    <mergeCell ref="Y190:Z190"/>
    <mergeCell ref="AA190:AB190"/>
    <mergeCell ref="C191:D191"/>
    <mergeCell ref="E191:F191"/>
    <mergeCell ref="G191:H191"/>
    <mergeCell ref="I191:J191"/>
    <mergeCell ref="K191:L191"/>
    <mergeCell ref="M191:N191"/>
    <mergeCell ref="O191:P191"/>
    <mergeCell ref="Q191:R191"/>
    <mergeCell ref="S191:T191"/>
    <mergeCell ref="U191:V191"/>
    <mergeCell ref="W191:X191"/>
    <mergeCell ref="Y191:Z191"/>
    <mergeCell ref="AA191:AB191"/>
    <mergeCell ref="M188:N188"/>
    <mergeCell ref="O188:P188"/>
    <mergeCell ref="Q188:R188"/>
    <mergeCell ref="S188:T188"/>
    <mergeCell ref="U188:V188"/>
    <mergeCell ref="W188:X188"/>
    <mergeCell ref="Y188:Z188"/>
    <mergeCell ref="AA188:AB188"/>
    <mergeCell ref="C189:D189"/>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A186:B192"/>
    <mergeCell ref="C186:D186"/>
    <mergeCell ref="E186:F186"/>
    <mergeCell ref="G186:H186"/>
    <mergeCell ref="I186:J186"/>
    <mergeCell ref="K186:L186"/>
    <mergeCell ref="M186:N186"/>
    <mergeCell ref="O186:P186"/>
    <mergeCell ref="Q186:R186"/>
    <mergeCell ref="S186:T186"/>
    <mergeCell ref="U186:V186"/>
    <mergeCell ref="W186:X186"/>
    <mergeCell ref="Y186:Z186"/>
    <mergeCell ref="AA186:AB186"/>
    <mergeCell ref="C187:D187"/>
    <mergeCell ref="E187:F187"/>
    <mergeCell ref="G187:H187"/>
    <mergeCell ref="I187:J187"/>
    <mergeCell ref="K187:L187"/>
    <mergeCell ref="M187:N187"/>
    <mergeCell ref="O187:P187"/>
    <mergeCell ref="Q187:R187"/>
    <mergeCell ref="S187:T187"/>
    <mergeCell ref="U187:V187"/>
    <mergeCell ref="W187:X187"/>
    <mergeCell ref="Y187:Z187"/>
    <mergeCell ref="AA187:AB187"/>
    <mergeCell ref="C188:D188"/>
    <mergeCell ref="E188:F188"/>
    <mergeCell ref="G188:H188"/>
    <mergeCell ref="I188:J188"/>
    <mergeCell ref="K188:L188"/>
    <mergeCell ref="C184:D184"/>
    <mergeCell ref="E184:F184"/>
    <mergeCell ref="G184:H184"/>
    <mergeCell ref="I184:J184"/>
    <mergeCell ref="K184:L184"/>
    <mergeCell ref="M184:N184"/>
    <mergeCell ref="O184:P184"/>
    <mergeCell ref="Q184:R184"/>
    <mergeCell ref="S184:T184"/>
    <mergeCell ref="U184:V184"/>
    <mergeCell ref="W184:X184"/>
    <mergeCell ref="Y184:Z184"/>
    <mergeCell ref="AA184:AB184"/>
    <mergeCell ref="C185:D185"/>
    <mergeCell ref="E185:F185"/>
    <mergeCell ref="G185:H185"/>
    <mergeCell ref="I185:J185"/>
    <mergeCell ref="K185:L185"/>
    <mergeCell ref="M185:N185"/>
    <mergeCell ref="O185:P185"/>
    <mergeCell ref="Q185:R185"/>
    <mergeCell ref="S185:T185"/>
    <mergeCell ref="U185:V185"/>
    <mergeCell ref="W185:X185"/>
    <mergeCell ref="Y185:Z185"/>
    <mergeCell ref="AA185:AB185"/>
    <mergeCell ref="C182:D182"/>
    <mergeCell ref="E182:F182"/>
    <mergeCell ref="G182:H182"/>
    <mergeCell ref="I182:J182"/>
    <mergeCell ref="K182:L182"/>
    <mergeCell ref="M182:N182"/>
    <mergeCell ref="O182:P182"/>
    <mergeCell ref="Q182:R182"/>
    <mergeCell ref="S182:T182"/>
    <mergeCell ref="U182:V182"/>
    <mergeCell ref="W182:X182"/>
    <mergeCell ref="Y182:Z182"/>
    <mergeCell ref="AA182:AB182"/>
    <mergeCell ref="C183:D183"/>
    <mergeCell ref="E183:F183"/>
    <mergeCell ref="G183:H183"/>
    <mergeCell ref="I183:J183"/>
    <mergeCell ref="K183:L183"/>
    <mergeCell ref="M183:N183"/>
    <mergeCell ref="O183:P183"/>
    <mergeCell ref="Q183:R183"/>
    <mergeCell ref="S183:T183"/>
    <mergeCell ref="U183:V183"/>
    <mergeCell ref="W183:X183"/>
    <mergeCell ref="Y183:Z183"/>
    <mergeCell ref="AA183:AB183"/>
    <mergeCell ref="C180:D180"/>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C181:D181"/>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C178:D178"/>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C179:D179"/>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C176:D176"/>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C177:D177"/>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C174:D174"/>
    <mergeCell ref="E174:F174"/>
    <mergeCell ref="G174:H174"/>
    <mergeCell ref="I174:J174"/>
    <mergeCell ref="K174:L174"/>
    <mergeCell ref="M174:N174"/>
    <mergeCell ref="O174:P174"/>
    <mergeCell ref="Q174:R174"/>
    <mergeCell ref="S174:T174"/>
    <mergeCell ref="U174:V174"/>
    <mergeCell ref="W174:X174"/>
    <mergeCell ref="Y174:Z174"/>
    <mergeCell ref="AA174:AB174"/>
    <mergeCell ref="C175:D175"/>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C172:D172"/>
    <mergeCell ref="E172:F172"/>
    <mergeCell ref="G172:H172"/>
    <mergeCell ref="I172:J172"/>
    <mergeCell ref="K172:L172"/>
    <mergeCell ref="M172:N172"/>
    <mergeCell ref="O172:P172"/>
    <mergeCell ref="Q172:R172"/>
    <mergeCell ref="S172:T172"/>
    <mergeCell ref="U172:V172"/>
    <mergeCell ref="W172:X172"/>
    <mergeCell ref="Y172:Z172"/>
    <mergeCell ref="AA172:AB172"/>
    <mergeCell ref="C173:D173"/>
    <mergeCell ref="E173:F173"/>
    <mergeCell ref="G173:H173"/>
    <mergeCell ref="I173:J173"/>
    <mergeCell ref="K173:L173"/>
    <mergeCell ref="M173:N173"/>
    <mergeCell ref="O173:P173"/>
    <mergeCell ref="Q173:R173"/>
    <mergeCell ref="S173:T173"/>
    <mergeCell ref="U173:V173"/>
    <mergeCell ref="W173:X173"/>
    <mergeCell ref="Y173:Z173"/>
    <mergeCell ref="AA173:AB173"/>
    <mergeCell ref="M170:N170"/>
    <mergeCell ref="O170:P170"/>
    <mergeCell ref="Q170:R170"/>
    <mergeCell ref="S170:T170"/>
    <mergeCell ref="U170:V170"/>
    <mergeCell ref="W170:X170"/>
    <mergeCell ref="Y170:Z170"/>
    <mergeCell ref="AA170:AB170"/>
    <mergeCell ref="C171:D171"/>
    <mergeCell ref="E171:F171"/>
    <mergeCell ref="G171:H171"/>
    <mergeCell ref="I171:J171"/>
    <mergeCell ref="K171:L171"/>
    <mergeCell ref="M171:N171"/>
    <mergeCell ref="O171:P171"/>
    <mergeCell ref="Q171:R171"/>
    <mergeCell ref="S171:T171"/>
    <mergeCell ref="U171:V171"/>
    <mergeCell ref="W171:X171"/>
    <mergeCell ref="Y171:Z171"/>
    <mergeCell ref="AA171:AB171"/>
    <mergeCell ref="A168:B185"/>
    <mergeCell ref="C168:D168"/>
    <mergeCell ref="E168:F168"/>
    <mergeCell ref="G168:H168"/>
    <mergeCell ref="I168:J168"/>
    <mergeCell ref="K168:L168"/>
    <mergeCell ref="M168:N168"/>
    <mergeCell ref="O168:P168"/>
    <mergeCell ref="Q168:R168"/>
    <mergeCell ref="S168:T168"/>
    <mergeCell ref="U168:V168"/>
    <mergeCell ref="W168:X168"/>
    <mergeCell ref="Y168:Z168"/>
    <mergeCell ref="AA168:AB168"/>
    <mergeCell ref="C169:D169"/>
    <mergeCell ref="E169:F169"/>
    <mergeCell ref="G169:H169"/>
    <mergeCell ref="I169:J169"/>
    <mergeCell ref="K169:L169"/>
    <mergeCell ref="M169:N169"/>
    <mergeCell ref="O169:P169"/>
    <mergeCell ref="Q169:R169"/>
    <mergeCell ref="S169:T169"/>
    <mergeCell ref="U169:V169"/>
    <mergeCell ref="W169:X169"/>
    <mergeCell ref="Y169:Z169"/>
    <mergeCell ref="AA169:AB169"/>
    <mergeCell ref="C170:D170"/>
    <mergeCell ref="E170:F170"/>
    <mergeCell ref="G170:H170"/>
    <mergeCell ref="I170:J170"/>
    <mergeCell ref="K170:L170"/>
    <mergeCell ref="A163:B163"/>
    <mergeCell ref="A165:AB165"/>
    <mergeCell ref="B166:AB166"/>
    <mergeCell ref="A167:B167"/>
    <mergeCell ref="C167:D167"/>
    <mergeCell ref="E167:F167"/>
    <mergeCell ref="G167:H167"/>
    <mergeCell ref="I167:J167"/>
    <mergeCell ref="K167:L167"/>
    <mergeCell ref="M167:N167"/>
    <mergeCell ref="O167:P167"/>
    <mergeCell ref="Q167:R167"/>
    <mergeCell ref="S167:T167"/>
    <mergeCell ref="U167:V167"/>
    <mergeCell ref="W167:X167"/>
    <mergeCell ref="Y167:Z167"/>
    <mergeCell ref="AA167:AB167"/>
    <mergeCell ref="G142:H142"/>
    <mergeCell ref="I142:J142"/>
    <mergeCell ref="K142:L142"/>
    <mergeCell ref="M142:N142"/>
    <mergeCell ref="O142:P142"/>
    <mergeCell ref="Q142:R142"/>
    <mergeCell ref="S142:T142"/>
    <mergeCell ref="U142:V142"/>
    <mergeCell ref="W142:X142"/>
    <mergeCell ref="Y142:Z142"/>
    <mergeCell ref="AA142:AB142"/>
    <mergeCell ref="A157:B157"/>
    <mergeCell ref="A158:B158"/>
    <mergeCell ref="A159:B159"/>
    <mergeCell ref="A160:B160"/>
    <mergeCell ref="A161:B161"/>
    <mergeCell ref="A162:B162"/>
    <mergeCell ref="C136:D136"/>
    <mergeCell ref="E136:F136"/>
    <mergeCell ref="G136:H136"/>
    <mergeCell ref="I136:J136"/>
    <mergeCell ref="K136:L136"/>
    <mergeCell ref="M136:N136"/>
    <mergeCell ref="O136:P136"/>
    <mergeCell ref="Q136:R136"/>
    <mergeCell ref="S136:T136"/>
    <mergeCell ref="U136:V136"/>
    <mergeCell ref="W136:X136"/>
    <mergeCell ref="Y136:Z136"/>
    <mergeCell ref="AA136:AB136"/>
    <mergeCell ref="A140:AB140"/>
    <mergeCell ref="A141:A143"/>
    <mergeCell ref="B141:B143"/>
    <mergeCell ref="C141:D141"/>
    <mergeCell ref="E141:F141"/>
    <mergeCell ref="G141:H141"/>
    <mergeCell ref="I141:J141"/>
    <mergeCell ref="K141:L141"/>
    <mergeCell ref="M141:N141"/>
    <mergeCell ref="O141:P141"/>
    <mergeCell ref="Q141:R141"/>
    <mergeCell ref="S141:T141"/>
    <mergeCell ref="U141:V141"/>
    <mergeCell ref="W141:X141"/>
    <mergeCell ref="Y141:Z141"/>
    <mergeCell ref="AA141:AB141"/>
    <mergeCell ref="C142:C143"/>
    <mergeCell ref="D142:D143"/>
    <mergeCell ref="E142:F142"/>
    <mergeCell ref="C134:D134"/>
    <mergeCell ref="E134:F134"/>
    <mergeCell ref="G134:H134"/>
    <mergeCell ref="I134:J134"/>
    <mergeCell ref="K134:L134"/>
    <mergeCell ref="M134:N134"/>
    <mergeCell ref="O134:P134"/>
    <mergeCell ref="Q134:R134"/>
    <mergeCell ref="S134:T134"/>
    <mergeCell ref="U134:V134"/>
    <mergeCell ref="W134:X134"/>
    <mergeCell ref="Y134:Z134"/>
    <mergeCell ref="AA134:AB134"/>
    <mergeCell ref="C135:D135"/>
    <mergeCell ref="E135:F135"/>
    <mergeCell ref="G135:H135"/>
    <mergeCell ref="I135:J135"/>
    <mergeCell ref="K135:L135"/>
    <mergeCell ref="M135:N135"/>
    <mergeCell ref="O135:P135"/>
    <mergeCell ref="Q135:R135"/>
    <mergeCell ref="S135:T135"/>
    <mergeCell ref="U135:V135"/>
    <mergeCell ref="W135:X135"/>
    <mergeCell ref="Y135:Z135"/>
    <mergeCell ref="AA135:AB135"/>
    <mergeCell ref="M132:N132"/>
    <mergeCell ref="O132:P132"/>
    <mergeCell ref="Q132:R132"/>
    <mergeCell ref="S132:T132"/>
    <mergeCell ref="U132:V132"/>
    <mergeCell ref="W132:X132"/>
    <mergeCell ref="Y132:Z132"/>
    <mergeCell ref="AA132:AB132"/>
    <mergeCell ref="C133:D133"/>
    <mergeCell ref="E133:F133"/>
    <mergeCell ref="G133:H133"/>
    <mergeCell ref="I133:J133"/>
    <mergeCell ref="K133:L133"/>
    <mergeCell ref="M133:N133"/>
    <mergeCell ref="O133:P133"/>
    <mergeCell ref="Q133:R133"/>
    <mergeCell ref="S133:T133"/>
    <mergeCell ref="U133:V133"/>
    <mergeCell ref="W133:X133"/>
    <mergeCell ref="Y133:Z133"/>
    <mergeCell ref="AA133:AB133"/>
    <mergeCell ref="C130:D130"/>
    <mergeCell ref="E130:F130"/>
    <mergeCell ref="G130:H130"/>
    <mergeCell ref="I130:J130"/>
    <mergeCell ref="K130:L130"/>
    <mergeCell ref="M130:N130"/>
    <mergeCell ref="O130:P130"/>
    <mergeCell ref="Q130:R130"/>
    <mergeCell ref="S130:T130"/>
    <mergeCell ref="U130:V130"/>
    <mergeCell ref="W130:X130"/>
    <mergeCell ref="Y130:Z130"/>
    <mergeCell ref="AA130:AB130"/>
    <mergeCell ref="A131:B136"/>
    <mergeCell ref="C131:D131"/>
    <mergeCell ref="E131:F131"/>
    <mergeCell ref="G131:H131"/>
    <mergeCell ref="I131:J131"/>
    <mergeCell ref="K131:L131"/>
    <mergeCell ref="M131:N131"/>
    <mergeCell ref="O131:P131"/>
    <mergeCell ref="Q131:R131"/>
    <mergeCell ref="S131:T131"/>
    <mergeCell ref="U131:V131"/>
    <mergeCell ref="W131:X131"/>
    <mergeCell ref="Y131:Z131"/>
    <mergeCell ref="AA131:AB131"/>
    <mergeCell ref="C132:D132"/>
    <mergeCell ref="E132:F132"/>
    <mergeCell ref="G132:H132"/>
    <mergeCell ref="I132:J132"/>
    <mergeCell ref="K132:L132"/>
    <mergeCell ref="C128:D128"/>
    <mergeCell ref="E128:F128"/>
    <mergeCell ref="G128:H128"/>
    <mergeCell ref="I128:J128"/>
    <mergeCell ref="K128:L128"/>
    <mergeCell ref="M128:N128"/>
    <mergeCell ref="O128:P128"/>
    <mergeCell ref="Q128:R128"/>
    <mergeCell ref="S128:T128"/>
    <mergeCell ref="U128:V128"/>
    <mergeCell ref="W128:X128"/>
    <mergeCell ref="Y128:Z128"/>
    <mergeCell ref="AA128:AB128"/>
    <mergeCell ref="C129:D129"/>
    <mergeCell ref="E129:F129"/>
    <mergeCell ref="G129:H129"/>
    <mergeCell ref="I129:J129"/>
    <mergeCell ref="K129:L129"/>
    <mergeCell ref="M129:N129"/>
    <mergeCell ref="O129:P129"/>
    <mergeCell ref="Q129:R129"/>
    <mergeCell ref="S129:T129"/>
    <mergeCell ref="U129:V129"/>
    <mergeCell ref="W129:X129"/>
    <mergeCell ref="Y129:Z129"/>
    <mergeCell ref="AA129:AB129"/>
    <mergeCell ref="M126:N126"/>
    <mergeCell ref="O126:P126"/>
    <mergeCell ref="Q126:R126"/>
    <mergeCell ref="S126:T126"/>
    <mergeCell ref="U126:V126"/>
    <mergeCell ref="W126:X126"/>
    <mergeCell ref="Y126:Z126"/>
    <mergeCell ref="AA126:AB126"/>
    <mergeCell ref="C127:D127"/>
    <mergeCell ref="E127:F127"/>
    <mergeCell ref="G127:H127"/>
    <mergeCell ref="I127:J127"/>
    <mergeCell ref="K127:L127"/>
    <mergeCell ref="M127:N127"/>
    <mergeCell ref="O127:P127"/>
    <mergeCell ref="Q127:R127"/>
    <mergeCell ref="S127:T127"/>
    <mergeCell ref="U127:V127"/>
    <mergeCell ref="W127:X127"/>
    <mergeCell ref="Y127:Z127"/>
    <mergeCell ref="AA127:AB127"/>
    <mergeCell ref="A124:B130"/>
    <mergeCell ref="C124:D124"/>
    <mergeCell ref="E124:F124"/>
    <mergeCell ref="G124:H124"/>
    <mergeCell ref="I124:J124"/>
    <mergeCell ref="K124:L124"/>
    <mergeCell ref="M124:N124"/>
    <mergeCell ref="O124:P124"/>
    <mergeCell ref="Q124:R124"/>
    <mergeCell ref="S124:T124"/>
    <mergeCell ref="U124:V124"/>
    <mergeCell ref="W124:X124"/>
    <mergeCell ref="Y124:Z124"/>
    <mergeCell ref="AA124:AB124"/>
    <mergeCell ref="C125:D125"/>
    <mergeCell ref="E125:F125"/>
    <mergeCell ref="G125:H125"/>
    <mergeCell ref="I125:J125"/>
    <mergeCell ref="K125:L125"/>
    <mergeCell ref="M125:N125"/>
    <mergeCell ref="O125:P125"/>
    <mergeCell ref="Q125:R125"/>
    <mergeCell ref="S125:T125"/>
    <mergeCell ref="U125:V125"/>
    <mergeCell ref="W125:X125"/>
    <mergeCell ref="Y125:Z125"/>
    <mergeCell ref="AA125:AB125"/>
    <mergeCell ref="C126:D126"/>
    <mergeCell ref="E126:F126"/>
    <mergeCell ref="G126:H126"/>
    <mergeCell ref="I126:J126"/>
    <mergeCell ref="K126:L126"/>
    <mergeCell ref="C122:D122"/>
    <mergeCell ref="E122:F122"/>
    <mergeCell ref="G122:H122"/>
    <mergeCell ref="I122:J122"/>
    <mergeCell ref="K122:L122"/>
    <mergeCell ref="M122:N122"/>
    <mergeCell ref="O122:P122"/>
    <mergeCell ref="Q122:R122"/>
    <mergeCell ref="S122:T122"/>
    <mergeCell ref="U122:V122"/>
    <mergeCell ref="W122:X122"/>
    <mergeCell ref="Y122:Z122"/>
    <mergeCell ref="AA122:AB122"/>
    <mergeCell ref="C123:D123"/>
    <mergeCell ref="E123:F123"/>
    <mergeCell ref="G123:H123"/>
    <mergeCell ref="I123:J123"/>
    <mergeCell ref="K123:L123"/>
    <mergeCell ref="M123:N123"/>
    <mergeCell ref="O123:P123"/>
    <mergeCell ref="Q123:R123"/>
    <mergeCell ref="S123:T123"/>
    <mergeCell ref="U123:V123"/>
    <mergeCell ref="W123:X123"/>
    <mergeCell ref="Y123:Z123"/>
    <mergeCell ref="AA123:AB123"/>
    <mergeCell ref="C120:D120"/>
    <mergeCell ref="E120:F120"/>
    <mergeCell ref="G120:H120"/>
    <mergeCell ref="I120:J120"/>
    <mergeCell ref="K120:L120"/>
    <mergeCell ref="M120:N120"/>
    <mergeCell ref="O120:P120"/>
    <mergeCell ref="Q120:R120"/>
    <mergeCell ref="S120:T120"/>
    <mergeCell ref="U120:V120"/>
    <mergeCell ref="W120:X120"/>
    <mergeCell ref="Y120:Z120"/>
    <mergeCell ref="AA120:AB120"/>
    <mergeCell ref="C121:D121"/>
    <mergeCell ref="E121:F121"/>
    <mergeCell ref="G121:H121"/>
    <mergeCell ref="I121:J121"/>
    <mergeCell ref="K121:L121"/>
    <mergeCell ref="M121:N121"/>
    <mergeCell ref="O121:P121"/>
    <mergeCell ref="Q121:R121"/>
    <mergeCell ref="S121:T121"/>
    <mergeCell ref="U121:V121"/>
    <mergeCell ref="W121:X121"/>
    <mergeCell ref="Y121:Z121"/>
    <mergeCell ref="AA121:AB121"/>
    <mergeCell ref="C118:D118"/>
    <mergeCell ref="E118:F118"/>
    <mergeCell ref="G118:H118"/>
    <mergeCell ref="I118:J118"/>
    <mergeCell ref="K118:L118"/>
    <mergeCell ref="M118:N118"/>
    <mergeCell ref="O118:P118"/>
    <mergeCell ref="Q118:R118"/>
    <mergeCell ref="S118:T118"/>
    <mergeCell ref="U118:V118"/>
    <mergeCell ref="W118:X118"/>
    <mergeCell ref="Y118:Z118"/>
    <mergeCell ref="AA118:AB118"/>
    <mergeCell ref="C119:D119"/>
    <mergeCell ref="E119:F119"/>
    <mergeCell ref="G119:H119"/>
    <mergeCell ref="I119:J119"/>
    <mergeCell ref="K119:L119"/>
    <mergeCell ref="M119:N119"/>
    <mergeCell ref="O119:P119"/>
    <mergeCell ref="Q119:R119"/>
    <mergeCell ref="S119:T119"/>
    <mergeCell ref="U119:V119"/>
    <mergeCell ref="W119:X119"/>
    <mergeCell ref="Y119:Z119"/>
    <mergeCell ref="AA119:AB119"/>
    <mergeCell ref="C116:D116"/>
    <mergeCell ref="E116:F116"/>
    <mergeCell ref="G116:H116"/>
    <mergeCell ref="I116:J116"/>
    <mergeCell ref="K116:L116"/>
    <mergeCell ref="M116:N116"/>
    <mergeCell ref="O116:P116"/>
    <mergeCell ref="Q116:R116"/>
    <mergeCell ref="S116:T116"/>
    <mergeCell ref="U116:V116"/>
    <mergeCell ref="W116:X116"/>
    <mergeCell ref="Y116:Z116"/>
    <mergeCell ref="AA116:AB116"/>
    <mergeCell ref="C117:D117"/>
    <mergeCell ref="E117:F117"/>
    <mergeCell ref="G117:H117"/>
    <mergeCell ref="I117:J117"/>
    <mergeCell ref="K117:L117"/>
    <mergeCell ref="M117:N117"/>
    <mergeCell ref="O117:P117"/>
    <mergeCell ref="Q117:R117"/>
    <mergeCell ref="S117:T117"/>
    <mergeCell ref="U117:V117"/>
    <mergeCell ref="W117:X117"/>
    <mergeCell ref="Y117:Z117"/>
    <mergeCell ref="AA117:AB117"/>
    <mergeCell ref="C114:D114"/>
    <mergeCell ref="E114:F114"/>
    <mergeCell ref="G114:H114"/>
    <mergeCell ref="I114:J114"/>
    <mergeCell ref="K114:L114"/>
    <mergeCell ref="M114:N114"/>
    <mergeCell ref="O114:P114"/>
    <mergeCell ref="Q114:R114"/>
    <mergeCell ref="S114:T114"/>
    <mergeCell ref="U114:V114"/>
    <mergeCell ref="W114:X114"/>
    <mergeCell ref="Y114:Z114"/>
    <mergeCell ref="AA114:AB114"/>
    <mergeCell ref="C115:D115"/>
    <mergeCell ref="E115:F115"/>
    <mergeCell ref="G115:H115"/>
    <mergeCell ref="I115:J115"/>
    <mergeCell ref="K115:L115"/>
    <mergeCell ref="M115:N115"/>
    <mergeCell ref="O115:P115"/>
    <mergeCell ref="Q115:R115"/>
    <mergeCell ref="S115:T115"/>
    <mergeCell ref="U115:V115"/>
    <mergeCell ref="W115:X115"/>
    <mergeCell ref="Y115:Z115"/>
    <mergeCell ref="AA115:AB115"/>
    <mergeCell ref="C112:D112"/>
    <mergeCell ref="E112:F112"/>
    <mergeCell ref="G112:H112"/>
    <mergeCell ref="I112:J112"/>
    <mergeCell ref="K112:L112"/>
    <mergeCell ref="M112:N112"/>
    <mergeCell ref="O112:P112"/>
    <mergeCell ref="Q112:R112"/>
    <mergeCell ref="S112:T112"/>
    <mergeCell ref="U112:V112"/>
    <mergeCell ref="W112:X112"/>
    <mergeCell ref="Y112:Z112"/>
    <mergeCell ref="AA112:AB112"/>
    <mergeCell ref="C113:D113"/>
    <mergeCell ref="E113:F113"/>
    <mergeCell ref="G113:H113"/>
    <mergeCell ref="I113:J113"/>
    <mergeCell ref="K113:L113"/>
    <mergeCell ref="M113:N113"/>
    <mergeCell ref="O113:P113"/>
    <mergeCell ref="Q113:R113"/>
    <mergeCell ref="S113:T113"/>
    <mergeCell ref="U113:V113"/>
    <mergeCell ref="W113:X113"/>
    <mergeCell ref="Y113:Z113"/>
    <mergeCell ref="AA113:AB113"/>
    <mergeCell ref="C110:D110"/>
    <mergeCell ref="E110:F110"/>
    <mergeCell ref="G110:H110"/>
    <mergeCell ref="I110:J110"/>
    <mergeCell ref="K110:L110"/>
    <mergeCell ref="M110:N110"/>
    <mergeCell ref="O110:P110"/>
    <mergeCell ref="Q110:R110"/>
    <mergeCell ref="S110:T110"/>
    <mergeCell ref="U110:V110"/>
    <mergeCell ref="W110:X110"/>
    <mergeCell ref="Y110:Z110"/>
    <mergeCell ref="AA110:AB110"/>
    <mergeCell ref="C111:D111"/>
    <mergeCell ref="E111:F111"/>
    <mergeCell ref="G111:H111"/>
    <mergeCell ref="I111:J111"/>
    <mergeCell ref="K111:L111"/>
    <mergeCell ref="M111:N111"/>
    <mergeCell ref="O111:P111"/>
    <mergeCell ref="Q111:R111"/>
    <mergeCell ref="S111:T111"/>
    <mergeCell ref="U111:V111"/>
    <mergeCell ref="W111:X111"/>
    <mergeCell ref="Y111:Z111"/>
    <mergeCell ref="AA111:AB111"/>
    <mergeCell ref="M108:N108"/>
    <mergeCell ref="O108:P108"/>
    <mergeCell ref="Q108:R108"/>
    <mergeCell ref="S108:T108"/>
    <mergeCell ref="U108:V108"/>
    <mergeCell ref="W108:X108"/>
    <mergeCell ref="Y108:Z108"/>
    <mergeCell ref="AA108:AB108"/>
    <mergeCell ref="C109:D109"/>
    <mergeCell ref="E109:F109"/>
    <mergeCell ref="G109:H109"/>
    <mergeCell ref="I109:J109"/>
    <mergeCell ref="K109:L109"/>
    <mergeCell ref="M109:N109"/>
    <mergeCell ref="O109:P109"/>
    <mergeCell ref="Q109:R109"/>
    <mergeCell ref="S109:T109"/>
    <mergeCell ref="U109:V109"/>
    <mergeCell ref="W109:X109"/>
    <mergeCell ref="Y109:Z109"/>
    <mergeCell ref="AA109:AB109"/>
    <mergeCell ref="A106:B123"/>
    <mergeCell ref="C106:D106"/>
    <mergeCell ref="E106:F106"/>
    <mergeCell ref="G106:H106"/>
    <mergeCell ref="I106:J106"/>
    <mergeCell ref="K106:L106"/>
    <mergeCell ref="M106:N106"/>
    <mergeCell ref="O106:P106"/>
    <mergeCell ref="Q106:R106"/>
    <mergeCell ref="S106:T106"/>
    <mergeCell ref="U106:V106"/>
    <mergeCell ref="W106:X106"/>
    <mergeCell ref="Y106:Z106"/>
    <mergeCell ref="AA106:AB106"/>
    <mergeCell ref="C107:D107"/>
    <mergeCell ref="E107:F107"/>
    <mergeCell ref="G107:H107"/>
    <mergeCell ref="I107:J107"/>
    <mergeCell ref="K107:L107"/>
    <mergeCell ref="M107:N107"/>
    <mergeCell ref="O107:P107"/>
    <mergeCell ref="Q107:R107"/>
    <mergeCell ref="S107:T107"/>
    <mergeCell ref="U107:V107"/>
    <mergeCell ref="W107:X107"/>
    <mergeCell ref="Y107:Z107"/>
    <mergeCell ref="AA107:AB107"/>
    <mergeCell ref="C108:D108"/>
    <mergeCell ref="E108:F108"/>
    <mergeCell ref="G108:H108"/>
    <mergeCell ref="I108:J108"/>
    <mergeCell ref="K108:L108"/>
    <mergeCell ref="A101:B101"/>
    <mergeCell ref="A103:AB103"/>
    <mergeCell ref="B104:AB104"/>
    <mergeCell ref="A105:B105"/>
    <mergeCell ref="C105:D105"/>
    <mergeCell ref="E105:F105"/>
    <mergeCell ref="G105:H105"/>
    <mergeCell ref="I105:J105"/>
    <mergeCell ref="K105:L105"/>
    <mergeCell ref="M105:N105"/>
    <mergeCell ref="O105:P105"/>
    <mergeCell ref="Q105:R105"/>
    <mergeCell ref="S105:T105"/>
    <mergeCell ref="U105:V105"/>
    <mergeCell ref="W105:X105"/>
    <mergeCell ref="Y105:Z105"/>
    <mergeCell ref="AA105:AB105"/>
    <mergeCell ref="G80:H80"/>
    <mergeCell ref="I80:J80"/>
    <mergeCell ref="K80:L80"/>
    <mergeCell ref="M80:N80"/>
    <mergeCell ref="O80:P80"/>
    <mergeCell ref="Q80:R80"/>
    <mergeCell ref="S80:T80"/>
    <mergeCell ref="U80:V80"/>
    <mergeCell ref="W80:X80"/>
    <mergeCell ref="Y80:Z80"/>
    <mergeCell ref="AA80:AB80"/>
    <mergeCell ref="A95:B95"/>
    <mergeCell ref="A96:B96"/>
    <mergeCell ref="A97:B97"/>
    <mergeCell ref="A98:B98"/>
    <mergeCell ref="A99:B99"/>
    <mergeCell ref="A100:B100"/>
    <mergeCell ref="C74:D74"/>
    <mergeCell ref="E74:F74"/>
    <mergeCell ref="G74:H74"/>
    <mergeCell ref="I74:J74"/>
    <mergeCell ref="K74:L74"/>
    <mergeCell ref="M74:N74"/>
    <mergeCell ref="O74:P74"/>
    <mergeCell ref="Q74:R74"/>
    <mergeCell ref="S74:T74"/>
    <mergeCell ref="U74:V74"/>
    <mergeCell ref="W74:X74"/>
    <mergeCell ref="Y74:Z74"/>
    <mergeCell ref="AA74:AB74"/>
    <mergeCell ref="A78:AB78"/>
    <mergeCell ref="A79:A81"/>
    <mergeCell ref="B79:B81"/>
    <mergeCell ref="C79:D79"/>
    <mergeCell ref="E79:F79"/>
    <mergeCell ref="G79:H79"/>
    <mergeCell ref="I79:J79"/>
    <mergeCell ref="K79:L79"/>
    <mergeCell ref="M79:N79"/>
    <mergeCell ref="O79:P79"/>
    <mergeCell ref="Q79:R79"/>
    <mergeCell ref="S79:T79"/>
    <mergeCell ref="U79:V79"/>
    <mergeCell ref="W79:X79"/>
    <mergeCell ref="Y79:Z79"/>
    <mergeCell ref="AA79:AB79"/>
    <mergeCell ref="C80:C81"/>
    <mergeCell ref="D80:D81"/>
    <mergeCell ref="E80:F80"/>
    <mergeCell ref="C72:D72"/>
    <mergeCell ref="E72:F72"/>
    <mergeCell ref="G72:H72"/>
    <mergeCell ref="I72:J72"/>
    <mergeCell ref="K72:L72"/>
    <mergeCell ref="M72:N72"/>
    <mergeCell ref="O72:P72"/>
    <mergeCell ref="Q72:R72"/>
    <mergeCell ref="S72:T72"/>
    <mergeCell ref="U72:V72"/>
    <mergeCell ref="W72:X72"/>
    <mergeCell ref="Y72:Z72"/>
    <mergeCell ref="AA72:AB72"/>
    <mergeCell ref="C73:D73"/>
    <mergeCell ref="E73:F73"/>
    <mergeCell ref="G73:H73"/>
    <mergeCell ref="I73:J73"/>
    <mergeCell ref="K73:L73"/>
    <mergeCell ref="M73:N73"/>
    <mergeCell ref="O73:P73"/>
    <mergeCell ref="Q73:R73"/>
    <mergeCell ref="S73:T73"/>
    <mergeCell ref="U73:V73"/>
    <mergeCell ref="W73:X73"/>
    <mergeCell ref="Y73:Z73"/>
    <mergeCell ref="AA73:AB73"/>
    <mergeCell ref="M70:N70"/>
    <mergeCell ref="O70:P70"/>
    <mergeCell ref="Q70:R70"/>
    <mergeCell ref="S70:T70"/>
    <mergeCell ref="U70:V70"/>
    <mergeCell ref="W70:X70"/>
    <mergeCell ref="Y70:Z70"/>
    <mergeCell ref="AA70:AB70"/>
    <mergeCell ref="C71:D71"/>
    <mergeCell ref="E71:F71"/>
    <mergeCell ref="G71:H71"/>
    <mergeCell ref="I71:J71"/>
    <mergeCell ref="K71:L71"/>
    <mergeCell ref="M71:N71"/>
    <mergeCell ref="O71:P71"/>
    <mergeCell ref="Q71:R71"/>
    <mergeCell ref="S71:T71"/>
    <mergeCell ref="U71:V71"/>
    <mergeCell ref="W71:X71"/>
    <mergeCell ref="Y71:Z71"/>
    <mergeCell ref="AA71:AB71"/>
    <mergeCell ref="C68:D68"/>
    <mergeCell ref="E68:F68"/>
    <mergeCell ref="G68:H68"/>
    <mergeCell ref="I68:J68"/>
    <mergeCell ref="K68:L68"/>
    <mergeCell ref="M68:N68"/>
    <mergeCell ref="O68:P68"/>
    <mergeCell ref="Q68:R68"/>
    <mergeCell ref="S68:T68"/>
    <mergeCell ref="U68:V68"/>
    <mergeCell ref="W68:X68"/>
    <mergeCell ref="Y68:Z68"/>
    <mergeCell ref="AA68:AB68"/>
    <mergeCell ref="A69:B74"/>
    <mergeCell ref="C69:D69"/>
    <mergeCell ref="E69:F69"/>
    <mergeCell ref="G69:H69"/>
    <mergeCell ref="I69:J69"/>
    <mergeCell ref="K69:L69"/>
    <mergeCell ref="M69:N69"/>
    <mergeCell ref="O69:P69"/>
    <mergeCell ref="Q69:R69"/>
    <mergeCell ref="S69:T69"/>
    <mergeCell ref="U69:V69"/>
    <mergeCell ref="W69:X69"/>
    <mergeCell ref="Y69:Z69"/>
    <mergeCell ref="AA69:AB69"/>
    <mergeCell ref="C70:D70"/>
    <mergeCell ref="E70:F70"/>
    <mergeCell ref="G70:H70"/>
    <mergeCell ref="I70:J70"/>
    <mergeCell ref="K70:L70"/>
    <mergeCell ref="C66:D66"/>
    <mergeCell ref="E66:F66"/>
    <mergeCell ref="G66:H66"/>
    <mergeCell ref="I66:J66"/>
    <mergeCell ref="K66:L66"/>
    <mergeCell ref="M66:N66"/>
    <mergeCell ref="O66:P66"/>
    <mergeCell ref="Q66:R66"/>
    <mergeCell ref="S66:T66"/>
    <mergeCell ref="U66:V66"/>
    <mergeCell ref="W66:X66"/>
    <mergeCell ref="Y66:Z66"/>
    <mergeCell ref="AA66:AB66"/>
    <mergeCell ref="C67:D67"/>
    <mergeCell ref="E67:F67"/>
    <mergeCell ref="G67:H67"/>
    <mergeCell ref="I67:J67"/>
    <mergeCell ref="K67:L67"/>
    <mergeCell ref="M67:N67"/>
    <mergeCell ref="O67:P67"/>
    <mergeCell ref="Q67:R67"/>
    <mergeCell ref="S67:T67"/>
    <mergeCell ref="U67:V67"/>
    <mergeCell ref="W67:X67"/>
    <mergeCell ref="Y67:Z67"/>
    <mergeCell ref="AA67:AB67"/>
    <mergeCell ref="M64:N64"/>
    <mergeCell ref="O64:P64"/>
    <mergeCell ref="Q64:R64"/>
    <mergeCell ref="S64:T64"/>
    <mergeCell ref="U64:V64"/>
    <mergeCell ref="W64:X64"/>
    <mergeCell ref="Y64:Z64"/>
    <mergeCell ref="AA64:AB64"/>
    <mergeCell ref="C65:D65"/>
    <mergeCell ref="E65:F65"/>
    <mergeCell ref="G65:H65"/>
    <mergeCell ref="I65:J65"/>
    <mergeCell ref="K65:L65"/>
    <mergeCell ref="M65:N65"/>
    <mergeCell ref="O65:P65"/>
    <mergeCell ref="Q65:R65"/>
    <mergeCell ref="S65:T65"/>
    <mergeCell ref="U65:V65"/>
    <mergeCell ref="W65:X65"/>
    <mergeCell ref="Y65:Z65"/>
    <mergeCell ref="AA65:AB65"/>
    <mergeCell ref="A62:B68"/>
    <mergeCell ref="C62:D62"/>
    <mergeCell ref="E62:F62"/>
    <mergeCell ref="G62:H62"/>
    <mergeCell ref="I62:J62"/>
    <mergeCell ref="K62:L62"/>
    <mergeCell ref="M62:N62"/>
    <mergeCell ref="O62:P62"/>
    <mergeCell ref="Q62:R62"/>
    <mergeCell ref="S62:T62"/>
    <mergeCell ref="U62:V62"/>
    <mergeCell ref="W62:X62"/>
    <mergeCell ref="Y62:Z62"/>
    <mergeCell ref="AA62:AB62"/>
    <mergeCell ref="C63:D63"/>
    <mergeCell ref="E63:F63"/>
    <mergeCell ref="G63:H63"/>
    <mergeCell ref="I63:J63"/>
    <mergeCell ref="K63:L63"/>
    <mergeCell ref="M63:N63"/>
    <mergeCell ref="O63:P63"/>
    <mergeCell ref="Q63:R63"/>
    <mergeCell ref="S63:T63"/>
    <mergeCell ref="U63:V63"/>
    <mergeCell ref="W63:X63"/>
    <mergeCell ref="Y63:Z63"/>
    <mergeCell ref="AA63:AB63"/>
    <mergeCell ref="C64:D64"/>
    <mergeCell ref="E64:F64"/>
    <mergeCell ref="G64:H64"/>
    <mergeCell ref="I64:J64"/>
    <mergeCell ref="K64:L64"/>
    <mergeCell ref="C60:D60"/>
    <mergeCell ref="E60:F60"/>
    <mergeCell ref="G60:H60"/>
    <mergeCell ref="I60:J60"/>
    <mergeCell ref="K60:L60"/>
    <mergeCell ref="M60:N60"/>
    <mergeCell ref="O60:P60"/>
    <mergeCell ref="Q60:R60"/>
    <mergeCell ref="S60:T60"/>
    <mergeCell ref="U60:V60"/>
    <mergeCell ref="W60:X60"/>
    <mergeCell ref="Y60:Z60"/>
    <mergeCell ref="AA60:AB60"/>
    <mergeCell ref="C61:D61"/>
    <mergeCell ref="E61:F61"/>
    <mergeCell ref="G61:H61"/>
    <mergeCell ref="I61:J61"/>
    <mergeCell ref="K61:L61"/>
    <mergeCell ref="M61:N61"/>
    <mergeCell ref="O61:P61"/>
    <mergeCell ref="Q61:R61"/>
    <mergeCell ref="S61:T61"/>
    <mergeCell ref="U61:V61"/>
    <mergeCell ref="W61:X61"/>
    <mergeCell ref="Y61:Z61"/>
    <mergeCell ref="AA61:AB61"/>
    <mergeCell ref="C58:D58"/>
    <mergeCell ref="E58:F58"/>
    <mergeCell ref="G58:H58"/>
    <mergeCell ref="I58:J58"/>
    <mergeCell ref="K58:L58"/>
    <mergeCell ref="M58:N58"/>
    <mergeCell ref="O58:P58"/>
    <mergeCell ref="Q58:R58"/>
    <mergeCell ref="S58:T58"/>
    <mergeCell ref="U58:V58"/>
    <mergeCell ref="W58:X58"/>
    <mergeCell ref="Y58:Z58"/>
    <mergeCell ref="AA58:AB58"/>
    <mergeCell ref="C59:D59"/>
    <mergeCell ref="E59:F59"/>
    <mergeCell ref="G59:H59"/>
    <mergeCell ref="I59:J59"/>
    <mergeCell ref="K59:L59"/>
    <mergeCell ref="M59:N59"/>
    <mergeCell ref="O59:P59"/>
    <mergeCell ref="Q59:R59"/>
    <mergeCell ref="S59:T59"/>
    <mergeCell ref="U59:V59"/>
    <mergeCell ref="W59:X59"/>
    <mergeCell ref="Y59:Z59"/>
    <mergeCell ref="AA59:AB59"/>
    <mergeCell ref="C56:D56"/>
    <mergeCell ref="E56:F56"/>
    <mergeCell ref="G56:H56"/>
    <mergeCell ref="I56:J56"/>
    <mergeCell ref="K56:L56"/>
    <mergeCell ref="M56:N56"/>
    <mergeCell ref="O56:P56"/>
    <mergeCell ref="Q56:R56"/>
    <mergeCell ref="S56:T56"/>
    <mergeCell ref="U56:V56"/>
    <mergeCell ref="W56:X56"/>
    <mergeCell ref="Y56:Z56"/>
    <mergeCell ref="AA56:AB56"/>
    <mergeCell ref="C57:D57"/>
    <mergeCell ref="E57:F57"/>
    <mergeCell ref="G57:H57"/>
    <mergeCell ref="I57:J57"/>
    <mergeCell ref="K57:L57"/>
    <mergeCell ref="M57:N57"/>
    <mergeCell ref="O57:P57"/>
    <mergeCell ref="Q57:R57"/>
    <mergeCell ref="S57:T57"/>
    <mergeCell ref="U57:V57"/>
    <mergeCell ref="W57:X57"/>
    <mergeCell ref="Y57:Z57"/>
    <mergeCell ref="AA57:AB57"/>
    <mergeCell ref="C54:D54"/>
    <mergeCell ref="E54:F54"/>
    <mergeCell ref="G54:H54"/>
    <mergeCell ref="I54:J54"/>
    <mergeCell ref="K54:L54"/>
    <mergeCell ref="M54:N54"/>
    <mergeCell ref="O54:P54"/>
    <mergeCell ref="Q54:R54"/>
    <mergeCell ref="S54:T54"/>
    <mergeCell ref="U54:V54"/>
    <mergeCell ref="W54:X54"/>
    <mergeCell ref="Y54:Z54"/>
    <mergeCell ref="AA54:AB54"/>
    <mergeCell ref="C55:D55"/>
    <mergeCell ref="E55:F55"/>
    <mergeCell ref="G55:H55"/>
    <mergeCell ref="I55:J55"/>
    <mergeCell ref="K55:L55"/>
    <mergeCell ref="M55:N55"/>
    <mergeCell ref="O55:P55"/>
    <mergeCell ref="Q55:R55"/>
    <mergeCell ref="S55:T55"/>
    <mergeCell ref="U55:V55"/>
    <mergeCell ref="W55:X55"/>
    <mergeCell ref="Y55:Z55"/>
    <mergeCell ref="AA55:AB55"/>
    <mergeCell ref="C52:D52"/>
    <mergeCell ref="E52:F52"/>
    <mergeCell ref="G52:H52"/>
    <mergeCell ref="I52:J52"/>
    <mergeCell ref="K52:L52"/>
    <mergeCell ref="M52:N52"/>
    <mergeCell ref="O52:P52"/>
    <mergeCell ref="Q52:R52"/>
    <mergeCell ref="S52:T52"/>
    <mergeCell ref="U52:V52"/>
    <mergeCell ref="W52:X52"/>
    <mergeCell ref="Y52:Z52"/>
    <mergeCell ref="AA52:AB52"/>
    <mergeCell ref="C53:D53"/>
    <mergeCell ref="E53:F53"/>
    <mergeCell ref="G53:H53"/>
    <mergeCell ref="I53:J53"/>
    <mergeCell ref="K53:L53"/>
    <mergeCell ref="M53:N53"/>
    <mergeCell ref="O53:P53"/>
    <mergeCell ref="Q53:R53"/>
    <mergeCell ref="S53:T53"/>
    <mergeCell ref="U53:V53"/>
    <mergeCell ref="W53:X53"/>
    <mergeCell ref="Y53:Z53"/>
    <mergeCell ref="AA53:AB53"/>
    <mergeCell ref="C50:D50"/>
    <mergeCell ref="E50:F50"/>
    <mergeCell ref="G50:H50"/>
    <mergeCell ref="I50:J50"/>
    <mergeCell ref="K50:L50"/>
    <mergeCell ref="M50:N50"/>
    <mergeCell ref="O50:P50"/>
    <mergeCell ref="Q50:R50"/>
    <mergeCell ref="S50:T50"/>
    <mergeCell ref="U50:V50"/>
    <mergeCell ref="W50:X50"/>
    <mergeCell ref="Y50:Z50"/>
    <mergeCell ref="AA50:AB50"/>
    <mergeCell ref="C51:D51"/>
    <mergeCell ref="E51:F51"/>
    <mergeCell ref="G51:H51"/>
    <mergeCell ref="I51:J51"/>
    <mergeCell ref="K51:L51"/>
    <mergeCell ref="M51:N51"/>
    <mergeCell ref="O51:P51"/>
    <mergeCell ref="Q51:R51"/>
    <mergeCell ref="S51:T51"/>
    <mergeCell ref="U51:V51"/>
    <mergeCell ref="W51:X51"/>
    <mergeCell ref="Y51:Z51"/>
    <mergeCell ref="AA51:AB51"/>
    <mergeCell ref="C48:D48"/>
    <mergeCell ref="E48:F48"/>
    <mergeCell ref="G48:H48"/>
    <mergeCell ref="I48:J48"/>
    <mergeCell ref="K48:L48"/>
    <mergeCell ref="M48:N48"/>
    <mergeCell ref="O48:P48"/>
    <mergeCell ref="Q48:R48"/>
    <mergeCell ref="S48:T48"/>
    <mergeCell ref="U48:V48"/>
    <mergeCell ref="W48:X48"/>
    <mergeCell ref="Y48:Z48"/>
    <mergeCell ref="AA48:AB48"/>
    <mergeCell ref="C49:D49"/>
    <mergeCell ref="E49:F49"/>
    <mergeCell ref="G49:H49"/>
    <mergeCell ref="I49:J49"/>
    <mergeCell ref="K49:L49"/>
    <mergeCell ref="M49:N49"/>
    <mergeCell ref="O49:P49"/>
    <mergeCell ref="Q49:R49"/>
    <mergeCell ref="S49:T49"/>
    <mergeCell ref="U49:V49"/>
    <mergeCell ref="W49:X49"/>
    <mergeCell ref="Y49:Z49"/>
    <mergeCell ref="AA49:AB49"/>
    <mergeCell ref="M46:N46"/>
    <mergeCell ref="O46:P46"/>
    <mergeCell ref="Q46:R46"/>
    <mergeCell ref="S46:T46"/>
    <mergeCell ref="U46:V46"/>
    <mergeCell ref="W46:X46"/>
    <mergeCell ref="Y46:Z46"/>
    <mergeCell ref="AA46:AB46"/>
    <mergeCell ref="C47:D47"/>
    <mergeCell ref="E47:F47"/>
    <mergeCell ref="G47:H47"/>
    <mergeCell ref="I47:J47"/>
    <mergeCell ref="K47:L47"/>
    <mergeCell ref="M47:N47"/>
    <mergeCell ref="O47:P47"/>
    <mergeCell ref="Q47:R47"/>
    <mergeCell ref="S47:T47"/>
    <mergeCell ref="U47:V47"/>
    <mergeCell ref="W47:X47"/>
    <mergeCell ref="Y47:Z47"/>
    <mergeCell ref="AA47:AB47"/>
    <mergeCell ref="A44:B61"/>
    <mergeCell ref="C44:D44"/>
    <mergeCell ref="E44:F44"/>
    <mergeCell ref="G44:H44"/>
    <mergeCell ref="I44:J44"/>
    <mergeCell ref="K44:L44"/>
    <mergeCell ref="M44:N44"/>
    <mergeCell ref="O44:P44"/>
    <mergeCell ref="Q44:R44"/>
    <mergeCell ref="S44:T44"/>
    <mergeCell ref="U44:V44"/>
    <mergeCell ref="W44:X44"/>
    <mergeCell ref="Y44:Z44"/>
    <mergeCell ref="AA44:AB44"/>
    <mergeCell ref="C45:D45"/>
    <mergeCell ref="E45:F45"/>
    <mergeCell ref="G45:H45"/>
    <mergeCell ref="I45:J45"/>
    <mergeCell ref="K45:L45"/>
    <mergeCell ref="M45:N45"/>
    <mergeCell ref="O45:P45"/>
    <mergeCell ref="Q45:R45"/>
    <mergeCell ref="S45:T45"/>
    <mergeCell ref="U45:V45"/>
    <mergeCell ref="W45:X45"/>
    <mergeCell ref="Y45:Z45"/>
    <mergeCell ref="AA45:AB45"/>
    <mergeCell ref="C46:D46"/>
    <mergeCell ref="E46:F46"/>
    <mergeCell ref="G46:H46"/>
    <mergeCell ref="I46:J46"/>
    <mergeCell ref="K46:L46"/>
    <mergeCell ref="AA17:AB17"/>
    <mergeCell ref="A32:B32"/>
    <mergeCell ref="A33:B33"/>
    <mergeCell ref="A34:B34"/>
    <mergeCell ref="A35:B35"/>
    <mergeCell ref="A36:B36"/>
    <mergeCell ref="A37:B37"/>
    <mergeCell ref="A38:B38"/>
    <mergeCell ref="A40:AB40"/>
    <mergeCell ref="B41:AB41"/>
    <mergeCell ref="A42:B43"/>
    <mergeCell ref="C42:D42"/>
    <mergeCell ref="E42:AB42"/>
    <mergeCell ref="C43:D43"/>
    <mergeCell ref="E43:F43"/>
    <mergeCell ref="G43:H43"/>
    <mergeCell ref="I43:J43"/>
    <mergeCell ref="K43:L43"/>
    <mergeCell ref="M43:N43"/>
    <mergeCell ref="O43:P43"/>
    <mergeCell ref="Q43:R43"/>
    <mergeCell ref="S43:T43"/>
    <mergeCell ref="U43:V43"/>
    <mergeCell ref="W43:X43"/>
    <mergeCell ref="Y43:Z43"/>
    <mergeCell ref="AA43:AB43"/>
    <mergeCell ref="B5:D5"/>
    <mergeCell ref="G5:L5"/>
    <mergeCell ref="G6:L12"/>
    <mergeCell ref="A15:AB15"/>
    <mergeCell ref="A16:A18"/>
    <mergeCell ref="B16:B18"/>
    <mergeCell ref="C16:D16"/>
    <mergeCell ref="E16:F16"/>
    <mergeCell ref="G16:H16"/>
    <mergeCell ref="I16:J16"/>
    <mergeCell ref="K16:L16"/>
    <mergeCell ref="M16:N16"/>
    <mergeCell ref="O16:P16"/>
    <mergeCell ref="Q16:R16"/>
    <mergeCell ref="S16:T16"/>
    <mergeCell ref="U16:V16"/>
    <mergeCell ref="W16:X16"/>
    <mergeCell ref="Y16:Z16"/>
    <mergeCell ref="AA16:AB16"/>
    <mergeCell ref="C17:C18"/>
    <mergeCell ref="D17:D18"/>
    <mergeCell ref="E17:F17"/>
    <mergeCell ref="G17:H17"/>
    <mergeCell ref="I17:J17"/>
    <mergeCell ref="K17:L17"/>
    <mergeCell ref="M17:N17"/>
    <mergeCell ref="O17:P17"/>
    <mergeCell ref="Q17:R17"/>
    <mergeCell ref="S17:T17"/>
    <mergeCell ref="U17:V17"/>
    <mergeCell ref="W17:X17"/>
    <mergeCell ref="Y17:Z17"/>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10"/>
  <sheetViews>
    <sheetView tabSelected="1" topLeftCell="C101" zoomScaleNormal="100" workbookViewId="0"/>
  </sheetViews>
  <sheetFormatPr baseColWidth="10" defaultColWidth="8.6640625" defaultRowHeight="14"/>
  <cols>
    <col min="1" max="1" width="34.5" customWidth="1"/>
    <col min="2" max="2" width="31.6640625" customWidth="1"/>
    <col min="3" max="3" width="36.33203125" customWidth="1"/>
    <col min="4" max="4" width="41.33203125" customWidth="1"/>
    <col min="5" max="5" width="29.1640625" customWidth="1"/>
    <col min="6" max="6" width="13.83203125" customWidth="1"/>
    <col min="7" max="7" width="12.83203125" customWidth="1"/>
    <col min="8" max="8" width="36.6640625" customWidth="1"/>
    <col min="9" max="9" width="22.33203125" customWidth="1"/>
    <col min="10" max="10" width="24" customWidth="1"/>
    <col min="11" max="11" width="29.6640625" customWidth="1"/>
    <col min="12" max="12" width="24" customWidth="1"/>
    <col min="13" max="13" width="14.6640625" customWidth="1"/>
    <col min="14" max="14" width="13.5" customWidth="1"/>
    <col min="15" max="15" width="19.1640625" customWidth="1"/>
    <col min="16" max="16" width="11.6640625" customWidth="1"/>
    <col min="17" max="17" width="14.1640625" customWidth="1"/>
    <col min="18" max="18" width="12.1640625" customWidth="1"/>
    <col min="19" max="19" width="14" customWidth="1"/>
    <col min="20" max="20" width="15" customWidth="1"/>
    <col min="21" max="21" width="13.1640625" customWidth="1"/>
    <col min="22" max="22" width="12.33203125" customWidth="1"/>
    <col min="23" max="23" width="12.5" customWidth="1"/>
    <col min="24" max="24" width="12.83203125" customWidth="1"/>
    <col min="26" max="26" width="12.5" customWidth="1"/>
    <col min="30" max="30" width="12.6640625" customWidth="1"/>
    <col min="32" max="32" width="12.6640625" customWidth="1"/>
  </cols>
  <sheetData>
    <row r="1" spans="1:29" ht="42.75" customHeight="1">
      <c r="A1" s="20"/>
      <c r="B1" s="207"/>
      <c r="C1" s="208" t="s">
        <v>146</v>
      </c>
      <c r="D1" s="20"/>
      <c r="E1" s="208"/>
      <c r="F1" s="20"/>
      <c r="G1" s="20"/>
      <c r="H1" s="20"/>
      <c r="I1" s="20"/>
      <c r="J1" s="20"/>
      <c r="K1" s="20"/>
      <c r="L1" s="20"/>
      <c r="M1" s="20"/>
      <c r="N1" s="20"/>
      <c r="O1" s="20"/>
      <c r="P1" s="13"/>
      <c r="Q1" s="13"/>
      <c r="R1" s="13"/>
      <c r="S1" s="13"/>
      <c r="T1" s="13"/>
      <c r="U1" s="13"/>
      <c r="V1" s="13"/>
      <c r="W1" s="13"/>
      <c r="X1" s="13"/>
      <c r="Y1" s="13"/>
      <c r="Z1" s="13"/>
      <c r="AA1" s="13"/>
      <c r="AB1" s="13"/>
      <c r="AC1" s="13"/>
    </row>
    <row r="2" spans="1:29" ht="15" customHeight="1">
      <c r="A2" s="13"/>
      <c r="B2" s="209"/>
      <c r="C2" s="13"/>
      <c r="D2" s="13"/>
      <c r="E2" s="13"/>
      <c r="F2" s="13"/>
      <c r="G2" s="13"/>
      <c r="H2" s="13"/>
      <c r="I2" s="13"/>
      <c r="J2" s="13"/>
      <c r="K2" s="13"/>
      <c r="L2" s="13"/>
      <c r="M2" s="13"/>
      <c r="N2" s="13"/>
      <c r="O2" s="13"/>
      <c r="P2" s="13"/>
      <c r="Q2" s="13"/>
      <c r="R2" s="13"/>
      <c r="S2" s="13"/>
      <c r="T2" s="13"/>
      <c r="U2" s="13"/>
      <c r="V2" s="13"/>
      <c r="W2" s="13"/>
      <c r="X2" s="13"/>
      <c r="Y2" s="13"/>
      <c r="Z2" s="13"/>
      <c r="AA2" s="13"/>
      <c r="AB2" s="13"/>
      <c r="AC2" s="13"/>
    </row>
    <row r="3" spans="1:29" ht="53.25" customHeight="1">
      <c r="A3" s="675" t="s">
        <v>147</v>
      </c>
      <c r="B3" s="675"/>
      <c r="C3" s="675"/>
      <c r="D3" s="675"/>
      <c r="E3" s="675"/>
      <c r="F3" s="13"/>
      <c r="G3" s="13"/>
      <c r="H3" s="676" t="s">
        <v>148</v>
      </c>
      <c r="I3" s="676"/>
      <c r="J3" s="676"/>
      <c r="K3" s="676"/>
      <c r="L3" s="676"/>
      <c r="M3" s="13"/>
      <c r="N3" s="13"/>
      <c r="O3" s="13" t="s">
        <v>149</v>
      </c>
      <c r="P3" s="210">
        <v>6</v>
      </c>
      <c r="Q3" s="13"/>
      <c r="R3" s="13"/>
      <c r="S3" s="677" t="s">
        <v>150</v>
      </c>
      <c r="T3" s="677"/>
      <c r="U3" s="677"/>
      <c r="V3" s="677"/>
      <c r="W3" s="677"/>
      <c r="X3" s="13"/>
      <c r="Y3" s="677" t="s">
        <v>151</v>
      </c>
      <c r="Z3" s="677"/>
      <c r="AA3" s="677"/>
      <c r="AB3" s="677"/>
      <c r="AC3" s="677"/>
    </row>
    <row r="4" spans="1:29" ht="49.5" customHeight="1">
      <c r="A4" s="678"/>
      <c r="B4" s="678"/>
      <c r="C4" s="678"/>
      <c r="D4" s="678"/>
      <c r="E4" s="678"/>
      <c r="F4" s="13"/>
      <c r="G4" s="13"/>
      <c r="H4" s="678"/>
      <c r="I4" s="678"/>
      <c r="J4" s="678"/>
      <c r="K4" s="678"/>
      <c r="L4" s="678"/>
      <c r="M4" s="13"/>
      <c r="N4" s="13"/>
      <c r="O4" s="13"/>
      <c r="P4" s="13"/>
      <c r="Q4" s="13"/>
      <c r="R4" s="13"/>
      <c r="S4" s="678"/>
      <c r="T4" s="678"/>
      <c r="U4" s="678"/>
      <c r="V4" s="678"/>
      <c r="W4" s="678"/>
      <c r="X4" s="13"/>
      <c r="Y4" s="678"/>
      <c r="Z4" s="678"/>
      <c r="AA4" s="678"/>
      <c r="AB4" s="678"/>
      <c r="AC4" s="678"/>
    </row>
    <row r="5" spans="1:29" ht="26.25" customHeight="1">
      <c r="A5" s="13"/>
      <c r="B5" s="209"/>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ht="51.75" customHeight="1">
      <c r="A6" s="675" t="s">
        <v>152</v>
      </c>
      <c r="B6" s="675"/>
      <c r="C6" s="675"/>
      <c r="D6" s="211"/>
      <c r="E6" s="211"/>
      <c r="F6" s="13"/>
      <c r="G6" s="13"/>
      <c r="H6" s="13"/>
      <c r="I6" s="13"/>
      <c r="J6" s="13"/>
      <c r="K6" s="13"/>
      <c r="L6" s="13"/>
      <c r="M6" s="13"/>
      <c r="N6" s="13"/>
      <c r="O6" s="13"/>
      <c r="P6" s="13"/>
      <c r="Q6" s="13"/>
      <c r="R6" s="13"/>
      <c r="S6" s="13"/>
      <c r="T6" s="13"/>
      <c r="U6" s="13"/>
      <c r="V6" s="13"/>
      <c r="W6" s="13"/>
      <c r="X6" s="13"/>
      <c r="Y6" s="13"/>
      <c r="Z6" s="13"/>
      <c r="AA6" s="13"/>
      <c r="AB6" s="13"/>
      <c r="AC6" s="13"/>
    </row>
    <row r="7" spans="1:29" ht="15" customHeight="1">
      <c r="A7" s="212" t="s">
        <v>153</v>
      </c>
      <c r="B7" s="213">
        <v>52</v>
      </c>
      <c r="C7" s="214" t="s">
        <v>154</v>
      </c>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ht="15" customHeight="1">
      <c r="A8" s="212" t="s">
        <v>155</v>
      </c>
      <c r="B8" s="213">
        <v>2</v>
      </c>
      <c r="C8" s="214" t="s">
        <v>154</v>
      </c>
      <c r="D8" s="13"/>
      <c r="E8" s="13"/>
      <c r="F8" s="13"/>
      <c r="G8" s="13"/>
      <c r="H8" s="13"/>
      <c r="I8" s="13"/>
      <c r="J8" s="13"/>
      <c r="K8" s="13"/>
      <c r="L8" s="13"/>
      <c r="M8" s="13"/>
      <c r="N8" s="13"/>
      <c r="O8" s="13"/>
      <c r="P8" s="13"/>
      <c r="Q8" s="13"/>
      <c r="R8" s="13"/>
      <c r="S8" s="13"/>
      <c r="T8" s="13"/>
      <c r="U8" s="13"/>
      <c r="V8" s="13"/>
      <c r="W8" s="13"/>
      <c r="X8" s="13"/>
      <c r="Y8" s="13"/>
      <c r="Z8" s="13"/>
      <c r="AA8" s="13"/>
      <c r="AB8" s="13"/>
      <c r="AC8" s="13"/>
    </row>
    <row r="9" spans="1:29" ht="15" customHeight="1">
      <c r="A9" s="212" t="s">
        <v>156</v>
      </c>
      <c r="B9" s="213">
        <v>14</v>
      </c>
      <c r="C9" s="214" t="s">
        <v>157</v>
      </c>
      <c r="D9" s="13"/>
      <c r="E9" s="13"/>
      <c r="F9" s="13"/>
      <c r="G9" s="13"/>
      <c r="H9" s="13"/>
      <c r="I9" s="13"/>
      <c r="J9" s="13"/>
      <c r="K9" s="13"/>
      <c r="L9" s="13"/>
      <c r="M9" s="13"/>
      <c r="N9" s="13"/>
      <c r="O9" s="13"/>
      <c r="P9" s="13"/>
      <c r="Q9" s="13"/>
      <c r="R9" s="13"/>
      <c r="S9" s="13"/>
      <c r="T9" s="13"/>
      <c r="U9" s="13"/>
      <c r="V9" s="13"/>
      <c r="W9" s="13"/>
      <c r="X9" s="13"/>
      <c r="Y9" s="13"/>
      <c r="Z9" s="13"/>
      <c r="AA9" s="13"/>
      <c r="AB9" s="13"/>
      <c r="AC9" s="13"/>
    </row>
    <row r="10" spans="1:29" ht="15" customHeight="1">
      <c r="A10" s="212" t="s">
        <v>158</v>
      </c>
      <c r="B10" s="213">
        <f>(B7-B8)*5 -B9</f>
        <v>236</v>
      </c>
      <c r="C10" s="214" t="s">
        <v>157</v>
      </c>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87" customHeight="1">
      <c r="A11" s="212" t="s">
        <v>159</v>
      </c>
      <c r="B11" s="213">
        <v>8</v>
      </c>
      <c r="C11" s="214" t="s">
        <v>160</v>
      </c>
      <c r="D11" s="13"/>
      <c r="E11" s="13"/>
      <c r="F11" s="13"/>
      <c r="G11" s="13"/>
      <c r="H11" s="13"/>
      <c r="I11" s="13"/>
      <c r="J11" s="13"/>
      <c r="K11" s="13"/>
      <c r="L11" s="13"/>
      <c r="M11" s="13"/>
      <c r="N11" s="13"/>
      <c r="O11" s="13"/>
      <c r="P11" s="13"/>
      <c r="Q11" s="13"/>
      <c r="R11" s="13"/>
      <c r="S11" s="13"/>
      <c r="T11" s="215" t="s">
        <v>161</v>
      </c>
      <c r="U11" s="13"/>
      <c r="V11" s="13"/>
      <c r="W11" s="13"/>
      <c r="X11" s="13"/>
      <c r="Y11" s="13"/>
      <c r="Z11" s="13"/>
      <c r="AA11" s="13"/>
      <c r="AB11" s="13"/>
      <c r="AC11" s="13"/>
    </row>
    <row r="12" spans="1:29" ht="64.5" customHeight="1">
      <c r="A12" s="216" t="s">
        <v>162</v>
      </c>
      <c r="B12" s="217">
        <f>B10*B11</f>
        <v>1888</v>
      </c>
      <c r="C12" s="218" t="s">
        <v>160</v>
      </c>
      <c r="D12" s="13"/>
      <c r="E12" s="13"/>
      <c r="F12" s="13"/>
      <c r="G12" s="13"/>
      <c r="H12" s="13"/>
      <c r="I12" s="13"/>
      <c r="J12" s="13"/>
      <c r="K12" s="13"/>
      <c r="L12" s="13"/>
      <c r="M12" s="13"/>
      <c r="N12" s="13"/>
      <c r="O12" s="13"/>
      <c r="P12" s="13"/>
      <c r="Q12" s="13"/>
      <c r="R12" s="13"/>
      <c r="S12" s="13"/>
      <c r="T12" s="219" t="s">
        <v>163</v>
      </c>
      <c r="U12" s="13"/>
      <c r="V12" s="13"/>
      <c r="W12" s="13"/>
      <c r="X12" s="13"/>
      <c r="Y12" s="13"/>
      <c r="Z12" s="13"/>
      <c r="AA12" s="13"/>
      <c r="AB12" s="13"/>
      <c r="AC12" s="13"/>
    </row>
    <row r="13" spans="1:29" ht="99" customHeight="1">
      <c r="A13" s="679" t="s">
        <v>164</v>
      </c>
      <c r="B13" s="220">
        <v>1800</v>
      </c>
      <c r="C13" s="221" t="s">
        <v>165</v>
      </c>
      <c r="D13" s="13"/>
      <c r="E13" s="13"/>
      <c r="F13" s="13"/>
      <c r="G13" s="13"/>
      <c r="H13" s="13"/>
      <c r="I13" s="13"/>
      <c r="J13" s="13"/>
      <c r="K13" s="13"/>
      <c r="L13" s="13"/>
      <c r="M13" s="13"/>
      <c r="N13" s="13"/>
      <c r="O13" s="13"/>
      <c r="P13" s="13"/>
      <c r="Q13" s="13"/>
      <c r="R13" s="13"/>
      <c r="S13" s="13"/>
      <c r="T13" s="222" t="s">
        <v>166</v>
      </c>
      <c r="U13" s="13"/>
      <c r="V13" s="13"/>
      <c r="W13" s="13"/>
      <c r="X13" s="13"/>
      <c r="Y13" s="13"/>
      <c r="Z13" s="13"/>
      <c r="AA13" s="13"/>
      <c r="AB13" s="13"/>
      <c r="AC13" s="13"/>
    </row>
    <row r="14" spans="1:29" ht="60.75" customHeight="1">
      <c r="A14" s="679"/>
      <c r="B14" s="223">
        <v>150</v>
      </c>
      <c r="C14" s="224" t="s">
        <v>167</v>
      </c>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15" customHeight="1">
      <c r="A15" s="225"/>
      <c r="B15" s="226"/>
      <c r="C15" s="227"/>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15" customHeight="1">
      <c r="A16" s="228"/>
      <c r="B16" s="229"/>
      <c r="C16" s="230"/>
      <c r="D16" s="176"/>
      <c r="E16" s="176"/>
      <c r="F16" s="176"/>
      <c r="G16" s="176"/>
      <c r="H16" s="176"/>
      <c r="I16" s="176"/>
      <c r="J16" s="176"/>
      <c r="K16" s="176"/>
      <c r="L16" s="176"/>
      <c r="M16" s="176"/>
      <c r="N16" s="176"/>
      <c r="O16" s="13"/>
      <c r="P16" s="13"/>
      <c r="Q16" s="13"/>
      <c r="R16" s="13"/>
      <c r="S16" s="13"/>
      <c r="T16" s="13"/>
      <c r="U16" s="13"/>
      <c r="V16" s="13"/>
      <c r="W16" s="13"/>
      <c r="X16" s="13"/>
      <c r="Y16" s="13"/>
      <c r="Z16" s="13"/>
      <c r="AA16" s="13"/>
      <c r="AB16" s="13"/>
      <c r="AC16" s="13"/>
    </row>
    <row r="17" spans="1:29" ht="15" customHeight="1">
      <c r="A17" s="13"/>
      <c r="B17" s="209"/>
      <c r="C17" s="78"/>
      <c r="D17" s="78"/>
      <c r="E17" s="78"/>
      <c r="F17" s="78"/>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29.25" customHeight="1">
      <c r="A18" s="675" t="s">
        <v>59</v>
      </c>
      <c r="B18" s="675"/>
      <c r="C18" s="675"/>
      <c r="D18" s="675"/>
      <c r="E18" s="675"/>
      <c r="F18" s="225"/>
      <c r="G18" s="13"/>
      <c r="H18" s="676" t="s">
        <v>168</v>
      </c>
      <c r="I18" s="676"/>
      <c r="J18" s="676"/>
      <c r="K18" s="676"/>
      <c r="L18" s="676"/>
      <c r="M18" s="13"/>
      <c r="N18" s="13"/>
      <c r="O18" s="13"/>
      <c r="P18" s="13"/>
      <c r="Q18" s="13"/>
      <c r="R18" s="13"/>
      <c r="S18" s="680" t="s">
        <v>169</v>
      </c>
      <c r="T18" s="680"/>
      <c r="U18" s="680"/>
      <c r="V18" s="680"/>
      <c r="W18" s="680"/>
      <c r="X18" s="13"/>
      <c r="Y18" s="680" t="s">
        <v>168</v>
      </c>
      <c r="Z18" s="680"/>
      <c r="AA18" s="680"/>
      <c r="AB18" s="680"/>
      <c r="AC18" s="680"/>
    </row>
    <row r="19" spans="1:29" ht="66" customHeight="1">
      <c r="A19" s="231" t="s">
        <v>170</v>
      </c>
      <c r="B19" s="232" t="s">
        <v>171</v>
      </c>
      <c r="C19" s="232" t="s">
        <v>172</v>
      </c>
      <c r="D19" s="232" t="s">
        <v>173</v>
      </c>
      <c r="E19" s="233" t="s">
        <v>174</v>
      </c>
      <c r="F19" s="225"/>
      <c r="G19" s="13"/>
      <c r="H19" s="234" t="s">
        <v>170</v>
      </c>
      <c r="I19" s="235" t="s">
        <v>171</v>
      </c>
      <c r="J19" s="235" t="s">
        <v>172</v>
      </c>
      <c r="K19" s="235" t="s">
        <v>173</v>
      </c>
      <c r="L19" s="236" t="s">
        <v>174</v>
      </c>
      <c r="M19" s="13"/>
      <c r="N19" s="13"/>
      <c r="O19" s="13"/>
      <c r="P19" s="13"/>
      <c r="Q19" s="13"/>
      <c r="R19" s="13"/>
      <c r="S19" s="681" t="s">
        <v>175</v>
      </c>
      <c r="T19" s="681"/>
      <c r="U19" s="237" t="s">
        <v>36</v>
      </c>
      <c r="V19" s="237" t="s">
        <v>176</v>
      </c>
      <c r="W19" s="238" t="s">
        <v>177</v>
      </c>
      <c r="X19" s="13"/>
      <c r="Y19" s="681" t="s">
        <v>175</v>
      </c>
      <c r="Z19" s="681"/>
      <c r="AA19" s="237" t="s">
        <v>36</v>
      </c>
      <c r="AB19" s="237" t="s">
        <v>176</v>
      </c>
      <c r="AC19" s="238" t="s">
        <v>177</v>
      </c>
    </row>
    <row r="20" spans="1:29" ht="15" customHeight="1">
      <c r="A20" s="239">
        <v>1</v>
      </c>
      <c r="B20" s="240" t="s">
        <v>178</v>
      </c>
      <c r="C20" s="241">
        <v>0.08</v>
      </c>
      <c r="D20" s="241">
        <v>1</v>
      </c>
      <c r="E20" s="242">
        <f t="shared" ref="E20:E31" si="0">D20*C20</f>
        <v>0.08</v>
      </c>
      <c r="F20" s="13"/>
      <c r="G20" s="13"/>
      <c r="H20" s="239">
        <v>1</v>
      </c>
      <c r="I20" s="240" t="s">
        <v>179</v>
      </c>
      <c r="J20" s="241">
        <v>0.05</v>
      </c>
      <c r="K20" s="241">
        <v>1</v>
      </c>
      <c r="L20" s="242">
        <f>K20*J20</f>
        <v>0.05</v>
      </c>
      <c r="M20" s="13"/>
      <c r="N20" s="13"/>
      <c r="O20" s="13"/>
      <c r="P20" s="13"/>
      <c r="Q20" s="13"/>
      <c r="R20" s="13"/>
      <c r="S20" s="682" t="s">
        <v>180</v>
      </c>
      <c r="T20" s="682"/>
      <c r="U20" s="243">
        <f>$E$32</f>
        <v>0.5</v>
      </c>
      <c r="V20" s="244">
        <f>$P$3</f>
        <v>6</v>
      </c>
      <c r="W20" s="245">
        <f>V20*U20</f>
        <v>3</v>
      </c>
      <c r="X20" s="13"/>
      <c r="Y20" s="682" t="s">
        <v>181</v>
      </c>
      <c r="Z20" s="682"/>
      <c r="AA20" s="243">
        <f>$L$32</f>
        <v>0.15000000000000002</v>
      </c>
      <c r="AB20" s="246">
        <f>$P$3</f>
        <v>6</v>
      </c>
      <c r="AC20" s="247">
        <f>AB20*AA20</f>
        <v>0.90000000000000013</v>
      </c>
    </row>
    <row r="21" spans="1:29" ht="15" customHeight="1">
      <c r="A21" s="248">
        <v>2</v>
      </c>
      <c r="B21" s="249" t="s">
        <v>182</v>
      </c>
      <c r="C21" s="250">
        <v>0.08</v>
      </c>
      <c r="D21" s="250">
        <v>1</v>
      </c>
      <c r="E21" s="242">
        <f t="shared" si="0"/>
        <v>0.08</v>
      </c>
      <c r="F21" s="13"/>
      <c r="G21" s="13"/>
      <c r="H21" s="248">
        <v>2</v>
      </c>
      <c r="I21" s="249" t="s">
        <v>183</v>
      </c>
      <c r="J21" s="250">
        <v>7.0000000000000007E-2</v>
      </c>
      <c r="K21" s="250">
        <v>1</v>
      </c>
      <c r="L21" s="242">
        <f>K21*J21</f>
        <v>7.0000000000000007E-2</v>
      </c>
      <c r="M21" s="13"/>
      <c r="N21" s="13"/>
      <c r="O21" s="13"/>
      <c r="P21" s="13"/>
      <c r="Q21" s="13"/>
      <c r="R21" s="13"/>
      <c r="S21" s="251"/>
      <c r="T21" s="214"/>
      <c r="U21" s="214"/>
      <c r="V21" s="252"/>
      <c r="W21" s="253"/>
      <c r="X21" s="13"/>
      <c r="Y21" s="683"/>
      <c r="Z21" s="683"/>
      <c r="AA21" s="214"/>
      <c r="AB21" s="214"/>
      <c r="AC21" s="254"/>
    </row>
    <row r="22" spans="1:29" ht="15" customHeight="1">
      <c r="A22" s="248">
        <v>3</v>
      </c>
      <c r="B22" s="249" t="s">
        <v>184</v>
      </c>
      <c r="C22" s="250">
        <v>0.17</v>
      </c>
      <c r="D22" s="250">
        <v>1</v>
      </c>
      <c r="E22" s="242">
        <f t="shared" si="0"/>
        <v>0.17</v>
      </c>
      <c r="F22" s="13"/>
      <c r="G22" s="13"/>
      <c r="H22" s="248">
        <v>3</v>
      </c>
      <c r="I22" s="249" t="s">
        <v>185</v>
      </c>
      <c r="J22" s="250">
        <v>0.03</v>
      </c>
      <c r="K22" s="250">
        <v>1</v>
      </c>
      <c r="L22" s="242">
        <f>K22*J22</f>
        <v>0.03</v>
      </c>
      <c r="M22" s="13"/>
      <c r="N22" s="13"/>
      <c r="O22" s="13"/>
      <c r="P22" s="13"/>
      <c r="Q22" s="13"/>
      <c r="R22" s="13"/>
      <c r="S22" s="683"/>
      <c r="T22" s="683"/>
      <c r="U22" s="255"/>
      <c r="V22" s="252"/>
      <c r="W22" s="253"/>
      <c r="X22" s="13"/>
      <c r="Y22" s="683"/>
      <c r="Z22" s="683"/>
      <c r="AA22" s="214"/>
      <c r="AB22" s="214">
        <f>V3</f>
        <v>0</v>
      </c>
      <c r="AC22" s="254"/>
    </row>
    <row r="23" spans="1:29" ht="15" customHeight="1">
      <c r="A23" s="248">
        <v>4</v>
      </c>
      <c r="B23" s="249" t="s">
        <v>186</v>
      </c>
      <c r="C23" s="250">
        <v>0.12</v>
      </c>
      <c r="D23" s="250">
        <v>1</v>
      </c>
      <c r="E23" s="242">
        <f t="shared" si="0"/>
        <v>0.12</v>
      </c>
      <c r="F23" s="13"/>
      <c r="G23" s="13"/>
      <c r="H23" s="248">
        <v>4</v>
      </c>
      <c r="I23" s="249"/>
      <c r="J23" s="250"/>
      <c r="K23" s="250"/>
      <c r="L23" s="242">
        <f>K23*J23</f>
        <v>0</v>
      </c>
      <c r="M23" s="13"/>
      <c r="N23" s="13"/>
      <c r="O23" s="13"/>
      <c r="P23" s="13"/>
      <c r="Q23" s="13"/>
      <c r="R23" s="13"/>
      <c r="S23" s="683"/>
      <c r="T23" s="683"/>
      <c r="U23" s="214"/>
      <c r="V23" s="214"/>
      <c r="W23" s="254"/>
      <c r="X23" s="13"/>
      <c r="Y23" s="683"/>
      <c r="Z23" s="683"/>
      <c r="AA23" s="214"/>
      <c r="AB23" s="214"/>
      <c r="AC23" s="254"/>
    </row>
    <row r="24" spans="1:29" ht="15" customHeight="1">
      <c r="A24" s="248">
        <v>5</v>
      </c>
      <c r="B24" s="249" t="s">
        <v>187</v>
      </c>
      <c r="C24" s="250">
        <v>0.05</v>
      </c>
      <c r="D24" s="250">
        <v>1</v>
      </c>
      <c r="E24" s="242">
        <f t="shared" si="0"/>
        <v>0.05</v>
      </c>
      <c r="F24" s="13"/>
      <c r="G24" s="13"/>
      <c r="H24" s="248">
        <v>5</v>
      </c>
      <c r="I24" s="249"/>
      <c r="J24" s="250"/>
      <c r="K24" s="250"/>
      <c r="L24" s="242">
        <f>K24*J24</f>
        <v>0</v>
      </c>
      <c r="M24" s="13"/>
      <c r="N24" s="13"/>
      <c r="O24" s="13"/>
      <c r="P24" s="13"/>
      <c r="Q24" s="13"/>
      <c r="R24" s="13"/>
      <c r="S24" s="683"/>
      <c r="T24" s="683"/>
      <c r="U24" s="214"/>
      <c r="V24" s="214"/>
      <c r="W24" s="254"/>
      <c r="X24" s="13"/>
      <c r="Y24" s="683"/>
      <c r="Z24" s="683"/>
      <c r="AA24" s="214"/>
      <c r="AB24" s="214"/>
      <c r="AC24" s="254"/>
    </row>
    <row r="25" spans="1:29" ht="15" customHeight="1">
      <c r="A25" s="248">
        <v>6</v>
      </c>
      <c r="B25" s="249"/>
      <c r="C25" s="250"/>
      <c r="D25" s="250"/>
      <c r="E25" s="242">
        <f t="shared" si="0"/>
        <v>0</v>
      </c>
      <c r="F25" s="13"/>
      <c r="G25" s="13"/>
      <c r="H25" s="248">
        <v>6</v>
      </c>
      <c r="I25" s="249"/>
      <c r="J25" s="250"/>
      <c r="K25" s="250"/>
      <c r="L25" s="242"/>
      <c r="M25" s="13"/>
      <c r="N25" s="13"/>
      <c r="O25" s="13"/>
      <c r="P25" s="13"/>
      <c r="Q25" s="13"/>
      <c r="R25" s="13"/>
      <c r="S25" s="683"/>
      <c r="T25" s="683"/>
      <c r="U25" s="214"/>
      <c r="V25" s="214"/>
      <c r="W25" s="254"/>
      <c r="X25" s="13"/>
      <c r="Y25" s="683"/>
      <c r="Z25" s="683"/>
      <c r="AA25" s="214"/>
      <c r="AB25" s="214"/>
      <c r="AC25" s="254"/>
    </row>
    <row r="26" spans="1:29" ht="15" customHeight="1">
      <c r="A26" s="256">
        <v>7</v>
      </c>
      <c r="B26" s="257"/>
      <c r="C26" s="258"/>
      <c r="D26" s="258"/>
      <c r="E26" s="242">
        <f t="shared" si="0"/>
        <v>0</v>
      </c>
      <c r="F26" s="13"/>
      <c r="G26" s="13"/>
      <c r="H26" s="248">
        <v>7</v>
      </c>
      <c r="I26" s="249"/>
      <c r="J26" s="250"/>
      <c r="K26" s="250"/>
      <c r="L26" s="242"/>
      <c r="M26" s="13"/>
      <c r="N26" s="13"/>
      <c r="O26" s="13"/>
      <c r="P26" s="13"/>
      <c r="Q26" s="13"/>
      <c r="R26" s="13"/>
      <c r="S26" s="683"/>
      <c r="T26" s="683"/>
      <c r="U26" s="214"/>
      <c r="V26" s="214"/>
      <c r="W26" s="254"/>
      <c r="X26" s="13"/>
      <c r="Y26" s="683"/>
      <c r="Z26" s="683"/>
      <c r="AA26" s="214"/>
      <c r="AB26" s="214"/>
      <c r="AC26" s="254"/>
    </row>
    <row r="27" spans="1:29" ht="15" customHeight="1">
      <c r="A27" s="256">
        <v>8</v>
      </c>
      <c r="B27" s="257"/>
      <c r="C27" s="258"/>
      <c r="D27" s="258"/>
      <c r="E27" s="242">
        <f t="shared" si="0"/>
        <v>0</v>
      </c>
      <c r="F27" s="13"/>
      <c r="G27" s="13"/>
      <c r="H27" s="248">
        <v>8</v>
      </c>
      <c r="I27" s="249"/>
      <c r="J27" s="250"/>
      <c r="K27" s="250"/>
      <c r="L27" s="242"/>
      <c r="M27" s="13"/>
      <c r="N27" s="13"/>
      <c r="O27" s="13"/>
      <c r="P27" s="13"/>
      <c r="Q27" s="13"/>
      <c r="R27" s="13"/>
      <c r="S27" s="684"/>
      <c r="T27" s="684"/>
      <c r="U27" s="259"/>
      <c r="V27" s="259"/>
      <c r="W27" s="260"/>
      <c r="X27" s="13"/>
      <c r="Y27" s="684"/>
      <c r="Z27" s="684"/>
      <c r="AA27" s="259"/>
      <c r="AB27" s="259"/>
      <c r="AC27" s="260"/>
    </row>
    <row r="28" spans="1:29" ht="15" customHeight="1">
      <c r="A28" s="256">
        <v>9</v>
      </c>
      <c r="B28" s="257"/>
      <c r="C28" s="258"/>
      <c r="D28" s="258"/>
      <c r="E28" s="242">
        <f t="shared" si="0"/>
        <v>0</v>
      </c>
      <c r="F28" s="13"/>
      <c r="G28" s="13"/>
      <c r="H28" s="248">
        <v>9</v>
      </c>
      <c r="I28" s="249"/>
      <c r="J28" s="250"/>
      <c r="K28" s="250"/>
      <c r="L28" s="242"/>
      <c r="M28" s="13"/>
      <c r="N28" s="13"/>
      <c r="O28" s="13"/>
      <c r="P28" s="13"/>
      <c r="Q28" s="13"/>
      <c r="R28" s="13"/>
      <c r="S28" s="685" t="s">
        <v>188</v>
      </c>
      <c r="T28" s="685"/>
      <c r="U28" s="261"/>
      <c r="V28" s="261"/>
      <c r="W28" s="262">
        <f>SUM(W20:W25)</f>
        <v>3</v>
      </c>
      <c r="X28" s="13"/>
      <c r="Y28" s="685" t="s">
        <v>188</v>
      </c>
      <c r="Z28" s="685"/>
      <c r="AA28" s="261"/>
      <c r="AB28" s="261"/>
      <c r="AC28" s="263">
        <f>SUM(AC20:AC25)</f>
        <v>0.90000000000000013</v>
      </c>
    </row>
    <row r="29" spans="1:29" ht="15" customHeight="1">
      <c r="A29" s="264">
        <v>10</v>
      </c>
      <c r="B29" s="265"/>
      <c r="C29" s="266"/>
      <c r="D29" s="266"/>
      <c r="E29" s="242">
        <f t="shared" si="0"/>
        <v>0</v>
      </c>
      <c r="F29" s="13"/>
      <c r="G29" s="13"/>
      <c r="H29" s="248">
        <v>10</v>
      </c>
      <c r="I29" s="249"/>
      <c r="J29" s="250"/>
      <c r="K29" s="250"/>
      <c r="L29" s="242"/>
      <c r="M29" s="13"/>
      <c r="N29" s="13"/>
      <c r="O29" s="13"/>
      <c r="P29" s="13"/>
      <c r="Q29" s="13"/>
      <c r="R29" s="13"/>
      <c r="S29" s="13"/>
      <c r="T29" s="13"/>
      <c r="U29" s="13"/>
      <c r="V29" s="13"/>
      <c r="W29" s="13"/>
      <c r="X29" s="13"/>
      <c r="Y29" s="13"/>
      <c r="Z29" s="13"/>
      <c r="AA29" s="13"/>
      <c r="AB29" s="13"/>
      <c r="AC29" s="13"/>
    </row>
    <row r="30" spans="1:29" ht="15" customHeight="1">
      <c r="A30" s="264">
        <v>11</v>
      </c>
      <c r="B30" s="265"/>
      <c r="C30" s="266"/>
      <c r="D30" s="266"/>
      <c r="E30" s="242">
        <f t="shared" si="0"/>
        <v>0</v>
      </c>
      <c r="F30" s="13"/>
      <c r="G30" s="13"/>
      <c r="H30" s="248">
        <v>11</v>
      </c>
      <c r="I30" s="249"/>
      <c r="J30" s="250"/>
      <c r="K30" s="250"/>
      <c r="L30" s="242"/>
      <c r="M30" s="13"/>
      <c r="N30" s="13"/>
      <c r="O30" s="13"/>
      <c r="P30" s="13"/>
      <c r="Q30" s="13"/>
      <c r="R30" s="13"/>
      <c r="S30" s="13"/>
      <c r="T30" s="13"/>
      <c r="U30" s="13"/>
      <c r="V30" s="13"/>
      <c r="W30" s="13"/>
      <c r="X30" s="13"/>
      <c r="Y30" s="13"/>
      <c r="Z30" s="13"/>
      <c r="AA30" s="13"/>
      <c r="AB30" s="13"/>
      <c r="AC30" s="13"/>
    </row>
    <row r="31" spans="1:29" ht="15" customHeight="1">
      <c r="A31" s="267">
        <v>12</v>
      </c>
      <c r="B31" s="268"/>
      <c r="C31" s="269"/>
      <c r="D31" s="269"/>
      <c r="E31" s="242">
        <f t="shared" si="0"/>
        <v>0</v>
      </c>
      <c r="F31" s="13"/>
      <c r="G31" s="13"/>
      <c r="H31" s="248">
        <v>12</v>
      </c>
      <c r="I31" s="249"/>
      <c r="J31" s="250"/>
      <c r="K31" s="250"/>
      <c r="L31" s="242"/>
      <c r="M31" s="13"/>
      <c r="N31" s="13"/>
      <c r="O31" s="13"/>
      <c r="P31" s="13"/>
      <c r="Q31" s="13"/>
      <c r="R31" s="13"/>
      <c r="S31" s="13"/>
      <c r="T31" s="13"/>
      <c r="U31" s="13"/>
      <c r="V31" s="13"/>
      <c r="W31" s="13"/>
      <c r="X31" s="13"/>
      <c r="Y31" s="13"/>
      <c r="Z31" s="13"/>
      <c r="AA31" s="13"/>
      <c r="AB31" s="13"/>
      <c r="AC31" s="13"/>
    </row>
    <row r="32" spans="1:29" ht="114.75" customHeight="1">
      <c r="A32" s="686" t="s">
        <v>189</v>
      </c>
      <c r="B32" s="686"/>
      <c r="C32" s="686"/>
      <c r="D32" s="231" t="s">
        <v>190</v>
      </c>
      <c r="E32" s="270">
        <f>SUM(E20:E31)</f>
        <v>0.5</v>
      </c>
      <c r="F32" s="13" t="s">
        <v>191</v>
      </c>
      <c r="G32" s="13"/>
      <c r="H32" s="686" t="s">
        <v>192</v>
      </c>
      <c r="I32" s="686"/>
      <c r="J32" s="686"/>
      <c r="K32" s="231" t="s">
        <v>193</v>
      </c>
      <c r="L32" s="270">
        <f>SUM(L20:L31)</f>
        <v>0.15000000000000002</v>
      </c>
      <c r="M32" s="13"/>
      <c r="N32" s="13"/>
      <c r="O32" s="13"/>
      <c r="P32" s="13"/>
      <c r="Q32" s="13"/>
      <c r="R32" s="13"/>
      <c r="S32" s="13"/>
      <c r="T32" s="13"/>
      <c r="U32" s="13"/>
      <c r="V32" s="13"/>
      <c r="W32" s="13"/>
      <c r="X32" s="13"/>
      <c r="Y32" s="13"/>
      <c r="Z32" s="13"/>
      <c r="AA32" s="13"/>
      <c r="AB32" s="13"/>
      <c r="AC32" s="13"/>
    </row>
    <row r="33" spans="1:29" ht="57.75" customHeight="1">
      <c r="A33" s="686"/>
      <c r="B33" s="686"/>
      <c r="C33" s="686"/>
      <c r="D33" s="223" t="s">
        <v>194</v>
      </c>
      <c r="E33" s="271">
        <f>E32/$B$14</f>
        <v>3.3333333333333335E-3</v>
      </c>
      <c r="F33" s="272">
        <f>$P$3*E32</f>
        <v>3</v>
      </c>
      <c r="G33" s="13"/>
      <c r="H33" s="686"/>
      <c r="I33" s="686"/>
      <c r="J33" s="686"/>
      <c r="K33" s="223" t="s">
        <v>195</v>
      </c>
      <c r="L33" s="271">
        <f>L32/$B$14</f>
        <v>1.0000000000000002E-3</v>
      </c>
      <c r="M33" s="273"/>
      <c r="N33" s="13"/>
      <c r="O33" s="13"/>
      <c r="P33" s="13"/>
      <c r="Q33" s="13"/>
      <c r="R33" s="13"/>
      <c r="S33" s="13"/>
      <c r="T33" s="13"/>
      <c r="U33" s="13"/>
      <c r="V33" s="13"/>
      <c r="W33" s="13"/>
      <c r="X33" s="13"/>
      <c r="Y33" s="13"/>
      <c r="Z33" s="13"/>
      <c r="AA33" s="13"/>
      <c r="AB33" s="13"/>
      <c r="AC33" s="13"/>
    </row>
    <row r="34" spans="1:29" ht="14.25" customHeight="1">
      <c r="A34" s="13"/>
      <c r="B34" s="209"/>
      <c r="C34" s="274"/>
      <c r="D34" s="274"/>
      <c r="E34" s="275"/>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14.25" customHeight="1">
      <c r="A35" s="176"/>
      <c r="B35" s="276"/>
      <c r="C35" s="277"/>
      <c r="D35" s="277"/>
      <c r="E35" s="278"/>
      <c r="F35" s="176"/>
      <c r="G35" s="176"/>
      <c r="H35" s="176"/>
      <c r="I35" s="176"/>
      <c r="J35" s="176"/>
      <c r="K35" s="176"/>
      <c r="L35" s="176"/>
      <c r="M35" s="176"/>
      <c r="N35" s="176"/>
      <c r="O35" s="13"/>
      <c r="P35" s="13"/>
      <c r="Q35" s="13"/>
      <c r="R35" s="13"/>
      <c r="S35" s="13"/>
      <c r="T35" s="13"/>
      <c r="U35" s="13"/>
      <c r="V35" s="13"/>
      <c r="W35" s="13"/>
      <c r="X35" s="13"/>
      <c r="Y35" s="13"/>
      <c r="Z35" s="13"/>
      <c r="AA35" s="13"/>
      <c r="AB35" s="13"/>
      <c r="AC35" s="13"/>
    </row>
    <row r="36" spans="1:29" ht="15" customHeight="1">
      <c r="A36" s="13"/>
      <c r="B36" s="209"/>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27" customHeight="1">
      <c r="A37" s="675" t="s">
        <v>62</v>
      </c>
      <c r="B37" s="675"/>
      <c r="C37" s="675"/>
      <c r="D37" s="675"/>
      <c r="E37" s="675"/>
      <c r="F37" s="13"/>
      <c r="G37" s="13"/>
      <c r="H37" s="676" t="s">
        <v>196</v>
      </c>
      <c r="I37" s="676"/>
      <c r="J37" s="676"/>
      <c r="K37" s="676"/>
      <c r="L37" s="676"/>
      <c r="N37" s="13"/>
      <c r="O37" s="13"/>
      <c r="P37" s="13"/>
      <c r="Q37" s="13"/>
      <c r="R37" s="13"/>
      <c r="S37" s="680" t="s">
        <v>197</v>
      </c>
      <c r="T37" s="680"/>
      <c r="U37" s="680"/>
      <c r="V37" s="680"/>
      <c r="W37" s="680"/>
      <c r="X37" s="13"/>
      <c r="Y37" s="680" t="s">
        <v>196</v>
      </c>
      <c r="Z37" s="680"/>
      <c r="AA37" s="680"/>
      <c r="AB37" s="680"/>
      <c r="AC37" s="680"/>
    </row>
    <row r="38" spans="1:29" ht="69.75" customHeight="1">
      <c r="A38" s="231" t="s">
        <v>170</v>
      </c>
      <c r="B38" s="232" t="s">
        <v>171</v>
      </c>
      <c r="C38" s="232" t="s">
        <v>172</v>
      </c>
      <c r="D38" s="232" t="s">
        <v>173</v>
      </c>
      <c r="E38" s="233" t="s">
        <v>174</v>
      </c>
      <c r="F38" s="13"/>
      <c r="G38" s="13"/>
      <c r="H38" s="234" t="s">
        <v>170</v>
      </c>
      <c r="I38" s="235" t="s">
        <v>171</v>
      </c>
      <c r="J38" s="235" t="s">
        <v>172</v>
      </c>
      <c r="K38" s="235" t="s">
        <v>173</v>
      </c>
      <c r="L38" s="236" t="s">
        <v>174</v>
      </c>
      <c r="N38" s="13"/>
      <c r="O38" s="13"/>
      <c r="P38" s="13"/>
      <c r="Q38" s="13"/>
      <c r="R38" s="13"/>
      <c r="S38" s="681" t="s">
        <v>175</v>
      </c>
      <c r="T38" s="681"/>
      <c r="U38" s="237" t="s">
        <v>36</v>
      </c>
      <c r="V38" s="237" t="s">
        <v>176</v>
      </c>
      <c r="W38" s="238" t="s">
        <v>177</v>
      </c>
      <c r="X38" s="13"/>
      <c r="Y38" s="681" t="s">
        <v>175</v>
      </c>
      <c r="Z38" s="681"/>
      <c r="AA38" s="237" t="s">
        <v>36</v>
      </c>
      <c r="AB38" s="237" t="s">
        <v>176</v>
      </c>
      <c r="AC38" s="238" t="s">
        <v>177</v>
      </c>
    </row>
    <row r="39" spans="1:29" ht="15" customHeight="1">
      <c r="A39" s="239">
        <v>1</v>
      </c>
      <c r="B39" s="240" t="s">
        <v>198</v>
      </c>
      <c r="C39" s="241">
        <v>0.25</v>
      </c>
      <c r="D39" s="241">
        <v>1</v>
      </c>
      <c r="E39" s="242">
        <f t="shared" ref="E39:E50" si="1">D39*C39</f>
        <v>0.25</v>
      </c>
      <c r="F39" s="13"/>
      <c r="G39" s="13"/>
      <c r="H39" s="239">
        <v>1</v>
      </c>
      <c r="I39" s="240" t="s">
        <v>179</v>
      </c>
      <c r="J39" s="241">
        <v>0.05</v>
      </c>
      <c r="K39" s="241">
        <v>1</v>
      </c>
      <c r="L39" s="242">
        <f t="shared" ref="L39:L44" si="2">K39*J39</f>
        <v>0.05</v>
      </c>
      <c r="N39" s="13"/>
      <c r="O39" s="13"/>
      <c r="P39" s="13"/>
      <c r="Q39" s="13"/>
      <c r="R39" s="13"/>
      <c r="S39" s="682" t="s">
        <v>199</v>
      </c>
      <c r="T39" s="682"/>
      <c r="U39" s="279">
        <v>1</v>
      </c>
      <c r="V39" s="244">
        <v>14</v>
      </c>
      <c r="W39" s="245">
        <f>V39*U39</f>
        <v>14</v>
      </c>
      <c r="X39" s="13"/>
      <c r="Y39" s="682" t="s">
        <v>181</v>
      </c>
      <c r="Z39" s="682"/>
      <c r="AA39" s="243">
        <f>$L$51</f>
        <v>0.25</v>
      </c>
      <c r="AB39" s="246">
        <f>$P$3</f>
        <v>6</v>
      </c>
      <c r="AC39" s="247">
        <f>AB39*AA39</f>
        <v>1.5</v>
      </c>
    </row>
    <row r="40" spans="1:29" ht="29.25" customHeight="1">
      <c r="A40" s="248">
        <v>2</v>
      </c>
      <c r="B40" s="249" t="s">
        <v>200</v>
      </c>
      <c r="C40" s="250">
        <v>0.5</v>
      </c>
      <c r="D40" s="250">
        <v>1</v>
      </c>
      <c r="E40" s="242">
        <f t="shared" si="1"/>
        <v>0.5</v>
      </c>
      <c r="F40" s="13"/>
      <c r="G40" s="13"/>
      <c r="H40" s="248">
        <v>2</v>
      </c>
      <c r="I40" s="249" t="s">
        <v>201</v>
      </c>
      <c r="J40" s="250">
        <v>7.0000000000000007E-2</v>
      </c>
      <c r="K40" s="250">
        <v>1</v>
      </c>
      <c r="L40" s="242">
        <f t="shared" si="2"/>
        <v>7.0000000000000007E-2</v>
      </c>
      <c r="N40" s="13"/>
      <c r="O40" s="13"/>
      <c r="P40" s="13"/>
      <c r="Q40" s="13"/>
      <c r="R40" s="13"/>
      <c r="S40" s="251" t="s">
        <v>202</v>
      </c>
      <c r="T40" s="214"/>
      <c r="U40" s="214">
        <v>1</v>
      </c>
      <c r="V40" s="252">
        <v>9</v>
      </c>
      <c r="W40" s="253">
        <f>V40*U40</f>
        <v>9</v>
      </c>
      <c r="X40" s="13"/>
      <c r="Y40" s="683"/>
      <c r="Z40" s="683"/>
      <c r="AA40" s="214"/>
      <c r="AB40" s="214"/>
      <c r="AC40" s="254"/>
    </row>
    <row r="41" spans="1:29" ht="29.25" customHeight="1">
      <c r="A41" s="248">
        <v>3</v>
      </c>
      <c r="B41" s="280" t="s">
        <v>203</v>
      </c>
      <c r="C41" s="250">
        <v>0.75</v>
      </c>
      <c r="D41" s="250">
        <v>1</v>
      </c>
      <c r="E41" s="242">
        <f t="shared" si="1"/>
        <v>0.75</v>
      </c>
      <c r="F41" s="13"/>
      <c r="G41" s="13"/>
      <c r="H41" s="248">
        <v>3</v>
      </c>
      <c r="I41" s="249" t="s">
        <v>183</v>
      </c>
      <c r="J41" s="250">
        <v>0.08</v>
      </c>
      <c r="K41" s="250">
        <v>1</v>
      </c>
      <c r="L41" s="242">
        <f t="shared" si="2"/>
        <v>0.08</v>
      </c>
      <c r="N41" s="13"/>
      <c r="O41" s="13"/>
      <c r="P41" s="13"/>
      <c r="Q41" s="13"/>
      <c r="R41" s="13"/>
      <c r="S41" s="251" t="s">
        <v>204</v>
      </c>
      <c r="T41" s="214"/>
      <c r="U41" s="214">
        <v>1</v>
      </c>
      <c r="V41" s="252">
        <v>7</v>
      </c>
      <c r="W41" s="253">
        <f>V41*U41</f>
        <v>7</v>
      </c>
      <c r="X41" s="13"/>
      <c r="Y41" s="683"/>
      <c r="Z41" s="683"/>
      <c r="AA41" s="214"/>
      <c r="AB41" s="214"/>
      <c r="AC41" s="254"/>
    </row>
    <row r="42" spans="1:29" ht="29.25" customHeight="1">
      <c r="A42" s="248">
        <v>4</v>
      </c>
      <c r="B42" s="249" t="s">
        <v>205</v>
      </c>
      <c r="C42" s="250">
        <v>0.5</v>
      </c>
      <c r="D42" s="250">
        <v>1</v>
      </c>
      <c r="E42" s="242">
        <f t="shared" si="1"/>
        <v>0.5</v>
      </c>
      <c r="F42" s="13"/>
      <c r="G42" s="13"/>
      <c r="H42" s="248">
        <v>4</v>
      </c>
      <c r="I42" s="249" t="s">
        <v>185</v>
      </c>
      <c r="J42" s="250">
        <v>0.05</v>
      </c>
      <c r="K42" s="250">
        <v>1</v>
      </c>
      <c r="L42" s="242">
        <f t="shared" si="2"/>
        <v>0.05</v>
      </c>
      <c r="N42" s="13"/>
      <c r="O42" s="13"/>
      <c r="P42" s="13"/>
      <c r="Q42" s="13"/>
      <c r="R42" s="13"/>
      <c r="S42" s="683" t="s">
        <v>206</v>
      </c>
      <c r="T42" s="683"/>
      <c r="U42" s="255">
        <v>1</v>
      </c>
      <c r="V42" s="252">
        <v>4</v>
      </c>
      <c r="W42" s="253">
        <f>V42*U42</f>
        <v>4</v>
      </c>
      <c r="X42" s="13"/>
      <c r="Y42" s="683"/>
      <c r="Z42" s="683"/>
      <c r="AA42" s="214"/>
      <c r="AB42" s="214"/>
      <c r="AC42" s="254"/>
    </row>
    <row r="43" spans="1:29" ht="29.25" customHeight="1">
      <c r="A43" s="248">
        <v>5</v>
      </c>
      <c r="B43" s="249" t="s">
        <v>184</v>
      </c>
      <c r="C43" s="250">
        <v>0.25</v>
      </c>
      <c r="D43" s="250">
        <v>1</v>
      </c>
      <c r="E43" s="242">
        <f t="shared" si="1"/>
        <v>0.25</v>
      </c>
      <c r="F43" s="13"/>
      <c r="G43" s="13"/>
      <c r="H43" s="248">
        <v>5</v>
      </c>
      <c r="I43" s="249"/>
      <c r="J43" s="250"/>
      <c r="K43" s="250"/>
      <c r="L43" s="242">
        <f t="shared" si="2"/>
        <v>0</v>
      </c>
      <c r="M43" s="13"/>
      <c r="N43" s="13"/>
      <c r="O43" s="13"/>
      <c r="P43" s="13"/>
      <c r="Q43" s="13"/>
      <c r="R43" s="13"/>
      <c r="S43" s="683" t="s">
        <v>180</v>
      </c>
      <c r="T43" s="683"/>
      <c r="U43" s="255">
        <f>$E$51</f>
        <v>3</v>
      </c>
      <c r="V43" s="252">
        <f>$P$3</f>
        <v>6</v>
      </c>
      <c r="W43" s="253">
        <f>V43*U43</f>
        <v>18</v>
      </c>
      <c r="X43" s="13"/>
      <c r="Y43" s="683"/>
      <c r="Z43" s="683"/>
      <c r="AA43" s="214"/>
      <c r="AB43" s="214"/>
      <c r="AC43" s="254"/>
    </row>
    <row r="44" spans="1:29" ht="15" customHeight="1">
      <c r="A44" s="248">
        <v>6</v>
      </c>
      <c r="B44" s="249" t="s">
        <v>207</v>
      </c>
      <c r="C44" s="250">
        <v>0.5</v>
      </c>
      <c r="D44" s="250">
        <v>1</v>
      </c>
      <c r="E44" s="242">
        <f t="shared" si="1"/>
        <v>0.5</v>
      </c>
      <c r="F44" s="13"/>
      <c r="G44" s="13"/>
      <c r="H44" s="248">
        <v>6</v>
      </c>
      <c r="I44" s="249"/>
      <c r="J44" s="250"/>
      <c r="K44" s="250"/>
      <c r="L44" s="242">
        <f t="shared" si="2"/>
        <v>0</v>
      </c>
      <c r="M44" s="13"/>
      <c r="N44" s="13"/>
      <c r="O44" s="13"/>
      <c r="P44" s="13"/>
      <c r="Q44" s="13"/>
      <c r="R44" s="13"/>
      <c r="S44" s="683"/>
      <c r="T44" s="683"/>
      <c r="U44" s="214"/>
      <c r="V44" s="214"/>
      <c r="W44" s="254"/>
      <c r="X44" s="13"/>
      <c r="Y44" s="683"/>
      <c r="Z44" s="683"/>
      <c r="AA44" s="214"/>
      <c r="AB44" s="214"/>
      <c r="AC44" s="254"/>
    </row>
    <row r="45" spans="1:29" ht="15" customHeight="1">
      <c r="A45" s="256">
        <v>7</v>
      </c>
      <c r="B45" s="257" t="s">
        <v>208</v>
      </c>
      <c r="C45" s="258">
        <v>0.25</v>
      </c>
      <c r="D45" s="258">
        <v>1</v>
      </c>
      <c r="E45" s="242">
        <f t="shared" si="1"/>
        <v>0.25</v>
      </c>
      <c r="F45" s="13"/>
      <c r="G45" s="13"/>
      <c r="H45" s="248">
        <v>7</v>
      </c>
      <c r="I45" s="249"/>
      <c r="J45" s="250"/>
      <c r="K45" s="250"/>
      <c r="L45" s="242">
        <v>0</v>
      </c>
      <c r="M45" s="13"/>
      <c r="N45" s="13"/>
      <c r="O45" s="13"/>
      <c r="P45" s="13"/>
      <c r="Q45" s="13"/>
      <c r="R45" s="13"/>
      <c r="S45" s="683"/>
      <c r="T45" s="683"/>
      <c r="U45" s="214"/>
      <c r="V45" s="214"/>
      <c r="W45" s="254"/>
      <c r="X45" s="13"/>
      <c r="Y45" s="683"/>
      <c r="Z45" s="683"/>
      <c r="AA45" s="214"/>
      <c r="AB45" s="214"/>
      <c r="AC45" s="254"/>
    </row>
    <row r="46" spans="1:29" ht="15" customHeight="1">
      <c r="A46" s="256">
        <v>8</v>
      </c>
      <c r="B46" s="257"/>
      <c r="C46" s="258"/>
      <c r="D46" s="258"/>
      <c r="E46" s="242">
        <f t="shared" si="1"/>
        <v>0</v>
      </c>
      <c r="F46" s="13"/>
      <c r="G46" s="13"/>
      <c r="H46" s="248">
        <v>8</v>
      </c>
      <c r="I46" s="249"/>
      <c r="J46" s="250"/>
      <c r="K46" s="250"/>
      <c r="L46" s="242">
        <v>0</v>
      </c>
      <c r="M46" s="13"/>
      <c r="N46" s="13"/>
      <c r="O46" s="13"/>
      <c r="P46" s="13"/>
      <c r="Q46" s="13"/>
      <c r="R46" s="13"/>
      <c r="S46" s="684"/>
      <c r="T46" s="684"/>
      <c r="U46" s="259"/>
      <c r="V46" s="259"/>
      <c r="W46" s="260"/>
      <c r="X46" s="13"/>
      <c r="Y46" s="684"/>
      <c r="Z46" s="684"/>
      <c r="AA46" s="259"/>
      <c r="AB46" s="259"/>
      <c r="AC46" s="260"/>
    </row>
    <row r="47" spans="1:29" ht="15" customHeight="1">
      <c r="A47" s="256">
        <v>9</v>
      </c>
      <c r="B47" s="257"/>
      <c r="C47" s="258"/>
      <c r="D47" s="258"/>
      <c r="E47" s="242">
        <f t="shared" si="1"/>
        <v>0</v>
      </c>
      <c r="F47" s="13"/>
      <c r="G47" s="13"/>
      <c r="H47" s="248">
        <v>9</v>
      </c>
      <c r="I47" s="249"/>
      <c r="J47" s="250"/>
      <c r="K47" s="250"/>
      <c r="L47" s="242">
        <v>0</v>
      </c>
      <c r="M47" s="13"/>
      <c r="N47" s="13"/>
      <c r="O47" s="13"/>
      <c r="P47" s="13"/>
      <c r="Q47" s="13"/>
      <c r="R47" s="13"/>
      <c r="S47" s="685" t="s">
        <v>188</v>
      </c>
      <c r="T47" s="685"/>
      <c r="U47" s="261"/>
      <c r="V47" s="261"/>
      <c r="W47" s="262">
        <f>SUM(W39:W44)</f>
        <v>52</v>
      </c>
      <c r="X47" s="13"/>
      <c r="Y47" s="685" t="s">
        <v>188</v>
      </c>
      <c r="Z47" s="685"/>
      <c r="AA47" s="261"/>
      <c r="AB47" s="261"/>
      <c r="AC47" s="263">
        <f>SUM(AC39:AC44)</f>
        <v>1.5</v>
      </c>
    </row>
    <row r="48" spans="1:29" ht="15" customHeight="1">
      <c r="A48" s="264">
        <v>10</v>
      </c>
      <c r="B48" s="265"/>
      <c r="C48" s="266"/>
      <c r="D48" s="266"/>
      <c r="E48" s="242">
        <f t="shared" si="1"/>
        <v>0</v>
      </c>
      <c r="F48" s="13"/>
      <c r="G48" s="13"/>
      <c r="H48" s="248">
        <v>10</v>
      </c>
      <c r="I48" s="249"/>
      <c r="J48" s="250"/>
      <c r="K48" s="250"/>
      <c r="L48" s="242">
        <v>0</v>
      </c>
      <c r="M48" s="13"/>
      <c r="N48" s="13"/>
      <c r="O48" s="13"/>
      <c r="P48" s="13"/>
      <c r="Q48" s="13"/>
      <c r="R48" s="13"/>
      <c r="S48" s="13"/>
      <c r="T48" s="13"/>
      <c r="U48" s="13"/>
      <c r="V48" s="13"/>
      <c r="W48" s="13"/>
      <c r="X48" s="13"/>
      <c r="Y48" s="13"/>
      <c r="Z48" s="13"/>
      <c r="AA48" s="13"/>
      <c r="AB48" s="13"/>
      <c r="AC48" s="13"/>
    </row>
    <row r="49" spans="1:29" ht="15" customHeight="1">
      <c r="A49" s="264">
        <v>11</v>
      </c>
      <c r="B49" s="265"/>
      <c r="C49" s="266"/>
      <c r="D49" s="266"/>
      <c r="E49" s="242">
        <f t="shared" si="1"/>
        <v>0</v>
      </c>
      <c r="F49" s="13"/>
      <c r="G49" s="13"/>
      <c r="H49" s="248">
        <v>11</v>
      </c>
      <c r="I49" s="249"/>
      <c r="J49" s="250"/>
      <c r="K49" s="250"/>
      <c r="L49" s="242">
        <v>0</v>
      </c>
      <c r="M49" s="13"/>
      <c r="N49" s="13"/>
      <c r="O49" s="13"/>
      <c r="P49" s="13"/>
      <c r="Q49" s="13"/>
      <c r="R49" s="13"/>
      <c r="S49" s="13"/>
      <c r="T49" s="13"/>
      <c r="U49" s="13"/>
      <c r="V49" s="13"/>
      <c r="W49" s="13"/>
      <c r="X49" s="13"/>
      <c r="Y49" s="13"/>
      <c r="Z49" s="13"/>
      <c r="AA49" s="13"/>
      <c r="AB49" s="13"/>
      <c r="AC49" s="13"/>
    </row>
    <row r="50" spans="1:29" ht="15" customHeight="1">
      <c r="A50" s="267">
        <v>12</v>
      </c>
      <c r="B50" s="268"/>
      <c r="C50" s="269"/>
      <c r="D50" s="269"/>
      <c r="E50" s="242">
        <f t="shared" si="1"/>
        <v>0</v>
      </c>
      <c r="F50" s="13"/>
      <c r="G50" s="13"/>
      <c r="H50" s="248">
        <v>12</v>
      </c>
      <c r="I50" s="249"/>
      <c r="J50" s="250"/>
      <c r="K50" s="250"/>
      <c r="L50" s="242">
        <v>0</v>
      </c>
      <c r="M50" s="13"/>
      <c r="N50" s="13"/>
      <c r="O50" s="13"/>
      <c r="P50" s="13"/>
      <c r="Q50" s="13"/>
      <c r="R50" s="13"/>
      <c r="S50" s="13"/>
      <c r="T50" s="13"/>
      <c r="U50" s="13"/>
      <c r="V50" s="13"/>
      <c r="W50" s="13"/>
      <c r="X50" s="13"/>
      <c r="Y50" s="13"/>
      <c r="Z50" s="13"/>
      <c r="AA50" s="13"/>
      <c r="AB50" s="13"/>
      <c r="AC50" s="13"/>
    </row>
    <row r="51" spans="1:29" ht="57.75" customHeight="1">
      <c r="A51" s="687" t="s">
        <v>209</v>
      </c>
      <c r="B51" s="687"/>
      <c r="C51" s="687"/>
      <c r="D51" s="231" t="s">
        <v>190</v>
      </c>
      <c r="E51" s="281">
        <f>SUM(E39:E50)</f>
        <v>3</v>
      </c>
      <c r="F51" s="13" t="s">
        <v>191</v>
      </c>
      <c r="G51" s="13"/>
      <c r="H51" s="686" t="s">
        <v>210</v>
      </c>
      <c r="I51" s="686"/>
      <c r="J51" s="686"/>
      <c r="K51" s="231" t="s">
        <v>193</v>
      </c>
      <c r="L51" s="270">
        <f>SUM(L39:L50)</f>
        <v>0.25</v>
      </c>
      <c r="M51" s="13"/>
      <c r="N51" s="13"/>
      <c r="O51" s="13"/>
      <c r="P51" s="13"/>
      <c r="Q51" s="13"/>
      <c r="R51" s="13"/>
      <c r="S51" s="13"/>
      <c r="T51" s="13"/>
      <c r="U51" s="13"/>
      <c r="V51" s="13"/>
      <c r="W51" s="13"/>
      <c r="X51" s="13"/>
      <c r="Y51" s="13"/>
      <c r="Z51" s="13"/>
      <c r="AA51" s="13"/>
      <c r="AB51" s="13"/>
      <c r="AC51" s="13"/>
    </row>
    <row r="52" spans="1:29" ht="57.75" customHeight="1">
      <c r="A52" s="687"/>
      <c r="B52" s="687"/>
      <c r="C52" s="687"/>
      <c r="D52" s="223" t="s">
        <v>211</v>
      </c>
      <c r="E52" s="271">
        <f>E51/$B$14</f>
        <v>0.02</v>
      </c>
      <c r="F52" s="272">
        <f>$P$3*E51</f>
        <v>18</v>
      </c>
      <c r="G52" s="13"/>
      <c r="H52" s="686"/>
      <c r="I52" s="686"/>
      <c r="J52" s="686"/>
      <c r="K52" s="223" t="s">
        <v>195</v>
      </c>
      <c r="L52" s="282">
        <f>L51/$B$14</f>
        <v>1.6666666666666668E-3</v>
      </c>
      <c r="M52" s="273"/>
      <c r="N52" s="13"/>
      <c r="O52" s="13"/>
      <c r="P52" s="13"/>
      <c r="Q52" s="13"/>
      <c r="R52" s="13"/>
      <c r="S52" s="13"/>
      <c r="T52" s="13"/>
      <c r="U52" s="13"/>
      <c r="V52" s="13"/>
      <c r="W52" s="13"/>
      <c r="X52" s="13"/>
      <c r="Y52" s="13"/>
      <c r="Z52" s="13"/>
      <c r="AA52" s="13"/>
      <c r="AB52" s="13"/>
      <c r="AC52" s="13"/>
    </row>
    <row r="53" spans="1:29" ht="14.25" customHeight="1">
      <c r="A53" s="13"/>
      <c r="B53" s="209"/>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14.25" customHeight="1">
      <c r="A54" s="176"/>
      <c r="B54" s="276"/>
      <c r="C54" s="176"/>
      <c r="D54" s="176"/>
      <c r="E54" s="176"/>
      <c r="F54" s="176"/>
      <c r="G54" s="176"/>
      <c r="H54" s="176"/>
      <c r="I54" s="176"/>
      <c r="J54" s="176"/>
      <c r="K54" s="176"/>
      <c r="L54" s="176"/>
      <c r="M54" s="176"/>
      <c r="N54" s="176"/>
      <c r="O54" s="13"/>
      <c r="P54" s="13"/>
      <c r="Q54" s="13"/>
      <c r="R54" s="13"/>
      <c r="S54" s="13"/>
      <c r="T54" s="13"/>
      <c r="U54" s="13"/>
      <c r="V54" s="13"/>
      <c r="W54" s="13"/>
      <c r="X54" s="13"/>
      <c r="Y54" s="13"/>
      <c r="Z54" s="13"/>
      <c r="AA54" s="13"/>
      <c r="AB54" s="13"/>
      <c r="AC54" s="13"/>
    </row>
    <row r="55" spans="1:29" ht="15" customHeight="1">
      <c r="A55" s="13"/>
      <c r="B55" s="209"/>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27" customHeight="1">
      <c r="A56" s="675" t="s">
        <v>64</v>
      </c>
      <c r="B56" s="675"/>
      <c r="C56" s="675"/>
      <c r="D56" s="675"/>
      <c r="E56" s="675"/>
      <c r="F56" s="13"/>
      <c r="G56" s="13"/>
      <c r="H56" s="676" t="s">
        <v>212</v>
      </c>
      <c r="I56" s="676"/>
      <c r="J56" s="676"/>
      <c r="K56" s="676"/>
      <c r="L56" s="676"/>
      <c r="M56" s="13"/>
      <c r="N56" s="13"/>
      <c r="O56" s="13"/>
      <c r="P56" s="13"/>
      <c r="Q56" s="13"/>
      <c r="R56" s="13"/>
      <c r="S56" s="680" t="s">
        <v>213</v>
      </c>
      <c r="T56" s="680"/>
      <c r="U56" s="680"/>
      <c r="V56" s="680"/>
      <c r="W56" s="680"/>
      <c r="X56" s="13"/>
      <c r="Y56" s="680" t="s">
        <v>212</v>
      </c>
      <c r="Z56" s="680"/>
      <c r="AA56" s="680"/>
      <c r="AB56" s="680"/>
      <c r="AC56" s="680"/>
    </row>
    <row r="57" spans="1:29" ht="43.5" customHeight="1">
      <c r="A57" s="231" t="s">
        <v>170</v>
      </c>
      <c r="B57" s="232" t="s">
        <v>171</v>
      </c>
      <c r="C57" s="232" t="s">
        <v>172</v>
      </c>
      <c r="D57" s="232" t="s">
        <v>173</v>
      </c>
      <c r="E57" s="233" t="s">
        <v>174</v>
      </c>
      <c r="F57" s="13"/>
      <c r="G57" s="13"/>
      <c r="H57" s="234" t="s">
        <v>170</v>
      </c>
      <c r="I57" s="235" t="s">
        <v>171</v>
      </c>
      <c r="J57" s="235" t="s">
        <v>172</v>
      </c>
      <c r="K57" s="235" t="s">
        <v>173</v>
      </c>
      <c r="L57" s="236" t="s">
        <v>174</v>
      </c>
      <c r="M57" s="13"/>
      <c r="N57" s="13"/>
      <c r="O57" s="13"/>
      <c r="P57" s="13"/>
      <c r="Q57" s="13"/>
      <c r="R57" s="13"/>
      <c r="S57" s="681" t="s">
        <v>175</v>
      </c>
      <c r="T57" s="681"/>
      <c r="U57" s="237" t="s">
        <v>36</v>
      </c>
      <c r="V57" s="237" t="s">
        <v>176</v>
      </c>
      <c r="W57" s="238" t="s">
        <v>177</v>
      </c>
      <c r="X57" s="13"/>
      <c r="Y57" s="681" t="s">
        <v>175</v>
      </c>
      <c r="Z57" s="681"/>
      <c r="AA57" s="237" t="s">
        <v>36</v>
      </c>
      <c r="AB57" s="237" t="s">
        <v>176</v>
      </c>
      <c r="AC57" s="238" t="s">
        <v>177</v>
      </c>
    </row>
    <row r="58" spans="1:29" ht="15" customHeight="1">
      <c r="A58" s="239">
        <v>1</v>
      </c>
      <c r="B58" s="240" t="s">
        <v>214</v>
      </c>
      <c r="C58" s="241">
        <v>1</v>
      </c>
      <c r="D58" s="241">
        <v>1</v>
      </c>
      <c r="E58" s="242">
        <f t="shared" ref="E58:E69" si="3">D58*C58</f>
        <v>1</v>
      </c>
      <c r="F58" s="13"/>
      <c r="G58" s="13"/>
      <c r="H58" s="239">
        <v>1</v>
      </c>
      <c r="I58" s="240" t="s">
        <v>215</v>
      </c>
      <c r="J58" s="241">
        <v>0.04</v>
      </c>
      <c r="K58" s="241">
        <v>5</v>
      </c>
      <c r="L58" s="242">
        <f t="shared" ref="L58:L65" si="4">K58*J58</f>
        <v>0.2</v>
      </c>
      <c r="M58" s="13"/>
      <c r="N58" s="13"/>
      <c r="O58" s="13"/>
      <c r="P58" s="13"/>
      <c r="Q58" s="13"/>
      <c r="R58" s="13"/>
      <c r="S58" s="682" t="s">
        <v>199</v>
      </c>
      <c r="T58" s="682"/>
      <c r="U58" s="279">
        <v>5</v>
      </c>
      <c r="V58" s="244">
        <v>14</v>
      </c>
      <c r="W58" s="245">
        <f>V58*U58</f>
        <v>70</v>
      </c>
      <c r="X58" s="13"/>
      <c r="Y58" s="682" t="s">
        <v>181</v>
      </c>
      <c r="Z58" s="682"/>
      <c r="AA58" s="243">
        <f>$L$70</f>
        <v>0.6</v>
      </c>
      <c r="AB58" s="246">
        <f>$P$3</f>
        <v>6</v>
      </c>
      <c r="AC58" s="247">
        <f>AB58*AA58</f>
        <v>3.5999999999999996</v>
      </c>
    </row>
    <row r="59" spans="1:29" ht="29.25" customHeight="1">
      <c r="A59" s="248">
        <v>2</v>
      </c>
      <c r="B59" s="249" t="s">
        <v>216</v>
      </c>
      <c r="C59" s="250">
        <v>0.5</v>
      </c>
      <c r="D59" s="250">
        <v>1</v>
      </c>
      <c r="E59" s="242">
        <f t="shared" si="3"/>
        <v>0.5</v>
      </c>
      <c r="F59" s="13"/>
      <c r="G59" s="13"/>
      <c r="H59" s="248">
        <v>2</v>
      </c>
      <c r="I59" s="249" t="s">
        <v>217</v>
      </c>
      <c r="J59" s="250">
        <v>0.03</v>
      </c>
      <c r="K59" s="250">
        <v>5</v>
      </c>
      <c r="L59" s="242">
        <f t="shared" si="4"/>
        <v>0.15</v>
      </c>
      <c r="M59" s="13"/>
      <c r="N59" s="13"/>
      <c r="O59" s="13"/>
      <c r="P59" s="13"/>
      <c r="Q59" s="13"/>
      <c r="R59" s="13"/>
      <c r="S59" s="251" t="s">
        <v>202</v>
      </c>
      <c r="T59" s="214"/>
      <c r="U59" s="214">
        <v>5</v>
      </c>
      <c r="V59" s="252">
        <v>9</v>
      </c>
      <c r="W59" s="253">
        <f>V59*U59</f>
        <v>45</v>
      </c>
      <c r="X59" s="13"/>
      <c r="Y59" s="683"/>
      <c r="Z59" s="683"/>
      <c r="AA59" s="214"/>
      <c r="AB59" s="214"/>
      <c r="AC59" s="254"/>
    </row>
    <row r="60" spans="1:29" ht="29.25" customHeight="1">
      <c r="A60" s="248">
        <v>3</v>
      </c>
      <c r="B60" t="s">
        <v>218</v>
      </c>
      <c r="C60" s="250">
        <v>0.5</v>
      </c>
      <c r="D60" s="250">
        <v>5</v>
      </c>
      <c r="E60" s="242">
        <f t="shared" si="3"/>
        <v>2.5</v>
      </c>
      <c r="F60" s="13"/>
      <c r="G60" s="13"/>
      <c r="H60" s="248">
        <v>3</v>
      </c>
      <c r="I60" s="249" t="s">
        <v>219</v>
      </c>
      <c r="J60" s="250">
        <v>0.1</v>
      </c>
      <c r="K60" s="250">
        <v>1</v>
      </c>
      <c r="L60" s="242">
        <f t="shared" si="4"/>
        <v>0.1</v>
      </c>
      <c r="M60" s="13"/>
      <c r="N60" s="13"/>
      <c r="O60" s="13"/>
      <c r="P60" s="13"/>
      <c r="Q60" s="13"/>
      <c r="R60" s="13"/>
      <c r="S60" s="251" t="s">
        <v>204</v>
      </c>
      <c r="T60" s="214"/>
      <c r="U60" s="214">
        <v>5</v>
      </c>
      <c r="V60" s="252">
        <v>7</v>
      </c>
      <c r="W60" s="253">
        <f>V60*U60</f>
        <v>35</v>
      </c>
      <c r="X60" s="13"/>
      <c r="Y60" s="683"/>
      <c r="Z60" s="683"/>
      <c r="AA60" s="214"/>
      <c r="AB60" s="214"/>
      <c r="AC60" s="254"/>
    </row>
    <row r="61" spans="1:29" ht="29.25" customHeight="1">
      <c r="A61" s="248">
        <v>4</v>
      </c>
      <c r="B61" s="249" t="s">
        <v>220</v>
      </c>
      <c r="C61" s="250">
        <v>0.75</v>
      </c>
      <c r="D61" s="250">
        <v>5</v>
      </c>
      <c r="E61" s="242">
        <f t="shared" si="3"/>
        <v>3.75</v>
      </c>
      <c r="F61" s="13"/>
      <c r="G61" s="13"/>
      <c r="H61" s="248">
        <v>4</v>
      </c>
      <c r="I61" s="249" t="s">
        <v>221</v>
      </c>
      <c r="J61" s="250">
        <v>0.15</v>
      </c>
      <c r="K61" s="250">
        <v>1</v>
      </c>
      <c r="L61" s="242">
        <f t="shared" si="4"/>
        <v>0.15</v>
      </c>
      <c r="M61" s="13"/>
      <c r="N61" s="13"/>
      <c r="O61" s="13"/>
      <c r="P61" s="13"/>
      <c r="Q61" s="13"/>
      <c r="R61" s="13"/>
      <c r="S61" s="683" t="s">
        <v>206</v>
      </c>
      <c r="T61" s="683"/>
      <c r="U61" s="214">
        <v>5</v>
      </c>
      <c r="V61" s="252">
        <v>4</v>
      </c>
      <c r="W61" s="253">
        <f>V61*U61</f>
        <v>20</v>
      </c>
      <c r="X61" s="13"/>
      <c r="Y61" s="683"/>
      <c r="Z61" s="683"/>
      <c r="AA61" s="214"/>
      <c r="AB61" s="214"/>
      <c r="AC61" s="254"/>
    </row>
    <row r="62" spans="1:29" ht="15" customHeight="1">
      <c r="A62" s="248">
        <v>5</v>
      </c>
      <c r="B62" s="249" t="s">
        <v>205</v>
      </c>
      <c r="C62" s="250">
        <v>0.4</v>
      </c>
      <c r="D62" s="250">
        <v>5</v>
      </c>
      <c r="E62" s="242">
        <f t="shared" si="3"/>
        <v>2</v>
      </c>
      <c r="F62" s="13"/>
      <c r="G62" s="13"/>
      <c r="H62" s="248">
        <v>5</v>
      </c>
      <c r="I62" s="249"/>
      <c r="J62" s="250"/>
      <c r="K62" s="250"/>
      <c r="L62" s="242">
        <f t="shared" si="4"/>
        <v>0</v>
      </c>
      <c r="M62" s="13"/>
      <c r="N62" s="13"/>
      <c r="O62" s="13"/>
      <c r="P62" s="13"/>
      <c r="Q62" s="13"/>
      <c r="R62" s="13"/>
      <c r="S62" s="683" t="s">
        <v>180</v>
      </c>
      <c r="T62" s="683"/>
      <c r="U62" s="255">
        <f>$E$70</f>
        <v>12</v>
      </c>
      <c r="V62" s="252">
        <f>$P$3</f>
        <v>6</v>
      </c>
      <c r="W62" s="253">
        <f>V62*U62</f>
        <v>72</v>
      </c>
      <c r="X62" s="13"/>
      <c r="Y62" s="683"/>
      <c r="Z62" s="683"/>
      <c r="AA62" s="214"/>
      <c r="AB62" s="214"/>
      <c r="AC62" s="254"/>
    </row>
    <row r="63" spans="1:29" ht="15" customHeight="1">
      <c r="A63" s="248">
        <v>6</v>
      </c>
      <c r="B63" s="249" t="s">
        <v>222</v>
      </c>
      <c r="C63" s="250">
        <v>0.2</v>
      </c>
      <c r="D63" s="250">
        <v>5</v>
      </c>
      <c r="E63" s="242">
        <f t="shared" si="3"/>
        <v>1</v>
      </c>
      <c r="F63" s="13"/>
      <c r="G63" s="13"/>
      <c r="H63" s="248">
        <v>6</v>
      </c>
      <c r="I63" s="249"/>
      <c r="J63" s="250"/>
      <c r="K63" s="250"/>
      <c r="L63" s="242">
        <f t="shared" si="4"/>
        <v>0</v>
      </c>
      <c r="M63" s="13"/>
      <c r="N63" s="13"/>
      <c r="O63" s="13"/>
      <c r="P63" s="13"/>
      <c r="Q63" s="13"/>
      <c r="R63" s="13"/>
      <c r="S63" s="683"/>
      <c r="T63" s="683"/>
      <c r="U63" s="214"/>
      <c r="V63" s="252"/>
      <c r="W63" s="253"/>
      <c r="X63" s="13"/>
      <c r="Y63" s="683"/>
      <c r="Z63" s="683"/>
      <c r="AA63" s="214"/>
      <c r="AB63" s="214"/>
      <c r="AC63" s="254"/>
    </row>
    <row r="64" spans="1:29" ht="29.25" customHeight="1">
      <c r="A64" s="256">
        <v>7</v>
      </c>
      <c r="B64" s="257" t="s">
        <v>223</v>
      </c>
      <c r="C64" s="258">
        <v>0.75</v>
      </c>
      <c r="D64" s="258">
        <v>1</v>
      </c>
      <c r="E64" s="242">
        <f t="shared" si="3"/>
        <v>0.75</v>
      </c>
      <c r="F64" s="13"/>
      <c r="G64" s="13"/>
      <c r="H64" s="248">
        <v>7</v>
      </c>
      <c r="I64" s="249"/>
      <c r="J64" s="250"/>
      <c r="K64" s="250"/>
      <c r="L64" s="242">
        <f t="shared" si="4"/>
        <v>0</v>
      </c>
      <c r="M64" s="13"/>
      <c r="N64" s="13"/>
      <c r="O64" s="13"/>
      <c r="P64" s="13"/>
      <c r="Q64" s="13"/>
      <c r="R64" s="13"/>
      <c r="S64" s="684"/>
      <c r="T64" s="684"/>
      <c r="U64" s="283"/>
      <c r="V64" s="284"/>
      <c r="W64" s="285"/>
      <c r="X64" s="13"/>
      <c r="Y64" s="684"/>
      <c r="Z64" s="684"/>
      <c r="AA64" s="259"/>
      <c r="AB64" s="259"/>
      <c r="AC64" s="260"/>
    </row>
    <row r="65" spans="1:29" ht="29.25" customHeight="1">
      <c r="A65" s="256">
        <v>8</v>
      </c>
      <c r="B65" s="257" t="s">
        <v>224</v>
      </c>
      <c r="C65" s="258">
        <v>0.5</v>
      </c>
      <c r="D65" s="258">
        <v>1</v>
      </c>
      <c r="E65" s="242">
        <f t="shared" si="3"/>
        <v>0.5</v>
      </c>
      <c r="F65" s="13"/>
      <c r="G65" s="13"/>
      <c r="H65" s="248">
        <v>8</v>
      </c>
      <c r="I65" s="249"/>
      <c r="J65" s="250"/>
      <c r="K65" s="250"/>
      <c r="L65" s="242">
        <f t="shared" si="4"/>
        <v>0</v>
      </c>
      <c r="M65" s="13"/>
      <c r="N65" s="13"/>
      <c r="O65" s="13"/>
      <c r="P65" s="13"/>
      <c r="Q65" s="13"/>
      <c r="R65" s="13"/>
      <c r="S65" s="688" t="s">
        <v>188</v>
      </c>
      <c r="T65" s="688"/>
      <c r="U65" s="286"/>
      <c r="V65" s="286"/>
      <c r="W65" s="287">
        <f>SUM(W58:W64)</f>
        <v>242</v>
      </c>
      <c r="X65" s="13"/>
      <c r="Y65" s="688" t="s">
        <v>188</v>
      </c>
      <c r="Z65" s="688"/>
      <c r="AA65" s="286"/>
      <c r="AB65" s="286"/>
      <c r="AC65" s="288">
        <f>SUM(AC58:AC64)</f>
        <v>3.5999999999999996</v>
      </c>
    </row>
    <row r="66" spans="1:29" ht="15" customHeight="1">
      <c r="A66" s="256">
        <v>9</v>
      </c>
      <c r="B66" s="257"/>
      <c r="C66" s="258"/>
      <c r="D66" s="258"/>
      <c r="E66" s="242">
        <f t="shared" si="3"/>
        <v>0</v>
      </c>
      <c r="F66" s="13"/>
      <c r="G66" s="13"/>
      <c r="H66" s="248">
        <v>9</v>
      </c>
      <c r="I66" s="249"/>
      <c r="J66" s="250"/>
      <c r="K66" s="250"/>
      <c r="L66" s="242">
        <v>0</v>
      </c>
      <c r="M66" s="13"/>
      <c r="N66" s="13"/>
      <c r="O66" s="13"/>
      <c r="P66" s="13"/>
      <c r="Q66" s="13"/>
      <c r="R66" s="13"/>
      <c r="S66" s="13"/>
      <c r="T66" s="13"/>
      <c r="U66" s="13"/>
      <c r="V66" s="13"/>
      <c r="W66" s="13"/>
      <c r="X66" s="13"/>
      <c r="Y66" s="13"/>
      <c r="Z66" s="13"/>
      <c r="AA66" s="13"/>
      <c r="AB66" s="13"/>
      <c r="AC66" s="13"/>
    </row>
    <row r="67" spans="1:29" ht="15" customHeight="1">
      <c r="A67" s="264">
        <v>10</v>
      </c>
      <c r="B67" s="265"/>
      <c r="C67" s="266"/>
      <c r="D67" s="266"/>
      <c r="E67" s="242">
        <f t="shared" si="3"/>
        <v>0</v>
      </c>
      <c r="F67" s="13"/>
      <c r="G67" s="13"/>
      <c r="H67" s="248">
        <v>10</v>
      </c>
      <c r="I67" s="249"/>
      <c r="J67" s="250"/>
      <c r="K67" s="250"/>
      <c r="L67" s="242">
        <v>0</v>
      </c>
      <c r="M67" s="13"/>
      <c r="N67" s="13"/>
      <c r="O67" s="13"/>
      <c r="P67" s="13"/>
      <c r="Q67" s="13"/>
      <c r="R67" s="13"/>
      <c r="S67" s="13"/>
      <c r="T67" s="13"/>
      <c r="U67" s="13"/>
      <c r="V67" s="13"/>
      <c r="W67" s="13"/>
      <c r="X67" s="13"/>
      <c r="Y67" s="13"/>
      <c r="Z67" s="13"/>
      <c r="AA67" s="13"/>
      <c r="AB67" s="13"/>
      <c r="AC67" s="13"/>
    </row>
    <row r="68" spans="1:29" ht="15" customHeight="1">
      <c r="A68" s="264">
        <v>11</v>
      </c>
      <c r="B68" s="265"/>
      <c r="C68" s="266"/>
      <c r="D68" s="266"/>
      <c r="E68" s="242">
        <f t="shared" si="3"/>
        <v>0</v>
      </c>
      <c r="F68" s="13"/>
      <c r="G68" s="13"/>
      <c r="H68" s="248">
        <v>11</v>
      </c>
      <c r="I68" s="249"/>
      <c r="J68" s="250"/>
      <c r="K68" s="250"/>
      <c r="L68" s="242">
        <v>0</v>
      </c>
      <c r="M68" s="13"/>
      <c r="N68" s="13"/>
      <c r="O68" s="13"/>
      <c r="P68" s="13"/>
      <c r="Q68" s="13"/>
      <c r="R68" s="13"/>
      <c r="S68" s="13"/>
      <c r="T68" s="13"/>
      <c r="U68" s="13"/>
      <c r="V68" s="13"/>
      <c r="W68" s="13"/>
      <c r="X68" s="13"/>
      <c r="Y68" s="13"/>
      <c r="Z68" s="13"/>
      <c r="AA68" s="13"/>
      <c r="AB68" s="13"/>
      <c r="AC68" s="13"/>
    </row>
    <row r="69" spans="1:29" ht="15" customHeight="1">
      <c r="A69" s="267">
        <v>12</v>
      </c>
      <c r="B69" s="268"/>
      <c r="C69" s="269"/>
      <c r="D69" s="269"/>
      <c r="E69" s="242">
        <f t="shared" si="3"/>
        <v>0</v>
      </c>
      <c r="F69" s="13"/>
      <c r="G69" s="13"/>
      <c r="H69" s="248">
        <v>12</v>
      </c>
      <c r="I69" s="249"/>
      <c r="J69" s="250"/>
      <c r="K69" s="250"/>
      <c r="L69" s="242">
        <v>0</v>
      </c>
      <c r="M69" s="13"/>
      <c r="N69" s="13"/>
      <c r="O69" s="13"/>
      <c r="P69" s="13"/>
      <c r="Q69" s="13"/>
      <c r="R69" s="13"/>
      <c r="S69" s="13"/>
      <c r="T69" s="13"/>
      <c r="U69" s="13"/>
      <c r="V69" s="13"/>
      <c r="W69" s="13"/>
      <c r="X69" s="13"/>
      <c r="Y69" s="13"/>
      <c r="Z69" s="13"/>
      <c r="AA69" s="13"/>
      <c r="AB69" s="13"/>
      <c r="AC69" s="13"/>
    </row>
    <row r="70" spans="1:29" ht="57.75" customHeight="1">
      <c r="A70" s="687" t="s">
        <v>225</v>
      </c>
      <c r="B70" s="687"/>
      <c r="C70" s="687"/>
      <c r="D70" s="231" t="s">
        <v>190</v>
      </c>
      <c r="E70" s="281">
        <f>SUM(E58:E69)</f>
        <v>12</v>
      </c>
      <c r="F70" s="13" t="s">
        <v>191</v>
      </c>
      <c r="G70" s="13"/>
      <c r="H70" s="686" t="s">
        <v>226</v>
      </c>
      <c r="I70" s="686"/>
      <c r="J70" s="686"/>
      <c r="K70" s="231" t="s">
        <v>193</v>
      </c>
      <c r="L70" s="270">
        <f>SUM(L58:L69)</f>
        <v>0.6</v>
      </c>
      <c r="M70" s="13"/>
      <c r="N70" s="13"/>
      <c r="O70" s="13"/>
      <c r="P70" s="13"/>
      <c r="Q70" s="13"/>
      <c r="R70" s="13"/>
      <c r="S70" s="13"/>
      <c r="T70" s="13"/>
      <c r="U70" s="13"/>
      <c r="V70" s="13"/>
      <c r="W70" s="13"/>
      <c r="X70" s="13"/>
      <c r="Y70" s="13"/>
      <c r="Z70" s="13"/>
      <c r="AA70" s="13"/>
      <c r="AB70" s="13"/>
      <c r="AC70" s="13"/>
    </row>
    <row r="71" spans="1:29" ht="102" customHeight="1">
      <c r="A71" s="687"/>
      <c r="B71" s="687"/>
      <c r="C71" s="687"/>
      <c r="D71" s="223" t="s">
        <v>211</v>
      </c>
      <c r="E71" s="271">
        <f>E70/$B$14</f>
        <v>0.08</v>
      </c>
      <c r="F71" s="272">
        <f>$P$3*E70</f>
        <v>72</v>
      </c>
      <c r="G71" s="13"/>
      <c r="H71" s="686"/>
      <c r="I71" s="686"/>
      <c r="J71" s="686"/>
      <c r="K71" s="223" t="s">
        <v>195</v>
      </c>
      <c r="L71" s="282">
        <f>L70/$B$14</f>
        <v>4.0000000000000001E-3</v>
      </c>
      <c r="M71" s="273"/>
      <c r="N71" s="13"/>
      <c r="O71" s="13"/>
      <c r="P71" s="13"/>
      <c r="Q71" s="13"/>
      <c r="R71" s="13"/>
      <c r="S71" s="13"/>
      <c r="T71" s="13"/>
      <c r="U71" s="13"/>
      <c r="V71" s="13"/>
      <c r="W71" s="13"/>
      <c r="X71" s="13"/>
      <c r="Y71" s="13"/>
      <c r="Z71" s="13"/>
      <c r="AA71" s="13"/>
      <c r="AB71" s="13"/>
      <c r="AC71" s="13"/>
    </row>
    <row r="72" spans="1:29" ht="14.25" customHeight="1">
      <c r="F72" s="273"/>
      <c r="G72" s="13"/>
      <c r="H72" s="13"/>
      <c r="I72" s="13"/>
      <c r="J72" s="13"/>
      <c r="K72" s="13"/>
      <c r="L72" s="13"/>
      <c r="M72" s="13"/>
      <c r="N72" s="13"/>
      <c r="O72" s="13"/>
      <c r="P72" s="13"/>
      <c r="Q72" s="13"/>
      <c r="R72" s="13"/>
      <c r="S72" s="13"/>
      <c r="T72" s="13"/>
      <c r="U72" s="13"/>
      <c r="V72" s="13"/>
      <c r="W72" s="13"/>
      <c r="X72" s="13"/>
      <c r="Y72" s="13"/>
      <c r="Z72" s="13"/>
      <c r="AA72" s="13"/>
      <c r="AB72" s="13"/>
      <c r="AC72" s="13"/>
    </row>
    <row r="73" spans="1:29" ht="14.25" customHeight="1">
      <c r="A73" s="225"/>
      <c r="B73" s="225"/>
      <c r="C73" s="225"/>
      <c r="D73" s="226"/>
      <c r="E73" s="289"/>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ht="14.25" customHeight="1">
      <c r="A74" s="176"/>
      <c r="B74" s="276"/>
      <c r="C74" s="176"/>
      <c r="D74" s="176"/>
      <c r="E74" s="176"/>
      <c r="F74" s="176"/>
      <c r="G74" s="176"/>
      <c r="H74" s="176"/>
      <c r="I74" s="176"/>
      <c r="J74" s="176"/>
      <c r="K74" s="176"/>
      <c r="L74" s="176"/>
      <c r="M74" s="176"/>
      <c r="N74" s="176"/>
      <c r="O74" s="13"/>
      <c r="P74" s="13"/>
      <c r="Q74" s="13"/>
      <c r="R74" s="13"/>
      <c r="S74" s="13"/>
      <c r="T74" s="13"/>
      <c r="U74" s="13"/>
      <c r="V74" s="13"/>
      <c r="W74" s="13"/>
      <c r="X74" s="13"/>
      <c r="Y74" s="13"/>
      <c r="Z74" s="13"/>
      <c r="AA74" s="13"/>
      <c r="AB74" s="13"/>
      <c r="AC74" s="13"/>
    </row>
    <row r="75" spans="1:29" ht="14.25" customHeight="1">
      <c r="A75" s="13"/>
      <c r="B75" s="209"/>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ht="15" customHeight="1">
      <c r="A76" s="13" t="s">
        <v>227</v>
      </c>
      <c r="B76" s="209"/>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ht="26.25" customHeight="1">
      <c r="A77" s="675" t="s">
        <v>228</v>
      </c>
      <c r="B77" s="675"/>
      <c r="C77" s="675"/>
      <c r="D77" s="675"/>
      <c r="E77" s="675"/>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ht="14.25" customHeight="1">
      <c r="A78" s="689" t="s">
        <v>229</v>
      </c>
      <c r="B78" s="689"/>
      <c r="C78" s="690" t="s">
        <v>80</v>
      </c>
      <c r="D78" s="690"/>
      <c r="E78" s="690" t="s">
        <v>81</v>
      </c>
      <c r="F78" s="690"/>
      <c r="G78" s="690" t="s">
        <v>82</v>
      </c>
      <c r="H78" s="690"/>
      <c r="I78" s="690" t="s">
        <v>83</v>
      </c>
      <c r="J78" s="690"/>
      <c r="K78" s="690" t="s">
        <v>84</v>
      </c>
      <c r="L78" s="690"/>
      <c r="M78" s="690" t="s">
        <v>85</v>
      </c>
      <c r="N78" s="690"/>
      <c r="O78" s="690" t="s">
        <v>86</v>
      </c>
      <c r="P78" s="690"/>
      <c r="Q78" s="690" t="s">
        <v>87</v>
      </c>
      <c r="R78" s="690"/>
      <c r="S78" s="690" t="s">
        <v>88</v>
      </c>
      <c r="T78" s="690"/>
      <c r="U78" s="690" t="s">
        <v>89</v>
      </c>
      <c r="V78" s="690"/>
      <c r="W78" s="690" t="s">
        <v>90</v>
      </c>
      <c r="X78" s="690"/>
      <c r="Y78" s="690" t="s">
        <v>91</v>
      </c>
      <c r="Z78" s="690"/>
      <c r="AA78" s="292"/>
      <c r="AB78" s="292"/>
      <c r="AC78" s="292"/>
    </row>
    <row r="79" spans="1:29" ht="29.25" customHeight="1">
      <c r="A79" s="689"/>
      <c r="B79" s="689"/>
      <c r="C79" s="293" t="s">
        <v>230</v>
      </c>
      <c r="D79" s="293" t="s">
        <v>231</v>
      </c>
      <c r="E79" s="293" t="s">
        <v>230</v>
      </c>
      <c r="F79" s="293" t="s">
        <v>232</v>
      </c>
      <c r="G79" s="293" t="s">
        <v>230</v>
      </c>
      <c r="H79" s="293" t="s">
        <v>231</v>
      </c>
      <c r="I79" s="293" t="s">
        <v>230</v>
      </c>
      <c r="J79" s="293" t="s">
        <v>232</v>
      </c>
      <c r="K79" s="293" t="s">
        <v>230</v>
      </c>
      <c r="L79" s="293" t="s">
        <v>231</v>
      </c>
      <c r="M79" s="293" t="s">
        <v>230</v>
      </c>
      <c r="N79" s="293" t="s">
        <v>231</v>
      </c>
      <c r="O79" s="293" t="s">
        <v>230</v>
      </c>
      <c r="P79" s="293" t="s">
        <v>231</v>
      </c>
      <c r="Q79" s="293" t="s">
        <v>230</v>
      </c>
      <c r="R79" s="293" t="s">
        <v>231</v>
      </c>
      <c r="S79" s="293" t="s">
        <v>230</v>
      </c>
      <c r="T79" s="293" t="s">
        <v>231</v>
      </c>
      <c r="U79" s="293" t="s">
        <v>230</v>
      </c>
      <c r="V79" s="293" t="s">
        <v>231</v>
      </c>
      <c r="W79" s="293" t="s">
        <v>230</v>
      </c>
      <c r="X79" s="293" t="s">
        <v>231</v>
      </c>
      <c r="Y79" s="293" t="s">
        <v>230</v>
      </c>
      <c r="Z79" s="293" t="s">
        <v>231</v>
      </c>
      <c r="AA79" s="294"/>
      <c r="AB79" s="294"/>
      <c r="AC79" s="294"/>
    </row>
    <row r="80" spans="1:29" ht="15" customHeight="1">
      <c r="A80" s="295" t="str">
        <f>Hipótesis!B$58</f>
        <v>Alta e instalación Plan Básico</v>
      </c>
      <c r="B80" s="296">
        <f t="shared" ref="B80:B87" si="5">D80+F80+H80+J80+L80+N80+P80+R80+T80+V80+X80+Z80</f>
        <v>37</v>
      </c>
      <c r="C80" s="297">
        <f>'Proy. ventas'!E19</f>
        <v>0</v>
      </c>
      <c r="D80" s="214">
        <f>C80*$E$32</f>
        <v>0</v>
      </c>
      <c r="E80" s="298">
        <f>'Proy. ventas'!G33</f>
        <v>1</v>
      </c>
      <c r="F80" s="214">
        <f>E80*$E$32</f>
        <v>0.5</v>
      </c>
      <c r="G80" s="298">
        <f>'Proy. ventas'!I33</f>
        <v>1</v>
      </c>
      <c r="H80" s="214">
        <f>G80*$E$32</f>
        <v>0.5</v>
      </c>
      <c r="I80" s="298">
        <f>'Proy. ventas'!K33</f>
        <v>2</v>
      </c>
      <c r="J80" s="214">
        <f>I80*$E$32</f>
        <v>1</v>
      </c>
      <c r="K80" s="298">
        <f>'Proy. ventas'!M33</f>
        <v>4</v>
      </c>
      <c r="L80" s="214">
        <f>K80*$E$32</f>
        <v>2</v>
      </c>
      <c r="M80" s="298">
        <f>'Proy. ventas'!O33</f>
        <v>5</v>
      </c>
      <c r="N80" s="214">
        <f>M80*$E$32</f>
        <v>2.5</v>
      </c>
      <c r="O80" s="298">
        <f>'Proy. ventas'!Q33</f>
        <v>7</v>
      </c>
      <c r="P80" s="214">
        <f>O80*$E$32</f>
        <v>3.5</v>
      </c>
      <c r="Q80" s="298">
        <f>'Proy. ventas'!S33</f>
        <v>8</v>
      </c>
      <c r="R80" s="214">
        <f>Q80*$E$32</f>
        <v>4</v>
      </c>
      <c r="S80" s="298">
        <f>'Proy. ventas'!U33</f>
        <v>9</v>
      </c>
      <c r="T80" s="214">
        <f>S80*$E$32</f>
        <v>4.5</v>
      </c>
      <c r="U80" s="298">
        <f>'Proy. ventas'!W33</f>
        <v>11</v>
      </c>
      <c r="V80" s="214">
        <f>U80*$E$32</f>
        <v>5.5</v>
      </c>
      <c r="W80" s="298">
        <f>'Proy. ventas'!Y33</f>
        <v>12</v>
      </c>
      <c r="X80" s="214">
        <f>W80*$E$32</f>
        <v>6</v>
      </c>
      <c r="Y80" s="298">
        <f>'Proy. ventas'!AA33</f>
        <v>14</v>
      </c>
      <c r="Z80" s="214">
        <f>Y80*$E$32</f>
        <v>7</v>
      </c>
      <c r="AA80" s="13"/>
      <c r="AB80" s="13"/>
      <c r="AC80" s="13"/>
    </row>
    <row r="81" spans="1:29" ht="15" customHeight="1">
      <c r="A81" s="299" t="str">
        <f>Hipótesis!B$59</f>
        <v>Alta e instalación Plan Vidriera</v>
      </c>
      <c r="B81" s="296">
        <f t="shared" si="5"/>
        <v>516</v>
      </c>
      <c r="C81" s="297">
        <f>'Proy. ventas'!E20</f>
        <v>0</v>
      </c>
      <c r="D81" s="214">
        <f>C81*$E$51</f>
        <v>0</v>
      </c>
      <c r="E81" s="298">
        <f>'Proy. ventas'!G34</f>
        <v>2</v>
      </c>
      <c r="F81" s="214">
        <f>E81*$E$51</f>
        <v>6</v>
      </c>
      <c r="G81" s="298">
        <f>'Proy. ventas'!I34</f>
        <v>3</v>
      </c>
      <c r="H81" s="214">
        <f>G81*$E$51</f>
        <v>9</v>
      </c>
      <c r="I81" s="298">
        <f>'Proy. ventas'!K34</f>
        <v>5</v>
      </c>
      <c r="J81" s="214">
        <f>I81*$E$51</f>
        <v>15</v>
      </c>
      <c r="K81" s="298">
        <f>'Proy. ventas'!M34</f>
        <v>9</v>
      </c>
      <c r="L81" s="214">
        <f>K81*$E$51</f>
        <v>27</v>
      </c>
      <c r="M81" s="298">
        <f>'Proy. ventas'!O34</f>
        <v>12</v>
      </c>
      <c r="N81" s="214">
        <f>M81*$E$51</f>
        <v>36</v>
      </c>
      <c r="O81" s="298">
        <f>'Proy. ventas'!Q34</f>
        <v>15</v>
      </c>
      <c r="P81" s="214">
        <f>O81*$E$51</f>
        <v>45</v>
      </c>
      <c r="Q81" s="298">
        <f>'Proy. ventas'!S34</f>
        <v>19</v>
      </c>
      <c r="R81" s="214">
        <f>Q81*$E$51</f>
        <v>57</v>
      </c>
      <c r="S81" s="298">
        <f>'Proy. ventas'!U34</f>
        <v>21</v>
      </c>
      <c r="T81" s="214">
        <f>S81*$E$51</f>
        <v>63</v>
      </c>
      <c r="U81" s="298">
        <f>'Proy. ventas'!W34</f>
        <v>26</v>
      </c>
      <c r="V81" s="214">
        <f>U81*$E$51</f>
        <v>78</v>
      </c>
      <c r="W81" s="298">
        <f>'Proy. ventas'!Y34</f>
        <v>27</v>
      </c>
      <c r="X81" s="214">
        <f>W81*$E$51</f>
        <v>81</v>
      </c>
      <c r="Y81" s="298">
        <f>'Proy. ventas'!AA34</f>
        <v>33</v>
      </c>
      <c r="Z81" s="214">
        <f>Y81*$E$51</f>
        <v>99</v>
      </c>
      <c r="AA81" s="13"/>
      <c r="AB81" s="13"/>
      <c r="AC81" s="13"/>
    </row>
    <row r="82" spans="1:29" ht="15.75" customHeight="1">
      <c r="A82" s="300" t="str">
        <f>Hipótesis!B$60</f>
        <v>Alta e instalación Plan Cadena</v>
      </c>
      <c r="B82" s="296">
        <f t="shared" si="5"/>
        <v>300</v>
      </c>
      <c r="C82" s="297">
        <f>'Proy. ventas'!E21</f>
        <v>0</v>
      </c>
      <c r="D82" s="214">
        <f>C82*$E$70</f>
        <v>0</v>
      </c>
      <c r="E82" s="298">
        <f>'Proy. ventas'!G35</f>
        <v>0</v>
      </c>
      <c r="F82" s="214">
        <f>E82*$E$70</f>
        <v>0</v>
      </c>
      <c r="G82" s="298">
        <f>'Proy. ventas'!I35</f>
        <v>0</v>
      </c>
      <c r="H82" s="214">
        <f>G82*$E$70</f>
        <v>0</v>
      </c>
      <c r="I82" s="298">
        <f>'Proy. ventas'!K35</f>
        <v>1</v>
      </c>
      <c r="J82" s="214">
        <f>I82*$E$70</f>
        <v>12</v>
      </c>
      <c r="K82" s="298">
        <f>'Proy. ventas'!M35</f>
        <v>1</v>
      </c>
      <c r="L82" s="214">
        <f>K82*$E$70</f>
        <v>12</v>
      </c>
      <c r="M82" s="298">
        <f>'Proy. ventas'!O35</f>
        <v>2</v>
      </c>
      <c r="N82" s="214">
        <f>M82*$E$70</f>
        <v>24</v>
      </c>
      <c r="O82" s="298">
        <f>'Proy. ventas'!Q35</f>
        <v>2</v>
      </c>
      <c r="P82" s="214">
        <f>O82*$E$70</f>
        <v>24</v>
      </c>
      <c r="Q82" s="298">
        <f>'Proy. ventas'!S35</f>
        <v>3</v>
      </c>
      <c r="R82" s="214">
        <f>Q82*$E$70</f>
        <v>36</v>
      </c>
      <c r="S82" s="298">
        <f>'Proy. ventas'!U35</f>
        <v>3</v>
      </c>
      <c r="T82" s="214">
        <f>S82*$E$70</f>
        <v>36</v>
      </c>
      <c r="U82" s="298">
        <f>'Proy. ventas'!W35</f>
        <v>4</v>
      </c>
      <c r="V82" s="214">
        <f>U82*$E$70</f>
        <v>48</v>
      </c>
      <c r="W82" s="298">
        <f>'Proy. ventas'!Y35</f>
        <v>4</v>
      </c>
      <c r="X82" s="214">
        <f>W82*$E$70</f>
        <v>48</v>
      </c>
      <c r="Y82" s="298">
        <f>'Proy. ventas'!AA35</f>
        <v>5</v>
      </c>
      <c r="Z82" s="214">
        <f>Y82*$E$70</f>
        <v>60</v>
      </c>
      <c r="AA82" s="13"/>
      <c r="AB82" s="13"/>
      <c r="AC82" s="13"/>
    </row>
    <row r="83" spans="1:29" ht="15" customHeight="1">
      <c r="A83" s="301" t="str">
        <f>Hipótesis!B$61</f>
        <v>Abono Plan Básico</v>
      </c>
      <c r="B83" s="296">
        <f t="shared" si="5"/>
        <v>44.250000000000007</v>
      </c>
      <c r="C83" s="297">
        <f>'Proy. ventas'!E22</f>
        <v>0</v>
      </c>
      <c r="D83" s="214">
        <f>C83*$L$32</f>
        <v>0</v>
      </c>
      <c r="E83" s="297">
        <f>'Proy. ventas'!G22</f>
        <v>1</v>
      </c>
      <c r="F83" s="214">
        <f>E83*$L$32</f>
        <v>0.15000000000000002</v>
      </c>
      <c r="G83" s="297">
        <f>'Proy. ventas'!I22</f>
        <v>2</v>
      </c>
      <c r="H83" s="214">
        <f>G83*$L$32</f>
        <v>0.30000000000000004</v>
      </c>
      <c r="I83" s="297">
        <f>'Proy. ventas'!K22</f>
        <v>4</v>
      </c>
      <c r="J83" s="214">
        <f>I83*$L$32</f>
        <v>0.60000000000000009</v>
      </c>
      <c r="K83" s="297">
        <f>'Proy. ventas'!M22</f>
        <v>8</v>
      </c>
      <c r="L83" s="214">
        <f>K83*$L$32</f>
        <v>1.2000000000000002</v>
      </c>
      <c r="M83" s="297">
        <f>'Proy. ventas'!O22</f>
        <v>13</v>
      </c>
      <c r="N83" s="214">
        <f>M83*$L$32</f>
        <v>1.9500000000000002</v>
      </c>
      <c r="O83" s="297">
        <f>'Proy. ventas'!Q22</f>
        <v>20</v>
      </c>
      <c r="P83" s="214">
        <f>O83*$L$32</f>
        <v>3.0000000000000004</v>
      </c>
      <c r="Q83" s="297">
        <f>'Proy. ventas'!S22</f>
        <v>28</v>
      </c>
      <c r="R83" s="214">
        <f>Q83*$L$32</f>
        <v>4.2000000000000011</v>
      </c>
      <c r="S83" s="297">
        <f>'Proy. ventas'!U22</f>
        <v>37</v>
      </c>
      <c r="T83" s="214">
        <f>S83*$L$32</f>
        <v>5.5500000000000007</v>
      </c>
      <c r="U83" s="297">
        <f>'Proy. ventas'!W22</f>
        <v>48</v>
      </c>
      <c r="V83" s="214">
        <f>U83*$L$32</f>
        <v>7.2000000000000011</v>
      </c>
      <c r="W83" s="297">
        <f>'Proy. ventas'!Y22</f>
        <v>60</v>
      </c>
      <c r="X83" s="214">
        <f>W83*$L$32</f>
        <v>9.0000000000000018</v>
      </c>
      <c r="Y83" s="297">
        <f>'Proy. ventas'!AA22</f>
        <v>74</v>
      </c>
      <c r="Z83" s="214">
        <f>Y83*$L$32</f>
        <v>11.100000000000001</v>
      </c>
      <c r="AA83" s="13"/>
      <c r="AB83" s="13"/>
      <c r="AC83" s="13"/>
    </row>
    <row r="84" spans="1:29" ht="15" customHeight="1">
      <c r="A84" s="302" t="str">
        <f>Hipótesis!B$62</f>
        <v>Abono Plan Vidriera</v>
      </c>
      <c r="B84" s="296">
        <f t="shared" si="5"/>
        <v>171.75</v>
      </c>
      <c r="C84" s="297">
        <f>'Proy. ventas'!E23</f>
        <v>0</v>
      </c>
      <c r="D84" s="214">
        <f>C84*$L$51</f>
        <v>0</v>
      </c>
      <c r="E84" s="297">
        <f>'Proy. ventas'!G23</f>
        <v>2</v>
      </c>
      <c r="F84" s="214">
        <f>E84*$L$51</f>
        <v>0.5</v>
      </c>
      <c r="G84" s="297">
        <f>'Proy. ventas'!I23</f>
        <v>5</v>
      </c>
      <c r="H84" s="214">
        <f>G84*$L$51</f>
        <v>1.25</v>
      </c>
      <c r="I84" s="297">
        <f>'Proy. ventas'!K23</f>
        <v>10</v>
      </c>
      <c r="J84" s="214">
        <f>I84*$L$51</f>
        <v>2.5</v>
      </c>
      <c r="K84" s="297">
        <f>'Proy. ventas'!M23</f>
        <v>19</v>
      </c>
      <c r="L84" s="214">
        <f>K84*$L$51</f>
        <v>4.75</v>
      </c>
      <c r="M84" s="297">
        <f>'Proy. ventas'!O23</f>
        <v>31</v>
      </c>
      <c r="N84" s="214">
        <f>M84*$L$51</f>
        <v>7.75</v>
      </c>
      <c r="O84" s="297">
        <f>'Proy. ventas'!Q23</f>
        <v>46</v>
      </c>
      <c r="P84" s="214">
        <f>O84*$L$51</f>
        <v>11.5</v>
      </c>
      <c r="Q84" s="297">
        <f>'Proy. ventas'!S23</f>
        <v>65</v>
      </c>
      <c r="R84" s="214">
        <f>Q84*$L$51</f>
        <v>16.25</v>
      </c>
      <c r="S84" s="297">
        <f>'Proy. ventas'!U23</f>
        <v>86</v>
      </c>
      <c r="T84" s="214">
        <f>S84*$L$51</f>
        <v>21.5</v>
      </c>
      <c r="U84" s="297">
        <f>'Proy. ventas'!W23</f>
        <v>112</v>
      </c>
      <c r="V84" s="214">
        <f>U84*$L$51</f>
        <v>28</v>
      </c>
      <c r="W84" s="297">
        <f>'Proy. ventas'!Y23</f>
        <v>139</v>
      </c>
      <c r="X84" s="214">
        <f>W84*$L$51</f>
        <v>34.75</v>
      </c>
      <c r="Y84" s="297">
        <f>'Proy. ventas'!AA23</f>
        <v>172</v>
      </c>
      <c r="Z84" s="214">
        <f>Y84*$L$51</f>
        <v>43</v>
      </c>
      <c r="AA84" s="13"/>
      <c r="AB84" s="13"/>
      <c r="AC84" s="13"/>
    </row>
    <row r="85" spans="1:29" ht="15.75" customHeight="1">
      <c r="A85" s="303" t="str">
        <f>Hipótesis!B$63</f>
        <v>Abono Plan Cadena</v>
      </c>
      <c r="B85" s="296">
        <f t="shared" si="5"/>
        <v>57</v>
      </c>
      <c r="C85" s="297">
        <f>'Proy. ventas'!E24</f>
        <v>0</v>
      </c>
      <c r="D85" s="214">
        <f>C85*$L$70</f>
        <v>0</v>
      </c>
      <c r="E85" s="297">
        <f>'Proy. ventas'!G24</f>
        <v>0</v>
      </c>
      <c r="F85" s="214">
        <f>E85*$L$70</f>
        <v>0</v>
      </c>
      <c r="G85" s="297">
        <f>'Proy. ventas'!I24</f>
        <v>0</v>
      </c>
      <c r="H85" s="214">
        <f>G85*$L$70</f>
        <v>0</v>
      </c>
      <c r="I85" s="297">
        <f>'Proy. ventas'!K24</f>
        <v>1</v>
      </c>
      <c r="J85" s="214">
        <f>I85*$L$70</f>
        <v>0.6</v>
      </c>
      <c r="K85" s="297">
        <f>'Proy. ventas'!M24</f>
        <v>2</v>
      </c>
      <c r="L85" s="214">
        <f>K85*$L$70</f>
        <v>1.2</v>
      </c>
      <c r="M85" s="297">
        <f>'Proy. ventas'!O24</f>
        <v>4</v>
      </c>
      <c r="N85" s="214">
        <f>M85*$L$70</f>
        <v>2.4</v>
      </c>
      <c r="O85" s="297">
        <f>'Proy. ventas'!Q24</f>
        <v>6</v>
      </c>
      <c r="P85" s="214">
        <f>O85*$L$70</f>
        <v>3.5999999999999996</v>
      </c>
      <c r="Q85" s="297">
        <f>'Proy. ventas'!S24</f>
        <v>9</v>
      </c>
      <c r="R85" s="214">
        <f>Q85*$L$70</f>
        <v>5.3999999999999995</v>
      </c>
      <c r="S85" s="297">
        <f>'Proy. ventas'!U24</f>
        <v>12</v>
      </c>
      <c r="T85" s="214">
        <f>S85*$L$70</f>
        <v>7.1999999999999993</v>
      </c>
      <c r="U85" s="297">
        <f>'Proy. ventas'!W24</f>
        <v>16</v>
      </c>
      <c r="V85" s="214">
        <f>U85*$L$70</f>
        <v>9.6</v>
      </c>
      <c r="W85" s="297">
        <f>'Proy. ventas'!Y24</f>
        <v>20</v>
      </c>
      <c r="X85" s="214">
        <f>W85*$L$70</f>
        <v>12</v>
      </c>
      <c r="Y85" s="297">
        <f>'Proy. ventas'!AA24</f>
        <v>25</v>
      </c>
      <c r="Z85" s="214">
        <f>Y85*$L$70</f>
        <v>15</v>
      </c>
      <c r="AA85" s="13"/>
      <c r="AB85" s="13"/>
      <c r="AC85" s="13"/>
    </row>
    <row r="86" spans="1:29" ht="14.25" customHeight="1">
      <c r="A86" s="304" t="s">
        <v>233</v>
      </c>
      <c r="B86" s="305">
        <f t="shared" si="5"/>
        <v>1126</v>
      </c>
      <c r="C86" s="298">
        <f t="shared" ref="C86:Z86" si="6">SUM(C80:C85)</f>
        <v>0</v>
      </c>
      <c r="D86" s="306">
        <f t="shared" si="6"/>
        <v>0</v>
      </c>
      <c r="E86" s="298">
        <f t="shared" si="6"/>
        <v>6</v>
      </c>
      <c r="F86" s="306">
        <f t="shared" si="6"/>
        <v>7.15</v>
      </c>
      <c r="G86" s="298">
        <f t="shared" si="6"/>
        <v>11</v>
      </c>
      <c r="H86" s="306">
        <f t="shared" si="6"/>
        <v>11.05</v>
      </c>
      <c r="I86" s="298">
        <f t="shared" si="6"/>
        <v>23</v>
      </c>
      <c r="J86" s="306">
        <f t="shared" si="6"/>
        <v>31.700000000000003</v>
      </c>
      <c r="K86" s="298">
        <f t="shared" si="6"/>
        <v>43</v>
      </c>
      <c r="L86" s="306">
        <f t="shared" si="6"/>
        <v>48.150000000000006</v>
      </c>
      <c r="M86" s="298">
        <f t="shared" si="6"/>
        <v>67</v>
      </c>
      <c r="N86" s="306">
        <f t="shared" si="6"/>
        <v>74.600000000000009</v>
      </c>
      <c r="O86" s="298">
        <f t="shared" si="6"/>
        <v>96</v>
      </c>
      <c r="P86" s="306">
        <f t="shared" si="6"/>
        <v>90.6</v>
      </c>
      <c r="Q86" s="298">
        <f t="shared" si="6"/>
        <v>132</v>
      </c>
      <c r="R86" s="306">
        <f t="shared" si="6"/>
        <v>122.85000000000001</v>
      </c>
      <c r="S86" s="298">
        <f t="shared" si="6"/>
        <v>168</v>
      </c>
      <c r="T86" s="306">
        <f t="shared" si="6"/>
        <v>137.75</v>
      </c>
      <c r="U86" s="298">
        <f t="shared" si="6"/>
        <v>217</v>
      </c>
      <c r="V86" s="306">
        <f t="shared" si="6"/>
        <v>176.29999999999998</v>
      </c>
      <c r="W86" s="298">
        <f t="shared" si="6"/>
        <v>262</v>
      </c>
      <c r="X86" s="306">
        <f t="shared" si="6"/>
        <v>190.75</v>
      </c>
      <c r="Y86" s="298">
        <f t="shared" si="6"/>
        <v>323</v>
      </c>
      <c r="Z86" s="306">
        <f t="shared" si="6"/>
        <v>235.1</v>
      </c>
      <c r="AA86" s="307"/>
      <c r="AB86" s="307"/>
      <c r="AC86" s="307"/>
    </row>
    <row r="87" spans="1:29" ht="14.25" customHeight="1">
      <c r="A87" s="304" t="s">
        <v>234</v>
      </c>
      <c r="B87" s="305">
        <f t="shared" si="5"/>
        <v>2100</v>
      </c>
      <c r="C87" s="13"/>
      <c r="D87" s="306">
        <f>ROUNDUP(D86/$B$14,0)*$B$14</f>
        <v>0</v>
      </c>
      <c r="E87" s="13"/>
      <c r="F87" s="306">
        <f>ROUNDUP(F86/$B$14,0)*$B$14</f>
        <v>150</v>
      </c>
      <c r="G87" s="13"/>
      <c r="H87" s="306">
        <f>ROUNDUP(H86/$B$14,0)*$B$14</f>
        <v>150</v>
      </c>
      <c r="I87" s="13"/>
      <c r="J87" s="306">
        <f>ROUNDUP(J86/$B$14,0)*$B$14</f>
        <v>150</v>
      </c>
      <c r="K87" s="13"/>
      <c r="L87" s="306">
        <f>ROUNDUP(L86/$B$14,0)*$B$14</f>
        <v>150</v>
      </c>
      <c r="M87" s="13"/>
      <c r="N87" s="306">
        <f>ROUNDUP(N86/$B$14,0)*$B$14</f>
        <v>150</v>
      </c>
      <c r="O87" s="13"/>
      <c r="P87" s="306">
        <f>ROUNDUP(P86/$B$14,0)*$B$14</f>
        <v>150</v>
      </c>
      <c r="Q87" s="13"/>
      <c r="R87" s="306">
        <f>ROUNDUP(R86/$B$14,0)*$B$14</f>
        <v>150</v>
      </c>
      <c r="S87" s="13"/>
      <c r="T87" s="306">
        <f>ROUNDUP(T86/$B$14,0)*$B$14</f>
        <v>150</v>
      </c>
      <c r="U87" s="13"/>
      <c r="V87" s="306">
        <f>ROUNDUP(V86/$B$14,0)*$B$14</f>
        <v>300</v>
      </c>
      <c r="W87" s="13"/>
      <c r="X87" s="306">
        <f>ROUNDUP(X86/$B$14,0)*$B$14</f>
        <v>300</v>
      </c>
      <c r="Y87" s="13"/>
      <c r="Z87" s="306">
        <f>ROUNDUP(Z86/$B$14,0)*$B$14</f>
        <v>300</v>
      </c>
      <c r="AA87" s="13"/>
      <c r="AB87" s="13"/>
      <c r="AC87" s="13"/>
    </row>
    <row r="88" spans="1:29" ht="14.25" customHeight="1">
      <c r="A88" s="304" t="s">
        <v>235</v>
      </c>
      <c r="B88" s="305">
        <f>B87-B86</f>
        <v>974</v>
      </c>
      <c r="C88" s="13"/>
      <c r="D88" s="306">
        <f>D87-D86</f>
        <v>0</v>
      </c>
      <c r="E88" s="13"/>
      <c r="F88" s="306">
        <f>F87-F86</f>
        <v>142.85</v>
      </c>
      <c r="G88" s="13"/>
      <c r="H88" s="306">
        <f>H87-H86</f>
        <v>138.94999999999999</v>
      </c>
      <c r="I88" s="13"/>
      <c r="J88" s="306">
        <f>J87-J86</f>
        <v>118.3</v>
      </c>
      <c r="K88" s="13"/>
      <c r="L88" s="306">
        <f>L87-L86</f>
        <v>101.85</v>
      </c>
      <c r="M88" s="13"/>
      <c r="N88" s="306">
        <f>N87-N86</f>
        <v>75.399999999999991</v>
      </c>
      <c r="O88" s="13"/>
      <c r="P88" s="306">
        <f>P87-P86</f>
        <v>59.400000000000006</v>
      </c>
      <c r="Q88" s="13"/>
      <c r="R88" s="306">
        <f>R87-R86</f>
        <v>27.149999999999991</v>
      </c>
      <c r="S88" s="13"/>
      <c r="T88" s="306">
        <f>T87-T86</f>
        <v>12.25</v>
      </c>
      <c r="U88" s="13"/>
      <c r="V88" s="306">
        <f>V87-V86</f>
        <v>123.70000000000002</v>
      </c>
      <c r="W88" s="13"/>
      <c r="X88" s="306">
        <f>X87-X86</f>
        <v>109.25</v>
      </c>
      <c r="Y88" s="13"/>
      <c r="Z88" s="306">
        <f>Z87-Z86</f>
        <v>64.900000000000006</v>
      </c>
      <c r="AA88" s="13"/>
      <c r="AB88" s="13"/>
      <c r="AC88" s="13"/>
    </row>
    <row r="89" spans="1:29" ht="24" customHeight="1">
      <c r="A89" s="290" t="s">
        <v>236</v>
      </c>
      <c r="C89" s="291" t="s">
        <v>80</v>
      </c>
      <c r="E89" s="291" t="s">
        <v>81</v>
      </c>
      <c r="G89" s="291" t="s">
        <v>82</v>
      </c>
      <c r="I89" s="291" t="s">
        <v>83</v>
      </c>
      <c r="K89" s="291" t="s">
        <v>84</v>
      </c>
      <c r="M89" s="291" t="s">
        <v>85</v>
      </c>
      <c r="O89" s="291" t="s">
        <v>86</v>
      </c>
      <c r="Q89" s="291" t="s">
        <v>87</v>
      </c>
      <c r="S89" s="291" t="s">
        <v>88</v>
      </c>
      <c r="U89" s="291" t="s">
        <v>89</v>
      </c>
      <c r="W89" s="291" t="s">
        <v>90</v>
      </c>
      <c r="Y89" s="291" t="s">
        <v>91</v>
      </c>
      <c r="AA89" s="292"/>
      <c r="AB89" s="292"/>
      <c r="AC89" s="292"/>
    </row>
    <row r="90" spans="1:29" ht="53.25" customHeight="1">
      <c r="C90" s="293" t="s">
        <v>230</v>
      </c>
      <c r="D90" s="293" t="s">
        <v>231</v>
      </c>
      <c r="E90" s="293" t="s">
        <v>230</v>
      </c>
      <c r="F90" s="293" t="s">
        <v>232</v>
      </c>
      <c r="G90" s="293" t="s">
        <v>230</v>
      </c>
      <c r="H90" s="293" t="s">
        <v>231</v>
      </c>
      <c r="I90" s="293" t="s">
        <v>230</v>
      </c>
      <c r="J90" s="293" t="s">
        <v>232</v>
      </c>
      <c r="K90" s="293" t="s">
        <v>230</v>
      </c>
      <c r="L90" s="293" t="s">
        <v>231</v>
      </c>
      <c r="M90" s="293" t="s">
        <v>230</v>
      </c>
      <c r="N90" s="293" t="s">
        <v>231</v>
      </c>
      <c r="O90" s="293" t="s">
        <v>230</v>
      </c>
      <c r="P90" s="293" t="s">
        <v>231</v>
      </c>
      <c r="Q90" s="293" t="s">
        <v>230</v>
      </c>
      <c r="R90" s="293" t="s">
        <v>231</v>
      </c>
      <c r="S90" s="293" t="s">
        <v>230</v>
      </c>
      <c r="T90" s="293" t="s">
        <v>231</v>
      </c>
      <c r="U90" s="293" t="s">
        <v>230</v>
      </c>
      <c r="V90" s="293" t="s">
        <v>231</v>
      </c>
      <c r="W90" s="293" t="s">
        <v>230</v>
      </c>
      <c r="X90" s="293" t="s">
        <v>231</v>
      </c>
      <c r="Y90" s="293" t="s">
        <v>230</v>
      </c>
      <c r="Z90" s="293" t="s">
        <v>231</v>
      </c>
      <c r="AA90" s="294"/>
      <c r="AB90" s="294"/>
      <c r="AC90" s="294"/>
    </row>
    <row r="91" spans="1:29" ht="15" customHeight="1">
      <c r="A91" s="295" t="str">
        <f>Hipótesis!B$58</f>
        <v>Alta e instalación Plan Básico</v>
      </c>
      <c r="B91" s="296">
        <f t="shared" ref="B91:B98" si="7">D91+F91+H91+J91+L91+N91+P91+R91+T91+V91+X91+Z91</f>
        <v>44</v>
      </c>
      <c r="C91" s="298">
        <f>'Proy. ventas'!E82</f>
        <v>6</v>
      </c>
      <c r="D91" s="214">
        <f>C91*$E$32</f>
        <v>3</v>
      </c>
      <c r="E91" s="298">
        <f>'Proy. ventas'!G82</f>
        <v>6</v>
      </c>
      <c r="F91" s="214">
        <f>E91*$E$32</f>
        <v>3</v>
      </c>
      <c r="G91" s="298">
        <f>'Proy. ventas'!I82</f>
        <v>7</v>
      </c>
      <c r="H91" s="214">
        <f>G91*$E$32</f>
        <v>3.5</v>
      </c>
      <c r="I91" s="298">
        <f>'Proy. ventas'!K82</f>
        <v>7</v>
      </c>
      <c r="J91" s="214">
        <f>I91*$E$32</f>
        <v>3.5</v>
      </c>
      <c r="K91" s="298">
        <f>'Proy. ventas'!M82</f>
        <v>7</v>
      </c>
      <c r="L91" s="214">
        <f>K91*$E$32</f>
        <v>3.5</v>
      </c>
      <c r="M91" s="298">
        <f>'Proy. ventas'!O82</f>
        <v>7</v>
      </c>
      <c r="N91" s="214">
        <f>M91*$E$32</f>
        <v>3.5</v>
      </c>
      <c r="O91" s="298">
        <f>'Proy. ventas'!Q82</f>
        <v>7</v>
      </c>
      <c r="P91" s="214">
        <f>O91*$E$32</f>
        <v>3.5</v>
      </c>
      <c r="Q91" s="298">
        <f>'Proy. ventas'!S82</f>
        <v>7</v>
      </c>
      <c r="R91" s="214">
        <f>Q91*$E$32</f>
        <v>3.5</v>
      </c>
      <c r="S91" s="298">
        <f>'Proy. ventas'!U82</f>
        <v>8</v>
      </c>
      <c r="T91" s="214">
        <f>S91*$E$32</f>
        <v>4</v>
      </c>
      <c r="U91" s="298">
        <f>'Proy. ventas'!W82</f>
        <v>8</v>
      </c>
      <c r="V91" s="214">
        <f>U91*$E$32</f>
        <v>4</v>
      </c>
      <c r="W91" s="298">
        <f>'Proy. ventas'!Y82</f>
        <v>9</v>
      </c>
      <c r="X91" s="214">
        <f>W91*$E$32</f>
        <v>4.5</v>
      </c>
      <c r="Y91" s="298">
        <f>'Proy. ventas'!AA82</f>
        <v>9</v>
      </c>
      <c r="Z91" s="214">
        <f>Y91*$E$32</f>
        <v>4.5</v>
      </c>
      <c r="AA91" s="13"/>
      <c r="AB91" s="13"/>
      <c r="AC91" s="13"/>
    </row>
    <row r="92" spans="1:29" ht="15" customHeight="1">
      <c r="A92" s="299" t="str">
        <f>Hipótesis!B$59</f>
        <v>Alta e instalación Plan Vidriera</v>
      </c>
      <c r="B92" s="296">
        <f t="shared" si="7"/>
        <v>630</v>
      </c>
      <c r="C92" s="298">
        <f>'Proy. ventas'!E83</f>
        <v>14</v>
      </c>
      <c r="D92" s="214">
        <f>C92*$E$51</f>
        <v>42</v>
      </c>
      <c r="E92" s="298">
        <f>'Proy. ventas'!G83</f>
        <v>14</v>
      </c>
      <c r="F92" s="214">
        <f>E92*$E$51</f>
        <v>42</v>
      </c>
      <c r="G92" s="298">
        <f>'Proy. ventas'!I83</f>
        <v>16</v>
      </c>
      <c r="H92" s="214">
        <f>G92*$E$51</f>
        <v>48</v>
      </c>
      <c r="I92" s="298">
        <f>'Proy. ventas'!K83</f>
        <v>16</v>
      </c>
      <c r="J92" s="214">
        <f>I92*$E$51</f>
        <v>48</v>
      </c>
      <c r="K92" s="298">
        <f>'Proy. ventas'!M83</f>
        <v>17</v>
      </c>
      <c r="L92" s="214">
        <f>K92*$E$51</f>
        <v>51</v>
      </c>
      <c r="M92" s="298">
        <f>'Proy. ventas'!O83</f>
        <v>17</v>
      </c>
      <c r="N92" s="214">
        <f>M92*$E$51</f>
        <v>51</v>
      </c>
      <c r="O92" s="298">
        <f>'Proy. ventas'!Q83</f>
        <v>18</v>
      </c>
      <c r="P92" s="214">
        <f>O92*$E$51</f>
        <v>54</v>
      </c>
      <c r="Q92" s="298">
        <f>'Proy. ventas'!S83</f>
        <v>18</v>
      </c>
      <c r="R92" s="214">
        <f>Q92*$E$51</f>
        <v>54</v>
      </c>
      <c r="S92" s="298">
        <f>'Proy. ventas'!U83</f>
        <v>19</v>
      </c>
      <c r="T92" s="214">
        <f>S92*$E$51</f>
        <v>57</v>
      </c>
      <c r="U92" s="298">
        <f>'Proy. ventas'!W83</f>
        <v>19</v>
      </c>
      <c r="V92" s="214">
        <f>U92*$E$51</f>
        <v>57</v>
      </c>
      <c r="W92" s="298">
        <f>'Proy. ventas'!Y83</f>
        <v>21</v>
      </c>
      <c r="X92" s="214">
        <f>W92*$E$51</f>
        <v>63</v>
      </c>
      <c r="Y92" s="298">
        <f>'Proy. ventas'!AA83</f>
        <v>21</v>
      </c>
      <c r="Z92" s="214">
        <f>Y92*$E$51</f>
        <v>63</v>
      </c>
      <c r="AA92" s="13"/>
      <c r="AB92" s="13"/>
      <c r="AC92" s="13"/>
    </row>
    <row r="93" spans="1:29" ht="15.75" customHeight="1">
      <c r="A93" s="300" t="str">
        <f>Hipótesis!B$60</f>
        <v>Alta e instalación Plan Cadena</v>
      </c>
      <c r="B93" s="296">
        <f t="shared" si="7"/>
        <v>336</v>
      </c>
      <c r="C93" s="298">
        <f>'Proy. ventas'!E84</f>
        <v>2</v>
      </c>
      <c r="D93" s="214">
        <f>C93*$E$70</f>
        <v>24</v>
      </c>
      <c r="E93" s="298">
        <f>'Proy. ventas'!G84</f>
        <v>2</v>
      </c>
      <c r="F93" s="214">
        <f>E93*$E$70</f>
        <v>24</v>
      </c>
      <c r="G93" s="298">
        <f>'Proy. ventas'!I84</f>
        <v>2</v>
      </c>
      <c r="H93" s="214">
        <f>G93*$E$70</f>
        <v>24</v>
      </c>
      <c r="I93" s="298">
        <f>'Proy. ventas'!K84</f>
        <v>2</v>
      </c>
      <c r="J93" s="214">
        <f>I93*$E$70</f>
        <v>24</v>
      </c>
      <c r="K93" s="298">
        <f>'Proy. ventas'!M84</f>
        <v>2</v>
      </c>
      <c r="L93" s="214">
        <f>K93*$E$70</f>
        <v>24</v>
      </c>
      <c r="M93" s="298">
        <f>'Proy. ventas'!O84</f>
        <v>2</v>
      </c>
      <c r="N93" s="214">
        <f>M93*$E$70</f>
        <v>24</v>
      </c>
      <c r="O93" s="298">
        <f>'Proy. ventas'!Q84</f>
        <v>2</v>
      </c>
      <c r="P93" s="214">
        <f>O93*$E$70</f>
        <v>24</v>
      </c>
      <c r="Q93" s="298">
        <f>'Proy. ventas'!S84</f>
        <v>2</v>
      </c>
      <c r="R93" s="214">
        <f>Q93*$E$70</f>
        <v>24</v>
      </c>
      <c r="S93" s="298">
        <f>'Proy. ventas'!U84</f>
        <v>3</v>
      </c>
      <c r="T93" s="214">
        <f>S93*$E$70</f>
        <v>36</v>
      </c>
      <c r="U93" s="298">
        <f>'Proy. ventas'!W84</f>
        <v>3</v>
      </c>
      <c r="V93" s="214">
        <f>U93*$E$70</f>
        <v>36</v>
      </c>
      <c r="W93" s="298">
        <f>'Proy. ventas'!Y84</f>
        <v>3</v>
      </c>
      <c r="X93" s="214">
        <f>W93*$E$70</f>
        <v>36</v>
      </c>
      <c r="Y93" s="298">
        <f>'Proy. ventas'!AA84</f>
        <v>3</v>
      </c>
      <c r="Z93" s="214">
        <f>Y93*$E$70</f>
        <v>36</v>
      </c>
      <c r="AA93" s="13"/>
      <c r="AB93" s="13"/>
      <c r="AC93" s="13"/>
    </row>
    <row r="94" spans="1:29" ht="15" customHeight="1">
      <c r="A94" s="301" t="str">
        <f>Hipótesis!B$61</f>
        <v>Abono Plan Básico</v>
      </c>
      <c r="B94" s="296">
        <f t="shared" si="7"/>
        <v>213.60000000000002</v>
      </c>
      <c r="C94" s="298">
        <f>'Proy. ventas'!E85</f>
        <v>80</v>
      </c>
      <c r="D94" s="214">
        <f>C94*$L$32</f>
        <v>12.000000000000002</v>
      </c>
      <c r="E94" s="298">
        <f>'Proy. ventas'!G85</f>
        <v>86</v>
      </c>
      <c r="F94" s="214">
        <f>E94*$L$32</f>
        <v>12.900000000000002</v>
      </c>
      <c r="G94" s="298">
        <f>'Proy. ventas'!I85</f>
        <v>93</v>
      </c>
      <c r="H94" s="214">
        <f>G94*$L$32</f>
        <v>13.950000000000003</v>
      </c>
      <c r="I94" s="298">
        <f>'Proy. ventas'!K85</f>
        <v>100</v>
      </c>
      <c r="J94" s="214">
        <f>I94*$L$32</f>
        <v>15.000000000000002</v>
      </c>
      <c r="K94" s="298">
        <f>'Proy. ventas'!M85</f>
        <v>107</v>
      </c>
      <c r="L94" s="214">
        <f>K94*$L$32</f>
        <v>16.05</v>
      </c>
      <c r="M94" s="298">
        <f>'Proy. ventas'!O85</f>
        <v>114</v>
      </c>
      <c r="N94" s="214">
        <f>M94*$L$32</f>
        <v>17.100000000000001</v>
      </c>
      <c r="O94" s="298">
        <f>'Proy. ventas'!Q85</f>
        <v>121</v>
      </c>
      <c r="P94" s="214">
        <f>O94*$L$32</f>
        <v>18.150000000000002</v>
      </c>
      <c r="Q94" s="298">
        <f>'Proy. ventas'!S85</f>
        <v>128</v>
      </c>
      <c r="R94" s="214">
        <f>Q94*$L$32</f>
        <v>19.200000000000003</v>
      </c>
      <c r="S94" s="298">
        <f>'Proy. ventas'!U85</f>
        <v>136</v>
      </c>
      <c r="T94" s="214">
        <f>S94*$L$32</f>
        <v>20.400000000000002</v>
      </c>
      <c r="U94" s="298">
        <f>'Proy. ventas'!W85</f>
        <v>144</v>
      </c>
      <c r="V94" s="214">
        <f>U94*$L$32</f>
        <v>21.6</v>
      </c>
      <c r="W94" s="298">
        <f>'Proy. ventas'!Y85</f>
        <v>153</v>
      </c>
      <c r="X94" s="214">
        <f>W94*$L$32</f>
        <v>22.950000000000003</v>
      </c>
      <c r="Y94" s="298">
        <f>'Proy. ventas'!AA85</f>
        <v>162</v>
      </c>
      <c r="Z94" s="214">
        <f>Y94*$L$32</f>
        <v>24.300000000000004</v>
      </c>
      <c r="AA94" s="13"/>
      <c r="AB94" s="13"/>
      <c r="AC94" s="13"/>
    </row>
    <row r="95" spans="1:29" ht="15" customHeight="1">
      <c r="A95" s="302" t="str">
        <f>Hipótesis!B$62</f>
        <v>Abono Plan Vidriera</v>
      </c>
      <c r="B95" s="296">
        <f t="shared" si="7"/>
        <v>834.75</v>
      </c>
      <c r="C95" s="298">
        <f>'Proy. ventas'!E86</f>
        <v>186</v>
      </c>
      <c r="D95" s="214">
        <f>C95*$L$51</f>
        <v>46.5</v>
      </c>
      <c r="E95" s="298">
        <f>'Proy. ventas'!G86</f>
        <v>200</v>
      </c>
      <c r="F95" s="214">
        <f>E95*$L$51</f>
        <v>50</v>
      </c>
      <c r="G95" s="298">
        <f>'Proy. ventas'!I86</f>
        <v>216</v>
      </c>
      <c r="H95" s="214">
        <f>G95*$L$51</f>
        <v>54</v>
      </c>
      <c r="I95" s="298">
        <f>'Proy. ventas'!K86</f>
        <v>232</v>
      </c>
      <c r="J95" s="214">
        <f>I95*$L$51</f>
        <v>58</v>
      </c>
      <c r="K95" s="298">
        <f>'Proy. ventas'!M86</f>
        <v>249</v>
      </c>
      <c r="L95" s="214">
        <f>K95*$L$51</f>
        <v>62.25</v>
      </c>
      <c r="M95" s="298">
        <f>'Proy. ventas'!O86</f>
        <v>266</v>
      </c>
      <c r="N95" s="214">
        <f>M95*$L$51</f>
        <v>66.5</v>
      </c>
      <c r="O95" s="298">
        <f>'Proy. ventas'!Q86</f>
        <v>284</v>
      </c>
      <c r="P95" s="214">
        <f>O95*$L$51</f>
        <v>71</v>
      </c>
      <c r="Q95" s="298">
        <f>'Proy. ventas'!S86</f>
        <v>302</v>
      </c>
      <c r="R95" s="214">
        <f>Q95*$L$51</f>
        <v>75.5</v>
      </c>
      <c r="S95" s="298">
        <f>'Proy. ventas'!U86</f>
        <v>321</v>
      </c>
      <c r="T95" s="214">
        <f>S95*$L$51</f>
        <v>80.25</v>
      </c>
      <c r="U95" s="298">
        <f>'Proy. ventas'!W86</f>
        <v>340</v>
      </c>
      <c r="V95" s="214">
        <f>U95*$L$51</f>
        <v>85</v>
      </c>
      <c r="W95" s="298">
        <f>'Proy. ventas'!Y86</f>
        <v>361</v>
      </c>
      <c r="X95" s="214">
        <f>W95*$L$51</f>
        <v>90.25</v>
      </c>
      <c r="Y95" s="298">
        <f>'Proy. ventas'!AA86</f>
        <v>382</v>
      </c>
      <c r="Z95" s="214">
        <f>Y95*$L$51</f>
        <v>95.5</v>
      </c>
      <c r="AA95" s="13"/>
      <c r="AB95" s="13"/>
      <c r="AC95" s="13"/>
    </row>
    <row r="96" spans="1:29" ht="15" customHeight="1">
      <c r="A96" s="308" t="str">
        <f>Hipótesis!B$63</f>
        <v>Abono Plan Cadena</v>
      </c>
      <c r="B96" s="296">
        <f t="shared" si="7"/>
        <v>279.59999999999997</v>
      </c>
      <c r="C96" s="298">
        <f>'Proy. ventas'!E87</f>
        <v>27</v>
      </c>
      <c r="D96" s="214">
        <f>C96*$L$70</f>
        <v>16.2</v>
      </c>
      <c r="E96" s="298">
        <f>'Proy. ventas'!G87</f>
        <v>29</v>
      </c>
      <c r="F96" s="214">
        <f>E96*$L$70</f>
        <v>17.399999999999999</v>
      </c>
      <c r="G96" s="298">
        <f>'Proy. ventas'!I87</f>
        <v>31</v>
      </c>
      <c r="H96" s="214">
        <f>G96*$L$70</f>
        <v>18.599999999999998</v>
      </c>
      <c r="I96" s="298">
        <f>'Proy. ventas'!K87</f>
        <v>33</v>
      </c>
      <c r="J96" s="214">
        <f>I96*$L$70</f>
        <v>19.8</v>
      </c>
      <c r="K96" s="298">
        <f>'Proy. ventas'!M87</f>
        <v>35</v>
      </c>
      <c r="L96" s="214">
        <f>K96*$L$70</f>
        <v>21</v>
      </c>
      <c r="M96" s="298">
        <f>'Proy. ventas'!O87</f>
        <v>37</v>
      </c>
      <c r="N96" s="214">
        <f>M96*$L$70</f>
        <v>22.2</v>
      </c>
      <c r="O96" s="298">
        <f>'Proy. ventas'!Q87</f>
        <v>39</v>
      </c>
      <c r="P96" s="214">
        <f>O96*$L$70</f>
        <v>23.4</v>
      </c>
      <c r="Q96" s="298">
        <f>'Proy. ventas'!S87</f>
        <v>41</v>
      </c>
      <c r="R96" s="214">
        <f>Q96*$L$70</f>
        <v>24.599999999999998</v>
      </c>
      <c r="S96" s="298">
        <f>'Proy. ventas'!U87</f>
        <v>44</v>
      </c>
      <c r="T96" s="214">
        <f>S96*$L$70</f>
        <v>26.4</v>
      </c>
      <c r="U96" s="298">
        <f>'Proy. ventas'!W87</f>
        <v>47</v>
      </c>
      <c r="V96" s="214">
        <f>U96*$L$70</f>
        <v>28.2</v>
      </c>
      <c r="W96" s="298">
        <f>'Proy. ventas'!Y87</f>
        <v>50</v>
      </c>
      <c r="X96" s="214">
        <f>W96*$L$70</f>
        <v>30</v>
      </c>
      <c r="Y96" s="298">
        <f>'Proy. ventas'!AA87</f>
        <v>53</v>
      </c>
      <c r="Z96" s="214">
        <f>Y96*$L$70</f>
        <v>31.799999999999997</v>
      </c>
      <c r="AA96" s="13"/>
      <c r="AB96" s="13"/>
      <c r="AC96" s="13"/>
    </row>
    <row r="97" spans="1:29" ht="14.25" customHeight="1">
      <c r="A97" s="309" t="s">
        <v>233</v>
      </c>
      <c r="B97" s="305">
        <f t="shared" si="7"/>
        <v>2337.9499999999994</v>
      </c>
      <c r="C97" s="298">
        <f t="shared" ref="C97:Z97" si="8">SUM(C91:C96)</f>
        <v>315</v>
      </c>
      <c r="D97" s="306">
        <f t="shared" si="8"/>
        <v>143.69999999999999</v>
      </c>
      <c r="E97" s="298">
        <f t="shared" si="8"/>
        <v>337</v>
      </c>
      <c r="F97" s="306">
        <f t="shared" si="8"/>
        <v>149.30000000000001</v>
      </c>
      <c r="G97" s="298">
        <f t="shared" si="8"/>
        <v>365</v>
      </c>
      <c r="H97" s="306">
        <f t="shared" si="8"/>
        <v>162.04999999999998</v>
      </c>
      <c r="I97" s="298">
        <f t="shared" si="8"/>
        <v>390</v>
      </c>
      <c r="J97" s="306">
        <f t="shared" si="8"/>
        <v>168.3</v>
      </c>
      <c r="K97" s="298">
        <f t="shared" si="8"/>
        <v>417</v>
      </c>
      <c r="L97" s="306">
        <f t="shared" si="8"/>
        <v>177.8</v>
      </c>
      <c r="M97" s="298">
        <f t="shared" si="8"/>
        <v>443</v>
      </c>
      <c r="N97" s="306">
        <f t="shared" si="8"/>
        <v>184.29999999999998</v>
      </c>
      <c r="O97" s="298">
        <f t="shared" si="8"/>
        <v>471</v>
      </c>
      <c r="P97" s="306">
        <f t="shared" si="8"/>
        <v>194.05</v>
      </c>
      <c r="Q97" s="298">
        <f t="shared" si="8"/>
        <v>498</v>
      </c>
      <c r="R97" s="306">
        <f t="shared" si="8"/>
        <v>200.79999999999998</v>
      </c>
      <c r="S97" s="298">
        <f t="shared" si="8"/>
        <v>531</v>
      </c>
      <c r="T97" s="306">
        <f t="shared" si="8"/>
        <v>224.05</v>
      </c>
      <c r="U97" s="298">
        <f t="shared" si="8"/>
        <v>561</v>
      </c>
      <c r="V97" s="306">
        <f t="shared" si="8"/>
        <v>231.79999999999998</v>
      </c>
      <c r="W97" s="298">
        <f t="shared" si="8"/>
        <v>597</v>
      </c>
      <c r="X97" s="306">
        <f t="shared" si="8"/>
        <v>246.7</v>
      </c>
      <c r="Y97" s="298">
        <f t="shared" si="8"/>
        <v>630</v>
      </c>
      <c r="Z97" s="306">
        <f t="shared" si="8"/>
        <v>255.10000000000002</v>
      </c>
      <c r="AA97" s="307"/>
      <c r="AB97" s="307"/>
      <c r="AC97" s="307"/>
    </row>
    <row r="98" spans="1:29" ht="14.25" customHeight="1">
      <c r="A98" s="309" t="s">
        <v>234</v>
      </c>
      <c r="B98" s="305">
        <f t="shared" si="7"/>
        <v>3300</v>
      </c>
      <c r="C98" s="13"/>
      <c r="D98" s="306">
        <f>ROUNDUP(D97/$B$14,0)*$B$14</f>
        <v>150</v>
      </c>
      <c r="E98" s="13"/>
      <c r="F98" s="306">
        <f>ROUNDUP(F97/$B$14,0)*$B$14</f>
        <v>150</v>
      </c>
      <c r="G98" s="13"/>
      <c r="H98" s="306">
        <f>ROUNDUP(H97/$B$14,0)*$B$14</f>
        <v>300</v>
      </c>
      <c r="I98" s="13"/>
      <c r="J98" s="306">
        <f>ROUNDUP(J97/$B$14,0)*$B$14</f>
        <v>300</v>
      </c>
      <c r="K98" s="13"/>
      <c r="L98" s="306">
        <f>ROUNDUP(L97/$B$14,0)*$B$14</f>
        <v>300</v>
      </c>
      <c r="M98" s="13"/>
      <c r="N98" s="306">
        <f>ROUNDUP(N97/$B$14,0)*$B$14</f>
        <v>300</v>
      </c>
      <c r="O98" s="13"/>
      <c r="P98" s="306">
        <f>ROUNDUP(P97/$B$14,0)*$B$14</f>
        <v>300</v>
      </c>
      <c r="Q98" s="13"/>
      <c r="R98" s="306">
        <f>ROUNDUP(R97/$B$14,0)*$B$14</f>
        <v>300</v>
      </c>
      <c r="S98" s="13"/>
      <c r="T98" s="306">
        <f>ROUNDUP(T97/$B$14,0)*$B$14</f>
        <v>300</v>
      </c>
      <c r="U98" s="13"/>
      <c r="V98" s="306">
        <f>ROUNDUP(V97/$B$14,0)*$B$14</f>
        <v>300</v>
      </c>
      <c r="W98" s="13"/>
      <c r="X98" s="306">
        <f>ROUNDUP(X97/$B$14,0)*$B$14</f>
        <v>300</v>
      </c>
      <c r="Y98" s="13"/>
      <c r="Z98" s="306">
        <f>ROUNDUP(Z97/$B$14,0)*$B$14</f>
        <v>300</v>
      </c>
      <c r="AA98" s="13"/>
      <c r="AB98" s="13"/>
      <c r="AC98" s="13"/>
    </row>
    <row r="99" spans="1:29" ht="14.25" customHeight="1">
      <c r="A99" s="309" t="s">
        <v>235</v>
      </c>
      <c r="B99" s="305">
        <f>B98-B97</f>
        <v>962.05000000000064</v>
      </c>
      <c r="C99" s="13"/>
      <c r="D99" s="306">
        <f>D98-D97</f>
        <v>6.3000000000000114</v>
      </c>
      <c r="E99" s="13"/>
      <c r="F99" s="306">
        <f>F98-F97</f>
        <v>0.69999999999998863</v>
      </c>
      <c r="G99" s="13"/>
      <c r="H99" s="306">
        <f>H98-H97</f>
        <v>137.95000000000002</v>
      </c>
      <c r="I99" s="13"/>
      <c r="J99" s="306">
        <f>J98-J97</f>
        <v>131.69999999999999</v>
      </c>
      <c r="K99" s="13"/>
      <c r="L99" s="306">
        <f>L98-L97</f>
        <v>122.19999999999999</v>
      </c>
      <c r="M99" s="13"/>
      <c r="N99" s="306">
        <f>N98-N97</f>
        <v>115.70000000000002</v>
      </c>
      <c r="O99" s="13"/>
      <c r="P99" s="306">
        <f>P98-P97</f>
        <v>105.94999999999999</v>
      </c>
      <c r="Q99" s="13"/>
      <c r="R99" s="306">
        <f>R98-R97</f>
        <v>99.200000000000017</v>
      </c>
      <c r="S99" s="13"/>
      <c r="T99" s="306">
        <f>T98-T97</f>
        <v>75.949999999999989</v>
      </c>
      <c r="U99" s="13"/>
      <c r="V99" s="306">
        <f>V98-V97</f>
        <v>68.200000000000017</v>
      </c>
      <c r="W99" s="13"/>
      <c r="X99" s="306">
        <f>X98-X97</f>
        <v>53.300000000000011</v>
      </c>
      <c r="Y99" s="13"/>
      <c r="Z99" s="306">
        <f>Z98-Z97</f>
        <v>44.899999999999977</v>
      </c>
      <c r="AA99" s="13"/>
      <c r="AB99" s="13"/>
      <c r="AC99" s="13"/>
    </row>
    <row r="100" spans="1:29" ht="29.25" customHeight="1">
      <c r="A100" s="290" t="s">
        <v>237</v>
      </c>
      <c r="C100" s="291" t="s">
        <v>80</v>
      </c>
      <c r="E100" s="291" t="s">
        <v>81</v>
      </c>
      <c r="G100" s="291" t="s">
        <v>82</v>
      </c>
      <c r="I100" s="291" t="s">
        <v>83</v>
      </c>
      <c r="K100" s="291" t="s">
        <v>84</v>
      </c>
      <c r="M100" s="291" t="s">
        <v>85</v>
      </c>
      <c r="O100" s="291" t="s">
        <v>86</v>
      </c>
      <c r="Q100" s="291" t="s">
        <v>87</v>
      </c>
      <c r="S100" s="291" t="s">
        <v>88</v>
      </c>
      <c r="U100" s="291" t="s">
        <v>89</v>
      </c>
      <c r="W100" s="291" t="s">
        <v>90</v>
      </c>
      <c r="Y100" s="291" t="s">
        <v>91</v>
      </c>
      <c r="AA100" s="292"/>
      <c r="AB100" s="292"/>
      <c r="AC100" s="292"/>
    </row>
    <row r="101" spans="1:29" ht="63" customHeight="1">
      <c r="C101" s="293" t="s">
        <v>230</v>
      </c>
      <c r="D101" s="293" t="s">
        <v>231</v>
      </c>
      <c r="E101" s="293" t="s">
        <v>230</v>
      </c>
      <c r="F101" s="293" t="s">
        <v>232</v>
      </c>
      <c r="G101" s="293" t="s">
        <v>230</v>
      </c>
      <c r="H101" s="293" t="s">
        <v>231</v>
      </c>
      <c r="I101" s="293" t="s">
        <v>230</v>
      </c>
      <c r="J101" s="293" t="s">
        <v>232</v>
      </c>
      <c r="K101" s="293" t="s">
        <v>230</v>
      </c>
      <c r="L101" s="293" t="s">
        <v>231</v>
      </c>
      <c r="M101" s="293" t="s">
        <v>230</v>
      </c>
      <c r="N101" s="293" t="s">
        <v>231</v>
      </c>
      <c r="O101" s="293" t="s">
        <v>230</v>
      </c>
      <c r="P101" s="293" t="s">
        <v>231</v>
      </c>
      <c r="Q101" s="293" t="s">
        <v>230</v>
      </c>
      <c r="R101" s="293" t="s">
        <v>231</v>
      </c>
      <c r="S101" s="293" t="s">
        <v>230</v>
      </c>
      <c r="T101" s="293" t="s">
        <v>231</v>
      </c>
      <c r="U101" s="293" t="s">
        <v>230</v>
      </c>
      <c r="V101" s="293" t="s">
        <v>231</v>
      </c>
      <c r="W101" s="293" t="s">
        <v>230</v>
      </c>
      <c r="X101" s="293" t="s">
        <v>231</v>
      </c>
      <c r="Y101" s="293" t="s">
        <v>230</v>
      </c>
      <c r="Z101" s="293" t="s">
        <v>231</v>
      </c>
      <c r="AA101" s="294"/>
      <c r="AB101" s="294"/>
      <c r="AC101" s="294"/>
    </row>
    <row r="102" spans="1:29" ht="15" customHeight="1">
      <c r="A102" s="295" t="str">
        <f>Hipótesis!B$58</f>
        <v>Alta e instalación Plan Básico</v>
      </c>
      <c r="B102" s="296">
        <f t="shared" ref="B102:B109" si="9">D102+F102+H102+J102+L102+N102+P102+R102+T102+V102+X102+Z102</f>
        <v>59</v>
      </c>
      <c r="C102" s="298">
        <f>'Proy. ventas'!E144</f>
        <v>8</v>
      </c>
      <c r="D102" s="214">
        <f>C102*$E$32</f>
        <v>4</v>
      </c>
      <c r="E102" s="298">
        <f>'Proy. ventas'!G144</f>
        <v>8</v>
      </c>
      <c r="F102" s="214">
        <f>E102*$E$32</f>
        <v>4</v>
      </c>
      <c r="G102" s="298">
        <f>'Proy. ventas'!I144</f>
        <v>9</v>
      </c>
      <c r="H102" s="214">
        <f>G102*$E$32</f>
        <v>4.5</v>
      </c>
      <c r="I102" s="298">
        <f>'Proy. ventas'!K144</f>
        <v>9</v>
      </c>
      <c r="J102" s="214">
        <f>I102*$E$32</f>
        <v>4.5</v>
      </c>
      <c r="K102" s="298">
        <f>'Proy. ventas'!M144</f>
        <v>9</v>
      </c>
      <c r="L102" s="214">
        <f>K102*$E$32</f>
        <v>4.5</v>
      </c>
      <c r="M102" s="298">
        <f>'Proy. ventas'!O144</f>
        <v>9</v>
      </c>
      <c r="N102" s="214">
        <f>M102*$E$32</f>
        <v>4.5</v>
      </c>
      <c r="O102" s="298">
        <f>'Proy. ventas'!Q144</f>
        <v>10</v>
      </c>
      <c r="P102" s="214">
        <f>O102*$E$32</f>
        <v>5</v>
      </c>
      <c r="Q102" s="298">
        <f>'Proy. ventas'!S144</f>
        <v>10</v>
      </c>
      <c r="R102" s="214">
        <f>Q102*$E$32</f>
        <v>5</v>
      </c>
      <c r="S102" s="298">
        <f>'Proy. ventas'!U144</f>
        <v>11</v>
      </c>
      <c r="T102" s="214">
        <f>S102*$E$32</f>
        <v>5.5</v>
      </c>
      <c r="U102" s="298">
        <f>'Proy. ventas'!W144</f>
        <v>11</v>
      </c>
      <c r="V102" s="214">
        <f>U102*$E$32</f>
        <v>5.5</v>
      </c>
      <c r="W102" s="298">
        <f>'Proy. ventas'!Y144</f>
        <v>12</v>
      </c>
      <c r="X102" s="214">
        <f>W102*$E$32</f>
        <v>6</v>
      </c>
      <c r="Y102" s="298">
        <f>'Proy. ventas'!AA144</f>
        <v>12</v>
      </c>
      <c r="Z102" s="214">
        <f>Y102*$E$32</f>
        <v>6</v>
      </c>
      <c r="AA102" s="13"/>
      <c r="AB102" s="13"/>
      <c r="AC102" s="13"/>
    </row>
    <row r="103" spans="1:29" ht="15" customHeight="1">
      <c r="A103" s="299" t="str">
        <f>Hipótesis!B$59</f>
        <v>Alta e instalación Plan Vidriera</v>
      </c>
      <c r="B103" s="296">
        <f t="shared" si="9"/>
        <v>834</v>
      </c>
      <c r="C103" s="298">
        <f>'Proy. ventas'!E145</f>
        <v>19</v>
      </c>
      <c r="D103" s="214">
        <f>C103*$E$51</f>
        <v>57</v>
      </c>
      <c r="E103" s="298">
        <f>'Proy. ventas'!G145</f>
        <v>19</v>
      </c>
      <c r="F103" s="214">
        <f>E103*$E$51</f>
        <v>57</v>
      </c>
      <c r="G103" s="298">
        <f>'Proy. ventas'!I145</f>
        <v>21</v>
      </c>
      <c r="H103" s="214">
        <f>G103*$E$51</f>
        <v>63</v>
      </c>
      <c r="I103" s="298">
        <f>'Proy. ventas'!K145</f>
        <v>21</v>
      </c>
      <c r="J103" s="214">
        <f>I103*$E$51</f>
        <v>63</v>
      </c>
      <c r="K103" s="298">
        <f>'Proy. ventas'!M145</f>
        <v>22</v>
      </c>
      <c r="L103" s="214">
        <f>K103*$E$51</f>
        <v>66</v>
      </c>
      <c r="M103" s="298">
        <f>'Proy. ventas'!O145</f>
        <v>22</v>
      </c>
      <c r="N103" s="214">
        <f>M103*$E$51</f>
        <v>66</v>
      </c>
      <c r="O103" s="298">
        <f>'Proy. ventas'!Q145</f>
        <v>24</v>
      </c>
      <c r="P103" s="214">
        <f>O103*$E$51</f>
        <v>72</v>
      </c>
      <c r="Q103" s="298">
        <f>'Proy. ventas'!S145</f>
        <v>24</v>
      </c>
      <c r="R103" s="214">
        <f>Q103*$E$51</f>
        <v>72</v>
      </c>
      <c r="S103" s="298">
        <f>'Proy. ventas'!U145</f>
        <v>25</v>
      </c>
      <c r="T103" s="214">
        <f>S103*$E$51</f>
        <v>75</v>
      </c>
      <c r="U103" s="298">
        <f>'Proy. ventas'!W145</f>
        <v>25</v>
      </c>
      <c r="V103" s="214">
        <f>U103*$E$51</f>
        <v>75</v>
      </c>
      <c r="W103" s="298">
        <f>'Proy. ventas'!Y145</f>
        <v>28</v>
      </c>
      <c r="X103" s="214">
        <f>W103*$E$51</f>
        <v>84</v>
      </c>
      <c r="Y103" s="298">
        <f>'Proy. ventas'!AA145</f>
        <v>28</v>
      </c>
      <c r="Z103" s="214">
        <f>Y103*$E$51</f>
        <v>84</v>
      </c>
      <c r="AA103" s="13"/>
      <c r="AB103" s="13"/>
      <c r="AC103" s="13"/>
    </row>
    <row r="104" spans="1:29" ht="15.75" customHeight="1">
      <c r="A104" s="300" t="str">
        <f>Hipótesis!B$60</f>
        <v>Alta e instalación Plan Cadena</v>
      </c>
      <c r="B104" s="296">
        <f t="shared" si="9"/>
        <v>480</v>
      </c>
      <c r="C104" s="298">
        <f>'Proy. ventas'!E146</f>
        <v>3</v>
      </c>
      <c r="D104" s="214">
        <f>C104*$E$70</f>
        <v>36</v>
      </c>
      <c r="E104" s="298">
        <f>'Proy. ventas'!G146</f>
        <v>3</v>
      </c>
      <c r="F104" s="214">
        <f>E104*$E$70</f>
        <v>36</v>
      </c>
      <c r="G104" s="298">
        <f>'Proy. ventas'!I146</f>
        <v>3</v>
      </c>
      <c r="H104" s="214">
        <f>G104*$E$70</f>
        <v>36</v>
      </c>
      <c r="I104" s="298">
        <f>'Proy. ventas'!K146</f>
        <v>3</v>
      </c>
      <c r="J104" s="214">
        <f>I104*$E$70</f>
        <v>36</v>
      </c>
      <c r="K104" s="298">
        <f>'Proy. ventas'!M146</f>
        <v>3</v>
      </c>
      <c r="L104" s="214">
        <f>K104*$E$70</f>
        <v>36</v>
      </c>
      <c r="M104" s="298">
        <f>'Proy. ventas'!O146</f>
        <v>3</v>
      </c>
      <c r="N104" s="214">
        <f>M104*$E$70</f>
        <v>36</v>
      </c>
      <c r="O104" s="298">
        <f>'Proy. ventas'!Q146</f>
        <v>3</v>
      </c>
      <c r="P104" s="214">
        <f>O104*$E$70</f>
        <v>36</v>
      </c>
      <c r="Q104" s="298">
        <f>'Proy. ventas'!S146</f>
        <v>3</v>
      </c>
      <c r="R104" s="214">
        <f>Q104*$E$70</f>
        <v>36</v>
      </c>
      <c r="S104" s="298">
        <f>'Proy. ventas'!U146</f>
        <v>4</v>
      </c>
      <c r="T104" s="214">
        <f>S104*$E$70</f>
        <v>48</v>
      </c>
      <c r="U104" s="298">
        <f>'Proy. ventas'!W146</f>
        <v>4</v>
      </c>
      <c r="V104" s="214">
        <f>U104*$E$70</f>
        <v>48</v>
      </c>
      <c r="W104" s="298">
        <f>'Proy. ventas'!Y146</f>
        <v>4</v>
      </c>
      <c r="X104" s="214">
        <f>W104*$E$70</f>
        <v>48</v>
      </c>
      <c r="Y104" s="298">
        <f>'Proy. ventas'!AA146</f>
        <v>4</v>
      </c>
      <c r="Z104" s="214">
        <f>Y104*$E$70</f>
        <v>48</v>
      </c>
      <c r="AA104" s="13"/>
      <c r="AB104" s="13"/>
      <c r="AC104" s="13"/>
    </row>
    <row r="105" spans="1:29" ht="15" customHeight="1">
      <c r="A105" s="301" t="str">
        <f>Hipótesis!B$61</f>
        <v>Abono Plan Básico</v>
      </c>
      <c r="B105" s="296">
        <f t="shared" si="9"/>
        <v>398.55</v>
      </c>
      <c r="C105" s="298">
        <f>'Proy. ventas'!E147</f>
        <v>170</v>
      </c>
      <c r="D105" s="214">
        <f>C105*$L$32</f>
        <v>25.500000000000004</v>
      </c>
      <c r="E105" s="298">
        <f>'Proy. ventas'!G147</f>
        <v>178</v>
      </c>
      <c r="F105" s="214">
        <f>E105*$L$32</f>
        <v>26.700000000000003</v>
      </c>
      <c r="G105" s="298">
        <f>'Proy. ventas'!I147</f>
        <v>187</v>
      </c>
      <c r="H105" s="214">
        <f>G105*$L$32</f>
        <v>28.050000000000004</v>
      </c>
      <c r="I105" s="298">
        <f>'Proy. ventas'!K147</f>
        <v>196</v>
      </c>
      <c r="J105" s="214">
        <f>I105*$L$32</f>
        <v>29.400000000000006</v>
      </c>
      <c r="K105" s="298">
        <f>'Proy. ventas'!M147</f>
        <v>205</v>
      </c>
      <c r="L105" s="214">
        <f>K105*$L$32</f>
        <v>30.750000000000004</v>
      </c>
      <c r="M105" s="298">
        <f>'Proy. ventas'!O147</f>
        <v>214</v>
      </c>
      <c r="N105" s="214">
        <f>M105*$L$32</f>
        <v>32.1</v>
      </c>
      <c r="O105" s="298">
        <f>'Proy. ventas'!Q147</f>
        <v>224</v>
      </c>
      <c r="P105" s="214">
        <f>O105*$L$32</f>
        <v>33.600000000000009</v>
      </c>
      <c r="Q105" s="298">
        <f>'Proy. ventas'!S147</f>
        <v>234</v>
      </c>
      <c r="R105" s="214">
        <f>Q105*$L$32</f>
        <v>35.100000000000009</v>
      </c>
      <c r="S105" s="298">
        <f>'Proy. ventas'!U147</f>
        <v>245</v>
      </c>
      <c r="T105" s="214">
        <f>S105*$L$32</f>
        <v>36.750000000000007</v>
      </c>
      <c r="U105" s="298">
        <f>'Proy. ventas'!W147</f>
        <v>256</v>
      </c>
      <c r="V105" s="214">
        <f>U105*$L$32</f>
        <v>38.400000000000006</v>
      </c>
      <c r="W105" s="298">
        <f>'Proy. ventas'!Y147</f>
        <v>268</v>
      </c>
      <c r="X105" s="214">
        <f>W105*$L$32</f>
        <v>40.200000000000003</v>
      </c>
      <c r="Y105" s="298">
        <f>'Proy. ventas'!AA147</f>
        <v>280</v>
      </c>
      <c r="Z105" s="214">
        <f>Y105*$L$32</f>
        <v>42.000000000000007</v>
      </c>
      <c r="AA105" s="13"/>
      <c r="AB105" s="13"/>
      <c r="AC105" s="13"/>
    </row>
    <row r="106" spans="1:29" ht="15" customHeight="1">
      <c r="A106" s="302" t="str">
        <f>Hipótesis!B$62</f>
        <v>Abono Plan Vidriera</v>
      </c>
      <c r="B106" s="296">
        <f t="shared" si="9"/>
        <v>1568.25</v>
      </c>
      <c r="C106" s="298">
        <f>'Proy. ventas'!E148</f>
        <v>401</v>
      </c>
      <c r="D106" s="214">
        <f>C106*$L$51</f>
        <v>100.25</v>
      </c>
      <c r="E106" s="298">
        <f>'Proy. ventas'!G148</f>
        <v>420</v>
      </c>
      <c r="F106" s="214">
        <f>E106*$L$51</f>
        <v>105</v>
      </c>
      <c r="G106" s="298">
        <f>'Proy. ventas'!I148</f>
        <v>441</v>
      </c>
      <c r="H106" s="214">
        <f>G106*$L$51</f>
        <v>110.25</v>
      </c>
      <c r="I106" s="298">
        <f>'Proy. ventas'!K148</f>
        <v>462</v>
      </c>
      <c r="J106" s="214">
        <f>I106*$L$51</f>
        <v>115.5</v>
      </c>
      <c r="K106" s="298">
        <f>'Proy. ventas'!M148</f>
        <v>484</v>
      </c>
      <c r="L106" s="214">
        <f>K106*$L$51</f>
        <v>121</v>
      </c>
      <c r="M106" s="298">
        <f>'Proy. ventas'!O148</f>
        <v>506</v>
      </c>
      <c r="N106" s="214">
        <f>M106*$L$51</f>
        <v>126.5</v>
      </c>
      <c r="O106" s="298">
        <f>'Proy. ventas'!Q148</f>
        <v>530</v>
      </c>
      <c r="P106" s="214">
        <f>O106*$L$51</f>
        <v>132.5</v>
      </c>
      <c r="Q106" s="298">
        <f>'Proy. ventas'!S148</f>
        <v>554</v>
      </c>
      <c r="R106" s="214">
        <f>Q106*$L$51</f>
        <v>138.5</v>
      </c>
      <c r="S106" s="298">
        <f>'Proy. ventas'!U148</f>
        <v>579</v>
      </c>
      <c r="T106" s="214">
        <f>S106*$L$51</f>
        <v>144.75</v>
      </c>
      <c r="U106" s="298">
        <f>'Proy. ventas'!W148</f>
        <v>604</v>
      </c>
      <c r="V106" s="214">
        <f>U106*$L$51</f>
        <v>151</v>
      </c>
      <c r="W106" s="298">
        <f>'Proy. ventas'!Y148</f>
        <v>632</v>
      </c>
      <c r="X106" s="214">
        <f>W106*$L$51</f>
        <v>158</v>
      </c>
      <c r="Y106" s="298">
        <f>'Proy. ventas'!AA148</f>
        <v>660</v>
      </c>
      <c r="Z106" s="214">
        <f>Y106*$L$51</f>
        <v>165</v>
      </c>
      <c r="AA106" s="13"/>
      <c r="AB106" s="13"/>
      <c r="AC106" s="13"/>
    </row>
    <row r="107" spans="1:29" ht="15" customHeight="1">
      <c r="A107" s="308" t="str">
        <f>Hipótesis!B$63</f>
        <v>Abono Plan Cadena</v>
      </c>
      <c r="B107" s="296">
        <f t="shared" si="9"/>
        <v>528</v>
      </c>
      <c r="C107" s="298">
        <f>'Proy. ventas'!E149</f>
        <v>56</v>
      </c>
      <c r="D107" s="214">
        <f>C107*$L$70</f>
        <v>33.6</v>
      </c>
      <c r="E107" s="298">
        <f>'Proy. ventas'!G149</f>
        <v>59</v>
      </c>
      <c r="F107" s="214">
        <f>E107*$L$70</f>
        <v>35.4</v>
      </c>
      <c r="G107" s="298">
        <f>'Proy. ventas'!I149</f>
        <v>62</v>
      </c>
      <c r="H107" s="214">
        <f>G107*$L$70</f>
        <v>37.199999999999996</v>
      </c>
      <c r="I107" s="298">
        <f>'Proy. ventas'!K149</f>
        <v>65</v>
      </c>
      <c r="J107" s="214">
        <f>I107*$L$70</f>
        <v>39</v>
      </c>
      <c r="K107" s="298">
        <f>'Proy. ventas'!M149</f>
        <v>68</v>
      </c>
      <c r="L107" s="214">
        <f>K107*$L$70</f>
        <v>40.799999999999997</v>
      </c>
      <c r="M107" s="298">
        <f>'Proy. ventas'!O149</f>
        <v>71</v>
      </c>
      <c r="N107" s="214">
        <f>M107*$L$70</f>
        <v>42.6</v>
      </c>
      <c r="O107" s="298">
        <f>'Proy. ventas'!Q149</f>
        <v>74</v>
      </c>
      <c r="P107" s="214">
        <f>O107*$L$70</f>
        <v>44.4</v>
      </c>
      <c r="Q107" s="298">
        <f>'Proy. ventas'!S149</f>
        <v>77</v>
      </c>
      <c r="R107" s="214">
        <f>Q107*$L$70</f>
        <v>46.199999999999996</v>
      </c>
      <c r="S107" s="298">
        <f>'Proy. ventas'!U149</f>
        <v>81</v>
      </c>
      <c r="T107" s="214">
        <f>S107*$L$70</f>
        <v>48.6</v>
      </c>
      <c r="U107" s="298">
        <f>'Proy. ventas'!W149</f>
        <v>85</v>
      </c>
      <c r="V107" s="214">
        <f>U107*$L$70</f>
        <v>51</v>
      </c>
      <c r="W107" s="298">
        <f>'Proy. ventas'!Y149</f>
        <v>89</v>
      </c>
      <c r="X107" s="214">
        <f>W107*$L$70</f>
        <v>53.4</v>
      </c>
      <c r="Y107" s="298">
        <f>'Proy. ventas'!AA149</f>
        <v>93</v>
      </c>
      <c r="Z107" s="214">
        <f>Y107*$L$70</f>
        <v>55.8</v>
      </c>
      <c r="AA107" s="13"/>
      <c r="AB107" s="13"/>
      <c r="AC107" s="13"/>
    </row>
    <row r="108" spans="1:29" ht="14.25" customHeight="1">
      <c r="A108" s="309" t="s">
        <v>233</v>
      </c>
      <c r="B108" s="305">
        <f t="shared" si="9"/>
        <v>3867.8</v>
      </c>
      <c r="C108" s="298">
        <f t="shared" ref="C108:Z108" si="10">SUM(C102:C107)</f>
        <v>657</v>
      </c>
      <c r="D108" s="306">
        <f t="shared" si="10"/>
        <v>256.35000000000002</v>
      </c>
      <c r="E108" s="298">
        <f t="shared" si="10"/>
        <v>687</v>
      </c>
      <c r="F108" s="306">
        <f t="shared" si="10"/>
        <v>264.09999999999997</v>
      </c>
      <c r="G108" s="298">
        <f t="shared" si="10"/>
        <v>723</v>
      </c>
      <c r="H108" s="306">
        <f t="shared" si="10"/>
        <v>279</v>
      </c>
      <c r="I108" s="298">
        <f t="shared" si="10"/>
        <v>756</v>
      </c>
      <c r="J108" s="306">
        <f t="shared" si="10"/>
        <v>287.39999999999998</v>
      </c>
      <c r="K108" s="298">
        <f t="shared" si="10"/>
        <v>791</v>
      </c>
      <c r="L108" s="306">
        <f t="shared" si="10"/>
        <v>299.05</v>
      </c>
      <c r="M108" s="298">
        <f t="shared" si="10"/>
        <v>825</v>
      </c>
      <c r="N108" s="306">
        <f t="shared" si="10"/>
        <v>307.70000000000005</v>
      </c>
      <c r="O108" s="298">
        <f t="shared" si="10"/>
        <v>865</v>
      </c>
      <c r="P108" s="306">
        <f t="shared" si="10"/>
        <v>323.5</v>
      </c>
      <c r="Q108" s="298">
        <f t="shared" si="10"/>
        <v>902</v>
      </c>
      <c r="R108" s="306">
        <f t="shared" si="10"/>
        <v>332.8</v>
      </c>
      <c r="S108" s="298">
        <f t="shared" si="10"/>
        <v>945</v>
      </c>
      <c r="T108" s="306">
        <f t="shared" si="10"/>
        <v>358.6</v>
      </c>
      <c r="U108" s="298">
        <f t="shared" si="10"/>
        <v>985</v>
      </c>
      <c r="V108" s="306">
        <f t="shared" si="10"/>
        <v>368.9</v>
      </c>
      <c r="W108" s="298">
        <f t="shared" si="10"/>
        <v>1033</v>
      </c>
      <c r="X108" s="306">
        <f t="shared" si="10"/>
        <v>389.59999999999997</v>
      </c>
      <c r="Y108" s="298">
        <f t="shared" si="10"/>
        <v>1077</v>
      </c>
      <c r="Z108" s="306">
        <f t="shared" si="10"/>
        <v>400.8</v>
      </c>
      <c r="AA108" s="307"/>
      <c r="AB108" s="307"/>
      <c r="AC108" s="307"/>
    </row>
    <row r="109" spans="1:29" ht="15" customHeight="1">
      <c r="A109" s="309" t="s">
        <v>234</v>
      </c>
      <c r="B109" s="305">
        <f t="shared" si="9"/>
        <v>4650</v>
      </c>
      <c r="C109" s="13"/>
      <c r="D109" s="306">
        <f>ROUNDUP(D108/$B$14,0)*$B$14</f>
        <v>300</v>
      </c>
      <c r="E109" s="13"/>
      <c r="F109" s="306">
        <f>ROUNDUP(F108/$B$14,0)*$B$14</f>
        <v>300</v>
      </c>
      <c r="G109" s="13"/>
      <c r="H109" s="306">
        <f>ROUNDUP(H108/$B$14,0)*$B$14</f>
        <v>300</v>
      </c>
      <c r="I109" s="13"/>
      <c r="J109" s="306">
        <f>ROUNDUP(J108/$B$14,0)*$B$14</f>
        <v>300</v>
      </c>
      <c r="K109" s="13"/>
      <c r="L109" s="306">
        <f>ROUNDUP(L108/$B$14,0)*$B$14</f>
        <v>300</v>
      </c>
      <c r="M109" s="13"/>
      <c r="N109" s="306">
        <f>ROUNDUP(N108/$B$14,0)*$B$14</f>
        <v>450</v>
      </c>
      <c r="O109" s="13"/>
      <c r="P109" s="306">
        <f>ROUNDUP(P108/$B$14,0)*$B$14</f>
        <v>450</v>
      </c>
      <c r="Q109" s="13"/>
      <c r="R109" s="306">
        <f>ROUNDUP(R108/$B$14,0)*$B$14</f>
        <v>450</v>
      </c>
      <c r="S109" s="13"/>
      <c r="T109" s="306">
        <f>ROUNDUP(T108/$B$14,0)*$B$14</f>
        <v>450</v>
      </c>
      <c r="U109" s="13"/>
      <c r="V109" s="306">
        <f>ROUNDUP(V108/$B$14,0)*$B$14</f>
        <v>450</v>
      </c>
      <c r="W109" s="13"/>
      <c r="X109" s="306">
        <f>ROUNDUP(X108/$B$14,0)*$B$14</f>
        <v>450</v>
      </c>
      <c r="Y109" s="13"/>
      <c r="Z109" s="306">
        <f>ROUNDUP(Z108/$B$14,0)*$B$14</f>
        <v>450</v>
      </c>
      <c r="AA109" s="13"/>
      <c r="AB109" s="13"/>
      <c r="AC109" s="13"/>
    </row>
    <row r="110" spans="1:29" ht="15" customHeight="1">
      <c r="A110" s="309" t="s">
        <v>235</v>
      </c>
      <c r="B110" s="305">
        <f>B109-B108</f>
        <v>782.19999999999982</v>
      </c>
      <c r="D110" s="306">
        <f>D109-D108</f>
        <v>43.649999999999977</v>
      </c>
      <c r="F110" s="306">
        <f>F109-F108</f>
        <v>35.900000000000034</v>
      </c>
      <c r="H110" s="306">
        <f>H109-H108</f>
        <v>21</v>
      </c>
      <c r="I110" s="13"/>
      <c r="J110" s="306">
        <f>J109-J108</f>
        <v>12.600000000000023</v>
      </c>
      <c r="K110" s="13"/>
      <c r="L110" s="306">
        <f>L109-L108</f>
        <v>0.94999999999998863</v>
      </c>
      <c r="M110" s="13"/>
      <c r="N110" s="306">
        <f>N109-N108</f>
        <v>142.29999999999995</v>
      </c>
      <c r="O110" s="13"/>
      <c r="P110" s="306">
        <f>P109-P108</f>
        <v>126.5</v>
      </c>
      <c r="Q110" s="13"/>
      <c r="R110" s="306">
        <f>R109-R108</f>
        <v>117.19999999999999</v>
      </c>
      <c r="S110" s="13"/>
      <c r="T110" s="306">
        <f>T109-T108</f>
        <v>91.399999999999977</v>
      </c>
      <c r="U110" s="13"/>
      <c r="V110" s="306">
        <f>V109-V108</f>
        <v>81.100000000000023</v>
      </c>
      <c r="W110" s="13"/>
      <c r="X110" s="306">
        <f>X109-X108</f>
        <v>60.400000000000034</v>
      </c>
      <c r="Y110" s="13"/>
      <c r="Z110" s="306">
        <f>Z109-Z108</f>
        <v>49.199999999999989</v>
      </c>
      <c r="AA110" s="13"/>
      <c r="AB110" s="13"/>
      <c r="AC110" s="13"/>
    </row>
    <row r="111" spans="1:29" ht="15" customHeight="1">
      <c r="A111" s="310"/>
      <c r="I111" s="13"/>
      <c r="J111" s="13"/>
      <c r="K111" s="13"/>
      <c r="L111" s="13"/>
      <c r="M111" s="13"/>
      <c r="N111" s="13"/>
      <c r="O111" s="13"/>
      <c r="P111" s="13"/>
      <c r="Q111" s="13"/>
      <c r="R111" s="13"/>
      <c r="S111" s="13"/>
      <c r="T111" s="13"/>
      <c r="U111" s="13"/>
      <c r="V111" s="13"/>
      <c r="W111" s="13"/>
      <c r="X111" s="13"/>
      <c r="Y111" s="13"/>
      <c r="Z111" s="13"/>
      <c r="AA111" s="13"/>
      <c r="AB111" s="13"/>
      <c r="AC111" s="13"/>
    </row>
    <row r="112" spans="1:29" ht="25.5" customHeight="1">
      <c r="A112" s="311" t="s">
        <v>238</v>
      </c>
      <c r="I112" s="13"/>
      <c r="J112" s="13"/>
      <c r="K112" s="13"/>
      <c r="L112" s="13"/>
      <c r="M112" s="13"/>
      <c r="N112" s="13"/>
      <c r="O112" s="13"/>
      <c r="P112" s="13"/>
      <c r="Q112" s="13"/>
      <c r="R112" s="13"/>
      <c r="S112" s="13"/>
      <c r="T112" s="13"/>
      <c r="U112" s="13"/>
      <c r="V112" s="13"/>
      <c r="W112" s="13"/>
      <c r="X112" s="13"/>
      <c r="Y112" s="13"/>
      <c r="Z112" s="13"/>
      <c r="AA112" s="13"/>
      <c r="AB112" s="13"/>
      <c r="AC112" s="13"/>
    </row>
    <row r="113" spans="1:29" ht="14.25" customHeight="1">
      <c r="A113" s="310" t="s">
        <v>239</v>
      </c>
      <c r="I113" s="13"/>
      <c r="J113" s="13"/>
      <c r="K113" s="13"/>
      <c r="L113" s="13"/>
      <c r="M113" s="13"/>
      <c r="N113" s="13"/>
      <c r="O113" s="13"/>
      <c r="P113" s="13"/>
      <c r="Q113" s="13"/>
      <c r="R113" s="13"/>
      <c r="S113" s="13"/>
      <c r="T113" s="13"/>
      <c r="U113" s="13"/>
      <c r="V113" s="13"/>
      <c r="W113" s="13"/>
      <c r="X113" s="13"/>
      <c r="Y113" s="13"/>
      <c r="Z113" s="13"/>
      <c r="AA113" s="13"/>
      <c r="AB113" s="13"/>
      <c r="AC113" s="13"/>
    </row>
    <row r="114" spans="1:29" ht="14.25" customHeight="1">
      <c r="I114" s="13"/>
      <c r="J114" s="13"/>
      <c r="K114" s="13"/>
      <c r="L114" s="13"/>
      <c r="M114" s="13"/>
      <c r="N114" s="13"/>
      <c r="O114" s="13"/>
      <c r="P114" s="13"/>
      <c r="Q114" s="13"/>
      <c r="R114" s="13"/>
      <c r="S114" s="13"/>
      <c r="T114" s="13"/>
      <c r="U114" s="13"/>
      <c r="V114" s="13"/>
      <c r="W114" s="13"/>
      <c r="X114" s="13"/>
      <c r="Y114" s="13"/>
      <c r="Z114" s="13"/>
      <c r="AA114" s="13"/>
      <c r="AB114" s="13"/>
      <c r="AC114" s="13"/>
    </row>
    <row r="115" spans="1:29" ht="14.25" customHeight="1">
      <c r="I115" s="13"/>
      <c r="J115" s="13"/>
      <c r="K115" s="13"/>
      <c r="L115" s="13"/>
      <c r="M115" s="13"/>
      <c r="N115" s="13"/>
      <c r="O115" s="13"/>
      <c r="P115" s="13"/>
      <c r="Q115" s="13"/>
      <c r="R115" s="13"/>
      <c r="S115" s="13"/>
      <c r="T115" s="13"/>
      <c r="U115" s="13"/>
      <c r="V115" s="13"/>
      <c r="W115" s="13"/>
      <c r="X115" s="13"/>
      <c r="Y115" s="13"/>
      <c r="Z115" s="13"/>
      <c r="AA115" s="13"/>
      <c r="AB115" s="13"/>
      <c r="AC115" s="13"/>
    </row>
    <row r="116" spans="1:29" ht="14.25" customHeight="1">
      <c r="I116" s="13"/>
      <c r="J116" s="13"/>
      <c r="K116" s="13"/>
      <c r="L116" s="13"/>
      <c r="M116" s="13"/>
      <c r="N116" s="13"/>
      <c r="O116" s="13"/>
      <c r="P116" s="13"/>
      <c r="Q116" s="13"/>
      <c r="R116" s="13"/>
      <c r="S116" s="13"/>
      <c r="T116" s="13"/>
      <c r="U116" s="13"/>
      <c r="V116" s="13"/>
      <c r="W116" s="13"/>
      <c r="X116" s="13"/>
      <c r="Y116" s="13"/>
      <c r="Z116" s="13"/>
      <c r="AA116" s="13"/>
      <c r="AB116" s="13"/>
      <c r="AC116" s="13"/>
    </row>
    <row r="117" spans="1:29" ht="14.25" customHeight="1">
      <c r="A117" s="13"/>
      <c r="B117" s="209"/>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ht="14.25" customHeight="1">
      <c r="A118" s="13"/>
      <c r="B118" s="209"/>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ht="14.25" customHeight="1">
      <c r="A119" s="13"/>
      <c r="B119" s="209"/>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ht="14.25" customHeight="1">
      <c r="A120" s="13"/>
      <c r="B120" s="209"/>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ht="14.25" customHeight="1">
      <c r="A121" s="13"/>
      <c r="B121" s="209"/>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ht="14.25" customHeight="1">
      <c r="A122" s="13"/>
      <c r="B122" s="209"/>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ht="14.25" customHeight="1">
      <c r="A123" s="13"/>
      <c r="B123" s="209"/>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ht="14.25" customHeight="1">
      <c r="A124" s="13"/>
      <c r="B124" s="209"/>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ht="14.25" customHeight="1">
      <c r="A125" s="13"/>
      <c r="B125" s="209"/>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ht="14.25" customHeight="1">
      <c r="A126" s="13"/>
      <c r="B126" s="209"/>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ht="14.25" customHeight="1">
      <c r="A127" s="13"/>
      <c r="B127" s="209"/>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ht="14.25" customHeight="1">
      <c r="B128" s="13"/>
      <c r="C128" s="209"/>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ht="14.25" customHeight="1">
      <c r="A129" s="13"/>
      <c r="B129" s="13"/>
      <c r="C129" s="209"/>
      <c r="D129" s="78"/>
      <c r="E129" s="78"/>
      <c r="F129" s="78"/>
      <c r="G129" s="78"/>
      <c r="H129" s="78"/>
      <c r="I129" s="78"/>
      <c r="J129" s="78"/>
      <c r="K129" s="13"/>
      <c r="L129" s="13"/>
      <c r="M129" s="13"/>
      <c r="N129" s="13"/>
      <c r="O129" s="13"/>
      <c r="P129" s="13"/>
      <c r="Q129" s="13"/>
      <c r="R129" s="13"/>
      <c r="S129" s="13"/>
      <c r="T129" s="13"/>
      <c r="U129" s="13"/>
      <c r="V129" s="13"/>
      <c r="W129" s="13"/>
      <c r="X129" s="13"/>
      <c r="Y129" s="13"/>
      <c r="Z129" s="13"/>
      <c r="AA129" s="13"/>
      <c r="AB129" s="13"/>
      <c r="AC129" s="13"/>
    </row>
    <row r="130" spans="1:29" ht="14.25" customHeight="1">
      <c r="A130" s="13"/>
      <c r="B130" s="209"/>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ht="14.25" customHeight="1">
      <c r="A131" s="13"/>
      <c r="B131" s="209"/>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ht="14.25" customHeight="1">
      <c r="A132" s="13"/>
      <c r="B132" s="209"/>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ht="14.25" customHeight="1">
      <c r="A133" s="13"/>
      <c r="B133" s="209"/>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ht="14.25" customHeight="1">
      <c r="A134" s="13"/>
      <c r="B134" s="209"/>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ht="14.25" customHeight="1">
      <c r="A135" s="13"/>
      <c r="B135" s="209"/>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ht="14.25" customHeight="1">
      <c r="A136" s="13"/>
      <c r="B136" s="209"/>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ht="14.25" customHeight="1">
      <c r="A137" s="13"/>
      <c r="B137" s="209"/>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ht="14.25" customHeight="1">
      <c r="A138" s="13"/>
      <c r="B138" s="209"/>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ht="14.25" customHeight="1">
      <c r="A139" s="13"/>
      <c r="B139" s="209"/>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ht="14.25" customHeight="1">
      <c r="A140" s="13"/>
      <c r="B140" s="209"/>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ht="14.25" customHeight="1">
      <c r="A141" s="13"/>
      <c r="B141" s="209"/>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ht="14.25" customHeight="1">
      <c r="A142" s="13"/>
      <c r="B142" s="209"/>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ht="14.25" customHeight="1">
      <c r="A143" s="13"/>
      <c r="B143" s="209"/>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ht="14.25" customHeight="1">
      <c r="A144" s="13"/>
      <c r="B144" s="209"/>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ht="14.25" customHeight="1">
      <c r="A145" s="13"/>
      <c r="B145" s="209"/>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ht="14.25" customHeight="1">
      <c r="A146" s="13"/>
      <c r="B146" s="209"/>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ht="14.25" customHeight="1">
      <c r="A147" s="13"/>
      <c r="B147" s="209"/>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ht="14.25" customHeight="1">
      <c r="A148" s="13"/>
      <c r="B148" s="209"/>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ht="14.25" customHeight="1">
      <c r="A149" s="13"/>
      <c r="B149" s="209"/>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ht="14.25" customHeight="1">
      <c r="A150" s="13"/>
      <c r="B150" s="209"/>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ht="14.25" customHeight="1">
      <c r="A151" s="13"/>
      <c r="B151" s="209"/>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ht="14.25" customHeight="1">
      <c r="A152" s="13"/>
      <c r="B152" s="209"/>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ht="14.25" customHeight="1">
      <c r="A153" s="13"/>
      <c r="B153" s="209"/>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ht="14.25" customHeight="1">
      <c r="A154" s="13"/>
      <c r="B154" s="209"/>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ht="14.25" customHeight="1">
      <c r="A155" s="13"/>
      <c r="B155" s="209"/>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ht="14.25" customHeight="1">
      <c r="A156" s="13"/>
      <c r="B156" s="209"/>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ht="14.25" customHeight="1">
      <c r="A157" s="13"/>
      <c r="B157" s="209"/>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ht="14.25" customHeight="1">
      <c r="A158" s="13"/>
      <c r="B158" s="209"/>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ht="14.25" customHeight="1">
      <c r="A159" s="13"/>
      <c r="B159" s="209"/>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ht="14.25" customHeight="1">
      <c r="A160" s="13"/>
      <c r="B160" s="209"/>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ht="14.25" customHeight="1">
      <c r="A161" s="13"/>
      <c r="B161" s="209"/>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ht="14.25" customHeight="1">
      <c r="A162" s="13"/>
      <c r="B162" s="209"/>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ht="14.25" customHeight="1">
      <c r="A163" s="13"/>
      <c r="B163" s="209"/>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ht="14.25" customHeight="1">
      <c r="A164" s="13"/>
      <c r="B164" s="209"/>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ht="14.25" customHeight="1">
      <c r="A165" s="13"/>
      <c r="B165" s="209"/>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ht="14.25" customHeight="1">
      <c r="A166" s="13"/>
      <c r="B166" s="209"/>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ht="14.25" customHeight="1">
      <c r="A167" s="13"/>
      <c r="B167" s="209"/>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ht="14.25" customHeight="1">
      <c r="A168" s="13"/>
      <c r="B168" s="209"/>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ht="14.25" customHeight="1">
      <c r="A169" s="13"/>
      <c r="B169" s="209"/>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ht="14.25" customHeight="1">
      <c r="A170" s="13"/>
      <c r="B170" s="209"/>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ht="14.25" customHeight="1">
      <c r="A171" s="13"/>
      <c r="B171" s="209"/>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ht="14.25" customHeight="1">
      <c r="A172" s="13"/>
      <c r="B172" s="209"/>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ht="14.25" customHeight="1">
      <c r="A173" s="13"/>
      <c r="B173" s="209"/>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ht="14.25" customHeight="1">
      <c r="A174" s="13"/>
      <c r="B174" s="209"/>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ht="14.25" customHeight="1">
      <c r="A175" s="13"/>
      <c r="B175" s="209"/>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ht="14.25" customHeight="1">
      <c r="A176" s="13"/>
      <c r="B176" s="209"/>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ht="14.25" customHeight="1">
      <c r="A177" s="13"/>
      <c r="B177" s="209"/>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ht="14.25" customHeight="1">
      <c r="A178" s="13"/>
      <c r="B178" s="209"/>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ht="14.25" customHeight="1">
      <c r="A179" s="13"/>
      <c r="B179" s="209"/>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ht="14.25" customHeight="1">
      <c r="A180" s="13"/>
      <c r="B180" s="209"/>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ht="14.25" customHeight="1">
      <c r="A181" s="13"/>
      <c r="B181" s="209"/>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ht="14.25" customHeight="1">
      <c r="A182" s="13"/>
      <c r="B182" s="209"/>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ht="14.25" customHeight="1">
      <c r="A183" s="13"/>
      <c r="B183" s="209"/>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ht="14.25" customHeight="1">
      <c r="A184" s="13"/>
      <c r="B184" s="209"/>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ht="14.25" customHeight="1">
      <c r="A185" s="13"/>
      <c r="B185" s="209"/>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ht="14.25" customHeight="1">
      <c r="A186" s="13"/>
      <c r="B186" s="209"/>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ht="14.25" customHeight="1">
      <c r="A187" s="13"/>
      <c r="B187" s="209"/>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ht="14.25" customHeight="1">
      <c r="A188" s="13"/>
      <c r="B188" s="209"/>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ht="14.25" customHeight="1">
      <c r="A189" s="13"/>
      <c r="B189" s="209"/>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ht="14.25" customHeight="1">
      <c r="A190" s="13"/>
      <c r="B190" s="209"/>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ht="14.25" customHeight="1">
      <c r="A191" s="13"/>
      <c r="B191" s="209"/>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ht="14.25" customHeight="1">
      <c r="A192" s="13"/>
      <c r="B192" s="209"/>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ht="14.25" customHeight="1">
      <c r="A193" s="13"/>
      <c r="B193" s="209"/>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ht="14.25" customHeight="1">
      <c r="A194" s="13"/>
      <c r="B194" s="209"/>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ht="14.25" customHeight="1">
      <c r="A195" s="13"/>
      <c r="B195" s="209"/>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ht="14.25" customHeight="1">
      <c r="A196" s="13"/>
      <c r="B196" s="209"/>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ht="14.25" customHeight="1">
      <c r="A197" s="13"/>
      <c r="B197" s="209"/>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ht="14.25" customHeight="1">
      <c r="A198" s="13"/>
      <c r="B198" s="209"/>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ht="14.25" customHeight="1">
      <c r="A199" s="13"/>
      <c r="B199" s="209"/>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ht="14.25" customHeight="1">
      <c r="A200" s="13"/>
      <c r="B200" s="209"/>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ht="14.25" customHeight="1">
      <c r="A201" s="13"/>
      <c r="B201" s="209"/>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ht="14.25" customHeight="1">
      <c r="A202" s="13"/>
      <c r="B202" s="209"/>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ht="14.25" customHeight="1">
      <c r="A203" s="13"/>
      <c r="B203" s="209"/>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ht="14.25" customHeight="1">
      <c r="A204" s="13"/>
      <c r="B204" s="209"/>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ht="14.25" customHeight="1">
      <c r="A205" s="13"/>
      <c r="B205" s="209"/>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ht="14.25" customHeight="1">
      <c r="A206" s="13"/>
      <c r="B206" s="209"/>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ht="14.25" customHeight="1">
      <c r="A207" s="13"/>
      <c r="B207" s="209"/>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ht="14.25" customHeight="1">
      <c r="A208" s="13"/>
      <c r="B208" s="209"/>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ht="14.25" customHeight="1">
      <c r="A209" s="13"/>
      <c r="B209" s="209"/>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ht="14.25" customHeight="1">
      <c r="A210" s="13"/>
      <c r="B210" s="209"/>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ht="14.25" customHeight="1">
      <c r="A211" s="13"/>
      <c r="B211" s="209"/>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14.25" customHeight="1">
      <c r="A212" s="13"/>
      <c r="B212" s="209"/>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14.25" customHeight="1">
      <c r="A213" s="13"/>
      <c r="B213" s="209"/>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14.25" customHeight="1">
      <c r="A214" s="13"/>
      <c r="B214" s="209"/>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14.25" customHeight="1">
      <c r="A215" s="13"/>
      <c r="B215" s="209"/>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14.25" customHeight="1">
      <c r="A216" s="13"/>
      <c r="B216" s="209"/>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14.25" customHeight="1">
      <c r="A217" s="13"/>
      <c r="B217" s="209"/>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14.25" customHeight="1">
      <c r="A218" s="13"/>
      <c r="B218" s="209"/>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14.25" customHeight="1">
      <c r="A219" s="13"/>
      <c r="B219" s="209"/>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14.25" customHeight="1">
      <c r="A220" s="13"/>
      <c r="B220" s="209"/>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14.25" customHeight="1">
      <c r="A221" s="13"/>
      <c r="B221" s="209"/>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14.25" customHeight="1">
      <c r="A222" s="13"/>
      <c r="B222" s="209"/>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14.25" customHeight="1">
      <c r="A223" s="13"/>
      <c r="B223" s="209"/>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14.25" customHeight="1">
      <c r="A224" s="13"/>
      <c r="B224" s="209"/>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14.25" customHeight="1">
      <c r="A225" s="13"/>
      <c r="B225" s="209"/>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14.25" customHeight="1">
      <c r="A226" s="13"/>
      <c r="B226" s="209"/>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14.25" customHeight="1">
      <c r="A227" s="13"/>
      <c r="B227" s="209"/>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14.25" customHeight="1">
      <c r="A228" s="13"/>
      <c r="B228" s="209"/>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14.25" customHeight="1">
      <c r="A229" s="13"/>
      <c r="B229" s="209"/>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14.25" customHeight="1">
      <c r="A230" s="13"/>
      <c r="B230" s="209"/>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14.25" customHeight="1">
      <c r="A231" s="13"/>
      <c r="B231" s="209"/>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14.25" customHeight="1">
      <c r="A232" s="13"/>
      <c r="B232" s="209"/>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14.25" customHeight="1">
      <c r="A233" s="13"/>
      <c r="B233" s="209"/>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14.25" customHeight="1">
      <c r="A234" s="13"/>
      <c r="B234" s="209"/>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14.25" customHeight="1">
      <c r="A235" s="13"/>
      <c r="B235" s="209"/>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14.25" customHeight="1">
      <c r="A236" s="13"/>
      <c r="B236" s="209"/>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14.25" customHeight="1">
      <c r="A237" s="13"/>
      <c r="B237" s="209"/>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14.25" customHeight="1">
      <c r="A238" s="13"/>
      <c r="B238" s="209"/>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14.25" customHeight="1">
      <c r="A239" s="13"/>
      <c r="B239" s="209"/>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14.25" customHeight="1">
      <c r="A240" s="13"/>
      <c r="B240" s="209"/>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14.25" customHeight="1">
      <c r="A241" s="13"/>
      <c r="B241" s="209"/>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14.25" customHeight="1">
      <c r="A242" s="13"/>
      <c r="B242" s="209"/>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14.25" customHeight="1">
      <c r="A243" s="13"/>
      <c r="B243" s="209"/>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14.25" customHeight="1">
      <c r="A244" s="13"/>
      <c r="B244" s="209"/>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14.25" customHeight="1">
      <c r="A245" s="13"/>
      <c r="B245" s="209"/>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14.25" customHeight="1">
      <c r="A246" s="13"/>
      <c r="B246" s="209"/>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14.25" customHeight="1">
      <c r="A247" s="13"/>
      <c r="B247" s="209"/>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14.25" customHeight="1">
      <c r="A248" s="13"/>
      <c r="B248" s="209"/>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14.25" customHeight="1">
      <c r="A249" s="13"/>
      <c r="B249" s="209"/>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14.25" customHeight="1">
      <c r="A250" s="13"/>
      <c r="B250" s="209"/>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14.25" customHeight="1">
      <c r="A251" s="13"/>
      <c r="B251" s="209"/>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14.25" customHeight="1">
      <c r="A252" s="13"/>
      <c r="B252" s="209"/>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14.25" customHeight="1">
      <c r="A253" s="13"/>
      <c r="B253" s="209"/>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14.25" customHeight="1">
      <c r="A254" s="13"/>
      <c r="B254" s="209"/>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14.25" customHeight="1">
      <c r="A255" s="13"/>
      <c r="B255" s="209"/>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14.25" customHeight="1">
      <c r="A256" s="13"/>
      <c r="B256" s="209"/>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14.25" customHeight="1">
      <c r="A257" s="13"/>
      <c r="B257" s="209"/>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14.25" customHeight="1">
      <c r="A258" s="13"/>
      <c r="B258" s="209"/>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14.25" customHeight="1">
      <c r="A259" s="13"/>
      <c r="B259" s="209"/>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14.25" customHeight="1">
      <c r="A260" s="13"/>
      <c r="B260" s="209"/>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14.25" customHeight="1">
      <c r="A261" s="13"/>
      <c r="B261" s="209"/>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14.25" customHeight="1">
      <c r="A262" s="13"/>
      <c r="B262" s="209"/>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14.25" customHeight="1">
      <c r="A263" s="13"/>
      <c r="B263" s="209"/>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14.25" customHeight="1">
      <c r="A264" s="13"/>
      <c r="B264" s="209"/>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14.25" customHeight="1">
      <c r="A265" s="13"/>
      <c r="B265" s="209"/>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14.25" customHeight="1">
      <c r="A266" s="13"/>
      <c r="B266" s="209"/>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14.25" customHeight="1">
      <c r="A267" s="13"/>
      <c r="B267" s="209"/>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14.25" customHeight="1">
      <c r="A268" s="13"/>
      <c r="B268" s="209"/>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14.25" customHeight="1">
      <c r="A269" s="13"/>
      <c r="B269" s="209"/>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14.25" customHeight="1">
      <c r="A270" s="13"/>
      <c r="B270" s="209"/>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14.25" customHeight="1">
      <c r="A271" s="13"/>
      <c r="B271" s="209"/>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14.25" customHeight="1">
      <c r="A272" s="13"/>
      <c r="B272" s="209"/>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14.25" customHeight="1">
      <c r="A273" s="13"/>
      <c r="B273" s="209"/>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14.25" customHeight="1">
      <c r="A274" s="13"/>
      <c r="B274" s="209"/>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14.25" customHeight="1">
      <c r="A275" s="13"/>
      <c r="B275" s="209"/>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14.25" customHeight="1">
      <c r="A276" s="13"/>
      <c r="B276" s="209"/>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14.25" customHeight="1">
      <c r="A277" s="13"/>
      <c r="B277" s="209"/>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14.25" customHeight="1">
      <c r="A278" s="13"/>
      <c r="B278" s="209"/>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14.25" customHeight="1">
      <c r="A279" s="13"/>
      <c r="B279" s="209"/>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14.25" customHeight="1">
      <c r="A280" s="13"/>
      <c r="B280" s="209"/>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14.25" customHeight="1">
      <c r="A281" s="13"/>
      <c r="B281" s="209"/>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14.25" customHeight="1">
      <c r="A282" s="13"/>
      <c r="B282" s="209"/>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14.25" customHeight="1">
      <c r="A283" s="13"/>
      <c r="B283" s="209"/>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14.25" customHeight="1">
      <c r="A284" s="13"/>
      <c r="B284" s="209"/>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14.25" customHeight="1">
      <c r="A285" s="13"/>
      <c r="B285" s="209"/>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14.25" customHeight="1">
      <c r="A286" s="13"/>
      <c r="B286" s="209"/>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14.25" customHeight="1">
      <c r="A287" s="13"/>
      <c r="B287" s="209"/>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14.25" customHeight="1">
      <c r="A288" s="13"/>
      <c r="B288" s="209"/>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14.25" customHeight="1">
      <c r="A289" s="13"/>
      <c r="B289" s="209"/>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14.25" customHeight="1">
      <c r="A290" s="13"/>
      <c r="B290" s="209"/>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14.25" customHeight="1">
      <c r="A291" s="13"/>
      <c r="B291" s="209"/>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14.25" customHeight="1">
      <c r="A292" s="13"/>
      <c r="B292" s="209"/>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14.25" customHeight="1">
      <c r="A293" s="13"/>
      <c r="B293" s="209"/>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14.25" customHeight="1">
      <c r="A294" s="13"/>
      <c r="B294" s="209"/>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14.25" customHeight="1">
      <c r="A295" s="13"/>
      <c r="B295" s="209"/>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14.25" customHeight="1">
      <c r="A296" s="13"/>
      <c r="B296" s="209"/>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14.25" customHeight="1">
      <c r="A297" s="13"/>
      <c r="B297" s="209"/>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14.25" customHeight="1">
      <c r="A298" s="13"/>
      <c r="B298" s="209"/>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14.25" customHeight="1">
      <c r="A299" s="13"/>
      <c r="B299" s="209"/>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14.25" customHeight="1">
      <c r="A300" s="13"/>
      <c r="B300" s="209"/>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14.25" customHeight="1">
      <c r="A301" s="13"/>
      <c r="B301" s="209"/>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14.25" customHeight="1">
      <c r="A302" s="13"/>
      <c r="B302" s="209"/>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14.25" customHeight="1">
      <c r="A303" s="13"/>
      <c r="B303" s="209"/>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14.25" customHeight="1">
      <c r="A304" s="13"/>
      <c r="B304" s="209"/>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14.25" customHeight="1">
      <c r="A305" s="13"/>
      <c r="B305" s="209"/>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14.25" customHeight="1">
      <c r="A306" s="13"/>
      <c r="B306" s="209"/>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14.25" customHeight="1">
      <c r="A307" s="13"/>
      <c r="B307" s="209"/>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14.25" customHeight="1">
      <c r="A308" s="13"/>
      <c r="B308" s="209"/>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14.25" customHeight="1">
      <c r="A309" s="13"/>
      <c r="B309" s="209"/>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14.25" customHeight="1">
      <c r="A310" s="13"/>
      <c r="B310" s="209"/>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sheetData>
  <mergeCells count="95">
    <mergeCell ref="U78:V78"/>
    <mergeCell ref="W78:X78"/>
    <mergeCell ref="Y78:Z78"/>
    <mergeCell ref="K78:L78"/>
    <mergeCell ref="M78:N78"/>
    <mergeCell ref="O78:P78"/>
    <mergeCell ref="Q78:R78"/>
    <mergeCell ref="S78:T78"/>
    <mergeCell ref="A78:B79"/>
    <mergeCell ref="C78:D78"/>
    <mergeCell ref="E78:F78"/>
    <mergeCell ref="G78:H78"/>
    <mergeCell ref="I78:J78"/>
    <mergeCell ref="S65:T65"/>
    <mergeCell ref="Y65:Z65"/>
    <mergeCell ref="A70:C71"/>
    <mergeCell ref="H70:J71"/>
    <mergeCell ref="A77:E77"/>
    <mergeCell ref="S62:T62"/>
    <mergeCell ref="Y62:Z62"/>
    <mergeCell ref="S63:T63"/>
    <mergeCell ref="Y63:Z63"/>
    <mergeCell ref="S64:T64"/>
    <mergeCell ref="Y64:Z64"/>
    <mergeCell ref="S58:T58"/>
    <mergeCell ref="Y58:Z58"/>
    <mergeCell ref="Y59:Z59"/>
    <mergeCell ref="Y60:Z60"/>
    <mergeCell ref="S61:T61"/>
    <mergeCell ref="Y61:Z61"/>
    <mergeCell ref="A56:E56"/>
    <mergeCell ref="H56:L56"/>
    <mergeCell ref="S56:W56"/>
    <mergeCell ref="Y56:AC56"/>
    <mergeCell ref="S57:T57"/>
    <mergeCell ref="Y57:Z57"/>
    <mergeCell ref="S46:T46"/>
    <mergeCell ref="Y46:Z46"/>
    <mergeCell ref="S47:T47"/>
    <mergeCell ref="Y47:Z47"/>
    <mergeCell ref="A51:C52"/>
    <mergeCell ref="H51:J52"/>
    <mergeCell ref="S43:T43"/>
    <mergeCell ref="Y43:Z43"/>
    <mergeCell ref="S44:T44"/>
    <mergeCell ref="Y44:Z44"/>
    <mergeCell ref="S45:T45"/>
    <mergeCell ref="Y45:Z45"/>
    <mergeCell ref="S39:T39"/>
    <mergeCell ref="Y39:Z39"/>
    <mergeCell ref="Y40:Z40"/>
    <mergeCell ref="Y41:Z41"/>
    <mergeCell ref="S42:T42"/>
    <mergeCell ref="Y42:Z42"/>
    <mergeCell ref="A37:E37"/>
    <mergeCell ref="H37:L37"/>
    <mergeCell ref="S37:W37"/>
    <mergeCell ref="Y37:AC37"/>
    <mergeCell ref="S38:T38"/>
    <mergeCell ref="Y38:Z38"/>
    <mergeCell ref="S27:T27"/>
    <mergeCell ref="Y27:Z27"/>
    <mergeCell ref="S28:T28"/>
    <mergeCell ref="Y28:Z28"/>
    <mergeCell ref="A32:C33"/>
    <mergeCell ref="H32:J33"/>
    <mergeCell ref="S24:T24"/>
    <mergeCell ref="Y24:Z24"/>
    <mergeCell ref="S25:T25"/>
    <mergeCell ref="Y25:Z25"/>
    <mergeCell ref="S26:T26"/>
    <mergeCell ref="Y26:Z26"/>
    <mergeCell ref="Y21:Z21"/>
    <mergeCell ref="S22:T22"/>
    <mergeCell ref="Y22:Z22"/>
    <mergeCell ref="S23:T23"/>
    <mergeCell ref="Y23:Z23"/>
    <mergeCell ref="Y18:AC18"/>
    <mergeCell ref="S19:T19"/>
    <mergeCell ref="Y19:Z19"/>
    <mergeCell ref="S20:T20"/>
    <mergeCell ref="Y20:Z20"/>
    <mergeCell ref="A6:C6"/>
    <mergeCell ref="A13:A14"/>
    <mergeCell ref="A18:E18"/>
    <mergeCell ref="H18:L18"/>
    <mergeCell ref="S18:W18"/>
    <mergeCell ref="A3:E3"/>
    <mergeCell ref="H3:L3"/>
    <mergeCell ref="S3:W3"/>
    <mergeCell ref="Y3:AC3"/>
    <mergeCell ref="A4:E4"/>
    <mergeCell ref="H4:L4"/>
    <mergeCell ref="S4:W4"/>
    <mergeCell ref="Y4:AC4"/>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30"/>
  <sheetViews>
    <sheetView zoomScale="85" zoomScaleNormal="85" workbookViewId="0"/>
  </sheetViews>
  <sheetFormatPr baseColWidth="10" defaultColWidth="12.6640625" defaultRowHeight="15" customHeight="1"/>
  <cols>
    <col min="1" max="1" width="10" customWidth="1"/>
    <col min="2" max="2" width="30" customWidth="1"/>
    <col min="3" max="5" width="15" customWidth="1"/>
    <col min="6" max="6" width="3.1640625" customWidth="1"/>
    <col min="7" max="7" width="6.1640625" customWidth="1"/>
    <col min="8" max="8" width="2.33203125" customWidth="1"/>
    <col min="9" max="9" width="3.33203125" customWidth="1"/>
    <col min="10" max="25" width="10" customWidth="1"/>
  </cols>
  <sheetData>
    <row r="1" spans="1:26" ht="15" customHeight="1">
      <c r="A1" s="20"/>
      <c r="B1" s="20"/>
      <c r="C1" s="20"/>
      <c r="D1" s="20"/>
      <c r="E1" s="208" t="s">
        <v>11</v>
      </c>
      <c r="F1" s="20"/>
      <c r="G1" s="312"/>
      <c r="H1" s="312"/>
      <c r="I1" s="20"/>
      <c r="J1" s="20"/>
      <c r="K1" s="20"/>
      <c r="L1" s="20"/>
      <c r="M1" s="20"/>
      <c r="N1" s="20"/>
      <c r="O1" s="20"/>
      <c r="P1" s="20"/>
      <c r="Q1" s="20"/>
      <c r="R1" s="20"/>
      <c r="S1" s="20"/>
      <c r="T1" s="20"/>
      <c r="U1" s="20"/>
      <c r="V1" s="20"/>
      <c r="W1" s="20"/>
      <c r="X1" s="20"/>
      <c r="Y1" s="13"/>
      <c r="Z1" s="13"/>
    </row>
    <row r="2" spans="1:26" ht="1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5" customHeight="1">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15" customHeight="1">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15" customHeight="1">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ht="30" customHeight="1">
      <c r="A7" s="13"/>
      <c r="B7" s="12" t="s">
        <v>73</v>
      </c>
      <c r="C7" s="12"/>
      <c r="D7" s="12"/>
      <c r="E7" s="13"/>
      <c r="F7" s="13"/>
      <c r="G7" s="13"/>
      <c r="H7" s="13"/>
      <c r="I7" s="13"/>
      <c r="J7" s="13"/>
      <c r="K7" s="13"/>
      <c r="L7" s="13"/>
      <c r="M7" s="13"/>
      <c r="N7" s="13"/>
      <c r="O7" s="13"/>
      <c r="P7" s="13"/>
      <c r="Q7" s="13"/>
      <c r="R7" s="13"/>
      <c r="S7" s="13"/>
      <c r="T7" s="13"/>
      <c r="U7" s="13"/>
      <c r="V7" s="13"/>
      <c r="W7" s="13"/>
      <c r="X7" s="13"/>
      <c r="Y7" s="13"/>
      <c r="Z7" s="13"/>
    </row>
    <row r="8" spans="1:26" ht="15" customHeight="1">
      <c r="A8" s="13"/>
      <c r="B8" s="80">
        <v>2026</v>
      </c>
      <c r="C8" s="80">
        <v>2027</v>
      </c>
      <c r="D8" s="80">
        <v>2028</v>
      </c>
      <c r="E8" s="13"/>
      <c r="F8" s="13"/>
      <c r="G8" s="13"/>
      <c r="H8" s="13"/>
      <c r="I8" s="13"/>
      <c r="J8" s="13"/>
      <c r="K8" s="13"/>
      <c r="L8" s="13"/>
      <c r="M8" s="13"/>
      <c r="N8" s="13"/>
      <c r="O8" s="13"/>
      <c r="P8" s="13"/>
      <c r="Q8" s="13"/>
      <c r="R8" s="13"/>
      <c r="S8" s="13"/>
      <c r="T8" s="13"/>
      <c r="U8" s="13"/>
      <c r="V8" s="13"/>
      <c r="W8" s="13"/>
      <c r="X8" s="13"/>
      <c r="Y8" s="13"/>
      <c r="Z8" s="13"/>
    </row>
    <row r="9" spans="1:26" ht="15" customHeight="1">
      <c r="A9" s="13"/>
      <c r="B9" s="83">
        <f>Hipótesis!C24</f>
        <v>8.0000000000000002E-3</v>
      </c>
      <c r="C9" s="83">
        <f>Hipótesis!C25</f>
        <v>2.9000000000000001E-2</v>
      </c>
      <c r="D9" s="83">
        <f>Hipótesis!C26</f>
        <v>5.1999999999999998E-2</v>
      </c>
      <c r="E9" s="13"/>
      <c r="F9" s="13"/>
      <c r="G9" s="13"/>
      <c r="H9" s="13"/>
      <c r="I9" s="13"/>
      <c r="J9" s="13"/>
      <c r="K9" s="13"/>
      <c r="L9" s="13"/>
      <c r="M9" s="13"/>
      <c r="N9" s="13"/>
      <c r="O9" s="13"/>
      <c r="P9" s="13"/>
      <c r="Q9" s="13"/>
      <c r="R9" s="13"/>
      <c r="S9" s="13"/>
      <c r="T9" s="13"/>
      <c r="U9" s="13"/>
      <c r="V9" s="13"/>
      <c r="W9" s="13"/>
      <c r="X9" s="13"/>
      <c r="Y9" s="13"/>
      <c r="Z9" s="13"/>
    </row>
    <row r="10" spans="1:26" ht="15" customHeight="1">
      <c r="A10" s="13"/>
      <c r="B10" s="313">
        <f>Hipótesis!D24</f>
        <v>107520</v>
      </c>
      <c r="C10" s="313">
        <f>Hipótesis!D25</f>
        <v>389760</v>
      </c>
      <c r="D10" s="313">
        <f>Hipótesis!D26</f>
        <v>698880</v>
      </c>
      <c r="E10" s="13"/>
      <c r="F10" s="13"/>
      <c r="G10" s="13"/>
      <c r="H10" s="13"/>
      <c r="I10" s="13"/>
      <c r="J10" s="13"/>
      <c r="K10" s="13"/>
      <c r="L10" s="13"/>
      <c r="M10" s="13"/>
      <c r="N10" s="13"/>
      <c r="O10" s="13"/>
      <c r="P10" s="13"/>
      <c r="Q10" s="13"/>
      <c r="R10" s="13"/>
      <c r="S10" s="13"/>
      <c r="T10" s="13"/>
      <c r="U10" s="13"/>
      <c r="V10" s="13"/>
      <c r="W10" s="13"/>
      <c r="X10" s="13"/>
      <c r="Y10" s="13"/>
      <c r="Z10" s="13"/>
    </row>
    <row r="11" spans="1:26" ht="1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30" customHeight="1">
      <c r="A15" s="13"/>
      <c r="B15" s="691" t="s">
        <v>240</v>
      </c>
      <c r="C15" s="691"/>
      <c r="D15" s="691"/>
      <c r="E15" s="691"/>
      <c r="F15" s="13"/>
      <c r="G15" s="13"/>
      <c r="H15" s="13"/>
      <c r="I15" s="13"/>
      <c r="J15" s="13"/>
      <c r="K15" s="13"/>
      <c r="L15" s="13"/>
      <c r="M15" s="13"/>
      <c r="N15" s="13"/>
      <c r="O15" s="13"/>
      <c r="P15" s="13"/>
      <c r="Q15" s="13"/>
      <c r="R15" s="13"/>
      <c r="S15" s="13"/>
      <c r="T15" s="13"/>
      <c r="U15" s="13"/>
      <c r="V15" s="13"/>
      <c r="W15" s="13"/>
      <c r="X15" s="13"/>
      <c r="Y15" s="13"/>
      <c r="Z15" s="13"/>
    </row>
    <row r="16" spans="1:26" ht="15" customHeight="1">
      <c r="A16" s="13"/>
      <c r="B16" s="314" t="s">
        <v>55</v>
      </c>
      <c r="C16" s="315" t="s">
        <v>241</v>
      </c>
      <c r="D16" s="315" t="s">
        <v>242</v>
      </c>
      <c r="E16" s="316" t="s">
        <v>243</v>
      </c>
      <c r="F16" s="13"/>
      <c r="G16" s="13"/>
      <c r="H16" s="13"/>
      <c r="I16" s="13"/>
      <c r="J16" s="13"/>
      <c r="K16" s="13"/>
      <c r="L16" s="13"/>
      <c r="M16" s="13"/>
      <c r="N16" s="13"/>
      <c r="O16" s="13"/>
      <c r="P16" s="13"/>
      <c r="Q16" s="13"/>
      <c r="R16" s="13"/>
      <c r="S16" s="13"/>
      <c r="T16" s="13"/>
      <c r="U16" s="13"/>
      <c r="V16" s="13"/>
      <c r="W16" s="13"/>
      <c r="X16" s="13"/>
      <c r="Y16" s="13"/>
      <c r="Z16" s="13"/>
    </row>
    <row r="17" spans="1:26" ht="15" customHeight="1">
      <c r="A17" s="13"/>
      <c r="B17" s="92" t="str">
        <f>Hipótesis!$B$58</f>
        <v>Alta e instalación Plan Básico</v>
      </c>
      <c r="C17" s="317">
        <f>'Proy. ventas'!D19</f>
        <v>2960</v>
      </c>
      <c r="D17" s="317">
        <f>'Proy. ventas'!D82</f>
        <v>3520</v>
      </c>
      <c r="E17" s="318">
        <f>'Proy. ventas'!D144</f>
        <v>4720</v>
      </c>
      <c r="F17" s="13"/>
      <c r="G17" s="13"/>
      <c r="H17" s="13"/>
      <c r="I17" s="13"/>
      <c r="J17" s="13"/>
      <c r="K17" s="13"/>
      <c r="L17" s="13"/>
      <c r="M17" s="13"/>
      <c r="N17" s="13"/>
      <c r="O17" s="13"/>
      <c r="P17" s="13"/>
      <c r="Q17" s="13"/>
      <c r="R17" s="13"/>
      <c r="S17" s="13"/>
      <c r="T17" s="13"/>
      <c r="U17" s="13"/>
      <c r="V17" s="13"/>
      <c r="W17" s="13"/>
      <c r="X17" s="13"/>
      <c r="Y17" s="13"/>
      <c r="Z17" s="13"/>
    </row>
    <row r="18" spans="1:26" ht="15" customHeight="1">
      <c r="A18" s="13"/>
      <c r="B18" s="92" t="str">
        <f>Hipótesis!$B$59</f>
        <v>Alta e instalación Plan Vidriera</v>
      </c>
      <c r="C18" s="319">
        <f>'Proy. ventas'!D20</f>
        <v>20640</v>
      </c>
      <c r="D18" s="319">
        <f>'Proy. ventas'!D83</f>
        <v>25200</v>
      </c>
      <c r="E18" s="320">
        <f>'Proy. ventas'!D145</f>
        <v>33360</v>
      </c>
      <c r="F18" s="13"/>
      <c r="G18" s="13"/>
      <c r="H18" s="13"/>
      <c r="I18" s="13"/>
      <c r="J18" s="13"/>
      <c r="K18" s="13"/>
      <c r="L18" s="13"/>
      <c r="M18" s="13"/>
      <c r="N18" s="13"/>
      <c r="O18" s="13"/>
      <c r="P18" s="13"/>
      <c r="Q18" s="13"/>
      <c r="R18" s="13"/>
      <c r="S18" s="13"/>
      <c r="T18" s="13"/>
      <c r="U18" s="13"/>
      <c r="V18" s="13"/>
      <c r="W18" s="13"/>
      <c r="X18" s="13"/>
      <c r="Y18" s="13"/>
      <c r="Z18" s="13"/>
    </row>
    <row r="19" spans="1:26" ht="15" customHeight="1">
      <c r="A19" s="13"/>
      <c r="B19" s="92" t="str">
        <f>Hipótesis!$B$60</f>
        <v>Alta e instalación Plan Cadena</v>
      </c>
      <c r="C19" s="321">
        <f>'Proy. ventas'!D21</f>
        <v>11250</v>
      </c>
      <c r="D19" s="321">
        <f>'Proy. ventas'!D84</f>
        <v>12600</v>
      </c>
      <c r="E19" s="322">
        <f>'Proy. ventas'!D146</f>
        <v>18000</v>
      </c>
      <c r="F19" s="13"/>
      <c r="G19" s="13"/>
      <c r="H19" s="13"/>
      <c r="I19" s="13"/>
      <c r="J19" s="13"/>
      <c r="K19" s="13"/>
      <c r="L19" s="13"/>
      <c r="M19" s="13"/>
      <c r="N19" s="13"/>
      <c r="O19" s="13"/>
      <c r="P19" s="13"/>
      <c r="Q19" s="13"/>
      <c r="R19" s="13"/>
      <c r="S19" s="13"/>
      <c r="T19" s="13"/>
      <c r="U19" s="13"/>
      <c r="V19" s="13"/>
      <c r="W19" s="13"/>
      <c r="X19" s="13"/>
      <c r="Y19" s="13"/>
      <c r="Z19" s="13"/>
    </row>
    <row r="20" spans="1:26" ht="15" customHeight="1">
      <c r="A20" s="13"/>
      <c r="B20" s="106" t="str">
        <f>Hipótesis!$B$61</f>
        <v>Abono Plan Básico</v>
      </c>
      <c r="C20" s="323">
        <f>'Proy. ventas'!D22</f>
        <v>9735</v>
      </c>
      <c r="D20" s="323">
        <f>'Proy. ventas'!D85</f>
        <v>46992</v>
      </c>
      <c r="E20" s="324">
        <f>'Proy. ventas'!D147</f>
        <v>87681</v>
      </c>
      <c r="F20" s="13"/>
      <c r="G20" s="13"/>
      <c r="H20" s="13"/>
      <c r="I20" s="13"/>
      <c r="J20" s="13"/>
      <c r="K20" s="13"/>
      <c r="L20" s="13"/>
      <c r="M20" s="13"/>
      <c r="N20" s="13"/>
      <c r="O20" s="13"/>
      <c r="P20" s="13"/>
      <c r="Q20" s="13"/>
      <c r="R20" s="13"/>
      <c r="S20" s="13"/>
      <c r="T20" s="13"/>
      <c r="U20" s="13"/>
      <c r="V20" s="13"/>
      <c r="W20" s="13"/>
      <c r="X20" s="13"/>
      <c r="Y20" s="13"/>
      <c r="Z20" s="13"/>
    </row>
    <row r="21" spans="1:26" ht="15" customHeight="1">
      <c r="A21" s="13"/>
      <c r="B21" s="106" t="str">
        <f>Hipótesis!$B$62</f>
        <v>Abono Plan Vidriera</v>
      </c>
      <c r="C21" s="325">
        <f>'Proy. ventas'!D23</f>
        <v>44655</v>
      </c>
      <c r="D21" s="325">
        <f>'Proy. ventas'!D86</f>
        <v>217035</v>
      </c>
      <c r="E21" s="326">
        <f>'Proy. ventas'!D148</f>
        <v>407745</v>
      </c>
      <c r="F21" s="13"/>
      <c r="G21" s="13"/>
      <c r="H21" s="13"/>
      <c r="I21" s="13"/>
      <c r="J21" s="13"/>
      <c r="K21" s="13"/>
      <c r="L21" s="13"/>
      <c r="M21" s="13"/>
      <c r="N21" s="13"/>
      <c r="O21" s="13"/>
      <c r="P21" s="13"/>
      <c r="Q21" s="13"/>
      <c r="R21" s="13"/>
      <c r="S21" s="13"/>
      <c r="T21" s="13"/>
      <c r="U21" s="13"/>
      <c r="V21" s="13"/>
      <c r="W21" s="13"/>
      <c r="X21" s="13"/>
      <c r="Y21" s="13"/>
      <c r="Z21" s="13"/>
    </row>
    <row r="22" spans="1:26" ht="15" customHeight="1">
      <c r="A22" s="13"/>
      <c r="B22" s="106" t="str">
        <f>Hipótesis!$B$63</f>
        <v>Abono Plan Cadena</v>
      </c>
      <c r="C22" s="325">
        <f>'Proy. ventas'!D24</f>
        <v>16625</v>
      </c>
      <c r="D22" s="325">
        <f>'Proy. ventas'!D87</f>
        <v>81550</v>
      </c>
      <c r="E22" s="326">
        <f>'Proy. ventas'!D149</f>
        <v>154000</v>
      </c>
      <c r="F22" s="13"/>
      <c r="G22" s="13"/>
      <c r="H22" s="13"/>
      <c r="I22" s="13"/>
      <c r="J22" s="13"/>
      <c r="K22" s="13"/>
      <c r="L22" s="13"/>
      <c r="M22" s="13"/>
      <c r="N22" s="13"/>
      <c r="O22" s="13"/>
      <c r="P22" s="13"/>
      <c r="Q22" s="13"/>
      <c r="R22" s="13"/>
      <c r="S22" s="13"/>
      <c r="T22" s="13"/>
      <c r="U22" s="13"/>
      <c r="V22" s="13"/>
      <c r="W22" s="13"/>
      <c r="X22" s="13"/>
      <c r="Y22" s="13"/>
      <c r="Z22" s="13"/>
    </row>
    <row r="23" spans="1:26" ht="15" hidden="1" customHeight="1">
      <c r="A23" s="13"/>
      <c r="B23" s="327"/>
      <c r="C23" s="328"/>
      <c r="D23" s="328"/>
      <c r="E23" s="329"/>
      <c r="F23" s="13"/>
      <c r="G23" s="13"/>
      <c r="H23" s="13"/>
      <c r="I23" s="13"/>
      <c r="J23" s="13"/>
      <c r="K23" s="13"/>
      <c r="L23" s="13"/>
      <c r="M23" s="13"/>
      <c r="N23" s="13"/>
      <c r="O23" s="13"/>
      <c r="P23" s="13"/>
      <c r="Q23" s="13"/>
      <c r="R23" s="13"/>
      <c r="S23" s="13"/>
      <c r="T23" s="13"/>
      <c r="U23" s="13"/>
      <c r="V23" s="13"/>
      <c r="W23" s="13"/>
      <c r="X23" s="13"/>
      <c r="Y23" s="13"/>
      <c r="Z23" s="13"/>
    </row>
    <row r="24" spans="1:26" ht="15" hidden="1" customHeight="1">
      <c r="A24" s="13"/>
      <c r="B24" s="330"/>
      <c r="C24" s="331"/>
      <c r="D24" s="331"/>
      <c r="E24" s="332"/>
      <c r="F24" s="13"/>
      <c r="G24" s="13"/>
      <c r="H24" s="13"/>
      <c r="I24" s="13"/>
      <c r="J24" s="13"/>
      <c r="K24" s="13"/>
      <c r="L24" s="13"/>
      <c r="M24" s="13"/>
      <c r="N24" s="13"/>
      <c r="O24" s="13"/>
      <c r="P24" s="13"/>
      <c r="Q24" s="13"/>
      <c r="R24" s="13"/>
      <c r="S24" s="13"/>
      <c r="T24" s="13"/>
      <c r="U24" s="13"/>
      <c r="V24" s="13"/>
      <c r="W24" s="13"/>
      <c r="X24" s="13"/>
      <c r="Y24" s="13"/>
      <c r="Z24" s="13"/>
    </row>
    <row r="25" spans="1:26" ht="15" hidden="1" customHeight="1">
      <c r="A25" s="13"/>
      <c r="B25" s="333"/>
      <c r="C25" s="334"/>
      <c r="D25" s="334"/>
      <c r="E25" s="335"/>
      <c r="F25" s="13"/>
      <c r="G25" s="13"/>
      <c r="H25" s="13"/>
      <c r="I25" s="13"/>
      <c r="J25" s="13"/>
      <c r="K25" s="13"/>
      <c r="L25" s="13"/>
      <c r="M25" s="13"/>
      <c r="N25" s="13"/>
      <c r="O25" s="13"/>
      <c r="P25" s="13"/>
      <c r="Q25" s="13"/>
      <c r="R25" s="13"/>
      <c r="S25" s="13"/>
      <c r="T25" s="13"/>
      <c r="U25" s="13"/>
      <c r="V25" s="13"/>
      <c r="W25" s="13"/>
      <c r="X25" s="13"/>
      <c r="Y25" s="13"/>
      <c r="Z25" s="13"/>
    </row>
    <row r="26" spans="1:26" ht="15" hidden="1" customHeight="1">
      <c r="A26" s="13"/>
      <c r="B26" s="333"/>
      <c r="C26" s="334"/>
      <c r="D26" s="334"/>
      <c r="E26" s="335"/>
      <c r="F26" s="13"/>
      <c r="G26" s="13"/>
      <c r="H26" s="13"/>
      <c r="I26" s="13"/>
      <c r="J26" s="13"/>
      <c r="K26" s="13"/>
      <c r="L26" s="13"/>
      <c r="M26" s="13"/>
      <c r="N26" s="13"/>
      <c r="O26" s="13"/>
      <c r="P26" s="13"/>
      <c r="Q26" s="13"/>
      <c r="R26" s="13"/>
      <c r="S26" s="13"/>
      <c r="T26" s="13"/>
      <c r="U26" s="13"/>
      <c r="V26" s="13"/>
      <c r="W26" s="13"/>
      <c r="X26" s="13"/>
      <c r="Y26" s="13"/>
      <c r="Z26" s="13"/>
    </row>
    <row r="27" spans="1:26" ht="15" hidden="1" customHeight="1">
      <c r="A27" s="13"/>
      <c r="B27" s="333"/>
      <c r="C27" s="334"/>
      <c r="D27" s="334"/>
      <c r="E27" s="335"/>
      <c r="F27" s="13"/>
      <c r="G27" s="13"/>
      <c r="H27" s="13"/>
      <c r="I27" s="13"/>
      <c r="J27" s="13"/>
      <c r="K27" s="13"/>
      <c r="L27" s="13"/>
      <c r="M27" s="13"/>
      <c r="N27" s="13"/>
      <c r="O27" s="13"/>
      <c r="P27" s="13"/>
      <c r="Q27" s="13"/>
      <c r="R27" s="13"/>
      <c r="S27" s="13"/>
      <c r="T27" s="13"/>
      <c r="U27" s="13"/>
      <c r="V27" s="13"/>
      <c r="W27" s="13"/>
      <c r="X27" s="13"/>
      <c r="Y27" s="13"/>
      <c r="Z27" s="13"/>
    </row>
    <row r="28" spans="1:26" ht="15" hidden="1" customHeight="1">
      <c r="A28" s="13"/>
      <c r="B28" s="336"/>
      <c r="C28" s="337"/>
      <c r="D28" s="337"/>
      <c r="E28" s="338"/>
      <c r="F28" s="13"/>
      <c r="G28" s="13"/>
      <c r="H28" s="13"/>
      <c r="I28" s="13"/>
      <c r="J28" s="13"/>
      <c r="K28" s="13"/>
      <c r="L28" s="13"/>
      <c r="M28" s="13"/>
      <c r="N28" s="13"/>
      <c r="O28" s="13"/>
      <c r="P28" s="13"/>
      <c r="Q28" s="13"/>
      <c r="R28" s="13"/>
      <c r="S28" s="13"/>
      <c r="T28" s="13"/>
      <c r="U28" s="13"/>
      <c r="V28" s="13"/>
      <c r="W28" s="13"/>
      <c r="X28" s="13"/>
      <c r="Y28" s="13"/>
      <c r="Z28" s="13"/>
    </row>
    <row r="29" spans="1:26" ht="15" hidden="1" customHeight="1">
      <c r="A29" s="13"/>
      <c r="B29" s="339"/>
      <c r="C29" s="340"/>
      <c r="D29" s="340"/>
      <c r="E29" s="341"/>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342" t="s">
        <v>233</v>
      </c>
      <c r="C30" s="343">
        <f>SUM(C17:C29)</f>
        <v>105865</v>
      </c>
      <c r="D30" s="343">
        <f>SUM(D17:D29)</f>
        <v>386897</v>
      </c>
      <c r="E30" s="343">
        <f>SUM(E17:E29)</f>
        <v>705506</v>
      </c>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sheetData>
  <mergeCells count="2">
    <mergeCell ref="B7:D7"/>
    <mergeCell ref="B15:E15"/>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63"/>
  <sheetViews>
    <sheetView topLeftCell="A7" zoomScaleNormal="100" workbookViewId="0"/>
  </sheetViews>
  <sheetFormatPr baseColWidth="10" defaultColWidth="12.6640625" defaultRowHeight="15" customHeight="1"/>
  <cols>
    <col min="1" max="1" width="10" customWidth="1"/>
    <col min="2" max="2" width="32.5" customWidth="1"/>
    <col min="3" max="3" width="47.5" customWidth="1"/>
    <col min="4" max="4" width="13.83203125" customWidth="1"/>
    <col min="5" max="5" width="14" customWidth="1"/>
    <col min="6" max="6" width="61.33203125" customWidth="1"/>
    <col min="7" max="7" width="29.1640625" customWidth="1"/>
    <col min="8" max="8" width="13" customWidth="1"/>
    <col min="9" max="9" width="13.1640625" customWidth="1"/>
    <col min="10" max="15" width="12.83203125" customWidth="1"/>
    <col min="16" max="16" width="13.83203125" customWidth="1"/>
    <col min="17" max="17" width="80" customWidth="1"/>
    <col min="18" max="26" width="10" customWidth="1"/>
  </cols>
  <sheetData>
    <row r="1" spans="1:26" ht="45.75" customHeight="1">
      <c r="A1" s="20"/>
      <c r="B1" s="20"/>
      <c r="C1" s="20"/>
      <c r="D1" s="20"/>
      <c r="E1" s="20"/>
      <c r="F1" s="344" t="s">
        <v>12</v>
      </c>
      <c r="G1" s="312"/>
      <c r="H1" s="312"/>
      <c r="I1" s="20"/>
      <c r="J1" s="20"/>
      <c r="K1" s="20"/>
      <c r="L1" s="20"/>
      <c r="M1" s="20"/>
      <c r="N1" s="20"/>
      <c r="O1" s="20"/>
      <c r="P1" s="20"/>
      <c r="Q1" s="20"/>
      <c r="R1" s="13"/>
      <c r="S1" s="13"/>
      <c r="T1" s="13"/>
      <c r="U1" s="13"/>
      <c r="V1" s="13"/>
      <c r="W1" s="13"/>
      <c r="X1" s="13"/>
      <c r="Y1" s="13"/>
      <c r="Z1" s="13"/>
    </row>
    <row r="2" spans="1:26" ht="1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5" customHeight="1">
      <c r="A3" s="13"/>
      <c r="B3" s="13"/>
      <c r="C3" s="692" t="s">
        <v>73</v>
      </c>
      <c r="D3" s="692"/>
      <c r="E3" s="692"/>
      <c r="F3" s="13"/>
      <c r="G3" s="692" t="s">
        <v>244</v>
      </c>
      <c r="H3" s="692"/>
      <c r="I3" s="692"/>
      <c r="J3" s="13"/>
      <c r="K3" s="13"/>
      <c r="L3" s="13"/>
      <c r="M3" s="13"/>
      <c r="N3" s="13"/>
      <c r="O3" s="13"/>
      <c r="P3" s="13"/>
      <c r="Q3" s="13"/>
      <c r="R3" s="13"/>
      <c r="S3" s="13"/>
      <c r="T3" s="13"/>
      <c r="U3" s="13"/>
      <c r="V3" s="13"/>
      <c r="W3" s="13"/>
      <c r="X3" s="13"/>
      <c r="Y3" s="13"/>
      <c r="Z3" s="13"/>
    </row>
    <row r="4" spans="1:26" ht="15" customHeight="1">
      <c r="A4" s="13"/>
      <c r="B4" s="13"/>
      <c r="C4" s="346">
        <v>2026</v>
      </c>
      <c r="D4" s="346">
        <v>2027</v>
      </c>
      <c r="E4" s="346">
        <v>2028</v>
      </c>
      <c r="F4" s="13"/>
      <c r="G4" s="346">
        <v>2026</v>
      </c>
      <c r="H4" s="346">
        <v>2027</v>
      </c>
      <c r="I4" s="346">
        <v>2028</v>
      </c>
      <c r="J4" s="13"/>
      <c r="K4" s="13"/>
      <c r="L4" s="13"/>
      <c r="M4" s="13"/>
      <c r="N4" s="13"/>
      <c r="O4" s="13"/>
      <c r="P4" s="13"/>
      <c r="Q4" s="13"/>
      <c r="R4" s="13"/>
      <c r="S4" s="13"/>
      <c r="T4" s="13"/>
      <c r="U4" s="13"/>
      <c r="V4" s="13"/>
      <c r="W4" s="13"/>
      <c r="X4" s="13"/>
      <c r="Y4" s="13"/>
      <c r="Z4" s="13"/>
    </row>
    <row r="5" spans="1:26" ht="15" customHeight="1">
      <c r="A5" s="13"/>
      <c r="B5" s="13"/>
      <c r="C5" s="347">
        <f>Hipótesis!C24</f>
        <v>8.0000000000000002E-3</v>
      </c>
      <c r="D5" s="347">
        <f>Hipótesis!C25</f>
        <v>2.9000000000000001E-2</v>
      </c>
      <c r="E5" s="347">
        <f>Hipótesis!C26</f>
        <v>5.1999999999999998E-2</v>
      </c>
      <c r="F5" s="13"/>
      <c r="G5" s="348">
        <f>P26</f>
        <v>32640</v>
      </c>
      <c r="H5" s="348">
        <f>P44</f>
        <v>77700</v>
      </c>
      <c r="I5" s="348">
        <f>P63</f>
        <v>106860</v>
      </c>
      <c r="J5" s="13"/>
      <c r="K5" s="13"/>
      <c r="L5" s="13"/>
      <c r="M5" s="13"/>
      <c r="N5" s="13"/>
      <c r="O5" s="13"/>
      <c r="P5" s="13"/>
      <c r="Q5" s="13"/>
      <c r="R5" s="13"/>
      <c r="S5" s="13"/>
      <c r="T5" s="13"/>
      <c r="U5" s="13"/>
      <c r="V5" s="13"/>
      <c r="W5" s="13"/>
      <c r="X5" s="13"/>
      <c r="Y5" s="13"/>
      <c r="Z5" s="13"/>
    </row>
    <row r="6" spans="1:26" ht="15" customHeight="1">
      <c r="A6" s="13"/>
      <c r="B6" s="13"/>
      <c r="C6" s="349">
        <f>Hipótesis!D24</f>
        <v>107520</v>
      </c>
      <c r="D6" s="349">
        <f>Hipótesis!D25</f>
        <v>389760</v>
      </c>
      <c r="E6" s="349">
        <f>Hipótesis!D26</f>
        <v>698880</v>
      </c>
      <c r="F6" s="13"/>
      <c r="G6" s="350"/>
      <c r="H6" s="350"/>
      <c r="I6" s="350"/>
      <c r="J6" s="13"/>
      <c r="K6" s="13"/>
      <c r="L6" s="13"/>
      <c r="M6" s="13"/>
      <c r="N6" s="13"/>
      <c r="O6" s="13"/>
      <c r="P6" s="13"/>
      <c r="Q6" s="13"/>
      <c r="R6" s="13"/>
      <c r="S6" s="13"/>
      <c r="T6" s="13"/>
      <c r="U6" s="13"/>
      <c r="V6" s="13"/>
      <c r="W6" s="13"/>
      <c r="X6" s="13"/>
      <c r="Y6" s="13"/>
      <c r="Z6" s="13"/>
    </row>
    <row r="7" spans="1:26" ht="15" customHeight="1">
      <c r="A7" s="13"/>
      <c r="B7" s="13"/>
      <c r="C7" s="13"/>
      <c r="D7" s="13"/>
      <c r="E7" s="13"/>
      <c r="F7" s="13"/>
      <c r="G7" s="692" t="s">
        <v>245</v>
      </c>
      <c r="H7" s="692"/>
      <c r="I7" s="692"/>
      <c r="J7" s="13"/>
      <c r="K7" s="13"/>
      <c r="L7" s="13"/>
      <c r="M7" s="13"/>
      <c r="N7" s="13"/>
      <c r="O7" s="13"/>
      <c r="P7" s="13"/>
      <c r="Q7" s="13"/>
      <c r="R7" s="13"/>
      <c r="S7" s="13"/>
      <c r="T7" s="13"/>
      <c r="U7" s="13"/>
      <c r="V7" s="13"/>
      <c r="W7" s="13"/>
      <c r="X7" s="13"/>
      <c r="Y7" s="13"/>
      <c r="Z7" s="13"/>
    </row>
    <row r="8" spans="1:26" ht="15" customHeight="1">
      <c r="A8" s="13"/>
      <c r="B8" s="13"/>
      <c r="C8" s="13"/>
      <c r="D8" s="13"/>
      <c r="E8" s="13"/>
      <c r="F8" s="13"/>
      <c r="G8" s="346">
        <v>2026</v>
      </c>
      <c r="H8" s="346">
        <v>2027</v>
      </c>
      <c r="I8" s="346">
        <v>2028</v>
      </c>
      <c r="J8" s="13"/>
      <c r="K8" s="13"/>
      <c r="L8" s="13"/>
      <c r="M8" s="13"/>
      <c r="N8" s="13"/>
      <c r="O8" s="13"/>
      <c r="P8" s="13"/>
      <c r="Q8" s="13"/>
      <c r="R8" s="13"/>
      <c r="S8" s="13"/>
      <c r="T8" s="13"/>
      <c r="U8" s="13"/>
      <c r="V8" s="13"/>
      <c r="W8" s="13"/>
      <c r="X8" s="13"/>
      <c r="Y8" s="13"/>
      <c r="Z8" s="13"/>
    </row>
    <row r="9" spans="1:26" ht="15" customHeight="1">
      <c r="A9" s="13"/>
      <c r="B9" s="13"/>
      <c r="C9" s="13"/>
      <c r="D9" s="13"/>
      <c r="E9" s="13"/>
      <c r="F9" s="13"/>
      <c r="G9" s="348">
        <f>SUM(P23:P24)</f>
        <v>2400</v>
      </c>
      <c r="H9" s="348">
        <f>SUM(P41:P42)</f>
        <v>33240</v>
      </c>
      <c r="I9" s="348">
        <f>SUM(P60:P61)</f>
        <v>52320</v>
      </c>
      <c r="J9" s="13"/>
      <c r="K9" s="13"/>
      <c r="L9" s="13"/>
      <c r="M9" s="13"/>
      <c r="N9" s="13"/>
      <c r="O9" s="13"/>
      <c r="P9" s="13"/>
      <c r="Q9" s="13"/>
      <c r="R9" s="13"/>
      <c r="S9" s="13"/>
      <c r="T9" s="13"/>
      <c r="U9" s="13"/>
      <c r="V9" s="13"/>
      <c r="W9" s="13"/>
      <c r="X9" s="13"/>
      <c r="Y9" s="13"/>
      <c r="Z9" s="13"/>
    </row>
    <row r="10" spans="1:26" ht="1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5" customHeight="1">
      <c r="A11" s="13"/>
      <c r="B11" s="345" t="s">
        <v>246</v>
      </c>
      <c r="R11" s="13"/>
      <c r="S11" s="13"/>
      <c r="T11" s="13"/>
      <c r="U11" s="13"/>
      <c r="V11" s="13"/>
      <c r="W11" s="13"/>
      <c r="X11" s="13"/>
      <c r="Y11" s="13"/>
      <c r="Z11" s="13"/>
    </row>
    <row r="12" spans="1:26" ht="15" customHeight="1">
      <c r="A12" s="13"/>
      <c r="B12" s="346" t="s">
        <v>247</v>
      </c>
      <c r="C12" s="346" t="s">
        <v>97</v>
      </c>
      <c r="D12" s="346" t="s">
        <v>80</v>
      </c>
      <c r="E12" s="346" t="s">
        <v>81</v>
      </c>
      <c r="F12" s="346" t="s">
        <v>82</v>
      </c>
      <c r="G12" s="346" t="s">
        <v>83</v>
      </c>
      <c r="H12" s="346" t="s">
        <v>84</v>
      </c>
      <c r="I12" s="346" t="s">
        <v>85</v>
      </c>
      <c r="J12" s="346" t="s">
        <v>86</v>
      </c>
      <c r="K12" s="346" t="s">
        <v>87</v>
      </c>
      <c r="L12" s="346" t="s">
        <v>88</v>
      </c>
      <c r="M12" s="346" t="s">
        <v>89</v>
      </c>
      <c r="N12" s="346" t="s">
        <v>90</v>
      </c>
      <c r="O12" s="346" t="s">
        <v>91</v>
      </c>
      <c r="P12" s="346" t="s">
        <v>248</v>
      </c>
      <c r="Q12" s="346" t="s">
        <v>249</v>
      </c>
      <c r="R12" s="13"/>
      <c r="S12" s="13"/>
      <c r="T12" s="13"/>
      <c r="U12" s="13"/>
      <c r="V12" s="13"/>
      <c r="W12" s="13"/>
      <c r="X12" s="13"/>
      <c r="Y12" s="13"/>
      <c r="Z12" s="13"/>
    </row>
    <row r="13" spans="1:26" ht="15" customHeight="1">
      <c r="A13" s="13"/>
      <c r="B13" s="693" t="s">
        <v>250</v>
      </c>
      <c r="C13" s="351" t="s">
        <v>251</v>
      </c>
      <c r="D13" s="349">
        <v>45</v>
      </c>
      <c r="E13" s="349">
        <v>45</v>
      </c>
      <c r="F13" s="349">
        <v>45</v>
      </c>
      <c r="G13" s="349">
        <v>45</v>
      </c>
      <c r="H13" s="349">
        <v>45</v>
      </c>
      <c r="I13" s="349">
        <v>45</v>
      </c>
      <c r="J13" s="349">
        <v>45</v>
      </c>
      <c r="K13" s="349">
        <v>45</v>
      </c>
      <c r="L13" s="349">
        <v>45</v>
      </c>
      <c r="M13" s="349">
        <v>45</v>
      </c>
      <c r="N13" s="349">
        <v>45</v>
      </c>
      <c r="O13" s="349">
        <v>45</v>
      </c>
      <c r="P13" s="352">
        <f t="shared" ref="P13:P26" si="0">SUM(D13:O13)</f>
        <v>540</v>
      </c>
      <c r="Q13" s="353"/>
      <c r="R13" s="13"/>
      <c r="S13" s="13"/>
      <c r="T13" s="13"/>
      <c r="U13" s="13"/>
      <c r="V13" s="13"/>
      <c r="W13" s="13"/>
      <c r="X13" s="13"/>
      <c r="Y13" s="13"/>
      <c r="Z13" s="13"/>
    </row>
    <row r="14" spans="1:26" ht="15" customHeight="1">
      <c r="A14" s="13"/>
      <c r="B14" s="693"/>
      <c r="C14" s="351" t="s">
        <v>252</v>
      </c>
      <c r="D14" s="349">
        <v>15</v>
      </c>
      <c r="E14" s="349">
        <v>15</v>
      </c>
      <c r="F14" s="349">
        <v>15</v>
      </c>
      <c r="G14" s="349">
        <v>15</v>
      </c>
      <c r="H14" s="349">
        <v>15</v>
      </c>
      <c r="I14" s="349">
        <v>15</v>
      </c>
      <c r="J14" s="349">
        <v>15</v>
      </c>
      <c r="K14" s="349">
        <v>15</v>
      </c>
      <c r="L14" s="349">
        <v>15</v>
      </c>
      <c r="M14" s="349">
        <v>15</v>
      </c>
      <c r="N14" s="349">
        <v>15</v>
      </c>
      <c r="O14" s="349">
        <v>15</v>
      </c>
      <c r="P14" s="352">
        <f t="shared" si="0"/>
        <v>180</v>
      </c>
      <c r="Q14" s="353"/>
      <c r="R14" s="13"/>
      <c r="S14" s="13"/>
      <c r="T14" s="13"/>
      <c r="U14" s="13"/>
      <c r="V14" s="13"/>
      <c r="W14" s="13"/>
      <c r="X14" s="13"/>
      <c r="Y14" s="13"/>
      <c r="Z14" s="13"/>
    </row>
    <row r="15" spans="1:26" ht="15" customHeight="1">
      <c r="A15" s="13"/>
      <c r="B15" s="693"/>
      <c r="C15" s="351" t="s">
        <v>253</v>
      </c>
      <c r="D15" s="349">
        <v>60</v>
      </c>
      <c r="E15" s="349">
        <v>60</v>
      </c>
      <c r="F15" s="349">
        <v>60</v>
      </c>
      <c r="G15" s="349">
        <v>60</v>
      </c>
      <c r="H15" s="349">
        <v>60</v>
      </c>
      <c r="I15" s="349">
        <v>60</v>
      </c>
      <c r="J15" s="349">
        <v>60</v>
      </c>
      <c r="K15" s="349">
        <v>60</v>
      </c>
      <c r="L15" s="349">
        <v>60</v>
      </c>
      <c r="M15" s="349">
        <v>60</v>
      </c>
      <c r="N15" s="349">
        <v>60</v>
      </c>
      <c r="O15" s="349">
        <v>60</v>
      </c>
      <c r="P15" s="352">
        <f t="shared" si="0"/>
        <v>720</v>
      </c>
      <c r="Q15" s="353"/>
      <c r="R15" s="13"/>
      <c r="S15" s="13"/>
      <c r="T15" s="13"/>
      <c r="U15" s="13"/>
      <c r="V15" s="13"/>
      <c r="W15" s="13"/>
      <c r="X15" s="13"/>
      <c r="Y15" s="13"/>
      <c r="Z15" s="13"/>
    </row>
    <row r="16" spans="1:26" ht="15" customHeight="1">
      <c r="A16" s="13"/>
      <c r="B16" s="693"/>
      <c r="C16" s="351" t="s">
        <v>254</v>
      </c>
      <c r="D16" s="349">
        <v>30</v>
      </c>
      <c r="E16" s="349">
        <v>30</v>
      </c>
      <c r="F16" s="349">
        <v>30</v>
      </c>
      <c r="G16" s="349">
        <v>30</v>
      </c>
      <c r="H16" s="349">
        <v>30</v>
      </c>
      <c r="I16" s="349">
        <v>30</v>
      </c>
      <c r="J16" s="349">
        <v>30</v>
      </c>
      <c r="K16" s="349">
        <v>30</v>
      </c>
      <c r="L16" s="349">
        <v>30</v>
      </c>
      <c r="M16" s="349">
        <v>30</v>
      </c>
      <c r="N16" s="349">
        <v>30</v>
      </c>
      <c r="O16" s="349">
        <v>30</v>
      </c>
      <c r="P16" s="352">
        <f t="shared" si="0"/>
        <v>360</v>
      </c>
      <c r="Q16" s="353" t="s">
        <v>255</v>
      </c>
      <c r="R16" s="13"/>
      <c r="S16" s="13"/>
      <c r="T16" s="13"/>
      <c r="U16" s="13"/>
      <c r="V16" s="13"/>
      <c r="W16" s="13"/>
      <c r="X16" s="13"/>
      <c r="Y16" s="13"/>
      <c r="Z16" s="13"/>
    </row>
    <row r="17" spans="1:26" ht="15" customHeight="1">
      <c r="A17" s="13"/>
      <c r="B17" s="693"/>
      <c r="C17" s="351" t="s">
        <v>256</v>
      </c>
      <c r="D17" s="349">
        <v>250</v>
      </c>
      <c r="E17" s="349">
        <v>250</v>
      </c>
      <c r="F17" s="349">
        <v>250</v>
      </c>
      <c r="G17" s="349">
        <v>250</v>
      </c>
      <c r="H17" s="349">
        <v>250</v>
      </c>
      <c r="I17" s="349">
        <v>250</v>
      </c>
      <c r="J17" s="349">
        <v>250</v>
      </c>
      <c r="K17" s="349">
        <v>250</v>
      </c>
      <c r="L17" s="349">
        <v>250</v>
      </c>
      <c r="M17" s="349">
        <v>250</v>
      </c>
      <c r="N17" s="349">
        <v>250</v>
      </c>
      <c r="O17" s="349">
        <v>250</v>
      </c>
      <c r="P17" s="352">
        <f t="shared" si="0"/>
        <v>3000</v>
      </c>
      <c r="Q17" s="353" t="s">
        <v>257</v>
      </c>
      <c r="R17" s="13"/>
      <c r="S17" s="13"/>
      <c r="T17" s="13"/>
      <c r="U17" s="13"/>
      <c r="V17" s="13"/>
      <c r="W17" s="13"/>
      <c r="X17" s="13"/>
      <c r="Y17" s="13"/>
      <c r="Z17" s="13"/>
    </row>
    <row r="18" spans="1:26" ht="15" customHeight="1">
      <c r="A18" s="13"/>
      <c r="B18" s="693"/>
      <c r="C18" s="351" t="s">
        <v>258</v>
      </c>
      <c r="D18" s="349">
        <v>120</v>
      </c>
      <c r="E18" s="349">
        <v>120</v>
      </c>
      <c r="F18" s="349">
        <v>120</v>
      </c>
      <c r="G18" s="349">
        <v>120</v>
      </c>
      <c r="H18" s="349">
        <v>120</v>
      </c>
      <c r="I18" s="349">
        <v>120</v>
      </c>
      <c r="J18" s="349">
        <v>120</v>
      </c>
      <c r="K18" s="349">
        <v>120</v>
      </c>
      <c r="L18" s="349">
        <v>120</v>
      </c>
      <c r="M18" s="349">
        <v>120</v>
      </c>
      <c r="N18" s="349">
        <v>120</v>
      </c>
      <c r="O18" s="349">
        <v>120</v>
      </c>
      <c r="P18" s="352">
        <f t="shared" si="0"/>
        <v>1440</v>
      </c>
      <c r="Q18" s="353" t="s">
        <v>259</v>
      </c>
      <c r="R18" s="13"/>
      <c r="S18" s="13"/>
      <c r="T18" s="13"/>
      <c r="U18" s="13"/>
      <c r="V18" s="13"/>
      <c r="W18" s="13"/>
      <c r="X18" s="13"/>
      <c r="Y18" s="13"/>
      <c r="Z18" s="13"/>
    </row>
    <row r="19" spans="1:26" ht="15" customHeight="1">
      <c r="A19" s="13"/>
      <c r="B19" s="693" t="s">
        <v>260</v>
      </c>
      <c r="C19" s="351" t="s">
        <v>111</v>
      </c>
      <c r="D19" s="349">
        <v>600</v>
      </c>
      <c r="E19" s="349">
        <v>600</v>
      </c>
      <c r="F19" s="349">
        <v>600</v>
      </c>
      <c r="G19" s="349">
        <v>600</v>
      </c>
      <c r="H19" s="349">
        <v>600</v>
      </c>
      <c r="I19" s="349">
        <v>600</v>
      </c>
      <c r="J19" s="349">
        <v>600</v>
      </c>
      <c r="K19" s="349">
        <v>600</v>
      </c>
      <c r="L19" s="349">
        <v>600</v>
      </c>
      <c r="M19" s="349">
        <v>600</v>
      </c>
      <c r="N19" s="349">
        <v>600</v>
      </c>
      <c r="O19" s="349">
        <v>600</v>
      </c>
      <c r="P19" s="352">
        <f t="shared" si="0"/>
        <v>7200</v>
      </c>
      <c r="Q19" s="353" t="s">
        <v>261</v>
      </c>
      <c r="R19" s="13"/>
      <c r="S19" s="13"/>
      <c r="T19" s="13"/>
      <c r="U19" s="13"/>
      <c r="V19" s="13"/>
      <c r="W19" s="13"/>
      <c r="X19" s="13"/>
      <c r="Y19" s="13"/>
      <c r="Z19" s="13"/>
    </row>
    <row r="20" spans="1:26" ht="15" customHeight="1">
      <c r="A20" s="13"/>
      <c r="B20" s="693"/>
      <c r="C20" s="351" t="s">
        <v>262</v>
      </c>
      <c r="D20" s="349">
        <v>0</v>
      </c>
      <c r="E20" s="349">
        <v>0</v>
      </c>
      <c r="F20" s="349">
        <v>0</v>
      </c>
      <c r="G20" s="349">
        <v>0</v>
      </c>
      <c r="H20" s="349">
        <v>0</v>
      </c>
      <c r="I20" s="349">
        <v>0</v>
      </c>
      <c r="J20" s="349">
        <v>0</v>
      </c>
      <c r="K20" s="349">
        <v>0</v>
      </c>
      <c r="L20" s="349">
        <v>0</v>
      </c>
      <c r="M20" s="349">
        <v>0</v>
      </c>
      <c r="N20" s="349">
        <v>0</v>
      </c>
      <c r="O20" s="349">
        <v>0</v>
      </c>
      <c r="P20" s="352">
        <f t="shared" si="0"/>
        <v>0</v>
      </c>
      <c r="Q20" s="353" t="s">
        <v>263</v>
      </c>
      <c r="R20" s="13"/>
      <c r="S20" s="13"/>
      <c r="T20" s="13"/>
      <c r="U20" s="13"/>
      <c r="V20" s="13"/>
      <c r="W20" s="13"/>
      <c r="X20" s="13"/>
      <c r="Y20" s="13"/>
      <c r="Z20" s="13"/>
    </row>
    <row r="21" spans="1:26" ht="15" customHeight="1">
      <c r="A21" s="13"/>
      <c r="B21" s="693" t="s">
        <v>264</v>
      </c>
      <c r="C21" s="351" t="s">
        <v>265</v>
      </c>
      <c r="D21" s="349">
        <v>400</v>
      </c>
      <c r="E21" s="349">
        <v>400</v>
      </c>
      <c r="F21" s="349">
        <v>400</v>
      </c>
      <c r="G21" s="349">
        <v>400</v>
      </c>
      <c r="H21" s="349">
        <v>400</v>
      </c>
      <c r="I21" s="349">
        <v>400</v>
      </c>
      <c r="J21" s="349">
        <v>400</v>
      </c>
      <c r="K21" s="349">
        <v>400</v>
      </c>
      <c r="L21" s="349">
        <v>400</v>
      </c>
      <c r="M21" s="349">
        <v>400</v>
      </c>
      <c r="N21" s="349">
        <v>400</v>
      </c>
      <c r="O21" s="349">
        <v>400</v>
      </c>
      <c r="P21" s="352">
        <f t="shared" si="0"/>
        <v>4800</v>
      </c>
      <c r="Q21" s="353" t="s">
        <v>266</v>
      </c>
      <c r="R21" s="13"/>
      <c r="S21" s="13"/>
      <c r="T21" s="13"/>
      <c r="U21" s="13"/>
      <c r="V21" s="13"/>
      <c r="W21" s="13"/>
      <c r="X21" s="13"/>
      <c r="Y21" s="13"/>
      <c r="Z21" s="13"/>
    </row>
    <row r="22" spans="1:26" ht="15" customHeight="1">
      <c r="A22" s="13"/>
      <c r="B22" s="693"/>
      <c r="C22" s="351" t="s">
        <v>267</v>
      </c>
      <c r="D22" s="349">
        <v>400</v>
      </c>
      <c r="E22" s="349">
        <v>400</v>
      </c>
      <c r="F22" s="349">
        <v>400</v>
      </c>
      <c r="G22" s="349">
        <v>400</v>
      </c>
      <c r="H22" s="349">
        <v>400</v>
      </c>
      <c r="I22" s="349">
        <v>400</v>
      </c>
      <c r="J22" s="349">
        <v>400</v>
      </c>
      <c r="K22" s="349">
        <v>400</v>
      </c>
      <c r="L22" s="349">
        <v>400</v>
      </c>
      <c r="M22" s="349">
        <v>400</v>
      </c>
      <c r="N22" s="349">
        <v>400</v>
      </c>
      <c r="O22" s="349">
        <v>400</v>
      </c>
      <c r="P22" s="352">
        <f t="shared" si="0"/>
        <v>4800</v>
      </c>
      <c r="Q22" s="353" t="s">
        <v>268</v>
      </c>
      <c r="R22" s="13"/>
      <c r="S22" s="13"/>
      <c r="T22" s="13"/>
      <c r="U22" s="13"/>
      <c r="V22" s="13"/>
      <c r="W22" s="13"/>
      <c r="X22" s="13"/>
      <c r="Y22" s="13"/>
      <c r="Z22" s="13"/>
    </row>
    <row r="23" spans="1:26" ht="15" customHeight="1">
      <c r="A23" s="13"/>
      <c r="B23" s="693" t="s">
        <v>269</v>
      </c>
      <c r="C23" s="351" t="s">
        <v>270</v>
      </c>
      <c r="D23" s="349">
        <v>150</v>
      </c>
      <c r="E23" s="349">
        <v>150</v>
      </c>
      <c r="F23" s="349">
        <v>150</v>
      </c>
      <c r="G23" s="349">
        <v>150</v>
      </c>
      <c r="H23" s="349">
        <v>150</v>
      </c>
      <c r="I23" s="349">
        <v>150</v>
      </c>
      <c r="J23" s="349">
        <v>150</v>
      </c>
      <c r="K23" s="349">
        <v>150</v>
      </c>
      <c r="L23" s="349">
        <v>150</v>
      </c>
      <c r="M23" s="349">
        <v>150</v>
      </c>
      <c r="N23" s="349">
        <v>150</v>
      </c>
      <c r="O23" s="349">
        <v>150</v>
      </c>
      <c r="P23" s="352">
        <f t="shared" si="0"/>
        <v>1800</v>
      </c>
      <c r="Q23" s="353" t="s">
        <v>271</v>
      </c>
      <c r="R23" s="13"/>
      <c r="S23" s="13"/>
      <c r="T23" s="13"/>
      <c r="U23" s="13"/>
      <c r="V23" s="13"/>
      <c r="W23" s="13"/>
      <c r="X23" s="13"/>
      <c r="Y23" s="13"/>
      <c r="Z23" s="13"/>
    </row>
    <row r="24" spans="1:26" ht="15" customHeight="1">
      <c r="A24" s="13"/>
      <c r="B24" s="693"/>
      <c r="C24" s="351" t="s">
        <v>272</v>
      </c>
      <c r="D24" s="349">
        <v>50</v>
      </c>
      <c r="E24" s="349">
        <v>50</v>
      </c>
      <c r="F24" s="349">
        <v>50</v>
      </c>
      <c r="G24" s="349">
        <v>50</v>
      </c>
      <c r="H24" s="349">
        <v>50</v>
      </c>
      <c r="I24" s="349">
        <v>50</v>
      </c>
      <c r="J24" s="349">
        <v>50</v>
      </c>
      <c r="K24" s="349">
        <v>50</v>
      </c>
      <c r="L24" s="349">
        <v>50</v>
      </c>
      <c r="M24" s="349">
        <v>50</v>
      </c>
      <c r="N24" s="349">
        <v>50</v>
      </c>
      <c r="O24" s="349">
        <v>50</v>
      </c>
      <c r="P24" s="352">
        <f t="shared" si="0"/>
        <v>600</v>
      </c>
      <c r="Q24" s="353"/>
      <c r="R24" s="13"/>
      <c r="S24" s="13"/>
      <c r="T24" s="13"/>
      <c r="U24" s="13"/>
      <c r="V24" s="13"/>
      <c r="W24" s="13"/>
      <c r="X24" s="13"/>
      <c r="Y24" s="13"/>
      <c r="Z24" s="13"/>
    </row>
    <row r="25" spans="1:26" ht="15" customHeight="1">
      <c r="A25" s="13"/>
      <c r="B25" s="354"/>
      <c r="C25" s="351" t="s">
        <v>273</v>
      </c>
      <c r="D25" s="349">
        <v>600</v>
      </c>
      <c r="E25" s="349">
        <v>600</v>
      </c>
      <c r="F25" s="349">
        <v>600</v>
      </c>
      <c r="G25" s="349">
        <v>600</v>
      </c>
      <c r="H25" s="349">
        <v>600</v>
      </c>
      <c r="I25" s="349">
        <v>600</v>
      </c>
      <c r="J25" s="349">
        <v>600</v>
      </c>
      <c r="K25" s="349">
        <v>600</v>
      </c>
      <c r="L25" s="349">
        <v>600</v>
      </c>
      <c r="M25" s="349">
        <v>600</v>
      </c>
      <c r="N25" s="349">
        <v>600</v>
      </c>
      <c r="O25" s="349">
        <v>600</v>
      </c>
      <c r="P25" s="352">
        <f t="shared" si="0"/>
        <v>7200</v>
      </c>
      <c r="Q25" s="353" t="s">
        <v>274</v>
      </c>
      <c r="R25" s="13"/>
      <c r="S25" s="13"/>
      <c r="T25" s="13"/>
      <c r="U25" s="13"/>
      <c r="V25" s="13"/>
      <c r="W25" s="13"/>
      <c r="X25" s="13"/>
      <c r="Y25" s="13"/>
      <c r="Z25" s="13"/>
    </row>
    <row r="26" spans="1:26" ht="15" customHeight="1">
      <c r="A26" s="13"/>
      <c r="B26" s="355" t="s">
        <v>275</v>
      </c>
      <c r="C26" s="356"/>
      <c r="D26" s="357">
        <f t="shared" ref="D26:O26" si="1">SUM(D13:D25)</f>
        <v>2720</v>
      </c>
      <c r="E26" s="357">
        <f t="shared" si="1"/>
        <v>2720</v>
      </c>
      <c r="F26" s="357">
        <f t="shared" si="1"/>
        <v>2720</v>
      </c>
      <c r="G26" s="357">
        <f t="shared" si="1"/>
        <v>2720</v>
      </c>
      <c r="H26" s="357">
        <f t="shared" si="1"/>
        <v>2720</v>
      </c>
      <c r="I26" s="357">
        <f t="shared" si="1"/>
        <v>2720</v>
      </c>
      <c r="J26" s="357">
        <f t="shared" si="1"/>
        <v>2720</v>
      </c>
      <c r="K26" s="357">
        <f t="shared" si="1"/>
        <v>2720</v>
      </c>
      <c r="L26" s="357">
        <f t="shared" si="1"/>
        <v>2720</v>
      </c>
      <c r="M26" s="357">
        <f t="shared" si="1"/>
        <v>2720</v>
      </c>
      <c r="N26" s="357">
        <f t="shared" si="1"/>
        <v>2720</v>
      </c>
      <c r="O26" s="357">
        <f t="shared" si="1"/>
        <v>2720</v>
      </c>
      <c r="P26" s="357">
        <f t="shared" si="0"/>
        <v>32640</v>
      </c>
      <c r="Q26" s="356"/>
      <c r="R26" s="13"/>
      <c r="S26" s="13"/>
      <c r="T26" s="13"/>
      <c r="U26" s="13"/>
      <c r="V26" s="13"/>
      <c r="W26" s="13"/>
      <c r="X26" s="13"/>
      <c r="Y26" s="13"/>
      <c r="Z26" s="13"/>
    </row>
    <row r="27" spans="1:26" ht="1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 customHeight="1">
      <c r="A29" s="13"/>
      <c r="B29" s="345" t="s">
        <v>276</v>
      </c>
      <c r="R29" s="13"/>
      <c r="S29" s="13"/>
      <c r="T29" s="13"/>
      <c r="U29" s="13"/>
      <c r="V29" s="13"/>
      <c r="W29" s="13"/>
      <c r="X29" s="13"/>
      <c r="Y29" s="13"/>
      <c r="Z29" s="13"/>
    </row>
    <row r="30" spans="1:26" ht="18" customHeight="1">
      <c r="A30" s="13"/>
      <c r="B30" s="346" t="s">
        <v>247</v>
      </c>
      <c r="C30" s="346" t="s">
        <v>97</v>
      </c>
      <c r="D30" s="346" t="s">
        <v>80</v>
      </c>
      <c r="E30" s="346" t="s">
        <v>81</v>
      </c>
      <c r="F30" s="346" t="s">
        <v>82</v>
      </c>
      <c r="G30" s="346" t="s">
        <v>83</v>
      </c>
      <c r="H30" s="346" t="s">
        <v>84</v>
      </c>
      <c r="I30" s="346" t="s">
        <v>85</v>
      </c>
      <c r="J30" s="346" t="s">
        <v>86</v>
      </c>
      <c r="K30" s="346" t="s">
        <v>87</v>
      </c>
      <c r="L30" s="346" t="s">
        <v>88</v>
      </c>
      <c r="M30" s="346" t="s">
        <v>89</v>
      </c>
      <c r="N30" s="346" t="s">
        <v>90</v>
      </c>
      <c r="O30" s="346" t="s">
        <v>91</v>
      </c>
      <c r="P30" s="346" t="s">
        <v>248</v>
      </c>
      <c r="Q30" s="346" t="s">
        <v>249</v>
      </c>
      <c r="R30" s="13"/>
      <c r="S30" s="13"/>
      <c r="T30" s="13"/>
      <c r="U30" s="13"/>
      <c r="V30" s="13"/>
      <c r="W30" s="13"/>
      <c r="X30" s="13"/>
      <c r="Y30" s="13"/>
      <c r="Z30" s="13"/>
    </row>
    <row r="31" spans="1:26" ht="14.25" customHeight="1">
      <c r="A31" s="13"/>
      <c r="B31" s="693" t="s">
        <v>250</v>
      </c>
      <c r="C31" s="351" t="s">
        <v>251</v>
      </c>
      <c r="D31" s="349">
        <v>45</v>
      </c>
      <c r="E31" s="349">
        <v>45</v>
      </c>
      <c r="F31" s="349">
        <v>45</v>
      </c>
      <c r="G31" s="349">
        <v>45</v>
      </c>
      <c r="H31" s="349">
        <v>45</v>
      </c>
      <c r="I31" s="349">
        <v>45</v>
      </c>
      <c r="J31" s="349">
        <v>45</v>
      </c>
      <c r="K31" s="349">
        <v>45</v>
      </c>
      <c r="L31" s="349">
        <v>45</v>
      </c>
      <c r="M31" s="349">
        <v>45</v>
      </c>
      <c r="N31" s="349">
        <v>45</v>
      </c>
      <c r="O31" s="349">
        <v>45</v>
      </c>
      <c r="P31" s="352">
        <f t="shared" ref="P31:P44" si="2">SUM(D31:O31)</f>
        <v>540</v>
      </c>
      <c r="Q31" s="353"/>
      <c r="R31" s="13"/>
      <c r="S31" s="13"/>
      <c r="T31" s="13"/>
      <c r="U31" s="13"/>
      <c r="V31" s="13"/>
      <c r="W31" s="13"/>
      <c r="X31" s="13"/>
      <c r="Y31" s="13"/>
      <c r="Z31" s="13"/>
    </row>
    <row r="32" spans="1:26" ht="14.25" customHeight="1">
      <c r="A32" s="13"/>
      <c r="B32" s="693"/>
      <c r="C32" s="351" t="s">
        <v>252</v>
      </c>
      <c r="D32" s="349">
        <v>15</v>
      </c>
      <c r="E32" s="349">
        <v>15</v>
      </c>
      <c r="F32" s="349">
        <v>15</v>
      </c>
      <c r="G32" s="349">
        <v>15</v>
      </c>
      <c r="H32" s="349">
        <v>15</v>
      </c>
      <c r="I32" s="349">
        <v>15</v>
      </c>
      <c r="J32" s="349">
        <v>15</v>
      </c>
      <c r="K32" s="349">
        <v>15</v>
      </c>
      <c r="L32" s="349">
        <v>15</v>
      </c>
      <c r="M32" s="349">
        <v>15</v>
      </c>
      <c r="N32" s="349">
        <v>15</v>
      </c>
      <c r="O32" s="349">
        <v>15</v>
      </c>
      <c r="P32" s="352">
        <f t="shared" si="2"/>
        <v>180</v>
      </c>
      <c r="Q32" s="353"/>
      <c r="R32" s="13"/>
      <c r="S32" s="13"/>
      <c r="T32" s="13"/>
      <c r="U32" s="13"/>
      <c r="V32" s="13"/>
      <c r="W32" s="13"/>
      <c r="X32" s="13"/>
      <c r="Y32" s="13"/>
      <c r="Z32" s="13"/>
    </row>
    <row r="33" spans="1:26" ht="14.25" customHeight="1">
      <c r="A33" s="13"/>
      <c r="B33" s="693"/>
      <c r="C33" s="351" t="s">
        <v>253</v>
      </c>
      <c r="D33" s="349">
        <v>60</v>
      </c>
      <c r="E33" s="349">
        <v>60</v>
      </c>
      <c r="F33" s="349">
        <v>60</v>
      </c>
      <c r="G33" s="349">
        <v>60</v>
      </c>
      <c r="H33" s="349">
        <v>60</v>
      </c>
      <c r="I33" s="349">
        <v>60</v>
      </c>
      <c r="J33" s="349">
        <v>60</v>
      </c>
      <c r="K33" s="349">
        <v>60</v>
      </c>
      <c r="L33" s="349">
        <v>60</v>
      </c>
      <c r="M33" s="349">
        <v>60</v>
      </c>
      <c r="N33" s="349">
        <v>60</v>
      </c>
      <c r="O33" s="349">
        <v>60</v>
      </c>
      <c r="P33" s="352">
        <f t="shared" si="2"/>
        <v>720</v>
      </c>
      <c r="Q33" s="353"/>
      <c r="R33" s="13"/>
      <c r="S33" s="13"/>
      <c r="T33" s="13"/>
      <c r="U33" s="13"/>
      <c r="V33" s="13"/>
      <c r="W33" s="13"/>
      <c r="X33" s="13"/>
      <c r="Y33" s="13"/>
      <c r="Z33" s="13"/>
    </row>
    <row r="34" spans="1:26" ht="14.25" customHeight="1">
      <c r="A34" s="13"/>
      <c r="B34" s="693"/>
      <c r="C34" s="351" t="s">
        <v>254</v>
      </c>
      <c r="D34" s="349">
        <v>45</v>
      </c>
      <c r="E34" s="349">
        <v>45</v>
      </c>
      <c r="F34" s="349">
        <v>45</v>
      </c>
      <c r="G34" s="349">
        <v>45</v>
      </c>
      <c r="H34" s="349">
        <v>45</v>
      </c>
      <c r="I34" s="349">
        <v>45</v>
      </c>
      <c r="J34" s="349">
        <v>45</v>
      </c>
      <c r="K34" s="349">
        <v>45</v>
      </c>
      <c r="L34" s="349">
        <v>45</v>
      </c>
      <c r="M34" s="349">
        <v>45</v>
      </c>
      <c r="N34" s="349">
        <v>45</v>
      </c>
      <c r="O34" s="349">
        <v>45</v>
      </c>
      <c r="P34" s="352">
        <f t="shared" si="2"/>
        <v>540</v>
      </c>
      <c r="Q34" s="353" t="s">
        <v>255</v>
      </c>
      <c r="R34" s="13"/>
      <c r="S34" s="13"/>
      <c r="T34" s="13"/>
      <c r="U34" s="13"/>
      <c r="V34" s="13"/>
      <c r="W34" s="13"/>
      <c r="X34" s="13"/>
      <c r="Y34" s="13"/>
      <c r="Z34" s="13"/>
    </row>
    <row r="35" spans="1:26" ht="14.25" customHeight="1">
      <c r="A35" s="13"/>
      <c r="B35" s="693"/>
      <c r="C35" s="351" t="s">
        <v>256</v>
      </c>
      <c r="D35" s="349">
        <v>350</v>
      </c>
      <c r="E35" s="349">
        <v>350</v>
      </c>
      <c r="F35" s="349">
        <v>350</v>
      </c>
      <c r="G35" s="349">
        <v>350</v>
      </c>
      <c r="H35" s="349">
        <v>350</v>
      </c>
      <c r="I35" s="349">
        <v>350</v>
      </c>
      <c r="J35" s="349">
        <v>350</v>
      </c>
      <c r="K35" s="349">
        <v>350</v>
      </c>
      <c r="L35" s="349">
        <v>350</v>
      </c>
      <c r="M35" s="349">
        <v>350</v>
      </c>
      <c r="N35" s="349">
        <v>350</v>
      </c>
      <c r="O35" s="349">
        <v>350</v>
      </c>
      <c r="P35" s="352">
        <f t="shared" si="2"/>
        <v>4200</v>
      </c>
      <c r="Q35" s="353" t="s">
        <v>257</v>
      </c>
      <c r="R35" s="13"/>
      <c r="S35" s="13"/>
      <c r="T35" s="13"/>
      <c r="U35" s="13"/>
      <c r="V35" s="13"/>
      <c r="W35" s="13"/>
      <c r="X35" s="13"/>
      <c r="Y35" s="13"/>
      <c r="Z35" s="13"/>
    </row>
    <row r="36" spans="1:26" ht="14.25" customHeight="1">
      <c r="A36" s="13"/>
      <c r="B36" s="693"/>
      <c r="C36" s="351" t="s">
        <v>258</v>
      </c>
      <c r="D36" s="349">
        <v>140</v>
      </c>
      <c r="E36" s="349">
        <v>140</v>
      </c>
      <c r="F36" s="349">
        <v>140</v>
      </c>
      <c r="G36" s="349">
        <v>140</v>
      </c>
      <c r="H36" s="349">
        <v>140</v>
      </c>
      <c r="I36" s="349">
        <v>140</v>
      </c>
      <c r="J36" s="349">
        <v>140</v>
      </c>
      <c r="K36" s="349">
        <v>140</v>
      </c>
      <c r="L36" s="349">
        <v>140</v>
      </c>
      <c r="M36" s="349">
        <v>140</v>
      </c>
      <c r="N36" s="349">
        <v>140</v>
      </c>
      <c r="O36" s="349">
        <v>140</v>
      </c>
      <c r="P36" s="352">
        <f t="shared" si="2"/>
        <v>1680</v>
      </c>
      <c r="Q36" s="353" t="s">
        <v>259</v>
      </c>
      <c r="R36" s="13"/>
      <c r="S36" s="13"/>
      <c r="T36" s="13"/>
      <c r="U36" s="13"/>
      <c r="V36" s="13"/>
      <c r="W36" s="13"/>
      <c r="X36" s="13"/>
      <c r="Y36" s="13"/>
      <c r="Z36" s="13"/>
    </row>
    <row r="37" spans="1:26" ht="14.25" customHeight="1">
      <c r="A37" s="13"/>
      <c r="B37" s="693" t="s">
        <v>260</v>
      </c>
      <c r="C37" s="351" t="s">
        <v>111</v>
      </c>
      <c r="D37" s="349">
        <v>600</v>
      </c>
      <c r="E37" s="349">
        <v>600</v>
      </c>
      <c r="F37" s="349">
        <v>600</v>
      </c>
      <c r="G37" s="349">
        <v>600</v>
      </c>
      <c r="H37" s="349">
        <v>600</v>
      </c>
      <c r="I37" s="349">
        <v>600</v>
      </c>
      <c r="J37" s="349">
        <v>600</v>
      </c>
      <c r="K37" s="349">
        <v>600</v>
      </c>
      <c r="L37" s="349">
        <v>600</v>
      </c>
      <c r="M37" s="349">
        <v>600</v>
      </c>
      <c r="N37" s="349">
        <v>600</v>
      </c>
      <c r="O37" s="349">
        <v>600</v>
      </c>
      <c r="P37" s="352">
        <f t="shared" si="2"/>
        <v>7200</v>
      </c>
      <c r="Q37" s="353" t="s">
        <v>261</v>
      </c>
      <c r="R37" s="13"/>
      <c r="S37" s="13"/>
      <c r="T37" s="13"/>
      <c r="U37" s="13"/>
      <c r="V37" s="13"/>
      <c r="W37" s="13"/>
      <c r="X37" s="13"/>
      <c r="Y37" s="13"/>
      <c r="Z37" s="13"/>
    </row>
    <row r="38" spans="1:26" ht="14.25" customHeight="1">
      <c r="A38" s="13"/>
      <c r="B38" s="693"/>
      <c r="C38" s="351" t="s">
        <v>262</v>
      </c>
      <c r="D38" s="349">
        <v>400</v>
      </c>
      <c r="E38" s="349">
        <v>400</v>
      </c>
      <c r="F38" s="349">
        <v>400</v>
      </c>
      <c r="G38" s="349">
        <v>400</v>
      </c>
      <c r="H38" s="349">
        <v>400</v>
      </c>
      <c r="I38" s="349">
        <v>400</v>
      </c>
      <c r="J38" s="349">
        <v>400</v>
      </c>
      <c r="K38" s="349">
        <v>400</v>
      </c>
      <c r="L38" s="349">
        <v>400</v>
      </c>
      <c r="M38" s="349">
        <v>400</v>
      </c>
      <c r="N38" s="349">
        <v>400</v>
      </c>
      <c r="O38" s="349">
        <v>400</v>
      </c>
      <c r="P38" s="352">
        <f t="shared" si="2"/>
        <v>4800</v>
      </c>
      <c r="Q38" s="353" t="s">
        <v>263</v>
      </c>
      <c r="R38" s="13"/>
      <c r="S38" s="13"/>
      <c r="T38" s="13"/>
      <c r="U38" s="13"/>
      <c r="V38" s="13"/>
      <c r="W38" s="13"/>
      <c r="X38" s="13"/>
      <c r="Y38" s="13"/>
      <c r="Z38" s="13"/>
    </row>
    <row r="39" spans="1:26" ht="14.25" customHeight="1">
      <c r="A39" s="13"/>
      <c r="B39" s="693" t="s">
        <v>264</v>
      </c>
      <c r="C39" s="351" t="s">
        <v>265</v>
      </c>
      <c r="D39" s="349">
        <v>450</v>
      </c>
      <c r="E39" s="349">
        <v>450</v>
      </c>
      <c r="F39" s="349">
        <v>450</v>
      </c>
      <c r="G39" s="349">
        <v>450</v>
      </c>
      <c r="H39" s="349">
        <v>450</v>
      </c>
      <c r="I39" s="349">
        <v>450</v>
      </c>
      <c r="J39" s="349">
        <v>450</v>
      </c>
      <c r="K39" s="349">
        <v>450</v>
      </c>
      <c r="L39" s="349">
        <v>450</v>
      </c>
      <c r="M39" s="349">
        <v>450</v>
      </c>
      <c r="N39" s="349">
        <v>450</v>
      </c>
      <c r="O39" s="349">
        <v>450</v>
      </c>
      <c r="P39" s="352">
        <f t="shared" si="2"/>
        <v>5400</v>
      </c>
      <c r="Q39" s="353" t="s">
        <v>266</v>
      </c>
      <c r="R39" s="13"/>
      <c r="S39" s="13"/>
      <c r="T39" s="13"/>
      <c r="U39" s="13"/>
      <c r="V39" s="13"/>
      <c r="W39" s="13"/>
      <c r="X39" s="13"/>
      <c r="Y39" s="13"/>
      <c r="Z39" s="13"/>
    </row>
    <row r="40" spans="1:26" ht="14.25" customHeight="1">
      <c r="A40" s="13"/>
      <c r="B40" s="693"/>
      <c r="C40" s="351" t="s">
        <v>267</v>
      </c>
      <c r="D40" s="349">
        <v>400</v>
      </c>
      <c r="E40" s="349">
        <v>400</v>
      </c>
      <c r="F40" s="349">
        <v>400</v>
      </c>
      <c r="G40" s="349">
        <v>400</v>
      </c>
      <c r="H40" s="349">
        <v>400</v>
      </c>
      <c r="I40" s="349">
        <v>400</v>
      </c>
      <c r="J40" s="349">
        <v>400</v>
      </c>
      <c r="K40" s="349">
        <v>400</v>
      </c>
      <c r="L40" s="349">
        <v>400</v>
      </c>
      <c r="M40" s="349">
        <v>400</v>
      </c>
      <c r="N40" s="349">
        <v>400</v>
      </c>
      <c r="O40" s="349">
        <v>400</v>
      </c>
      <c r="P40" s="352">
        <f t="shared" si="2"/>
        <v>4800</v>
      </c>
      <c r="Q40" s="353" t="s">
        <v>268</v>
      </c>
      <c r="R40" s="13"/>
      <c r="S40" s="13"/>
      <c r="T40" s="13"/>
      <c r="U40" s="13"/>
      <c r="V40" s="13"/>
      <c r="W40" s="13"/>
      <c r="X40" s="13"/>
      <c r="Y40" s="13"/>
      <c r="Z40" s="13"/>
    </row>
    <row r="41" spans="1:26" ht="14.25" customHeight="1">
      <c r="A41" s="13"/>
      <c r="B41" s="693" t="s">
        <v>269</v>
      </c>
      <c r="C41" s="351" t="s">
        <v>270</v>
      </c>
      <c r="D41" s="349">
        <v>2720</v>
      </c>
      <c r="E41" s="349">
        <v>2720</v>
      </c>
      <c r="F41" s="349">
        <v>2720</v>
      </c>
      <c r="G41" s="349">
        <v>2720</v>
      </c>
      <c r="H41" s="349">
        <v>2720</v>
      </c>
      <c r="I41" s="349">
        <v>2720</v>
      </c>
      <c r="J41" s="349">
        <v>2720</v>
      </c>
      <c r="K41" s="349">
        <v>2720</v>
      </c>
      <c r="L41" s="349">
        <v>2720</v>
      </c>
      <c r="M41" s="349">
        <v>2720</v>
      </c>
      <c r="N41" s="349">
        <v>2720</v>
      </c>
      <c r="O41" s="349">
        <v>2720</v>
      </c>
      <c r="P41" s="352">
        <f t="shared" si="2"/>
        <v>32640</v>
      </c>
      <c r="Q41" s="353" t="s">
        <v>271</v>
      </c>
      <c r="R41" s="13"/>
      <c r="S41" s="13"/>
      <c r="T41" s="13"/>
      <c r="U41" s="13"/>
      <c r="V41" s="13"/>
      <c r="W41" s="13"/>
      <c r="X41" s="13"/>
      <c r="Y41" s="13"/>
      <c r="Z41" s="13"/>
    </row>
    <row r="42" spans="1:26" ht="14.25" customHeight="1">
      <c r="A42" s="13"/>
      <c r="B42" s="693"/>
      <c r="C42" s="351" t="s">
        <v>272</v>
      </c>
      <c r="D42" s="349">
        <v>50</v>
      </c>
      <c r="E42" s="349">
        <v>50</v>
      </c>
      <c r="F42" s="349">
        <v>50</v>
      </c>
      <c r="G42" s="349">
        <v>50</v>
      </c>
      <c r="H42" s="349">
        <v>50</v>
      </c>
      <c r="I42" s="349">
        <v>50</v>
      </c>
      <c r="J42" s="349">
        <v>50</v>
      </c>
      <c r="K42" s="349">
        <v>50</v>
      </c>
      <c r="L42" s="349">
        <v>50</v>
      </c>
      <c r="M42" s="349">
        <v>50</v>
      </c>
      <c r="N42" s="349">
        <v>50</v>
      </c>
      <c r="O42" s="349">
        <v>50</v>
      </c>
      <c r="P42" s="352">
        <f t="shared" si="2"/>
        <v>600</v>
      </c>
      <c r="Q42" s="353"/>
      <c r="R42" s="13"/>
      <c r="S42" s="13"/>
      <c r="T42" s="13"/>
      <c r="U42" s="13"/>
      <c r="V42" s="13"/>
      <c r="W42" s="13"/>
      <c r="X42" s="13"/>
      <c r="Y42" s="13"/>
      <c r="Z42" s="13"/>
    </row>
    <row r="43" spans="1:26" ht="14.25" customHeight="1">
      <c r="A43" s="13"/>
      <c r="B43" s="354"/>
      <c r="C43" s="351" t="s">
        <v>273</v>
      </c>
      <c r="D43" s="349">
        <v>1200</v>
      </c>
      <c r="E43" s="349">
        <v>1200</v>
      </c>
      <c r="F43" s="349">
        <v>1200</v>
      </c>
      <c r="G43" s="349">
        <v>1200</v>
      </c>
      <c r="H43" s="349">
        <v>1200</v>
      </c>
      <c r="I43" s="349">
        <v>1200</v>
      </c>
      <c r="J43" s="349">
        <v>1200</v>
      </c>
      <c r="K43" s="349">
        <v>1200</v>
      </c>
      <c r="L43" s="349">
        <v>1200</v>
      </c>
      <c r="M43" s="349">
        <v>1200</v>
      </c>
      <c r="N43" s="349">
        <v>1200</v>
      </c>
      <c r="O43" s="349">
        <v>1200</v>
      </c>
      <c r="P43" s="352">
        <f t="shared" si="2"/>
        <v>14400</v>
      </c>
      <c r="Q43" s="353" t="s">
        <v>274</v>
      </c>
      <c r="R43" s="13"/>
      <c r="S43" s="13"/>
      <c r="T43" s="13"/>
      <c r="U43" s="13"/>
      <c r="V43" s="13"/>
      <c r="W43" s="13"/>
      <c r="X43" s="13"/>
      <c r="Y43" s="13"/>
      <c r="Z43" s="13"/>
    </row>
    <row r="44" spans="1:26" ht="14.25" customHeight="1">
      <c r="A44" s="13"/>
      <c r="B44" s="355" t="s">
        <v>275</v>
      </c>
      <c r="C44" s="356"/>
      <c r="D44" s="357">
        <f t="shared" ref="D44:O44" si="3">SUM(D31:D43)</f>
        <v>6475</v>
      </c>
      <c r="E44" s="357">
        <f t="shared" si="3"/>
        <v>6475</v>
      </c>
      <c r="F44" s="357">
        <f t="shared" si="3"/>
        <v>6475</v>
      </c>
      <c r="G44" s="357">
        <f t="shared" si="3"/>
        <v>6475</v>
      </c>
      <c r="H44" s="357">
        <f t="shared" si="3"/>
        <v>6475</v>
      </c>
      <c r="I44" s="357">
        <f t="shared" si="3"/>
        <v>6475</v>
      </c>
      <c r="J44" s="357">
        <f t="shared" si="3"/>
        <v>6475</v>
      </c>
      <c r="K44" s="357">
        <f t="shared" si="3"/>
        <v>6475</v>
      </c>
      <c r="L44" s="357">
        <f t="shared" si="3"/>
        <v>6475</v>
      </c>
      <c r="M44" s="357">
        <f t="shared" si="3"/>
        <v>6475</v>
      </c>
      <c r="N44" s="357">
        <f t="shared" si="3"/>
        <v>6475</v>
      </c>
      <c r="O44" s="357">
        <f t="shared" si="3"/>
        <v>6475</v>
      </c>
      <c r="P44" s="357">
        <f t="shared" si="2"/>
        <v>77700</v>
      </c>
      <c r="Q44" s="356"/>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25.5" customHeight="1">
      <c r="A48" s="13"/>
      <c r="B48" s="345" t="s">
        <v>277</v>
      </c>
      <c r="R48" s="13"/>
      <c r="S48" s="13"/>
      <c r="T48" s="13"/>
      <c r="U48" s="13"/>
      <c r="V48" s="13"/>
      <c r="W48" s="13"/>
      <c r="X48" s="13"/>
      <c r="Y48" s="13"/>
      <c r="Z48" s="13"/>
    </row>
    <row r="49" spans="1:26" ht="18" customHeight="1">
      <c r="A49" s="13"/>
      <c r="B49" s="346" t="s">
        <v>247</v>
      </c>
      <c r="C49" s="346" t="s">
        <v>97</v>
      </c>
      <c r="D49" s="346" t="s">
        <v>80</v>
      </c>
      <c r="E49" s="346" t="s">
        <v>81</v>
      </c>
      <c r="F49" s="346" t="s">
        <v>82</v>
      </c>
      <c r="G49" s="346" t="s">
        <v>83</v>
      </c>
      <c r="H49" s="346" t="s">
        <v>84</v>
      </c>
      <c r="I49" s="346" t="s">
        <v>85</v>
      </c>
      <c r="J49" s="346" t="s">
        <v>86</v>
      </c>
      <c r="K49" s="346" t="s">
        <v>87</v>
      </c>
      <c r="L49" s="346" t="s">
        <v>88</v>
      </c>
      <c r="M49" s="346" t="s">
        <v>89</v>
      </c>
      <c r="N49" s="346" t="s">
        <v>90</v>
      </c>
      <c r="O49" s="346" t="s">
        <v>91</v>
      </c>
      <c r="P49" s="346" t="s">
        <v>248</v>
      </c>
      <c r="Q49" s="346" t="s">
        <v>249</v>
      </c>
      <c r="R49" s="13"/>
      <c r="S49" s="13"/>
      <c r="T49" s="13"/>
      <c r="U49" s="13"/>
      <c r="V49" s="13"/>
      <c r="W49" s="13"/>
      <c r="X49" s="13"/>
      <c r="Y49" s="13"/>
      <c r="Z49" s="13"/>
    </row>
    <row r="50" spans="1:26" ht="14.25" customHeight="1">
      <c r="A50" s="13"/>
      <c r="B50" s="693" t="s">
        <v>250</v>
      </c>
      <c r="C50" s="351" t="s">
        <v>251</v>
      </c>
      <c r="D50" s="349">
        <v>50</v>
      </c>
      <c r="E50" s="349">
        <v>50</v>
      </c>
      <c r="F50" s="349">
        <v>50</v>
      </c>
      <c r="G50" s="349">
        <v>50</v>
      </c>
      <c r="H50" s="349">
        <v>50</v>
      </c>
      <c r="I50" s="349">
        <v>50</v>
      </c>
      <c r="J50" s="349">
        <v>50</v>
      </c>
      <c r="K50" s="349">
        <v>50</v>
      </c>
      <c r="L50" s="349">
        <v>50</v>
      </c>
      <c r="M50" s="349">
        <v>50</v>
      </c>
      <c r="N50" s="349">
        <v>50</v>
      </c>
      <c r="O50" s="349">
        <v>50</v>
      </c>
      <c r="P50" s="352">
        <f t="shared" ref="P50:P63" si="4">SUM(D50:O50)</f>
        <v>600</v>
      </c>
      <c r="Q50" s="353"/>
      <c r="R50" s="13"/>
      <c r="S50" s="13"/>
      <c r="T50" s="13"/>
      <c r="U50" s="13"/>
      <c r="V50" s="13"/>
      <c r="W50" s="13"/>
      <c r="X50" s="13"/>
      <c r="Y50" s="13"/>
      <c r="Z50" s="13"/>
    </row>
    <row r="51" spans="1:26" ht="14.25" customHeight="1">
      <c r="A51" s="13"/>
      <c r="B51" s="693"/>
      <c r="C51" s="351" t="s">
        <v>252</v>
      </c>
      <c r="D51" s="349">
        <v>15</v>
      </c>
      <c r="E51" s="349">
        <v>15</v>
      </c>
      <c r="F51" s="349">
        <v>15</v>
      </c>
      <c r="G51" s="349">
        <v>15</v>
      </c>
      <c r="H51" s="349">
        <v>15</v>
      </c>
      <c r="I51" s="349">
        <v>15</v>
      </c>
      <c r="J51" s="349">
        <v>15</v>
      </c>
      <c r="K51" s="349">
        <v>15</v>
      </c>
      <c r="L51" s="349">
        <v>15</v>
      </c>
      <c r="M51" s="349">
        <v>15</v>
      </c>
      <c r="N51" s="349">
        <v>15</v>
      </c>
      <c r="O51" s="349">
        <v>15</v>
      </c>
      <c r="P51" s="352">
        <f t="shared" si="4"/>
        <v>180</v>
      </c>
      <c r="Q51" s="353"/>
      <c r="R51" s="13"/>
      <c r="S51" s="13"/>
      <c r="T51" s="13"/>
      <c r="U51" s="13"/>
      <c r="V51" s="13"/>
      <c r="W51" s="13"/>
      <c r="X51" s="13"/>
      <c r="Y51" s="13"/>
      <c r="Z51" s="13"/>
    </row>
    <row r="52" spans="1:26" ht="14.25" customHeight="1">
      <c r="A52" s="13"/>
      <c r="B52" s="693"/>
      <c r="C52" s="351" t="s">
        <v>253</v>
      </c>
      <c r="D52" s="349">
        <v>60</v>
      </c>
      <c r="E52" s="349">
        <v>60</v>
      </c>
      <c r="F52" s="349">
        <v>60</v>
      </c>
      <c r="G52" s="349">
        <v>60</v>
      </c>
      <c r="H52" s="349">
        <v>60</v>
      </c>
      <c r="I52" s="349">
        <v>60</v>
      </c>
      <c r="J52" s="349">
        <v>60</v>
      </c>
      <c r="K52" s="349">
        <v>60</v>
      </c>
      <c r="L52" s="349">
        <v>60</v>
      </c>
      <c r="M52" s="349">
        <v>60</v>
      </c>
      <c r="N52" s="349">
        <v>60</v>
      </c>
      <c r="O52" s="349">
        <v>60</v>
      </c>
      <c r="P52" s="352">
        <f t="shared" si="4"/>
        <v>720</v>
      </c>
      <c r="Q52" s="353"/>
      <c r="R52" s="13"/>
      <c r="S52" s="13"/>
      <c r="T52" s="13"/>
      <c r="U52" s="13"/>
      <c r="V52" s="13"/>
      <c r="W52" s="13"/>
      <c r="X52" s="13"/>
      <c r="Y52" s="13"/>
      <c r="Z52" s="13"/>
    </row>
    <row r="53" spans="1:26" ht="14.25" customHeight="1">
      <c r="A53" s="13"/>
      <c r="B53" s="693"/>
      <c r="C53" s="351" t="s">
        <v>254</v>
      </c>
      <c r="D53" s="349">
        <v>60</v>
      </c>
      <c r="E53" s="349">
        <v>60</v>
      </c>
      <c r="F53" s="349">
        <v>60</v>
      </c>
      <c r="G53" s="349">
        <v>60</v>
      </c>
      <c r="H53" s="349">
        <v>60</v>
      </c>
      <c r="I53" s="349">
        <v>60</v>
      </c>
      <c r="J53" s="349">
        <v>60</v>
      </c>
      <c r="K53" s="349">
        <v>60</v>
      </c>
      <c r="L53" s="349">
        <v>60</v>
      </c>
      <c r="M53" s="349">
        <v>60</v>
      </c>
      <c r="N53" s="349">
        <v>60</v>
      </c>
      <c r="O53" s="349">
        <v>60</v>
      </c>
      <c r="P53" s="352">
        <f t="shared" si="4"/>
        <v>720</v>
      </c>
      <c r="Q53" s="353" t="s">
        <v>255</v>
      </c>
      <c r="R53" s="13"/>
      <c r="S53" s="13"/>
      <c r="T53" s="13"/>
      <c r="U53" s="13"/>
      <c r="V53" s="13"/>
      <c r="W53" s="13"/>
      <c r="X53" s="13"/>
      <c r="Y53" s="13"/>
      <c r="Z53" s="13"/>
    </row>
    <row r="54" spans="1:26" ht="14.25" customHeight="1">
      <c r="A54" s="13"/>
      <c r="B54" s="693"/>
      <c r="C54" s="351" t="s">
        <v>256</v>
      </c>
      <c r="D54" s="349">
        <v>500</v>
      </c>
      <c r="E54" s="349">
        <v>500</v>
      </c>
      <c r="F54" s="349">
        <v>500</v>
      </c>
      <c r="G54" s="349">
        <v>500</v>
      </c>
      <c r="H54" s="349">
        <v>500</v>
      </c>
      <c r="I54" s="349">
        <v>500</v>
      </c>
      <c r="J54" s="349">
        <v>500</v>
      </c>
      <c r="K54" s="349">
        <v>500</v>
      </c>
      <c r="L54" s="349">
        <v>500</v>
      </c>
      <c r="M54" s="349">
        <v>500</v>
      </c>
      <c r="N54" s="349">
        <v>500</v>
      </c>
      <c r="O54" s="349">
        <v>500</v>
      </c>
      <c r="P54" s="352">
        <f t="shared" si="4"/>
        <v>6000</v>
      </c>
      <c r="Q54" s="353" t="s">
        <v>257</v>
      </c>
      <c r="R54" s="13"/>
      <c r="S54" s="13"/>
      <c r="T54" s="13"/>
      <c r="U54" s="13"/>
      <c r="V54" s="13"/>
      <c r="W54" s="13"/>
      <c r="X54" s="13"/>
      <c r="Y54" s="13"/>
      <c r="Z54" s="13"/>
    </row>
    <row r="55" spans="1:26" ht="14.25" customHeight="1">
      <c r="A55" s="13"/>
      <c r="B55" s="693"/>
      <c r="C55" s="351" t="s">
        <v>258</v>
      </c>
      <c r="D55" s="349">
        <v>160</v>
      </c>
      <c r="E55" s="349">
        <v>160</v>
      </c>
      <c r="F55" s="349">
        <v>160</v>
      </c>
      <c r="G55" s="349">
        <v>160</v>
      </c>
      <c r="H55" s="349">
        <v>160</v>
      </c>
      <c r="I55" s="349">
        <v>160</v>
      </c>
      <c r="J55" s="349">
        <v>160</v>
      </c>
      <c r="K55" s="349">
        <v>160</v>
      </c>
      <c r="L55" s="349">
        <v>160</v>
      </c>
      <c r="M55" s="349">
        <v>160</v>
      </c>
      <c r="N55" s="349">
        <v>160</v>
      </c>
      <c r="O55" s="349">
        <v>160</v>
      </c>
      <c r="P55" s="352">
        <f t="shared" si="4"/>
        <v>1920</v>
      </c>
      <c r="Q55" s="353" t="s">
        <v>259</v>
      </c>
      <c r="R55" s="13"/>
      <c r="S55" s="13"/>
      <c r="T55" s="13"/>
      <c r="U55" s="13"/>
      <c r="V55" s="13"/>
      <c r="W55" s="13"/>
      <c r="X55" s="13"/>
      <c r="Y55" s="13"/>
      <c r="Z55" s="13"/>
    </row>
    <row r="56" spans="1:26" ht="14.25" customHeight="1">
      <c r="A56" s="13"/>
      <c r="B56" s="693" t="s">
        <v>260</v>
      </c>
      <c r="C56" s="351" t="s">
        <v>111</v>
      </c>
      <c r="D56" s="349">
        <v>700</v>
      </c>
      <c r="E56" s="349">
        <v>700</v>
      </c>
      <c r="F56" s="349">
        <v>700</v>
      </c>
      <c r="G56" s="349">
        <v>700</v>
      </c>
      <c r="H56" s="349">
        <v>700</v>
      </c>
      <c r="I56" s="349">
        <v>700</v>
      </c>
      <c r="J56" s="349">
        <v>700</v>
      </c>
      <c r="K56" s="349">
        <v>700</v>
      </c>
      <c r="L56" s="349">
        <v>700</v>
      </c>
      <c r="M56" s="349">
        <v>700</v>
      </c>
      <c r="N56" s="349">
        <v>700</v>
      </c>
      <c r="O56" s="349">
        <v>700</v>
      </c>
      <c r="P56" s="352">
        <f t="shared" si="4"/>
        <v>8400</v>
      </c>
      <c r="Q56" s="353" t="s">
        <v>261</v>
      </c>
      <c r="R56" s="13"/>
      <c r="S56" s="13"/>
      <c r="T56" s="13"/>
      <c r="U56" s="13"/>
      <c r="V56" s="13"/>
      <c r="W56" s="13"/>
      <c r="X56" s="13"/>
      <c r="Y56" s="13"/>
      <c r="Z56" s="13"/>
    </row>
    <row r="57" spans="1:26" ht="14.25" customHeight="1">
      <c r="A57" s="13"/>
      <c r="B57" s="693"/>
      <c r="C57" s="351" t="s">
        <v>262</v>
      </c>
      <c r="D57" s="349">
        <v>250</v>
      </c>
      <c r="E57" s="349">
        <v>250</v>
      </c>
      <c r="F57" s="349">
        <v>250</v>
      </c>
      <c r="G57" s="349">
        <v>250</v>
      </c>
      <c r="H57" s="349">
        <v>250</v>
      </c>
      <c r="I57" s="349">
        <v>250</v>
      </c>
      <c r="J57" s="349">
        <v>250</v>
      </c>
      <c r="K57" s="349">
        <v>250</v>
      </c>
      <c r="L57" s="349">
        <v>250</v>
      </c>
      <c r="M57" s="349">
        <v>250</v>
      </c>
      <c r="N57" s="349">
        <v>250</v>
      </c>
      <c r="O57" s="349">
        <v>250</v>
      </c>
      <c r="P57" s="352">
        <f t="shared" si="4"/>
        <v>3000</v>
      </c>
      <c r="Q57" s="353" t="s">
        <v>263</v>
      </c>
      <c r="R57" s="13"/>
      <c r="S57" s="13"/>
      <c r="T57" s="13"/>
      <c r="U57" s="13"/>
      <c r="V57" s="13"/>
      <c r="W57" s="13"/>
      <c r="X57" s="13"/>
      <c r="Y57" s="13"/>
      <c r="Z57" s="13"/>
    </row>
    <row r="58" spans="1:26" ht="14.25" customHeight="1">
      <c r="A58" s="13"/>
      <c r="B58" s="693" t="s">
        <v>264</v>
      </c>
      <c r="C58" s="351" t="s">
        <v>265</v>
      </c>
      <c r="D58" s="349">
        <v>500</v>
      </c>
      <c r="E58" s="349">
        <v>500</v>
      </c>
      <c r="F58" s="349">
        <v>500</v>
      </c>
      <c r="G58" s="349">
        <v>500</v>
      </c>
      <c r="H58" s="349">
        <v>500</v>
      </c>
      <c r="I58" s="349">
        <v>500</v>
      </c>
      <c r="J58" s="349">
        <v>500</v>
      </c>
      <c r="K58" s="349">
        <v>500</v>
      </c>
      <c r="L58" s="349">
        <v>500</v>
      </c>
      <c r="M58" s="349">
        <v>500</v>
      </c>
      <c r="N58" s="349">
        <v>500</v>
      </c>
      <c r="O58" s="349">
        <v>500</v>
      </c>
      <c r="P58" s="352">
        <f t="shared" si="4"/>
        <v>6000</v>
      </c>
      <c r="Q58" s="353" t="s">
        <v>266</v>
      </c>
      <c r="R58" s="13"/>
      <c r="S58" s="13"/>
      <c r="T58" s="13"/>
      <c r="U58" s="13"/>
      <c r="V58" s="13"/>
      <c r="W58" s="13"/>
      <c r="X58" s="13"/>
      <c r="Y58" s="13"/>
      <c r="Z58" s="13"/>
    </row>
    <row r="59" spans="1:26" ht="14.25" customHeight="1">
      <c r="A59" s="13"/>
      <c r="B59" s="693"/>
      <c r="C59" s="351" t="s">
        <v>267</v>
      </c>
      <c r="D59" s="349">
        <v>450</v>
      </c>
      <c r="E59" s="349">
        <v>450</v>
      </c>
      <c r="F59" s="349">
        <v>450</v>
      </c>
      <c r="G59" s="349">
        <v>450</v>
      </c>
      <c r="H59" s="349">
        <v>450</v>
      </c>
      <c r="I59" s="349">
        <v>450</v>
      </c>
      <c r="J59" s="349">
        <v>450</v>
      </c>
      <c r="K59" s="349">
        <v>450</v>
      </c>
      <c r="L59" s="349">
        <v>450</v>
      </c>
      <c r="M59" s="349">
        <v>450</v>
      </c>
      <c r="N59" s="349">
        <v>450</v>
      </c>
      <c r="O59" s="349">
        <v>450</v>
      </c>
      <c r="P59" s="352">
        <f t="shared" si="4"/>
        <v>5400</v>
      </c>
      <c r="Q59" s="353" t="s">
        <v>268</v>
      </c>
      <c r="R59" s="13"/>
      <c r="S59" s="13"/>
      <c r="T59" s="13"/>
      <c r="U59" s="13"/>
      <c r="V59" s="13"/>
      <c r="W59" s="13"/>
      <c r="X59" s="13"/>
      <c r="Y59" s="13"/>
      <c r="Z59" s="13"/>
    </row>
    <row r="60" spans="1:26" ht="14.25" customHeight="1">
      <c r="A60" s="13"/>
      <c r="B60" s="693" t="s">
        <v>269</v>
      </c>
      <c r="C60" s="351" t="s">
        <v>270</v>
      </c>
      <c r="D60" s="349">
        <v>4300</v>
      </c>
      <c r="E60" s="349">
        <v>4300</v>
      </c>
      <c r="F60" s="349">
        <v>4300</v>
      </c>
      <c r="G60" s="349">
        <v>4300</v>
      </c>
      <c r="H60" s="349">
        <v>4300</v>
      </c>
      <c r="I60" s="349">
        <v>4300</v>
      </c>
      <c r="J60" s="349">
        <v>4300</v>
      </c>
      <c r="K60" s="349">
        <v>4300</v>
      </c>
      <c r="L60" s="349">
        <v>4300</v>
      </c>
      <c r="M60" s="349">
        <v>4300</v>
      </c>
      <c r="N60" s="349">
        <v>4300</v>
      </c>
      <c r="O60" s="349">
        <v>4300</v>
      </c>
      <c r="P60" s="352">
        <f t="shared" si="4"/>
        <v>51600</v>
      </c>
      <c r="Q60" s="353" t="s">
        <v>271</v>
      </c>
      <c r="R60" s="13"/>
      <c r="S60" s="13"/>
      <c r="T60" s="13"/>
      <c r="U60" s="13"/>
      <c r="V60" s="13"/>
      <c r="W60" s="13"/>
      <c r="X60" s="13"/>
      <c r="Y60" s="13"/>
      <c r="Z60" s="13"/>
    </row>
    <row r="61" spans="1:26" ht="14.25" customHeight="1">
      <c r="A61" s="13"/>
      <c r="B61" s="693"/>
      <c r="C61" s="351" t="s">
        <v>272</v>
      </c>
      <c r="D61" s="349">
        <v>60</v>
      </c>
      <c r="E61" s="349">
        <v>60</v>
      </c>
      <c r="F61" s="349">
        <v>60</v>
      </c>
      <c r="G61" s="349">
        <v>60</v>
      </c>
      <c r="H61" s="349">
        <v>60</v>
      </c>
      <c r="I61" s="349">
        <v>60</v>
      </c>
      <c r="J61" s="349">
        <v>60</v>
      </c>
      <c r="K61" s="349">
        <v>60</v>
      </c>
      <c r="L61" s="349">
        <v>60</v>
      </c>
      <c r="M61" s="349">
        <v>60</v>
      </c>
      <c r="N61" s="349">
        <v>60</v>
      </c>
      <c r="O61" s="349">
        <v>60</v>
      </c>
      <c r="P61" s="352">
        <f t="shared" si="4"/>
        <v>720</v>
      </c>
      <c r="Q61" s="353"/>
      <c r="R61" s="13"/>
      <c r="S61" s="13"/>
      <c r="T61" s="13"/>
      <c r="U61" s="13"/>
      <c r="V61" s="13"/>
      <c r="W61" s="13"/>
      <c r="X61" s="13"/>
      <c r="Y61" s="13"/>
      <c r="Z61" s="13"/>
    </row>
    <row r="62" spans="1:26" ht="14.25" customHeight="1">
      <c r="A62" s="13"/>
      <c r="B62" s="354"/>
      <c r="C62" s="351" t="s">
        <v>273</v>
      </c>
      <c r="D62" s="349">
        <v>1800</v>
      </c>
      <c r="E62" s="349">
        <v>1800</v>
      </c>
      <c r="F62" s="349">
        <v>1800</v>
      </c>
      <c r="G62" s="349">
        <v>1800</v>
      </c>
      <c r="H62" s="349">
        <v>1800</v>
      </c>
      <c r="I62" s="349">
        <v>1800</v>
      </c>
      <c r="J62" s="349">
        <v>1800</v>
      </c>
      <c r="K62" s="349">
        <v>1800</v>
      </c>
      <c r="L62" s="349">
        <v>1800</v>
      </c>
      <c r="M62" s="349">
        <v>1800</v>
      </c>
      <c r="N62" s="349">
        <v>1800</v>
      </c>
      <c r="O62" s="349">
        <v>1800</v>
      </c>
      <c r="P62" s="352">
        <f t="shared" si="4"/>
        <v>21600</v>
      </c>
      <c r="Q62" s="353" t="s">
        <v>274</v>
      </c>
      <c r="R62" s="13"/>
      <c r="S62" s="13"/>
      <c r="T62" s="13"/>
      <c r="U62" s="13"/>
      <c r="V62" s="13"/>
      <c r="W62" s="13"/>
      <c r="X62" s="13"/>
      <c r="Y62" s="13"/>
      <c r="Z62" s="13"/>
    </row>
    <row r="63" spans="1:26" ht="14.25" customHeight="1">
      <c r="A63" s="13"/>
      <c r="B63" s="355" t="s">
        <v>275</v>
      </c>
      <c r="C63" s="356"/>
      <c r="D63" s="357">
        <f t="shared" ref="D63:O63" si="5">SUM(D50:D62)</f>
        <v>8905</v>
      </c>
      <c r="E63" s="357">
        <f t="shared" si="5"/>
        <v>8905</v>
      </c>
      <c r="F63" s="357">
        <f t="shared" si="5"/>
        <v>8905</v>
      </c>
      <c r="G63" s="357">
        <f t="shared" si="5"/>
        <v>8905</v>
      </c>
      <c r="H63" s="357">
        <f t="shared" si="5"/>
        <v>8905</v>
      </c>
      <c r="I63" s="357">
        <f t="shared" si="5"/>
        <v>8905</v>
      </c>
      <c r="J63" s="357">
        <f t="shared" si="5"/>
        <v>8905</v>
      </c>
      <c r="K63" s="357">
        <f t="shared" si="5"/>
        <v>8905</v>
      </c>
      <c r="L63" s="357">
        <f t="shared" si="5"/>
        <v>8905</v>
      </c>
      <c r="M63" s="357">
        <f t="shared" si="5"/>
        <v>8905</v>
      </c>
      <c r="N63" s="357">
        <f t="shared" si="5"/>
        <v>8905</v>
      </c>
      <c r="O63" s="357">
        <f t="shared" si="5"/>
        <v>8905</v>
      </c>
      <c r="P63" s="357">
        <f t="shared" si="4"/>
        <v>106860</v>
      </c>
      <c r="Q63" s="356"/>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sheetData>
  <mergeCells count="15">
    <mergeCell ref="B41:B42"/>
    <mergeCell ref="B50:B55"/>
    <mergeCell ref="B56:B57"/>
    <mergeCell ref="B58:B59"/>
    <mergeCell ref="B60:B61"/>
    <mergeCell ref="B21:B22"/>
    <mergeCell ref="B23:B24"/>
    <mergeCell ref="B31:B36"/>
    <mergeCell ref="B37:B38"/>
    <mergeCell ref="B39:B40"/>
    <mergeCell ref="C3:E3"/>
    <mergeCell ref="G3:I3"/>
    <mergeCell ref="G7:I7"/>
    <mergeCell ref="B13:B18"/>
    <mergeCell ref="B19:B20"/>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78"/>
  <sheetViews>
    <sheetView topLeftCell="G50" zoomScaleNormal="100" workbookViewId="0"/>
  </sheetViews>
  <sheetFormatPr baseColWidth="10" defaultColWidth="12.6640625" defaultRowHeight="15" customHeight="1"/>
  <cols>
    <col min="1" max="1" width="13" customWidth="1"/>
    <col min="2" max="2" width="42" customWidth="1"/>
    <col min="3" max="4" width="14" customWidth="1"/>
    <col min="5" max="5" width="12.83203125" customWidth="1"/>
    <col min="6" max="6" width="16" customWidth="1"/>
    <col min="7" max="7" width="12.83203125" customWidth="1"/>
    <col min="8" max="8" width="15.6640625" customWidth="1"/>
    <col min="9" max="9" width="13" customWidth="1"/>
    <col min="10" max="10" width="13.1640625" customWidth="1"/>
    <col min="11" max="11" width="12.83203125" customWidth="1"/>
    <col min="12" max="12" width="7.83203125" customWidth="1"/>
    <col min="13" max="13" width="12.83203125" customWidth="1"/>
    <col min="14" max="14" width="7.83203125" customWidth="1"/>
    <col min="15" max="15" width="12.83203125" customWidth="1"/>
    <col min="16" max="16" width="7.83203125" customWidth="1"/>
    <col min="17" max="17" width="12.83203125" customWidth="1"/>
    <col min="18" max="18" width="7.83203125" customWidth="1"/>
    <col min="19" max="19" width="12.83203125" customWidth="1"/>
    <col min="20" max="20" width="9.6640625" customWidth="1"/>
    <col min="21" max="21" width="13" customWidth="1"/>
    <col min="22" max="22" width="7.83203125" customWidth="1"/>
    <col min="23" max="23" width="12.83203125" customWidth="1"/>
    <col min="24" max="24" width="9.5" customWidth="1"/>
    <col min="25" max="25" width="12.83203125" customWidth="1"/>
    <col min="26" max="26" width="8.6640625" customWidth="1"/>
    <col min="27" max="27" width="11.5" customWidth="1"/>
    <col min="28" max="28" width="16" customWidth="1"/>
  </cols>
  <sheetData>
    <row r="1" spans="1:28" ht="45.75" customHeight="1">
      <c r="A1" s="20"/>
      <c r="B1" s="20"/>
      <c r="C1" s="20"/>
      <c r="D1" s="20"/>
      <c r="E1" s="20"/>
      <c r="F1" s="344" t="s">
        <v>13</v>
      </c>
      <c r="G1" s="312"/>
      <c r="H1" s="312"/>
      <c r="I1" s="20"/>
      <c r="J1" s="20"/>
      <c r="K1" s="20"/>
      <c r="L1" s="20"/>
      <c r="M1" s="13"/>
      <c r="N1" s="13"/>
      <c r="O1" s="13"/>
      <c r="P1" s="13"/>
      <c r="Q1" s="13"/>
      <c r="R1" s="13"/>
      <c r="S1" s="13"/>
      <c r="T1" s="13"/>
      <c r="U1" s="13"/>
      <c r="V1" s="13"/>
      <c r="W1" s="13"/>
      <c r="X1" s="13"/>
      <c r="Y1" s="13"/>
      <c r="Z1" s="13"/>
      <c r="AA1" s="13"/>
      <c r="AB1" s="13"/>
    </row>
    <row r="2" spans="1:28" ht="1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28" ht="15"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28" ht="15" customHeight="1">
      <c r="A4" s="13"/>
      <c r="B4" s="692" t="s">
        <v>73</v>
      </c>
      <c r="C4" s="692"/>
      <c r="D4" s="692"/>
      <c r="E4" s="37"/>
      <c r="F4" s="13"/>
      <c r="G4" s="13"/>
      <c r="H4" s="692" t="s">
        <v>278</v>
      </c>
      <c r="I4" s="692"/>
      <c r="J4" s="692"/>
      <c r="K4" s="13"/>
      <c r="L4" s="13"/>
      <c r="M4" s="13"/>
      <c r="N4" s="13"/>
      <c r="O4" s="13"/>
      <c r="P4" s="13"/>
      <c r="Q4" s="13"/>
      <c r="R4" s="13"/>
      <c r="S4" s="13"/>
      <c r="T4" s="13"/>
      <c r="U4" s="13"/>
      <c r="V4" s="13"/>
      <c r="W4" s="13"/>
      <c r="X4" s="13"/>
      <c r="Y4" s="13"/>
      <c r="Z4" s="13"/>
      <c r="AA4" s="13"/>
      <c r="AB4" s="13"/>
    </row>
    <row r="5" spans="1:28" ht="15" customHeight="1">
      <c r="A5" s="13"/>
      <c r="B5" s="346">
        <v>2026</v>
      </c>
      <c r="C5" s="346">
        <v>2027</v>
      </c>
      <c r="D5" s="346">
        <v>2028</v>
      </c>
      <c r="E5" s="274"/>
      <c r="F5" s="13"/>
      <c r="G5" s="13"/>
      <c r="H5" s="346">
        <v>2026</v>
      </c>
      <c r="I5" s="346">
        <v>2027</v>
      </c>
      <c r="J5" s="346">
        <v>2028</v>
      </c>
      <c r="K5" s="13"/>
      <c r="L5" s="13"/>
      <c r="M5" s="13"/>
      <c r="N5" s="13"/>
      <c r="O5" s="13"/>
      <c r="P5" s="13"/>
      <c r="Q5" s="13"/>
      <c r="R5" s="13"/>
      <c r="S5" s="13"/>
      <c r="T5" s="13"/>
      <c r="U5" s="13"/>
      <c r="V5" s="13"/>
      <c r="W5" s="13"/>
      <c r="X5" s="13"/>
      <c r="Y5" s="13"/>
      <c r="Z5" s="13"/>
      <c r="AA5" s="13"/>
      <c r="AB5" s="13"/>
    </row>
    <row r="6" spans="1:28" ht="15" customHeight="1">
      <c r="A6" s="13"/>
      <c r="B6" s="347">
        <f>Hipótesis!C24</f>
        <v>8.0000000000000002E-3</v>
      </c>
      <c r="C6" s="347">
        <f>Hipótesis!C25</f>
        <v>2.9000000000000001E-2</v>
      </c>
      <c r="D6" s="347">
        <f>Hipótesis!C26</f>
        <v>5.1999999999999998E-2</v>
      </c>
      <c r="E6" s="358"/>
      <c r="F6" s="13"/>
      <c r="G6" s="13"/>
      <c r="H6" s="348">
        <f>AB32</f>
        <v>40479.800000000003</v>
      </c>
      <c r="I6" s="348">
        <f>AB55</f>
        <v>59474.6</v>
      </c>
      <c r="J6" s="348">
        <f>AB78</f>
        <v>85346</v>
      </c>
      <c r="K6" s="13"/>
      <c r="L6" s="13"/>
      <c r="M6" s="13"/>
      <c r="N6" s="13"/>
      <c r="O6" s="13"/>
      <c r="P6" s="13"/>
      <c r="Q6" s="13"/>
      <c r="R6" s="13"/>
      <c r="S6" s="13"/>
      <c r="T6" s="13"/>
      <c r="U6" s="13"/>
      <c r="V6" s="13"/>
      <c r="W6" s="13"/>
      <c r="X6" s="13"/>
      <c r="Y6" s="13"/>
      <c r="Z6" s="13"/>
      <c r="AA6" s="13"/>
      <c r="AB6" s="13"/>
    </row>
    <row r="7" spans="1:28" ht="15" customHeight="1">
      <c r="A7" s="13"/>
      <c r="B7" s="349">
        <f>Hipótesis!D24</f>
        <v>107520</v>
      </c>
      <c r="C7" s="349">
        <f>Hipótesis!D25</f>
        <v>389760</v>
      </c>
      <c r="D7" s="349">
        <f>Hipótesis!D26</f>
        <v>698880</v>
      </c>
      <c r="E7" s="350"/>
      <c r="F7" s="13"/>
      <c r="G7" s="13"/>
      <c r="H7" s="13"/>
      <c r="I7" s="13"/>
      <c r="J7" s="13"/>
      <c r="K7" s="13"/>
      <c r="L7" s="13"/>
      <c r="M7" s="13"/>
      <c r="N7" s="13"/>
      <c r="O7" s="13"/>
      <c r="P7" s="13"/>
      <c r="Q7" s="13"/>
      <c r="R7" s="13"/>
      <c r="S7" s="13"/>
      <c r="T7" s="13"/>
      <c r="U7" s="13"/>
      <c r="V7" s="13"/>
      <c r="W7" s="13"/>
      <c r="X7" s="13"/>
      <c r="Y7" s="13"/>
      <c r="Z7" s="13"/>
      <c r="AA7" s="13"/>
      <c r="AB7" s="13"/>
    </row>
    <row r="8" spans="1:28" ht="15" customHeight="1">
      <c r="A8" s="13"/>
      <c r="B8" s="13"/>
      <c r="C8" s="13"/>
      <c r="D8" s="13"/>
      <c r="E8" s="13"/>
      <c r="F8" s="13"/>
      <c r="G8" s="13"/>
      <c r="H8" s="692" t="s">
        <v>279</v>
      </c>
      <c r="I8" s="692"/>
      <c r="J8" s="692"/>
      <c r="K8" s="13"/>
      <c r="L8" s="13"/>
      <c r="M8" s="13"/>
      <c r="N8" s="13"/>
      <c r="O8" s="13"/>
      <c r="P8" s="13"/>
      <c r="Q8" s="13"/>
      <c r="R8" s="13"/>
      <c r="S8" s="13"/>
      <c r="T8" s="13"/>
      <c r="U8" s="13"/>
      <c r="V8" s="13"/>
      <c r="W8" s="13"/>
      <c r="X8" s="13"/>
      <c r="Y8" s="13"/>
      <c r="Z8" s="13"/>
      <c r="AA8" s="13"/>
      <c r="AB8" s="13"/>
    </row>
    <row r="9" spans="1:28" ht="15" customHeight="1">
      <c r="A9" s="13"/>
      <c r="B9" s="13"/>
      <c r="C9" s="13"/>
      <c r="D9" s="13"/>
      <c r="E9" s="13"/>
      <c r="F9" s="13"/>
      <c r="G9" s="13"/>
      <c r="H9" s="346">
        <v>2026</v>
      </c>
      <c r="I9" s="346">
        <v>2027</v>
      </c>
      <c r="J9" s="346">
        <v>2028</v>
      </c>
      <c r="K9" s="13"/>
      <c r="L9" s="13"/>
      <c r="M9" s="13"/>
      <c r="N9" s="13"/>
      <c r="O9" s="13"/>
      <c r="P9" s="13"/>
      <c r="Q9" s="13"/>
      <c r="R9" s="13"/>
      <c r="S9" s="13"/>
      <c r="T9" s="13"/>
      <c r="U9" s="13"/>
      <c r="V9" s="13"/>
      <c r="W9" s="13"/>
      <c r="X9" s="13"/>
      <c r="Y9" s="13"/>
      <c r="Z9" s="13"/>
      <c r="AA9" s="13"/>
      <c r="AB9" s="13"/>
    </row>
    <row r="10" spans="1:28" ht="15" customHeight="1">
      <c r="A10" s="13"/>
      <c r="B10" s="13"/>
      <c r="C10" s="13"/>
      <c r="D10" s="13"/>
      <c r="E10" s="13"/>
      <c r="F10" s="13"/>
      <c r="G10" s="13"/>
      <c r="H10" s="348">
        <f>SUM(AB21:AB24)</f>
        <v>11265</v>
      </c>
      <c r="I10" s="348">
        <f>SUM(AB44:AB47)</f>
        <v>13396</v>
      </c>
      <c r="J10" s="348">
        <f>SUM(AB67:AB70)</f>
        <v>18124</v>
      </c>
      <c r="K10" s="13"/>
      <c r="L10" s="13"/>
      <c r="M10" s="13"/>
      <c r="N10" s="13"/>
      <c r="O10" s="13"/>
      <c r="P10" s="13"/>
      <c r="Q10" s="13"/>
      <c r="R10" s="13"/>
      <c r="S10" s="13"/>
      <c r="T10" s="13"/>
      <c r="U10" s="13"/>
      <c r="V10" s="13"/>
      <c r="W10" s="13"/>
      <c r="X10" s="13"/>
      <c r="Y10" s="13"/>
      <c r="Z10" s="13"/>
      <c r="AA10" s="13"/>
      <c r="AB10" s="13"/>
    </row>
    <row r="11" spans="1:28" ht="1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ht="15" customHeight="1">
      <c r="A12" s="13"/>
      <c r="B12" s="345" t="s">
        <v>280</v>
      </c>
    </row>
    <row r="13" spans="1:28" ht="15" customHeight="1">
      <c r="A13" s="346" t="s">
        <v>247</v>
      </c>
      <c r="B13" s="346" t="s">
        <v>171</v>
      </c>
      <c r="C13" s="346" t="s">
        <v>281</v>
      </c>
      <c r="D13" s="694" t="s">
        <v>80</v>
      </c>
      <c r="E13" s="694"/>
      <c r="F13" s="694" t="s">
        <v>81</v>
      </c>
      <c r="G13" s="694"/>
      <c r="H13" s="694" t="s">
        <v>82</v>
      </c>
      <c r="I13" s="694"/>
      <c r="J13" s="694" t="s">
        <v>83</v>
      </c>
      <c r="K13" s="694"/>
      <c r="L13" s="694" t="s">
        <v>84</v>
      </c>
      <c r="M13" s="694"/>
      <c r="N13" s="694" t="s">
        <v>85</v>
      </c>
      <c r="O13" s="694"/>
      <c r="P13" s="694" t="s">
        <v>86</v>
      </c>
      <c r="Q13" s="694"/>
      <c r="R13" s="694" t="s">
        <v>87</v>
      </c>
      <c r="S13" s="694"/>
      <c r="T13" s="694" t="s">
        <v>88</v>
      </c>
      <c r="U13" s="694"/>
      <c r="V13" s="694" t="s">
        <v>89</v>
      </c>
      <c r="W13" s="694"/>
      <c r="X13" s="694" t="s">
        <v>90</v>
      </c>
      <c r="Y13" s="694"/>
      <c r="Z13" s="694" t="s">
        <v>91</v>
      </c>
      <c r="AA13" s="694"/>
      <c r="AB13" s="694" t="s">
        <v>248</v>
      </c>
    </row>
    <row r="14" spans="1:28" ht="15" customHeight="1">
      <c r="A14" s="359"/>
      <c r="B14" s="359"/>
      <c r="C14" s="359"/>
      <c r="D14" s="359" t="s">
        <v>282</v>
      </c>
      <c r="E14" s="359" t="s">
        <v>283</v>
      </c>
      <c r="F14" s="359" t="s">
        <v>282</v>
      </c>
      <c r="G14" s="359" t="s">
        <v>283</v>
      </c>
      <c r="H14" s="359" t="s">
        <v>282</v>
      </c>
      <c r="I14" s="359" t="s">
        <v>283</v>
      </c>
      <c r="J14" s="359" t="s">
        <v>282</v>
      </c>
      <c r="K14" s="359" t="s">
        <v>283</v>
      </c>
      <c r="L14" s="359" t="s">
        <v>282</v>
      </c>
      <c r="M14" s="359" t="s">
        <v>283</v>
      </c>
      <c r="N14" s="359" t="s">
        <v>282</v>
      </c>
      <c r="O14" s="359" t="s">
        <v>283</v>
      </c>
      <c r="P14" s="359" t="s">
        <v>282</v>
      </c>
      <c r="Q14" s="359" t="s">
        <v>283</v>
      </c>
      <c r="R14" s="359" t="s">
        <v>282</v>
      </c>
      <c r="S14" s="359" t="s">
        <v>283</v>
      </c>
      <c r="T14" s="359" t="s">
        <v>282</v>
      </c>
      <c r="U14" s="359" t="s">
        <v>283</v>
      </c>
      <c r="V14" s="359" t="s">
        <v>282</v>
      </c>
      <c r="W14" s="359" t="s">
        <v>283</v>
      </c>
      <c r="X14" s="359" t="s">
        <v>282</v>
      </c>
      <c r="Y14" s="359" t="s">
        <v>283</v>
      </c>
      <c r="Z14" s="359" t="s">
        <v>282</v>
      </c>
      <c r="AA14" s="359" t="s">
        <v>283</v>
      </c>
      <c r="AB14" s="694"/>
    </row>
    <row r="15" spans="1:28" ht="15" customHeight="1">
      <c r="A15" s="693" t="s">
        <v>284</v>
      </c>
      <c r="B15" s="351" t="s">
        <v>285</v>
      </c>
      <c r="C15" s="360">
        <v>40</v>
      </c>
      <c r="D15" s="361">
        <f>'Proy. ventas'!E19+'Proy. ventas'!E20+'Proy. ventas'!E21</f>
        <v>0</v>
      </c>
      <c r="E15" s="349">
        <f t="shared" ref="E15:E25" si="0">D15*$C15</f>
        <v>0</v>
      </c>
      <c r="F15" s="361">
        <f>'Proy. ventas'!G19+'Proy. ventas'!G20+'Proy. ventas'!G21</f>
        <v>3</v>
      </c>
      <c r="G15" s="349">
        <f t="shared" ref="G15:G25" si="1">F15*$C15</f>
        <v>120</v>
      </c>
      <c r="H15" s="361">
        <f>'Proy. ventas'!I19+'Proy. ventas'!I20+'Proy. ventas'!I21</f>
        <v>4</v>
      </c>
      <c r="I15" s="349">
        <f t="shared" ref="I15:I25" si="2">H15*$C15</f>
        <v>160</v>
      </c>
      <c r="J15" s="361">
        <f>'Proy. ventas'!K19+'Proy. ventas'!K20+'Proy. ventas'!K21</f>
        <v>8</v>
      </c>
      <c r="K15" s="349">
        <f t="shared" ref="K15:K25" si="3">J15*$C15</f>
        <v>320</v>
      </c>
      <c r="L15" s="361">
        <f>'Proy. ventas'!M19+'Proy. ventas'!M20+'Proy. ventas'!M21</f>
        <v>14</v>
      </c>
      <c r="M15" s="349">
        <f t="shared" ref="M15:M25" si="4">L15*$C15</f>
        <v>560</v>
      </c>
      <c r="N15" s="361">
        <f>'Proy. ventas'!O19+'Proy. ventas'!O20+'Proy. ventas'!O21</f>
        <v>19</v>
      </c>
      <c r="O15" s="349">
        <f t="shared" ref="O15:O25" si="5">N15*$C15</f>
        <v>760</v>
      </c>
      <c r="P15" s="361">
        <f>'Proy. ventas'!Q19+'Proy. ventas'!Q20+'Proy. ventas'!Q21</f>
        <v>24</v>
      </c>
      <c r="Q15" s="349">
        <f t="shared" ref="Q15:Q25" si="6">P15*$C15</f>
        <v>960</v>
      </c>
      <c r="R15" s="361">
        <f>'Proy. ventas'!S19+'Proy. ventas'!S20+'Proy. ventas'!S21</f>
        <v>30</v>
      </c>
      <c r="S15" s="349">
        <f t="shared" ref="S15:S25" si="7">R15*$C15</f>
        <v>1200</v>
      </c>
      <c r="T15" s="361">
        <f>'Proy. ventas'!U19+'Proy. ventas'!U20+'Proy. ventas'!U21</f>
        <v>33</v>
      </c>
      <c r="U15" s="349">
        <f t="shared" ref="U15:U25" si="8">T15*$C15</f>
        <v>1320</v>
      </c>
      <c r="V15" s="361">
        <f>'Proy. ventas'!W19+'Proy. ventas'!W20+'Proy. ventas'!W21</f>
        <v>41</v>
      </c>
      <c r="W15" s="349">
        <f t="shared" ref="W15:W25" si="9">V15*$C15</f>
        <v>1640</v>
      </c>
      <c r="X15" s="361">
        <f>'Proy. ventas'!Y19+'Proy. ventas'!Y20+'Proy. ventas'!Y21</f>
        <v>43</v>
      </c>
      <c r="Y15" s="349">
        <f t="shared" ref="Y15:Y25" si="10">X15*$C15</f>
        <v>1720</v>
      </c>
      <c r="Z15" s="361">
        <f>'Proy. ventas'!AA19+'Proy. ventas'!AA20+'Proy. ventas'!AA21</f>
        <v>52</v>
      </c>
      <c r="AA15" s="349">
        <f t="shared" ref="AA15:AA25" si="11">Z15*$C15</f>
        <v>2080</v>
      </c>
      <c r="AB15" s="352">
        <f t="shared" ref="AB15:AB25" si="12">E15+G15+I15+K15+M15+O15+Q15+S15+U15+W15+Y15+AA15</f>
        <v>10840</v>
      </c>
    </row>
    <row r="16" spans="1:28" ht="15" customHeight="1">
      <c r="A16" s="693"/>
      <c r="B16" s="351" t="s">
        <v>286</v>
      </c>
      <c r="C16" s="360">
        <v>5</v>
      </c>
      <c r="D16" s="361">
        <f>'Proy. ventas'!E20+'Proy. ventas'!E21</f>
        <v>0</v>
      </c>
      <c r="E16" s="349">
        <f t="shared" si="0"/>
        <v>0</v>
      </c>
      <c r="F16" s="361">
        <f>'Proy. ventas'!G20+'Proy. ventas'!G21</f>
        <v>2</v>
      </c>
      <c r="G16" s="349">
        <f t="shared" si="1"/>
        <v>10</v>
      </c>
      <c r="H16" s="361">
        <f>'Proy. ventas'!I20+'Proy. ventas'!I21</f>
        <v>3</v>
      </c>
      <c r="I16" s="349">
        <f t="shared" si="2"/>
        <v>15</v>
      </c>
      <c r="J16" s="361">
        <f>'Proy. ventas'!K20+'Proy. ventas'!K21</f>
        <v>6</v>
      </c>
      <c r="K16" s="349">
        <f t="shared" si="3"/>
        <v>30</v>
      </c>
      <c r="L16" s="361">
        <f>'Proy. ventas'!M20+'Proy. ventas'!M21</f>
        <v>10</v>
      </c>
      <c r="M16" s="349">
        <f t="shared" si="4"/>
        <v>50</v>
      </c>
      <c r="N16" s="361">
        <f>'Proy. ventas'!O20+'Proy. ventas'!O21</f>
        <v>14</v>
      </c>
      <c r="O16" s="349">
        <f t="shared" si="5"/>
        <v>70</v>
      </c>
      <c r="P16" s="361">
        <f>'Proy. ventas'!Q20+'Proy. ventas'!Q21</f>
        <v>17</v>
      </c>
      <c r="Q16" s="349">
        <f t="shared" si="6"/>
        <v>85</v>
      </c>
      <c r="R16" s="361">
        <f>'Proy. ventas'!S20+'Proy. ventas'!S21</f>
        <v>22</v>
      </c>
      <c r="S16" s="349">
        <f t="shared" si="7"/>
        <v>110</v>
      </c>
      <c r="T16" s="361">
        <f>'Proy. ventas'!U20+'Proy. ventas'!U21</f>
        <v>24</v>
      </c>
      <c r="U16" s="349">
        <f t="shared" si="8"/>
        <v>120</v>
      </c>
      <c r="V16" s="361">
        <f>'Proy. ventas'!W20+'Proy. ventas'!W21</f>
        <v>30</v>
      </c>
      <c r="W16" s="349">
        <f t="shared" si="9"/>
        <v>150</v>
      </c>
      <c r="X16" s="361">
        <f>'Proy. ventas'!Y20+'Proy. ventas'!Y21</f>
        <v>31</v>
      </c>
      <c r="Y16" s="349">
        <f t="shared" si="10"/>
        <v>155</v>
      </c>
      <c r="Z16" s="361">
        <f>'Proy. ventas'!AA20+'Proy. ventas'!AA21</f>
        <v>38</v>
      </c>
      <c r="AA16" s="349">
        <f t="shared" si="11"/>
        <v>190</v>
      </c>
      <c r="AB16" s="352">
        <f t="shared" si="12"/>
        <v>985</v>
      </c>
    </row>
    <row r="17" spans="1:28" ht="15" customHeight="1">
      <c r="A17" s="693"/>
      <c r="B17" s="351" t="s">
        <v>287</v>
      </c>
      <c r="C17" s="360">
        <v>0.35</v>
      </c>
      <c r="D17" s="361">
        <f>'Proy. ventas'!E22+'Proy. ventas'!E23+'Proy. ventas'!E24</f>
        <v>0</v>
      </c>
      <c r="E17" s="349">
        <f t="shared" si="0"/>
        <v>0</v>
      </c>
      <c r="F17" s="361">
        <f>'Proy. ventas'!G22+'Proy. ventas'!G23+'Proy. ventas'!G24</f>
        <v>3</v>
      </c>
      <c r="G17" s="349">
        <f t="shared" si="1"/>
        <v>1.0499999999999998</v>
      </c>
      <c r="H17" s="361">
        <f>'Proy. ventas'!I22+'Proy. ventas'!I23+'Proy. ventas'!I24</f>
        <v>7</v>
      </c>
      <c r="I17" s="349">
        <f t="shared" si="2"/>
        <v>2.4499999999999997</v>
      </c>
      <c r="J17" s="361">
        <f>'Proy. ventas'!K22+'Proy. ventas'!K23+'Proy. ventas'!K24</f>
        <v>15</v>
      </c>
      <c r="K17" s="349">
        <f t="shared" si="3"/>
        <v>5.25</v>
      </c>
      <c r="L17" s="361">
        <f>'Proy. ventas'!M22+'Proy. ventas'!M23+'Proy. ventas'!M24</f>
        <v>29</v>
      </c>
      <c r="M17" s="349">
        <f t="shared" si="4"/>
        <v>10.149999999999999</v>
      </c>
      <c r="N17" s="361">
        <f>'Proy. ventas'!O22+'Proy. ventas'!O23+'Proy. ventas'!O24</f>
        <v>48</v>
      </c>
      <c r="O17" s="349">
        <f t="shared" si="5"/>
        <v>16.799999999999997</v>
      </c>
      <c r="P17" s="361">
        <f>'Proy. ventas'!Q22+'Proy. ventas'!Q23+'Proy. ventas'!Q24</f>
        <v>72</v>
      </c>
      <c r="Q17" s="349">
        <f t="shared" si="6"/>
        <v>25.2</v>
      </c>
      <c r="R17" s="361">
        <f>'Proy. ventas'!S22+'Proy. ventas'!S23+'Proy. ventas'!S24</f>
        <v>102</v>
      </c>
      <c r="S17" s="349">
        <f t="shared" si="7"/>
        <v>35.699999999999996</v>
      </c>
      <c r="T17" s="361">
        <f>'Proy. ventas'!U22+'Proy. ventas'!U23+'Proy. ventas'!U24</f>
        <v>135</v>
      </c>
      <c r="U17" s="349">
        <f t="shared" si="8"/>
        <v>47.25</v>
      </c>
      <c r="V17" s="361">
        <f>'Proy. ventas'!W22+'Proy. ventas'!W23+'Proy. ventas'!W24</f>
        <v>176</v>
      </c>
      <c r="W17" s="349">
        <f t="shared" si="9"/>
        <v>61.599999999999994</v>
      </c>
      <c r="X17" s="361">
        <f>'Proy. ventas'!Y22+'Proy. ventas'!Y23+'Proy. ventas'!Y24</f>
        <v>219</v>
      </c>
      <c r="Y17" s="349">
        <f t="shared" si="10"/>
        <v>76.649999999999991</v>
      </c>
      <c r="Z17" s="361">
        <f>'Proy. ventas'!AA22+'Proy. ventas'!AA23+'Proy. ventas'!AA24</f>
        <v>271</v>
      </c>
      <c r="AA17" s="349">
        <f t="shared" si="11"/>
        <v>94.85</v>
      </c>
      <c r="AB17" s="352">
        <f t="shared" si="12"/>
        <v>376.94999999999993</v>
      </c>
    </row>
    <row r="18" spans="1:28" ht="15" customHeight="1">
      <c r="A18" s="693"/>
      <c r="B18" s="351" t="s">
        <v>288</v>
      </c>
      <c r="C18" s="360">
        <v>0.15</v>
      </c>
      <c r="D18" s="361">
        <f>'Proy. ventas'!E22+'Proy. ventas'!E23+'Proy. ventas'!E24</f>
        <v>0</v>
      </c>
      <c r="E18" s="349">
        <f t="shared" si="0"/>
        <v>0</v>
      </c>
      <c r="F18" s="361">
        <f>'Proy. ventas'!G22+'Proy. ventas'!G23+'Proy. ventas'!G24</f>
        <v>3</v>
      </c>
      <c r="G18" s="349">
        <f t="shared" si="1"/>
        <v>0.44999999999999996</v>
      </c>
      <c r="H18" s="361">
        <f>'Proy. ventas'!I22+'Proy. ventas'!I23+'Proy. ventas'!I24</f>
        <v>7</v>
      </c>
      <c r="I18" s="349">
        <f t="shared" si="2"/>
        <v>1.05</v>
      </c>
      <c r="J18" s="361">
        <f>'Proy. ventas'!K22+'Proy. ventas'!K23+'Proy. ventas'!K24</f>
        <v>15</v>
      </c>
      <c r="K18" s="349">
        <f t="shared" si="3"/>
        <v>2.25</v>
      </c>
      <c r="L18" s="361">
        <f>'Proy. ventas'!M22+'Proy. ventas'!M23+'Proy. ventas'!M24</f>
        <v>29</v>
      </c>
      <c r="M18" s="349">
        <f t="shared" si="4"/>
        <v>4.3499999999999996</v>
      </c>
      <c r="N18" s="361">
        <f>'Proy. ventas'!O22+'Proy. ventas'!O23+'Proy. ventas'!O24</f>
        <v>48</v>
      </c>
      <c r="O18" s="349">
        <f t="shared" si="5"/>
        <v>7.1999999999999993</v>
      </c>
      <c r="P18" s="361">
        <f>'Proy. ventas'!Q22+'Proy. ventas'!Q23+'Proy. ventas'!Q24</f>
        <v>72</v>
      </c>
      <c r="Q18" s="349">
        <f t="shared" si="6"/>
        <v>10.799999999999999</v>
      </c>
      <c r="R18" s="361">
        <f>'Proy. ventas'!S22+'Proy. ventas'!S23+'Proy. ventas'!S24</f>
        <v>102</v>
      </c>
      <c r="S18" s="349">
        <f t="shared" si="7"/>
        <v>15.299999999999999</v>
      </c>
      <c r="T18" s="361">
        <f>'Proy. ventas'!U22+'Proy. ventas'!U23+'Proy. ventas'!U24</f>
        <v>135</v>
      </c>
      <c r="U18" s="349">
        <f t="shared" si="8"/>
        <v>20.25</v>
      </c>
      <c r="V18" s="361">
        <f>'Proy. ventas'!W22+'Proy. ventas'!W23+'Proy. ventas'!W24</f>
        <v>176</v>
      </c>
      <c r="W18" s="349">
        <f t="shared" si="9"/>
        <v>26.4</v>
      </c>
      <c r="X18" s="361">
        <f>'Proy. ventas'!Y22+'Proy. ventas'!Y23+'Proy. ventas'!Y24</f>
        <v>219</v>
      </c>
      <c r="Y18" s="349">
        <f t="shared" si="10"/>
        <v>32.85</v>
      </c>
      <c r="Z18" s="361">
        <f>'Proy. ventas'!AA22+'Proy. ventas'!AA23+'Proy. ventas'!AA24</f>
        <v>271</v>
      </c>
      <c r="AA18" s="349">
        <f t="shared" si="11"/>
        <v>40.65</v>
      </c>
      <c r="AB18" s="352">
        <f t="shared" si="12"/>
        <v>161.55000000000001</v>
      </c>
    </row>
    <row r="19" spans="1:28" ht="15" customHeight="1">
      <c r="A19" s="693"/>
      <c r="B19" s="351" t="s">
        <v>289</v>
      </c>
      <c r="C19" s="360">
        <v>0.9</v>
      </c>
      <c r="D19" s="361">
        <f>'Proy. ventas'!E22+'Proy. ventas'!E23+'Proy. ventas'!E24</f>
        <v>0</v>
      </c>
      <c r="E19" s="349">
        <f t="shared" si="0"/>
        <v>0</v>
      </c>
      <c r="F19" s="361">
        <f>'Proy. ventas'!G22+'Proy. ventas'!G23+'Proy. ventas'!G24</f>
        <v>3</v>
      </c>
      <c r="G19" s="349">
        <f t="shared" si="1"/>
        <v>2.7</v>
      </c>
      <c r="H19" s="361">
        <f>'Proy. ventas'!I22+'Proy. ventas'!I23+'Proy. ventas'!I24</f>
        <v>7</v>
      </c>
      <c r="I19" s="349">
        <f t="shared" si="2"/>
        <v>6.3</v>
      </c>
      <c r="J19" s="361">
        <f>'Proy. ventas'!K22+'Proy. ventas'!K23+'Proy. ventas'!K24</f>
        <v>15</v>
      </c>
      <c r="K19" s="349">
        <f t="shared" si="3"/>
        <v>13.5</v>
      </c>
      <c r="L19" s="361">
        <f>'Proy. ventas'!M22+'Proy. ventas'!M23+'Proy. ventas'!M24</f>
        <v>29</v>
      </c>
      <c r="M19" s="349">
        <f t="shared" si="4"/>
        <v>26.1</v>
      </c>
      <c r="N19" s="361">
        <f>'Proy. ventas'!O22+'Proy. ventas'!O23+'Proy. ventas'!O24</f>
        <v>48</v>
      </c>
      <c r="O19" s="349">
        <f t="shared" si="5"/>
        <v>43.2</v>
      </c>
      <c r="P19" s="361">
        <f>'Proy. ventas'!Q22+'Proy. ventas'!Q23+'Proy. ventas'!Q24</f>
        <v>72</v>
      </c>
      <c r="Q19" s="349">
        <f t="shared" si="6"/>
        <v>64.8</v>
      </c>
      <c r="R19" s="361">
        <f>'Proy. ventas'!S22+'Proy. ventas'!S23+'Proy. ventas'!S24</f>
        <v>102</v>
      </c>
      <c r="S19" s="349">
        <f t="shared" si="7"/>
        <v>91.8</v>
      </c>
      <c r="T19" s="361">
        <f>'Proy. ventas'!U22+'Proy. ventas'!U23+'Proy. ventas'!U24</f>
        <v>135</v>
      </c>
      <c r="U19" s="349">
        <f t="shared" si="8"/>
        <v>121.5</v>
      </c>
      <c r="V19" s="361">
        <f>'Proy. ventas'!W22+'Proy. ventas'!W23+'Proy. ventas'!W24</f>
        <v>176</v>
      </c>
      <c r="W19" s="349">
        <f t="shared" si="9"/>
        <v>158.4</v>
      </c>
      <c r="X19" s="361">
        <f>'Proy. ventas'!Y22+'Proy. ventas'!Y23+'Proy. ventas'!Y24</f>
        <v>219</v>
      </c>
      <c r="Y19" s="349">
        <f t="shared" si="10"/>
        <v>197.1</v>
      </c>
      <c r="Z19" s="361">
        <f>'Proy. ventas'!AA22+'Proy. ventas'!AA23+'Proy. ventas'!AA24</f>
        <v>271</v>
      </c>
      <c r="AA19" s="349">
        <f t="shared" si="11"/>
        <v>243.9</v>
      </c>
      <c r="AB19" s="352">
        <f t="shared" si="12"/>
        <v>969.30000000000007</v>
      </c>
    </row>
    <row r="20" spans="1:28" ht="15" customHeight="1">
      <c r="A20" s="693"/>
      <c r="B20" s="351" t="s">
        <v>290</v>
      </c>
      <c r="C20" s="360">
        <v>6</v>
      </c>
      <c r="D20" s="361">
        <f>'Proy. ventas'!E20+'Proy. ventas'!E21</f>
        <v>0</v>
      </c>
      <c r="E20" s="349">
        <f t="shared" si="0"/>
        <v>0</v>
      </c>
      <c r="F20" s="361">
        <f>'Proy. ventas'!G20+'Proy. ventas'!G21</f>
        <v>2</v>
      </c>
      <c r="G20" s="349">
        <f t="shared" si="1"/>
        <v>12</v>
      </c>
      <c r="H20" s="361">
        <f>'Proy. ventas'!I20+'Proy. ventas'!I21</f>
        <v>3</v>
      </c>
      <c r="I20" s="349">
        <f t="shared" si="2"/>
        <v>18</v>
      </c>
      <c r="J20" s="361">
        <f>'Proy. ventas'!K20+'Proy. ventas'!K21</f>
        <v>6</v>
      </c>
      <c r="K20" s="349">
        <f t="shared" si="3"/>
        <v>36</v>
      </c>
      <c r="L20" s="361">
        <f>'Proy. ventas'!M20+'Proy. ventas'!M21</f>
        <v>10</v>
      </c>
      <c r="M20" s="349">
        <f t="shared" si="4"/>
        <v>60</v>
      </c>
      <c r="N20" s="361">
        <f>'Proy. ventas'!O20+'Proy. ventas'!O21</f>
        <v>14</v>
      </c>
      <c r="O20" s="349">
        <f t="shared" si="5"/>
        <v>84</v>
      </c>
      <c r="P20" s="361">
        <f>'Proy. ventas'!Q20+'Proy. ventas'!Q21</f>
        <v>17</v>
      </c>
      <c r="Q20" s="349">
        <f t="shared" si="6"/>
        <v>102</v>
      </c>
      <c r="R20" s="361">
        <f>'Proy. ventas'!S20+'Proy. ventas'!S21</f>
        <v>22</v>
      </c>
      <c r="S20" s="349">
        <f t="shared" si="7"/>
        <v>132</v>
      </c>
      <c r="T20" s="361">
        <f>'Proy. ventas'!U20+'Proy. ventas'!U21</f>
        <v>24</v>
      </c>
      <c r="U20" s="349">
        <f t="shared" si="8"/>
        <v>144</v>
      </c>
      <c r="V20" s="361">
        <f>'Proy. ventas'!W20+'Proy. ventas'!W21</f>
        <v>30</v>
      </c>
      <c r="W20" s="349">
        <f t="shared" si="9"/>
        <v>180</v>
      </c>
      <c r="X20" s="361">
        <f>'Proy. ventas'!Y20+'Proy. ventas'!Y21</f>
        <v>31</v>
      </c>
      <c r="Y20" s="349">
        <f t="shared" si="10"/>
        <v>186</v>
      </c>
      <c r="Z20" s="361">
        <f>'Proy. ventas'!AA20+'Proy. ventas'!AA21</f>
        <v>38</v>
      </c>
      <c r="AA20" s="349">
        <f t="shared" si="11"/>
        <v>228</v>
      </c>
      <c r="AB20" s="352">
        <f t="shared" si="12"/>
        <v>1182</v>
      </c>
    </row>
    <row r="21" spans="1:28" ht="15" customHeight="1">
      <c r="A21" s="693" t="s">
        <v>291</v>
      </c>
      <c r="B21" s="351" t="s">
        <v>292</v>
      </c>
      <c r="C21" s="360">
        <f>Hipótesis!$C$58*0.3</f>
        <v>12</v>
      </c>
      <c r="D21" s="361">
        <f>'Proy. ventas'!E19</f>
        <v>0</v>
      </c>
      <c r="E21" s="349">
        <f t="shared" si="0"/>
        <v>0</v>
      </c>
      <c r="F21" s="361">
        <f>'Proy. ventas'!G19</f>
        <v>1</v>
      </c>
      <c r="G21" s="349">
        <f t="shared" si="1"/>
        <v>12</v>
      </c>
      <c r="H21" s="361">
        <f>'Proy. ventas'!I19</f>
        <v>1</v>
      </c>
      <c r="I21" s="349">
        <f t="shared" si="2"/>
        <v>12</v>
      </c>
      <c r="J21" s="361">
        <f>'Proy. ventas'!K19</f>
        <v>2</v>
      </c>
      <c r="K21" s="349">
        <f t="shared" si="3"/>
        <v>24</v>
      </c>
      <c r="L21" s="361">
        <f>'Proy. ventas'!M19</f>
        <v>4</v>
      </c>
      <c r="M21" s="349">
        <f t="shared" si="4"/>
        <v>48</v>
      </c>
      <c r="N21" s="361">
        <f>'Proy. ventas'!O19</f>
        <v>5</v>
      </c>
      <c r="O21" s="349">
        <f t="shared" si="5"/>
        <v>60</v>
      </c>
      <c r="P21" s="361">
        <f>'Proy. ventas'!Q19</f>
        <v>7</v>
      </c>
      <c r="Q21" s="349">
        <f t="shared" si="6"/>
        <v>84</v>
      </c>
      <c r="R21" s="361">
        <f>'Proy. ventas'!S19</f>
        <v>8</v>
      </c>
      <c r="S21" s="349">
        <f t="shared" si="7"/>
        <v>96</v>
      </c>
      <c r="T21" s="361">
        <f>'Proy. ventas'!U19</f>
        <v>9</v>
      </c>
      <c r="U21" s="349">
        <f t="shared" si="8"/>
        <v>108</v>
      </c>
      <c r="V21" s="361">
        <f>'Proy. ventas'!W19</f>
        <v>11</v>
      </c>
      <c r="W21" s="349">
        <f t="shared" si="9"/>
        <v>132</v>
      </c>
      <c r="X21" s="361">
        <f>'Proy. ventas'!Y19</f>
        <v>12</v>
      </c>
      <c r="Y21" s="349">
        <f t="shared" si="10"/>
        <v>144</v>
      </c>
      <c r="Z21" s="361">
        <f>'Proy. ventas'!AA19</f>
        <v>14</v>
      </c>
      <c r="AA21" s="349">
        <f t="shared" si="11"/>
        <v>168</v>
      </c>
      <c r="AB21" s="352">
        <f t="shared" si="12"/>
        <v>888</v>
      </c>
    </row>
    <row r="22" spans="1:28" ht="15" customHeight="1">
      <c r="A22" s="693"/>
      <c r="B22" s="351" t="s">
        <v>293</v>
      </c>
      <c r="C22" s="360">
        <f>Hipótesis!$C$59*0.3</f>
        <v>36</v>
      </c>
      <c r="D22" s="361">
        <f>'Proy. ventas'!E20</f>
        <v>0</v>
      </c>
      <c r="E22" s="349">
        <f t="shared" si="0"/>
        <v>0</v>
      </c>
      <c r="F22" s="361">
        <f>'Proy. ventas'!G20</f>
        <v>2</v>
      </c>
      <c r="G22" s="349">
        <f t="shared" si="1"/>
        <v>72</v>
      </c>
      <c r="H22" s="361">
        <f>'Proy. ventas'!I20</f>
        <v>3</v>
      </c>
      <c r="I22" s="349">
        <f t="shared" si="2"/>
        <v>108</v>
      </c>
      <c r="J22" s="361">
        <f>'Proy. ventas'!K20</f>
        <v>5</v>
      </c>
      <c r="K22" s="349">
        <f t="shared" si="3"/>
        <v>180</v>
      </c>
      <c r="L22" s="361">
        <f>'Proy. ventas'!M20</f>
        <v>9</v>
      </c>
      <c r="M22" s="349">
        <f t="shared" si="4"/>
        <v>324</v>
      </c>
      <c r="N22" s="361">
        <f>'Proy. ventas'!O20</f>
        <v>12</v>
      </c>
      <c r="O22" s="349">
        <f t="shared" si="5"/>
        <v>432</v>
      </c>
      <c r="P22" s="361">
        <f>'Proy. ventas'!Q20</f>
        <v>15</v>
      </c>
      <c r="Q22" s="349">
        <f t="shared" si="6"/>
        <v>540</v>
      </c>
      <c r="R22" s="361">
        <f>'Proy. ventas'!S20</f>
        <v>19</v>
      </c>
      <c r="S22" s="349">
        <f t="shared" si="7"/>
        <v>684</v>
      </c>
      <c r="T22" s="361">
        <f>'Proy. ventas'!U20</f>
        <v>21</v>
      </c>
      <c r="U22" s="349">
        <f t="shared" si="8"/>
        <v>756</v>
      </c>
      <c r="V22" s="361">
        <f>'Proy. ventas'!W20</f>
        <v>26</v>
      </c>
      <c r="W22" s="349">
        <f t="shared" si="9"/>
        <v>936</v>
      </c>
      <c r="X22" s="361">
        <f>'Proy. ventas'!Y20</f>
        <v>27</v>
      </c>
      <c r="Y22" s="349">
        <f t="shared" si="10"/>
        <v>972</v>
      </c>
      <c r="Z22" s="361">
        <f>'Proy. ventas'!AA20</f>
        <v>33</v>
      </c>
      <c r="AA22" s="349">
        <f t="shared" si="11"/>
        <v>1188</v>
      </c>
      <c r="AB22" s="352">
        <f t="shared" si="12"/>
        <v>6192</v>
      </c>
    </row>
    <row r="23" spans="1:28" ht="15" customHeight="1">
      <c r="A23" s="693"/>
      <c r="B23" s="351" t="s">
        <v>294</v>
      </c>
      <c r="C23" s="360">
        <f>Hipótesis!$C$60*0.3</f>
        <v>135</v>
      </c>
      <c r="D23" s="361">
        <f>'Proy. ventas'!E21</f>
        <v>0</v>
      </c>
      <c r="E23" s="349">
        <f t="shared" si="0"/>
        <v>0</v>
      </c>
      <c r="F23" s="361">
        <f>'Proy. ventas'!G21</f>
        <v>0</v>
      </c>
      <c r="G23" s="349">
        <f t="shared" si="1"/>
        <v>0</v>
      </c>
      <c r="H23" s="361">
        <f>'Proy. ventas'!I21</f>
        <v>0</v>
      </c>
      <c r="I23" s="349">
        <f t="shared" si="2"/>
        <v>0</v>
      </c>
      <c r="J23" s="361">
        <f>'Proy. ventas'!K21</f>
        <v>1</v>
      </c>
      <c r="K23" s="349">
        <f t="shared" si="3"/>
        <v>135</v>
      </c>
      <c r="L23" s="361">
        <f>'Proy. ventas'!M21</f>
        <v>1</v>
      </c>
      <c r="M23" s="349">
        <f t="shared" si="4"/>
        <v>135</v>
      </c>
      <c r="N23" s="361">
        <f>'Proy. ventas'!O21</f>
        <v>2</v>
      </c>
      <c r="O23" s="349">
        <f t="shared" si="5"/>
        <v>270</v>
      </c>
      <c r="P23" s="361">
        <f>'Proy. ventas'!Q21</f>
        <v>2</v>
      </c>
      <c r="Q23" s="349">
        <f t="shared" si="6"/>
        <v>270</v>
      </c>
      <c r="R23" s="361">
        <f>'Proy. ventas'!S21</f>
        <v>3</v>
      </c>
      <c r="S23" s="349">
        <f t="shared" si="7"/>
        <v>405</v>
      </c>
      <c r="T23" s="361">
        <f>'Proy. ventas'!U21</f>
        <v>3</v>
      </c>
      <c r="U23" s="349">
        <f t="shared" si="8"/>
        <v>405</v>
      </c>
      <c r="V23" s="361">
        <f>'Proy. ventas'!W21</f>
        <v>4</v>
      </c>
      <c r="W23" s="349">
        <f t="shared" si="9"/>
        <v>540</v>
      </c>
      <c r="X23" s="361">
        <f>'Proy. ventas'!Y21</f>
        <v>4</v>
      </c>
      <c r="Y23" s="349">
        <f t="shared" si="10"/>
        <v>540</v>
      </c>
      <c r="Z23" s="361">
        <f>'Proy. ventas'!AA21</f>
        <v>5</v>
      </c>
      <c r="AA23" s="349">
        <f t="shared" si="11"/>
        <v>675</v>
      </c>
      <c r="AB23" s="352">
        <f t="shared" si="12"/>
        <v>3375</v>
      </c>
    </row>
    <row r="24" spans="1:28" ht="15" customHeight="1">
      <c r="A24" s="693"/>
      <c r="B24" s="351" t="s">
        <v>295</v>
      </c>
      <c r="C24" s="360">
        <v>10</v>
      </c>
      <c r="D24" s="361">
        <f>ROUND(('Proy. ventas'!E19+'Proy. ventas'!E20+'Proy. ventas'!E21)*0.3,0)</f>
        <v>0</v>
      </c>
      <c r="E24" s="349">
        <f t="shared" si="0"/>
        <v>0</v>
      </c>
      <c r="F24" s="361">
        <f>ROUND(('Proy. ventas'!G19+'Proy. ventas'!G20+'Proy. ventas'!G21)*0.3,0)</f>
        <v>1</v>
      </c>
      <c r="G24" s="349">
        <f t="shared" si="1"/>
        <v>10</v>
      </c>
      <c r="H24" s="361">
        <f>ROUND(('Proy. ventas'!I19+'Proy. ventas'!I20+'Proy. ventas'!I21)*0.3,0)</f>
        <v>1</v>
      </c>
      <c r="I24" s="349">
        <f t="shared" si="2"/>
        <v>10</v>
      </c>
      <c r="J24" s="361">
        <f>ROUND(('Proy. ventas'!K19+'Proy. ventas'!K20+'Proy. ventas'!K21)*0.3,0)</f>
        <v>2</v>
      </c>
      <c r="K24" s="349">
        <f t="shared" si="3"/>
        <v>20</v>
      </c>
      <c r="L24" s="361">
        <f>ROUND(('Proy. ventas'!M19+'Proy. ventas'!M20+'Proy. ventas'!M21)*0.3,0)</f>
        <v>4</v>
      </c>
      <c r="M24" s="349">
        <f t="shared" si="4"/>
        <v>40</v>
      </c>
      <c r="N24" s="361">
        <f>ROUND(('Proy. ventas'!O19+'Proy. ventas'!O20+'Proy. ventas'!O21)*0.3,0)</f>
        <v>6</v>
      </c>
      <c r="O24" s="349">
        <f t="shared" si="5"/>
        <v>60</v>
      </c>
      <c r="P24" s="361">
        <f>ROUND(('Proy. ventas'!Q19+'Proy. ventas'!Q20+'Proy. ventas'!Q21)*0.3,0)</f>
        <v>7</v>
      </c>
      <c r="Q24" s="349">
        <f t="shared" si="6"/>
        <v>70</v>
      </c>
      <c r="R24" s="361">
        <f>ROUND(('Proy. ventas'!S19+'Proy. ventas'!S20+'Proy. ventas'!S21)*0.3,0)</f>
        <v>9</v>
      </c>
      <c r="S24" s="349">
        <f t="shared" si="7"/>
        <v>90</v>
      </c>
      <c r="T24" s="361">
        <f>ROUND(('Proy. ventas'!U19+'Proy. ventas'!U20+'Proy. ventas'!U21)*0.3,0)</f>
        <v>10</v>
      </c>
      <c r="U24" s="349">
        <f t="shared" si="8"/>
        <v>100</v>
      </c>
      <c r="V24" s="361">
        <f>ROUND(('Proy. ventas'!W19+'Proy. ventas'!W20+'Proy. ventas'!W21)*0.3,0)</f>
        <v>12</v>
      </c>
      <c r="W24" s="349">
        <f t="shared" si="9"/>
        <v>120</v>
      </c>
      <c r="X24" s="361">
        <f>ROUND(('Proy. ventas'!Y19+'Proy. ventas'!Y20+'Proy. ventas'!Y21)*0.3,0)</f>
        <v>13</v>
      </c>
      <c r="Y24" s="349">
        <f t="shared" si="10"/>
        <v>130</v>
      </c>
      <c r="Z24" s="361">
        <f>ROUND(('Proy. ventas'!AA19+'Proy. ventas'!AA20+'Proy. ventas'!AA21)*0.3,0)</f>
        <v>16</v>
      </c>
      <c r="AA24" s="349">
        <f t="shared" si="11"/>
        <v>160</v>
      </c>
      <c r="AB24" s="352">
        <f t="shared" si="12"/>
        <v>810</v>
      </c>
    </row>
    <row r="25" spans="1:28" ht="15" customHeight="1">
      <c r="A25" s="354" t="s">
        <v>284</v>
      </c>
      <c r="B25" s="351" t="s">
        <v>296</v>
      </c>
      <c r="C25" s="360">
        <v>7</v>
      </c>
      <c r="D25" s="361">
        <f>'Anexo capacidad operativa'!D87</f>
        <v>0</v>
      </c>
      <c r="E25" s="349">
        <f t="shared" si="0"/>
        <v>0</v>
      </c>
      <c r="F25" s="361">
        <f>'Anexo capacidad operativa'!F87</f>
        <v>150</v>
      </c>
      <c r="G25" s="349">
        <f t="shared" si="1"/>
        <v>1050</v>
      </c>
      <c r="H25" s="361">
        <f>'Anexo capacidad operativa'!H87</f>
        <v>150</v>
      </c>
      <c r="I25" s="349">
        <f t="shared" si="2"/>
        <v>1050</v>
      </c>
      <c r="J25" s="361">
        <f>'Anexo capacidad operativa'!J87</f>
        <v>150</v>
      </c>
      <c r="K25" s="349">
        <f t="shared" si="3"/>
        <v>1050</v>
      </c>
      <c r="L25" s="361">
        <f>'Anexo capacidad operativa'!L87</f>
        <v>150</v>
      </c>
      <c r="M25" s="349">
        <f t="shared" si="4"/>
        <v>1050</v>
      </c>
      <c r="N25" s="361">
        <f>'Anexo capacidad operativa'!N87</f>
        <v>150</v>
      </c>
      <c r="O25" s="349">
        <f t="shared" si="5"/>
        <v>1050</v>
      </c>
      <c r="P25" s="361">
        <f>'Anexo capacidad operativa'!P87</f>
        <v>150</v>
      </c>
      <c r="Q25" s="349">
        <f t="shared" si="6"/>
        <v>1050</v>
      </c>
      <c r="R25" s="361">
        <f>'Anexo capacidad operativa'!R87</f>
        <v>150</v>
      </c>
      <c r="S25" s="349">
        <f t="shared" si="7"/>
        <v>1050</v>
      </c>
      <c r="T25" s="361">
        <f>'Anexo capacidad operativa'!T87</f>
        <v>150</v>
      </c>
      <c r="U25" s="349">
        <f t="shared" si="8"/>
        <v>1050</v>
      </c>
      <c r="V25" s="361">
        <f>'Anexo capacidad operativa'!V87</f>
        <v>300</v>
      </c>
      <c r="W25" s="349">
        <f t="shared" si="9"/>
        <v>2100</v>
      </c>
      <c r="X25" s="361">
        <f>'Anexo capacidad operativa'!X87</f>
        <v>300</v>
      </c>
      <c r="Y25" s="349">
        <f t="shared" si="10"/>
        <v>2100</v>
      </c>
      <c r="Z25" s="361">
        <f>'Anexo capacidad operativa'!Z87</f>
        <v>300</v>
      </c>
      <c r="AA25" s="349">
        <f t="shared" si="11"/>
        <v>2100</v>
      </c>
      <c r="AB25" s="352">
        <f t="shared" si="12"/>
        <v>14700</v>
      </c>
    </row>
    <row r="26" spans="1:28" ht="15" customHeight="1">
      <c r="A26" s="354"/>
      <c r="B26" s="351"/>
      <c r="C26" s="360"/>
      <c r="D26" s="361"/>
      <c r="E26" s="349"/>
      <c r="F26" s="361"/>
      <c r="G26" s="349"/>
      <c r="H26" s="361"/>
      <c r="I26" s="349"/>
      <c r="J26" s="361"/>
      <c r="K26" s="349"/>
      <c r="L26" s="361"/>
      <c r="M26" s="349"/>
      <c r="N26" s="361"/>
      <c r="O26" s="349"/>
      <c r="P26" s="361"/>
      <c r="Q26" s="349"/>
      <c r="R26" s="361"/>
      <c r="S26" s="349"/>
      <c r="T26" s="361"/>
      <c r="U26" s="349"/>
      <c r="V26" s="361"/>
      <c r="W26" s="349"/>
      <c r="X26" s="361"/>
      <c r="Y26" s="349"/>
      <c r="Z26" s="361"/>
      <c r="AA26" s="349"/>
      <c r="AB26" s="352"/>
    </row>
    <row r="27" spans="1:28" ht="15" customHeight="1">
      <c r="A27" s="354"/>
      <c r="B27" s="351"/>
      <c r="C27" s="360"/>
      <c r="D27" s="361"/>
      <c r="E27" s="349"/>
      <c r="F27" s="361"/>
      <c r="G27" s="349"/>
      <c r="H27" s="361"/>
      <c r="I27" s="349"/>
      <c r="J27" s="361"/>
      <c r="K27" s="349"/>
      <c r="L27" s="361"/>
      <c r="M27" s="349"/>
      <c r="N27" s="361"/>
      <c r="O27" s="349"/>
      <c r="P27" s="361"/>
      <c r="Q27" s="349"/>
      <c r="R27" s="361"/>
      <c r="S27" s="349"/>
      <c r="T27" s="361"/>
      <c r="U27" s="349"/>
      <c r="V27" s="361"/>
      <c r="W27" s="349"/>
      <c r="X27" s="361"/>
      <c r="Y27" s="349"/>
      <c r="Z27" s="361"/>
      <c r="AA27" s="349"/>
      <c r="AB27" s="352"/>
    </row>
    <row r="28" spans="1:28" ht="15" customHeight="1">
      <c r="B28" s="362"/>
      <c r="C28" s="363"/>
      <c r="D28" s="364"/>
      <c r="E28" s="365"/>
      <c r="F28" s="364"/>
      <c r="G28" s="365"/>
      <c r="H28" s="364"/>
      <c r="I28" s="365"/>
      <c r="J28" s="364"/>
      <c r="K28" s="365"/>
      <c r="L28" s="364"/>
      <c r="M28" s="365"/>
      <c r="N28" s="364"/>
      <c r="O28" s="365"/>
      <c r="P28" s="364"/>
      <c r="Q28" s="365"/>
      <c r="R28" s="364"/>
      <c r="S28" s="365"/>
      <c r="T28" s="364"/>
      <c r="U28" s="365"/>
      <c r="V28" s="364"/>
      <c r="W28" s="365"/>
      <c r="X28" s="364"/>
      <c r="Y28" s="365"/>
      <c r="Z28" s="364"/>
      <c r="AA28" s="365"/>
      <c r="AB28" s="366"/>
    </row>
    <row r="29" spans="1:28" ht="14.25" customHeight="1">
      <c r="B29" s="362"/>
      <c r="C29" s="363"/>
      <c r="D29" s="364"/>
      <c r="E29" s="365"/>
      <c r="F29" s="364"/>
      <c r="G29" s="365"/>
      <c r="H29" s="364"/>
      <c r="I29" s="365"/>
      <c r="J29" s="364"/>
      <c r="K29" s="365"/>
      <c r="L29" s="364"/>
      <c r="M29" s="365"/>
      <c r="N29" s="364"/>
      <c r="O29" s="365"/>
      <c r="P29" s="364"/>
      <c r="Q29" s="365"/>
      <c r="R29" s="364"/>
      <c r="S29" s="365"/>
      <c r="T29" s="364"/>
      <c r="U29" s="365"/>
      <c r="V29" s="364"/>
      <c r="W29" s="365"/>
      <c r="X29" s="364"/>
      <c r="Y29" s="365"/>
      <c r="Z29" s="364"/>
      <c r="AA29" s="365"/>
      <c r="AB29" s="366"/>
    </row>
    <row r="30" spans="1:28" ht="14.25" customHeight="1">
      <c r="B30" s="367"/>
      <c r="C30" s="368"/>
      <c r="D30" s="369"/>
      <c r="E30" s="370"/>
      <c r="F30" s="371"/>
      <c r="G30" s="370"/>
      <c r="H30" s="371"/>
      <c r="I30" s="370"/>
      <c r="J30" s="371"/>
      <c r="K30" s="370"/>
      <c r="L30" s="371"/>
      <c r="M30" s="370"/>
      <c r="N30" s="371"/>
      <c r="O30" s="370"/>
      <c r="P30" s="371"/>
      <c r="Q30" s="370"/>
      <c r="R30" s="371"/>
      <c r="S30" s="370"/>
      <c r="T30" s="371"/>
      <c r="U30" s="370"/>
      <c r="V30" s="371"/>
      <c r="W30" s="370"/>
      <c r="X30" s="371"/>
      <c r="Y30" s="370"/>
      <c r="Z30" s="371"/>
      <c r="AA30" s="365"/>
      <c r="AB30" s="372"/>
    </row>
    <row r="31" spans="1:28" ht="14.25" customHeight="1">
      <c r="A31" s="373"/>
      <c r="B31" s="374"/>
      <c r="C31" s="375"/>
      <c r="D31" s="376"/>
      <c r="E31" s="377"/>
      <c r="F31" s="378"/>
      <c r="G31" s="377"/>
      <c r="H31" s="378"/>
      <c r="I31" s="377"/>
      <c r="J31" s="378"/>
      <c r="K31" s="377"/>
      <c r="L31" s="378"/>
      <c r="M31" s="377"/>
      <c r="N31" s="378"/>
      <c r="O31" s="377"/>
      <c r="P31" s="378"/>
      <c r="Q31" s="377"/>
      <c r="R31" s="378"/>
      <c r="S31" s="377"/>
      <c r="T31" s="378"/>
      <c r="U31" s="377"/>
      <c r="V31" s="378"/>
      <c r="W31" s="377"/>
      <c r="X31" s="378"/>
      <c r="Y31" s="377"/>
      <c r="Z31" s="378"/>
      <c r="AA31" s="377"/>
      <c r="AB31" s="372"/>
    </row>
    <row r="32" spans="1:28" ht="14.25" customHeight="1">
      <c r="A32" s="356"/>
      <c r="B32" s="355" t="s">
        <v>275</v>
      </c>
      <c r="C32" s="356"/>
      <c r="D32" s="356"/>
      <c r="E32" s="357">
        <f>SUM(E15:E31)</f>
        <v>0</v>
      </c>
      <c r="F32" s="379"/>
      <c r="G32" s="357">
        <f>SUM(G15:G31)</f>
        <v>1290.2</v>
      </c>
      <c r="H32" s="379"/>
      <c r="I32" s="357">
        <f>SUM(I15:I31)</f>
        <v>1382.8</v>
      </c>
      <c r="J32" s="379"/>
      <c r="K32" s="357">
        <f>SUM(K15:K31)</f>
        <v>1816</v>
      </c>
      <c r="L32" s="379"/>
      <c r="M32" s="357">
        <f>SUM(M15:M31)</f>
        <v>2307.6</v>
      </c>
      <c r="N32" s="356"/>
      <c r="O32" s="357">
        <f>SUM(O15:O31)</f>
        <v>2853.2</v>
      </c>
      <c r="P32" s="379"/>
      <c r="Q32" s="357">
        <f>SUM(Q15:Q31)</f>
        <v>3261.8</v>
      </c>
      <c r="R32" s="379"/>
      <c r="S32" s="357">
        <f>SUM(S15:S31)</f>
        <v>3909.8</v>
      </c>
      <c r="T32" s="379"/>
      <c r="U32" s="357">
        <f>SUM(U15:U31)</f>
        <v>4192</v>
      </c>
      <c r="V32" s="379"/>
      <c r="W32" s="357">
        <f>SUM(W15:W31)</f>
        <v>6044.4</v>
      </c>
      <c r="X32" s="379"/>
      <c r="Y32" s="357">
        <f>SUM(Y15:Y31)</f>
        <v>6253.6</v>
      </c>
      <c r="Z32" s="379"/>
      <c r="AA32" s="357">
        <f>SUM(AA15:AA31)</f>
        <v>7168.4</v>
      </c>
      <c r="AB32" s="357">
        <f>SUM(AB15:AB31)</f>
        <v>40479.800000000003</v>
      </c>
    </row>
    <row r="33" spans="1:28"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ht="25.5" customHeight="1">
      <c r="A35" s="13"/>
      <c r="B35" s="345" t="s">
        <v>297</v>
      </c>
    </row>
    <row r="36" spans="1:28" ht="14.25" customHeight="1">
      <c r="A36" s="346" t="s">
        <v>247</v>
      </c>
      <c r="B36" s="346" t="s">
        <v>171</v>
      </c>
      <c r="C36" s="346" t="s">
        <v>281</v>
      </c>
      <c r="D36" s="694" t="s">
        <v>80</v>
      </c>
      <c r="E36" s="694"/>
      <c r="F36" s="694" t="s">
        <v>81</v>
      </c>
      <c r="G36" s="694"/>
      <c r="H36" s="694" t="s">
        <v>82</v>
      </c>
      <c r="I36" s="694"/>
      <c r="J36" s="694" t="s">
        <v>83</v>
      </c>
      <c r="K36" s="694"/>
      <c r="L36" s="694" t="s">
        <v>84</v>
      </c>
      <c r="M36" s="694"/>
      <c r="N36" s="694" t="s">
        <v>85</v>
      </c>
      <c r="O36" s="694"/>
      <c r="P36" s="694" t="s">
        <v>86</v>
      </c>
      <c r="Q36" s="694"/>
      <c r="R36" s="694" t="s">
        <v>87</v>
      </c>
      <c r="S36" s="694"/>
      <c r="T36" s="694" t="s">
        <v>88</v>
      </c>
      <c r="U36" s="694"/>
      <c r="V36" s="694" t="s">
        <v>89</v>
      </c>
      <c r="W36" s="694"/>
      <c r="X36" s="694" t="s">
        <v>90</v>
      </c>
      <c r="Y36" s="694"/>
      <c r="Z36" s="694" t="s">
        <v>91</v>
      </c>
      <c r="AA36" s="694"/>
      <c r="AB36" s="694" t="s">
        <v>248</v>
      </c>
    </row>
    <row r="37" spans="1:28" ht="14.25" customHeight="1">
      <c r="A37" s="359"/>
      <c r="B37" s="359"/>
      <c r="C37" s="359"/>
      <c r="D37" s="359" t="s">
        <v>282</v>
      </c>
      <c r="E37" s="359" t="s">
        <v>283</v>
      </c>
      <c r="F37" s="359" t="s">
        <v>282</v>
      </c>
      <c r="G37" s="359" t="s">
        <v>283</v>
      </c>
      <c r="H37" s="359" t="s">
        <v>282</v>
      </c>
      <c r="I37" s="359" t="s">
        <v>283</v>
      </c>
      <c r="J37" s="359" t="s">
        <v>282</v>
      </c>
      <c r="K37" s="359" t="s">
        <v>283</v>
      </c>
      <c r="L37" s="359" t="s">
        <v>282</v>
      </c>
      <c r="M37" s="359" t="s">
        <v>283</v>
      </c>
      <c r="N37" s="359" t="s">
        <v>282</v>
      </c>
      <c r="O37" s="359" t="s">
        <v>283</v>
      </c>
      <c r="P37" s="359" t="s">
        <v>282</v>
      </c>
      <c r="Q37" s="359" t="s">
        <v>283</v>
      </c>
      <c r="R37" s="359" t="s">
        <v>282</v>
      </c>
      <c r="S37" s="359" t="s">
        <v>283</v>
      </c>
      <c r="T37" s="359" t="s">
        <v>282</v>
      </c>
      <c r="U37" s="359" t="s">
        <v>283</v>
      </c>
      <c r="V37" s="359" t="s">
        <v>282</v>
      </c>
      <c r="W37" s="359" t="s">
        <v>283</v>
      </c>
      <c r="X37" s="359" t="s">
        <v>282</v>
      </c>
      <c r="Y37" s="359" t="s">
        <v>283</v>
      </c>
      <c r="Z37" s="359" t="s">
        <v>282</v>
      </c>
      <c r="AA37" s="359" t="s">
        <v>283</v>
      </c>
      <c r="AB37" s="694"/>
    </row>
    <row r="38" spans="1:28" ht="14.25" customHeight="1">
      <c r="A38" s="693" t="s">
        <v>284</v>
      </c>
      <c r="B38" s="351" t="s">
        <v>285</v>
      </c>
      <c r="C38" s="360">
        <v>40</v>
      </c>
      <c r="D38" s="361">
        <f>'Proy. ventas'!E82+'Proy. ventas'!E83+'Proy. ventas'!E84</f>
        <v>22</v>
      </c>
      <c r="E38" s="349">
        <f t="shared" ref="E38:E48" si="13">D38*$C38</f>
        <v>880</v>
      </c>
      <c r="F38" s="361">
        <f>'Proy. ventas'!G82+'Proy. ventas'!G83+'Proy. ventas'!G84</f>
        <v>22</v>
      </c>
      <c r="G38" s="349">
        <f t="shared" ref="G38:G48" si="14">F38*$C38</f>
        <v>880</v>
      </c>
      <c r="H38" s="361">
        <f>'Proy. ventas'!I82+'Proy. ventas'!I83+'Proy. ventas'!I84</f>
        <v>25</v>
      </c>
      <c r="I38" s="349">
        <f t="shared" ref="I38:I48" si="15">H38*$C38</f>
        <v>1000</v>
      </c>
      <c r="J38" s="361">
        <f>'Proy. ventas'!K82+'Proy. ventas'!K83+'Proy. ventas'!K84</f>
        <v>25</v>
      </c>
      <c r="K38" s="349">
        <f t="shared" ref="K38:K48" si="16">J38*$C38</f>
        <v>1000</v>
      </c>
      <c r="L38" s="361">
        <f>'Proy. ventas'!M82+'Proy. ventas'!M83+'Proy. ventas'!M84</f>
        <v>26</v>
      </c>
      <c r="M38" s="349">
        <f t="shared" ref="M38:M48" si="17">L38*$C38</f>
        <v>1040</v>
      </c>
      <c r="N38" s="361">
        <f>'Proy. ventas'!O82+'Proy. ventas'!O83+'Proy. ventas'!O84</f>
        <v>26</v>
      </c>
      <c r="O38" s="349">
        <f t="shared" ref="O38:O48" si="18">N38*$C38</f>
        <v>1040</v>
      </c>
      <c r="P38" s="361">
        <f>'Proy. ventas'!Q82+'Proy. ventas'!Q83+'Proy. ventas'!Q84</f>
        <v>27</v>
      </c>
      <c r="Q38" s="349">
        <f t="shared" ref="Q38:Q48" si="19">P38*$C38</f>
        <v>1080</v>
      </c>
      <c r="R38" s="361">
        <f>'Proy. ventas'!S82+'Proy. ventas'!S83+'Proy. ventas'!S84</f>
        <v>27</v>
      </c>
      <c r="S38" s="349">
        <f t="shared" ref="S38:S48" si="20">R38*$C38</f>
        <v>1080</v>
      </c>
      <c r="T38" s="361">
        <f>'Proy. ventas'!U82+'Proy. ventas'!U83+'Proy. ventas'!U84</f>
        <v>30</v>
      </c>
      <c r="U38" s="349">
        <f t="shared" ref="U38:U48" si="21">T38*$C38</f>
        <v>1200</v>
      </c>
      <c r="V38" s="361">
        <f>'Proy. ventas'!W82+'Proy. ventas'!W83+'Proy. ventas'!W84</f>
        <v>30</v>
      </c>
      <c r="W38" s="349">
        <f t="shared" ref="W38:W48" si="22">V38*$C38</f>
        <v>1200</v>
      </c>
      <c r="X38" s="361">
        <f>'Proy. ventas'!Y82+'Proy. ventas'!Y83+'Proy. ventas'!Y84</f>
        <v>33</v>
      </c>
      <c r="Y38" s="349">
        <f t="shared" ref="Y38:Y48" si="23">X38*$C38</f>
        <v>1320</v>
      </c>
      <c r="Z38" s="361">
        <f>'Proy. ventas'!AA82+'Proy. ventas'!AA83+'Proy. ventas'!AA84</f>
        <v>33</v>
      </c>
      <c r="AA38" s="349">
        <f t="shared" ref="AA38:AA48" si="24">Z38*$C38</f>
        <v>1320</v>
      </c>
      <c r="AB38" s="352">
        <f t="shared" ref="AB38:AB48" si="25">E38+G38+I38+K38+M38+O38+Q38+S38+U38+W38+Y38+AA38</f>
        <v>13040</v>
      </c>
    </row>
    <row r="39" spans="1:28" ht="14.25" customHeight="1">
      <c r="A39" s="693"/>
      <c r="B39" s="351" t="s">
        <v>286</v>
      </c>
      <c r="C39" s="360">
        <v>5</v>
      </c>
      <c r="D39" s="361">
        <f>'Proy. ventas'!E83+'Proy. ventas'!E84</f>
        <v>16</v>
      </c>
      <c r="E39" s="349">
        <f t="shared" si="13"/>
        <v>80</v>
      </c>
      <c r="F39" s="361">
        <f>'Proy. ventas'!G83+'Proy. ventas'!G84</f>
        <v>16</v>
      </c>
      <c r="G39" s="349">
        <f t="shared" si="14"/>
        <v>80</v>
      </c>
      <c r="H39" s="361">
        <f>'Proy. ventas'!I83+'Proy. ventas'!I84</f>
        <v>18</v>
      </c>
      <c r="I39" s="349">
        <f t="shared" si="15"/>
        <v>90</v>
      </c>
      <c r="J39" s="361">
        <f>'Proy. ventas'!K83+'Proy. ventas'!K84</f>
        <v>18</v>
      </c>
      <c r="K39" s="349">
        <f t="shared" si="16"/>
        <v>90</v>
      </c>
      <c r="L39" s="361">
        <f>'Proy. ventas'!M83+'Proy. ventas'!M84</f>
        <v>19</v>
      </c>
      <c r="M39" s="349">
        <f t="shared" si="17"/>
        <v>95</v>
      </c>
      <c r="N39" s="361">
        <f>'Proy. ventas'!O83+'Proy. ventas'!O84</f>
        <v>19</v>
      </c>
      <c r="O39" s="349">
        <f t="shared" si="18"/>
        <v>95</v>
      </c>
      <c r="P39" s="361">
        <f>'Proy. ventas'!Q83+'Proy. ventas'!Q84</f>
        <v>20</v>
      </c>
      <c r="Q39" s="349">
        <f t="shared" si="19"/>
        <v>100</v>
      </c>
      <c r="R39" s="361">
        <f>'Proy. ventas'!S83+'Proy. ventas'!S84</f>
        <v>20</v>
      </c>
      <c r="S39" s="349">
        <f t="shared" si="20"/>
        <v>100</v>
      </c>
      <c r="T39" s="361">
        <f>'Proy. ventas'!U83+'Proy. ventas'!U84</f>
        <v>22</v>
      </c>
      <c r="U39" s="349">
        <f t="shared" si="21"/>
        <v>110</v>
      </c>
      <c r="V39" s="361">
        <f>'Proy. ventas'!W83+'Proy. ventas'!W84</f>
        <v>22</v>
      </c>
      <c r="W39" s="349">
        <f t="shared" si="22"/>
        <v>110</v>
      </c>
      <c r="X39" s="361">
        <f>'Proy. ventas'!Y83+'Proy. ventas'!Y84</f>
        <v>24</v>
      </c>
      <c r="Y39" s="349">
        <f t="shared" si="23"/>
        <v>120</v>
      </c>
      <c r="Z39" s="361">
        <f>'Proy. ventas'!AA83+'Proy. ventas'!AA84</f>
        <v>24</v>
      </c>
      <c r="AA39" s="349">
        <f t="shared" si="24"/>
        <v>120</v>
      </c>
      <c r="AB39" s="352">
        <f t="shared" si="25"/>
        <v>1190</v>
      </c>
    </row>
    <row r="40" spans="1:28" ht="14.25" customHeight="1">
      <c r="A40" s="693"/>
      <c r="B40" s="351" t="s">
        <v>287</v>
      </c>
      <c r="C40" s="360">
        <v>0.35</v>
      </c>
      <c r="D40" s="361">
        <f>'Proy. ventas'!E85+'Proy. ventas'!E86+'Proy. ventas'!E87</f>
        <v>293</v>
      </c>
      <c r="E40" s="349">
        <f t="shared" si="13"/>
        <v>102.55</v>
      </c>
      <c r="F40" s="361">
        <f>'Proy. ventas'!G85+'Proy. ventas'!G86+'Proy. ventas'!G87</f>
        <v>315</v>
      </c>
      <c r="G40" s="349">
        <f t="shared" si="14"/>
        <v>110.25</v>
      </c>
      <c r="H40" s="361">
        <f>'Proy. ventas'!I85+'Proy. ventas'!I86+'Proy. ventas'!I87</f>
        <v>340</v>
      </c>
      <c r="I40" s="349">
        <f t="shared" si="15"/>
        <v>118.99999999999999</v>
      </c>
      <c r="J40" s="361">
        <f>'Proy. ventas'!K85+'Proy. ventas'!K86+'Proy. ventas'!K87</f>
        <v>365</v>
      </c>
      <c r="K40" s="349">
        <f t="shared" si="16"/>
        <v>127.74999999999999</v>
      </c>
      <c r="L40" s="361">
        <f>'Proy. ventas'!M85+'Proy. ventas'!M86+'Proy. ventas'!M87</f>
        <v>391</v>
      </c>
      <c r="M40" s="349">
        <f t="shared" si="17"/>
        <v>136.85</v>
      </c>
      <c r="N40" s="361">
        <f>'Proy. ventas'!O85+'Proy. ventas'!O86+'Proy. ventas'!O87</f>
        <v>417</v>
      </c>
      <c r="O40" s="349">
        <f t="shared" si="18"/>
        <v>145.94999999999999</v>
      </c>
      <c r="P40" s="361">
        <f>'Proy. ventas'!Q85+'Proy. ventas'!Q86+'Proy. ventas'!Q87</f>
        <v>444</v>
      </c>
      <c r="Q40" s="349">
        <f t="shared" si="19"/>
        <v>155.39999999999998</v>
      </c>
      <c r="R40" s="361">
        <f>'Proy. ventas'!S85+'Proy. ventas'!S86+'Proy. ventas'!S87</f>
        <v>471</v>
      </c>
      <c r="S40" s="349">
        <f t="shared" si="20"/>
        <v>164.85</v>
      </c>
      <c r="T40" s="361">
        <f>'Proy. ventas'!U85+'Proy. ventas'!U86+'Proy. ventas'!U87</f>
        <v>501</v>
      </c>
      <c r="U40" s="349">
        <f t="shared" si="21"/>
        <v>175.35</v>
      </c>
      <c r="V40" s="361">
        <f>'Proy. ventas'!W85+'Proy. ventas'!W86+'Proy. ventas'!W87</f>
        <v>531</v>
      </c>
      <c r="W40" s="349">
        <f t="shared" si="22"/>
        <v>185.85</v>
      </c>
      <c r="X40" s="361">
        <f>'Proy. ventas'!Y85+'Proy. ventas'!Y86+'Proy. ventas'!Y87</f>
        <v>564</v>
      </c>
      <c r="Y40" s="349">
        <f t="shared" si="23"/>
        <v>197.39999999999998</v>
      </c>
      <c r="Z40" s="361">
        <f>'Proy. ventas'!AA85+'Proy. ventas'!AA86+'Proy. ventas'!AA87</f>
        <v>597</v>
      </c>
      <c r="AA40" s="349">
        <f t="shared" si="24"/>
        <v>208.95</v>
      </c>
      <c r="AB40" s="352">
        <f t="shared" si="25"/>
        <v>1830.1499999999999</v>
      </c>
    </row>
    <row r="41" spans="1:28" ht="14.25" customHeight="1">
      <c r="A41" s="693"/>
      <c r="B41" s="351" t="s">
        <v>288</v>
      </c>
      <c r="C41" s="360">
        <v>0.15</v>
      </c>
      <c r="D41" s="361">
        <f>'Proy. ventas'!E85+'Proy. ventas'!E86+'Proy. ventas'!E87</f>
        <v>293</v>
      </c>
      <c r="E41" s="349">
        <f t="shared" si="13"/>
        <v>43.949999999999996</v>
      </c>
      <c r="F41" s="361">
        <f>'Proy. ventas'!G85+'Proy. ventas'!G86+'Proy. ventas'!G87</f>
        <v>315</v>
      </c>
      <c r="G41" s="349">
        <f t="shared" si="14"/>
        <v>47.25</v>
      </c>
      <c r="H41" s="361">
        <f>'Proy. ventas'!I85+'Proy. ventas'!I86+'Proy. ventas'!I87</f>
        <v>340</v>
      </c>
      <c r="I41" s="349">
        <f t="shared" si="15"/>
        <v>51</v>
      </c>
      <c r="J41" s="361">
        <f>'Proy. ventas'!K85+'Proy. ventas'!K86+'Proy. ventas'!K87</f>
        <v>365</v>
      </c>
      <c r="K41" s="349">
        <f t="shared" si="16"/>
        <v>54.75</v>
      </c>
      <c r="L41" s="361">
        <f>'Proy. ventas'!M85+'Proy. ventas'!M86+'Proy. ventas'!M87</f>
        <v>391</v>
      </c>
      <c r="M41" s="349">
        <f t="shared" si="17"/>
        <v>58.65</v>
      </c>
      <c r="N41" s="361">
        <f>'Proy. ventas'!O85+'Proy. ventas'!O86+'Proy. ventas'!O87</f>
        <v>417</v>
      </c>
      <c r="O41" s="349">
        <f t="shared" si="18"/>
        <v>62.55</v>
      </c>
      <c r="P41" s="361">
        <f>'Proy. ventas'!Q85+'Proy. ventas'!Q86+'Proy. ventas'!Q87</f>
        <v>444</v>
      </c>
      <c r="Q41" s="349">
        <f t="shared" si="19"/>
        <v>66.599999999999994</v>
      </c>
      <c r="R41" s="361">
        <f>'Proy. ventas'!S85+'Proy. ventas'!S86+'Proy. ventas'!S87</f>
        <v>471</v>
      </c>
      <c r="S41" s="349">
        <f t="shared" si="20"/>
        <v>70.649999999999991</v>
      </c>
      <c r="T41" s="361">
        <f>'Proy. ventas'!U85+'Proy. ventas'!U86+'Proy. ventas'!U87</f>
        <v>501</v>
      </c>
      <c r="U41" s="349">
        <f t="shared" si="21"/>
        <v>75.149999999999991</v>
      </c>
      <c r="V41" s="361">
        <f>'Proy. ventas'!W85+'Proy. ventas'!W86+'Proy. ventas'!W87</f>
        <v>531</v>
      </c>
      <c r="W41" s="349">
        <f t="shared" si="22"/>
        <v>79.649999999999991</v>
      </c>
      <c r="X41" s="361">
        <f>'Proy. ventas'!Y85+'Proy. ventas'!Y86+'Proy. ventas'!Y87</f>
        <v>564</v>
      </c>
      <c r="Y41" s="349">
        <f t="shared" si="23"/>
        <v>84.6</v>
      </c>
      <c r="Z41" s="361">
        <f>'Proy. ventas'!AA85+'Proy. ventas'!AA86+'Proy. ventas'!AA87</f>
        <v>597</v>
      </c>
      <c r="AA41" s="349">
        <f t="shared" si="24"/>
        <v>89.55</v>
      </c>
      <c r="AB41" s="352">
        <f t="shared" si="25"/>
        <v>784.34999999999991</v>
      </c>
    </row>
    <row r="42" spans="1:28" ht="14.25" customHeight="1">
      <c r="A42" s="693"/>
      <c r="B42" s="351" t="s">
        <v>289</v>
      </c>
      <c r="C42" s="360">
        <v>0.9</v>
      </c>
      <c r="D42" s="361">
        <f>'Proy. ventas'!E85+'Proy. ventas'!E86+'Proy. ventas'!E87</f>
        <v>293</v>
      </c>
      <c r="E42" s="349">
        <f t="shared" si="13"/>
        <v>263.7</v>
      </c>
      <c r="F42" s="361">
        <f>'Proy. ventas'!G85+'Proy. ventas'!G86+'Proy. ventas'!G87</f>
        <v>315</v>
      </c>
      <c r="G42" s="349">
        <f t="shared" si="14"/>
        <v>283.5</v>
      </c>
      <c r="H42" s="361">
        <f>'Proy. ventas'!I85+'Proy. ventas'!I86+'Proy. ventas'!I87</f>
        <v>340</v>
      </c>
      <c r="I42" s="349">
        <f t="shared" si="15"/>
        <v>306</v>
      </c>
      <c r="J42" s="361">
        <f>'Proy. ventas'!K85+'Proy. ventas'!K86+'Proy. ventas'!K87</f>
        <v>365</v>
      </c>
      <c r="K42" s="349">
        <f t="shared" si="16"/>
        <v>328.5</v>
      </c>
      <c r="L42" s="361">
        <f>'Proy. ventas'!M85+'Proy. ventas'!M86+'Proy. ventas'!M87</f>
        <v>391</v>
      </c>
      <c r="M42" s="349">
        <f t="shared" si="17"/>
        <v>351.90000000000003</v>
      </c>
      <c r="N42" s="361">
        <f>'Proy. ventas'!O85+'Proy. ventas'!O86+'Proy. ventas'!O87</f>
        <v>417</v>
      </c>
      <c r="O42" s="349">
        <f t="shared" si="18"/>
        <v>375.3</v>
      </c>
      <c r="P42" s="361">
        <f>'Proy. ventas'!Q85+'Proy. ventas'!Q86+'Proy. ventas'!Q87</f>
        <v>444</v>
      </c>
      <c r="Q42" s="349">
        <f t="shared" si="19"/>
        <v>399.6</v>
      </c>
      <c r="R42" s="361">
        <f>'Proy. ventas'!S85+'Proy. ventas'!S86+'Proy. ventas'!S87</f>
        <v>471</v>
      </c>
      <c r="S42" s="349">
        <f t="shared" si="20"/>
        <v>423.90000000000003</v>
      </c>
      <c r="T42" s="361">
        <f>'Proy. ventas'!U85+'Proy. ventas'!U86+'Proy. ventas'!U87</f>
        <v>501</v>
      </c>
      <c r="U42" s="349">
        <f t="shared" si="21"/>
        <v>450.90000000000003</v>
      </c>
      <c r="V42" s="361">
        <f>'Proy. ventas'!W85+'Proy. ventas'!W86+'Proy. ventas'!W87</f>
        <v>531</v>
      </c>
      <c r="W42" s="349">
        <f t="shared" si="22"/>
        <v>477.90000000000003</v>
      </c>
      <c r="X42" s="361">
        <f>'Proy. ventas'!Y85+'Proy. ventas'!Y86+'Proy. ventas'!Y87</f>
        <v>564</v>
      </c>
      <c r="Y42" s="349">
        <f t="shared" si="23"/>
        <v>507.6</v>
      </c>
      <c r="Z42" s="361">
        <f>'Proy. ventas'!AA85+'Proy. ventas'!AA86+'Proy. ventas'!AA87</f>
        <v>597</v>
      </c>
      <c r="AA42" s="349">
        <f t="shared" si="24"/>
        <v>537.30000000000007</v>
      </c>
      <c r="AB42" s="352">
        <f t="shared" si="25"/>
        <v>4706.1000000000004</v>
      </c>
    </row>
    <row r="43" spans="1:28" ht="14.25" customHeight="1">
      <c r="A43" s="693"/>
      <c r="B43" s="351" t="s">
        <v>290</v>
      </c>
      <c r="C43" s="360">
        <v>6</v>
      </c>
      <c r="D43" s="361">
        <f>'Proy. ventas'!E83+'Proy. ventas'!E84</f>
        <v>16</v>
      </c>
      <c r="E43" s="349">
        <f t="shared" si="13"/>
        <v>96</v>
      </c>
      <c r="F43" s="361">
        <f>'Proy. ventas'!G83+'Proy. ventas'!G84</f>
        <v>16</v>
      </c>
      <c r="G43" s="349">
        <f t="shared" si="14"/>
        <v>96</v>
      </c>
      <c r="H43" s="361">
        <f>'Proy. ventas'!I83+'Proy. ventas'!I84</f>
        <v>18</v>
      </c>
      <c r="I43" s="349">
        <f t="shared" si="15"/>
        <v>108</v>
      </c>
      <c r="J43" s="361">
        <f>'Proy. ventas'!K83+'Proy. ventas'!K84</f>
        <v>18</v>
      </c>
      <c r="K43" s="349">
        <f t="shared" si="16"/>
        <v>108</v>
      </c>
      <c r="L43" s="361">
        <f>'Proy. ventas'!M83+'Proy. ventas'!M84</f>
        <v>19</v>
      </c>
      <c r="M43" s="349">
        <f t="shared" si="17"/>
        <v>114</v>
      </c>
      <c r="N43" s="361">
        <f>'Proy. ventas'!O83+'Proy. ventas'!O84</f>
        <v>19</v>
      </c>
      <c r="O43" s="349">
        <f t="shared" si="18"/>
        <v>114</v>
      </c>
      <c r="P43" s="361">
        <f>'Proy. ventas'!Q83+'Proy. ventas'!Q84</f>
        <v>20</v>
      </c>
      <c r="Q43" s="349">
        <f t="shared" si="19"/>
        <v>120</v>
      </c>
      <c r="R43" s="361">
        <f>'Proy. ventas'!S83+'Proy. ventas'!S84</f>
        <v>20</v>
      </c>
      <c r="S43" s="349">
        <f t="shared" si="20"/>
        <v>120</v>
      </c>
      <c r="T43" s="361">
        <f>'Proy. ventas'!U83+'Proy. ventas'!U84</f>
        <v>22</v>
      </c>
      <c r="U43" s="349">
        <f t="shared" si="21"/>
        <v>132</v>
      </c>
      <c r="V43" s="361">
        <f>'Proy. ventas'!W83+'Proy. ventas'!W84</f>
        <v>22</v>
      </c>
      <c r="W43" s="349">
        <f t="shared" si="22"/>
        <v>132</v>
      </c>
      <c r="X43" s="361">
        <f>'Proy. ventas'!Y83+'Proy. ventas'!Y84</f>
        <v>24</v>
      </c>
      <c r="Y43" s="349">
        <f t="shared" si="23"/>
        <v>144</v>
      </c>
      <c r="Z43" s="361">
        <f>'Proy. ventas'!AA83+'Proy. ventas'!AA84</f>
        <v>24</v>
      </c>
      <c r="AA43" s="349">
        <f t="shared" si="24"/>
        <v>144</v>
      </c>
      <c r="AB43" s="352">
        <f t="shared" si="25"/>
        <v>1428</v>
      </c>
    </row>
    <row r="44" spans="1:28" ht="14.25" customHeight="1">
      <c r="A44" s="693" t="s">
        <v>291</v>
      </c>
      <c r="B44" s="351" t="s">
        <v>292</v>
      </c>
      <c r="C44" s="360">
        <f>Hipótesis!$C$58*0.3</f>
        <v>12</v>
      </c>
      <c r="D44" s="361">
        <f>'Proy. ventas'!E82</f>
        <v>6</v>
      </c>
      <c r="E44" s="349">
        <f t="shared" si="13"/>
        <v>72</v>
      </c>
      <c r="F44" s="361">
        <f>'Proy. ventas'!G82</f>
        <v>6</v>
      </c>
      <c r="G44" s="349">
        <f t="shared" si="14"/>
        <v>72</v>
      </c>
      <c r="H44" s="361">
        <f>'Proy. ventas'!I82</f>
        <v>7</v>
      </c>
      <c r="I44" s="349">
        <f t="shared" si="15"/>
        <v>84</v>
      </c>
      <c r="J44" s="361">
        <f>'Proy. ventas'!K82</f>
        <v>7</v>
      </c>
      <c r="K44" s="349">
        <f t="shared" si="16"/>
        <v>84</v>
      </c>
      <c r="L44" s="361">
        <f>'Proy. ventas'!M82</f>
        <v>7</v>
      </c>
      <c r="M44" s="349">
        <f t="shared" si="17"/>
        <v>84</v>
      </c>
      <c r="N44" s="361">
        <f>'Proy. ventas'!O82</f>
        <v>7</v>
      </c>
      <c r="O44" s="349">
        <f t="shared" si="18"/>
        <v>84</v>
      </c>
      <c r="P44" s="361">
        <f>'Proy. ventas'!Q82</f>
        <v>7</v>
      </c>
      <c r="Q44" s="349">
        <f t="shared" si="19"/>
        <v>84</v>
      </c>
      <c r="R44" s="361">
        <f>'Proy. ventas'!S82</f>
        <v>7</v>
      </c>
      <c r="S44" s="349">
        <f t="shared" si="20"/>
        <v>84</v>
      </c>
      <c r="T44" s="361">
        <f>'Proy. ventas'!U82</f>
        <v>8</v>
      </c>
      <c r="U44" s="349">
        <f t="shared" si="21"/>
        <v>96</v>
      </c>
      <c r="V44" s="361">
        <f>'Proy. ventas'!W82</f>
        <v>8</v>
      </c>
      <c r="W44" s="349">
        <f t="shared" si="22"/>
        <v>96</v>
      </c>
      <c r="X44" s="361">
        <f>'Proy. ventas'!Y82</f>
        <v>9</v>
      </c>
      <c r="Y44" s="349">
        <f t="shared" si="23"/>
        <v>108</v>
      </c>
      <c r="Z44" s="361">
        <f>'Proy. ventas'!AA82</f>
        <v>9</v>
      </c>
      <c r="AA44" s="349">
        <f t="shared" si="24"/>
        <v>108</v>
      </c>
      <c r="AB44" s="352">
        <f t="shared" si="25"/>
        <v>1056</v>
      </c>
    </row>
    <row r="45" spans="1:28" ht="14.25" customHeight="1">
      <c r="A45" s="693"/>
      <c r="B45" s="351" t="s">
        <v>293</v>
      </c>
      <c r="C45" s="360">
        <f>Hipótesis!$C$59*0.3</f>
        <v>36</v>
      </c>
      <c r="D45" s="361">
        <f>'Proy. ventas'!E83</f>
        <v>14</v>
      </c>
      <c r="E45" s="349">
        <f t="shared" si="13"/>
        <v>504</v>
      </c>
      <c r="F45" s="361">
        <f>'Proy. ventas'!G83</f>
        <v>14</v>
      </c>
      <c r="G45" s="349">
        <f t="shared" si="14"/>
        <v>504</v>
      </c>
      <c r="H45" s="361">
        <f>'Proy. ventas'!I83</f>
        <v>16</v>
      </c>
      <c r="I45" s="349">
        <f t="shared" si="15"/>
        <v>576</v>
      </c>
      <c r="J45" s="361">
        <f>'Proy. ventas'!K83</f>
        <v>16</v>
      </c>
      <c r="K45" s="349">
        <f t="shared" si="16"/>
        <v>576</v>
      </c>
      <c r="L45" s="361">
        <f>'Proy. ventas'!M83</f>
        <v>17</v>
      </c>
      <c r="M45" s="349">
        <f t="shared" si="17"/>
        <v>612</v>
      </c>
      <c r="N45" s="361">
        <f>'Proy. ventas'!O83</f>
        <v>17</v>
      </c>
      <c r="O45" s="349">
        <f t="shared" si="18"/>
        <v>612</v>
      </c>
      <c r="P45" s="361">
        <f>'Proy. ventas'!Q83</f>
        <v>18</v>
      </c>
      <c r="Q45" s="349">
        <f t="shared" si="19"/>
        <v>648</v>
      </c>
      <c r="R45" s="361">
        <f>'Proy. ventas'!S83</f>
        <v>18</v>
      </c>
      <c r="S45" s="349">
        <f t="shared" si="20"/>
        <v>648</v>
      </c>
      <c r="T45" s="361">
        <f>'Proy. ventas'!U83</f>
        <v>19</v>
      </c>
      <c r="U45" s="349">
        <f t="shared" si="21"/>
        <v>684</v>
      </c>
      <c r="V45" s="361">
        <f>'Proy. ventas'!W83</f>
        <v>19</v>
      </c>
      <c r="W45" s="349">
        <f t="shared" si="22"/>
        <v>684</v>
      </c>
      <c r="X45" s="361">
        <f>'Proy. ventas'!Y83</f>
        <v>21</v>
      </c>
      <c r="Y45" s="349">
        <f t="shared" si="23"/>
        <v>756</v>
      </c>
      <c r="Z45" s="361">
        <f>'Proy. ventas'!AA83</f>
        <v>21</v>
      </c>
      <c r="AA45" s="349">
        <f t="shared" si="24"/>
        <v>756</v>
      </c>
      <c r="AB45" s="352">
        <f t="shared" si="25"/>
        <v>7560</v>
      </c>
    </row>
    <row r="46" spans="1:28" ht="14.25" customHeight="1">
      <c r="A46" s="693"/>
      <c r="B46" s="351" t="s">
        <v>294</v>
      </c>
      <c r="C46" s="360">
        <f>Hipótesis!$C$60*0.3</f>
        <v>135</v>
      </c>
      <c r="D46" s="361">
        <f>'Proy. ventas'!E84</f>
        <v>2</v>
      </c>
      <c r="E46" s="349">
        <f t="shared" si="13"/>
        <v>270</v>
      </c>
      <c r="F46" s="361">
        <f>'Proy. ventas'!G84</f>
        <v>2</v>
      </c>
      <c r="G46" s="349">
        <f t="shared" si="14"/>
        <v>270</v>
      </c>
      <c r="H46" s="361">
        <f>'Proy. ventas'!I84</f>
        <v>2</v>
      </c>
      <c r="I46" s="349">
        <f t="shared" si="15"/>
        <v>270</v>
      </c>
      <c r="J46" s="361">
        <f>'Proy. ventas'!K84</f>
        <v>2</v>
      </c>
      <c r="K46" s="349">
        <f t="shared" si="16"/>
        <v>270</v>
      </c>
      <c r="L46" s="361">
        <f>'Proy. ventas'!M84</f>
        <v>2</v>
      </c>
      <c r="M46" s="349">
        <f t="shared" si="17"/>
        <v>270</v>
      </c>
      <c r="N46" s="361">
        <f>'Proy. ventas'!O84</f>
        <v>2</v>
      </c>
      <c r="O46" s="349">
        <f t="shared" si="18"/>
        <v>270</v>
      </c>
      <c r="P46" s="361">
        <f>'Proy. ventas'!Q84</f>
        <v>2</v>
      </c>
      <c r="Q46" s="349">
        <f t="shared" si="19"/>
        <v>270</v>
      </c>
      <c r="R46" s="361">
        <f>'Proy. ventas'!S84</f>
        <v>2</v>
      </c>
      <c r="S46" s="349">
        <f t="shared" si="20"/>
        <v>270</v>
      </c>
      <c r="T46" s="361">
        <f>'Proy. ventas'!U84</f>
        <v>3</v>
      </c>
      <c r="U46" s="349">
        <f t="shared" si="21"/>
        <v>405</v>
      </c>
      <c r="V46" s="361">
        <f>'Proy. ventas'!W84</f>
        <v>3</v>
      </c>
      <c r="W46" s="349">
        <f t="shared" si="22"/>
        <v>405</v>
      </c>
      <c r="X46" s="361">
        <f>'Proy. ventas'!Y84</f>
        <v>3</v>
      </c>
      <c r="Y46" s="349">
        <f t="shared" si="23"/>
        <v>405</v>
      </c>
      <c r="Z46" s="361">
        <f>'Proy. ventas'!AA84</f>
        <v>3</v>
      </c>
      <c r="AA46" s="349">
        <f t="shared" si="24"/>
        <v>405</v>
      </c>
      <c r="AB46" s="352">
        <f t="shared" si="25"/>
        <v>3780</v>
      </c>
    </row>
    <row r="47" spans="1:28" ht="14.25" customHeight="1">
      <c r="A47" s="693"/>
      <c r="B47" s="351" t="s">
        <v>295</v>
      </c>
      <c r="C47" s="360">
        <v>10</v>
      </c>
      <c r="D47" s="361">
        <f>ROUND(('Proy. ventas'!E82+'Proy. ventas'!E83+'Proy. ventas'!E84)*0.3,0)</f>
        <v>7</v>
      </c>
      <c r="E47" s="349">
        <f t="shared" si="13"/>
        <v>70</v>
      </c>
      <c r="F47" s="361">
        <f>ROUND(('Proy. ventas'!G82+'Proy. ventas'!G83+'Proy. ventas'!G84)*0.3,0)</f>
        <v>7</v>
      </c>
      <c r="G47" s="349">
        <f t="shared" si="14"/>
        <v>70</v>
      </c>
      <c r="H47" s="361">
        <f>ROUND(('Proy. ventas'!I82+'Proy. ventas'!I83+'Proy. ventas'!I84)*0.3,0)</f>
        <v>8</v>
      </c>
      <c r="I47" s="349">
        <f t="shared" si="15"/>
        <v>80</v>
      </c>
      <c r="J47" s="361">
        <f>ROUND(('Proy. ventas'!K82+'Proy. ventas'!K83+'Proy. ventas'!K84)*0.3,0)</f>
        <v>8</v>
      </c>
      <c r="K47" s="349">
        <f t="shared" si="16"/>
        <v>80</v>
      </c>
      <c r="L47" s="361">
        <f>ROUND(('Proy. ventas'!M82+'Proy. ventas'!M83+'Proy. ventas'!M84)*0.3,0)</f>
        <v>8</v>
      </c>
      <c r="M47" s="349">
        <f t="shared" si="17"/>
        <v>80</v>
      </c>
      <c r="N47" s="361">
        <f>ROUND(('Proy. ventas'!O82+'Proy. ventas'!O83+'Proy. ventas'!O84)*0.3,0)</f>
        <v>8</v>
      </c>
      <c r="O47" s="349">
        <f t="shared" si="18"/>
        <v>80</v>
      </c>
      <c r="P47" s="361">
        <f>ROUND(('Proy. ventas'!Q82+'Proy. ventas'!Q83+'Proy. ventas'!Q84)*0.3,0)</f>
        <v>8</v>
      </c>
      <c r="Q47" s="349">
        <f t="shared" si="19"/>
        <v>80</v>
      </c>
      <c r="R47" s="361">
        <f>ROUND(('Proy. ventas'!S82+'Proy. ventas'!S83+'Proy. ventas'!S84)*0.3,0)</f>
        <v>8</v>
      </c>
      <c r="S47" s="349">
        <f t="shared" si="20"/>
        <v>80</v>
      </c>
      <c r="T47" s="361">
        <f>ROUND(('Proy. ventas'!U82+'Proy. ventas'!U83+'Proy. ventas'!U84)*0.3,0)</f>
        <v>9</v>
      </c>
      <c r="U47" s="349">
        <f t="shared" si="21"/>
        <v>90</v>
      </c>
      <c r="V47" s="361">
        <f>ROUND(('Proy. ventas'!W82+'Proy. ventas'!W83+'Proy. ventas'!W84)*0.3,0)</f>
        <v>9</v>
      </c>
      <c r="W47" s="349">
        <f t="shared" si="22"/>
        <v>90</v>
      </c>
      <c r="X47" s="361">
        <f>ROUND(('Proy. ventas'!Y82+'Proy. ventas'!Y83+'Proy. ventas'!Y84)*0.3,0)</f>
        <v>10</v>
      </c>
      <c r="Y47" s="349">
        <f t="shared" si="23"/>
        <v>100</v>
      </c>
      <c r="Z47" s="361">
        <f>ROUND(('Proy. ventas'!AA82+'Proy. ventas'!AA83+'Proy. ventas'!AA84)*0.3,0)</f>
        <v>10</v>
      </c>
      <c r="AA47" s="349">
        <f t="shared" si="24"/>
        <v>100</v>
      </c>
      <c r="AB47" s="352">
        <f t="shared" si="25"/>
        <v>1000</v>
      </c>
    </row>
    <row r="48" spans="1:28" ht="14.25" customHeight="1">
      <c r="A48" s="354" t="s">
        <v>284</v>
      </c>
      <c r="B48" s="351" t="s">
        <v>296</v>
      </c>
      <c r="C48" s="360">
        <v>7</v>
      </c>
      <c r="D48" s="361">
        <f>'Anexo capacidad operativa'!D98</f>
        <v>150</v>
      </c>
      <c r="E48" s="349">
        <f t="shared" si="13"/>
        <v>1050</v>
      </c>
      <c r="F48" s="361">
        <f>'Anexo capacidad operativa'!F98</f>
        <v>150</v>
      </c>
      <c r="G48" s="349">
        <f t="shared" si="14"/>
        <v>1050</v>
      </c>
      <c r="H48" s="361">
        <f>'Anexo capacidad operativa'!H98</f>
        <v>300</v>
      </c>
      <c r="I48" s="349">
        <f t="shared" si="15"/>
        <v>2100</v>
      </c>
      <c r="J48" s="361">
        <f>'Anexo capacidad operativa'!J98</f>
        <v>300</v>
      </c>
      <c r="K48" s="349">
        <f t="shared" si="16"/>
        <v>2100</v>
      </c>
      <c r="L48" s="361">
        <f>'Anexo capacidad operativa'!L98</f>
        <v>300</v>
      </c>
      <c r="M48" s="349">
        <f t="shared" si="17"/>
        <v>2100</v>
      </c>
      <c r="N48" s="361">
        <f>'Anexo capacidad operativa'!N98</f>
        <v>300</v>
      </c>
      <c r="O48" s="349">
        <f t="shared" si="18"/>
        <v>2100</v>
      </c>
      <c r="P48" s="361">
        <f>'Anexo capacidad operativa'!P98</f>
        <v>300</v>
      </c>
      <c r="Q48" s="349">
        <f t="shared" si="19"/>
        <v>2100</v>
      </c>
      <c r="R48" s="361">
        <f>'Anexo capacidad operativa'!R98</f>
        <v>300</v>
      </c>
      <c r="S48" s="349">
        <f t="shared" si="20"/>
        <v>2100</v>
      </c>
      <c r="T48" s="361">
        <f>'Anexo capacidad operativa'!T98</f>
        <v>300</v>
      </c>
      <c r="U48" s="349">
        <f t="shared" si="21"/>
        <v>2100</v>
      </c>
      <c r="V48" s="361">
        <f>'Anexo capacidad operativa'!V98</f>
        <v>300</v>
      </c>
      <c r="W48" s="349">
        <f t="shared" si="22"/>
        <v>2100</v>
      </c>
      <c r="X48" s="361">
        <f>'Anexo capacidad operativa'!X98</f>
        <v>300</v>
      </c>
      <c r="Y48" s="349">
        <f t="shared" si="23"/>
        <v>2100</v>
      </c>
      <c r="Z48" s="361">
        <f>'Anexo capacidad operativa'!Z98</f>
        <v>300</v>
      </c>
      <c r="AA48" s="349">
        <f t="shared" si="24"/>
        <v>2100</v>
      </c>
      <c r="AB48" s="352">
        <f t="shared" si="25"/>
        <v>23100</v>
      </c>
    </row>
    <row r="49" spans="1:28" ht="14.25" customHeight="1">
      <c r="A49" s="354"/>
      <c r="B49" s="351"/>
      <c r="C49" s="360"/>
      <c r="D49" s="361"/>
      <c r="E49" s="349"/>
      <c r="F49" s="361"/>
      <c r="G49" s="349"/>
      <c r="H49" s="361"/>
      <c r="I49" s="349"/>
      <c r="J49" s="361"/>
      <c r="K49" s="349"/>
      <c r="L49" s="361"/>
      <c r="M49" s="349"/>
      <c r="N49" s="361"/>
      <c r="O49" s="349"/>
      <c r="P49" s="361"/>
      <c r="Q49" s="349"/>
      <c r="R49" s="361"/>
      <c r="S49" s="349"/>
      <c r="T49" s="361"/>
      <c r="U49" s="349"/>
      <c r="V49" s="361"/>
      <c r="W49" s="349"/>
      <c r="X49" s="361"/>
      <c r="Y49" s="349"/>
      <c r="Z49" s="361"/>
      <c r="AA49" s="349"/>
      <c r="AB49" s="352"/>
    </row>
    <row r="50" spans="1:28" ht="14.25" customHeight="1">
      <c r="A50" s="354"/>
      <c r="B50" s="351"/>
      <c r="C50" s="360"/>
      <c r="D50" s="361"/>
      <c r="E50" s="349"/>
      <c r="F50" s="361"/>
      <c r="G50" s="349"/>
      <c r="H50" s="361"/>
      <c r="I50" s="349"/>
      <c r="J50" s="361"/>
      <c r="K50" s="349"/>
      <c r="L50" s="361"/>
      <c r="M50" s="349"/>
      <c r="N50" s="361"/>
      <c r="O50" s="349"/>
      <c r="P50" s="361"/>
      <c r="Q50" s="349"/>
      <c r="R50" s="361"/>
      <c r="S50" s="349"/>
      <c r="T50" s="361"/>
      <c r="U50" s="349"/>
      <c r="V50" s="361"/>
      <c r="W50" s="349"/>
      <c r="X50" s="361"/>
      <c r="Y50" s="349"/>
      <c r="Z50" s="361"/>
      <c r="AA50" s="349"/>
      <c r="AB50" s="352"/>
    </row>
    <row r="51" spans="1:28" ht="14.25" customHeight="1">
      <c r="B51" s="362"/>
      <c r="C51" s="363"/>
      <c r="D51" s="364"/>
      <c r="E51" s="365"/>
      <c r="F51" s="364"/>
      <c r="G51" s="365"/>
      <c r="H51" s="364"/>
      <c r="I51" s="365"/>
      <c r="J51" s="364"/>
      <c r="K51" s="365"/>
      <c r="L51" s="364"/>
      <c r="M51" s="365"/>
      <c r="N51" s="364"/>
      <c r="O51" s="365"/>
      <c r="P51" s="364"/>
      <c r="Q51" s="365"/>
      <c r="R51" s="364"/>
      <c r="S51" s="365"/>
      <c r="T51" s="364"/>
      <c r="U51" s="365"/>
      <c r="V51" s="364"/>
      <c r="W51" s="365"/>
      <c r="X51" s="364"/>
      <c r="Y51" s="365"/>
      <c r="Z51" s="364"/>
      <c r="AA51" s="365"/>
      <c r="AB51" s="366"/>
    </row>
    <row r="52" spans="1:28" ht="14.25" customHeight="1">
      <c r="B52" s="362"/>
      <c r="C52" s="363"/>
      <c r="D52" s="364"/>
      <c r="E52" s="365"/>
      <c r="F52" s="364"/>
      <c r="G52" s="365"/>
      <c r="H52" s="364"/>
      <c r="I52" s="365"/>
      <c r="J52" s="364"/>
      <c r="K52" s="365"/>
      <c r="L52" s="364"/>
      <c r="M52" s="365"/>
      <c r="N52" s="364"/>
      <c r="O52" s="365"/>
      <c r="P52" s="364"/>
      <c r="Q52" s="365"/>
      <c r="R52" s="364"/>
      <c r="S52" s="365"/>
      <c r="T52" s="364"/>
      <c r="U52" s="365"/>
      <c r="V52" s="364"/>
      <c r="W52" s="365"/>
      <c r="X52" s="364"/>
      <c r="Y52" s="365"/>
      <c r="Z52" s="364"/>
      <c r="AA52" s="365"/>
      <c r="AB52" s="366"/>
    </row>
    <row r="53" spans="1:28" ht="14.25" customHeight="1">
      <c r="B53" s="380"/>
      <c r="C53" s="381"/>
      <c r="D53" s="369"/>
      <c r="E53" s="370"/>
      <c r="F53" s="371"/>
      <c r="G53" s="370"/>
      <c r="H53" s="371"/>
      <c r="I53" s="370"/>
      <c r="J53" s="371"/>
      <c r="K53" s="370"/>
      <c r="L53" s="371"/>
      <c r="M53" s="370"/>
      <c r="N53" s="371"/>
      <c r="O53" s="370"/>
      <c r="P53" s="371"/>
      <c r="Q53" s="370"/>
      <c r="R53" s="371"/>
      <c r="S53" s="370"/>
      <c r="T53" s="371"/>
      <c r="U53" s="370"/>
      <c r="V53" s="371"/>
      <c r="W53" s="370"/>
      <c r="X53" s="371"/>
      <c r="Y53" s="370"/>
      <c r="Z53" s="371"/>
      <c r="AA53" s="365"/>
      <c r="AB53" s="382"/>
    </row>
    <row r="54" spans="1:28" ht="14.25" customHeight="1">
      <c r="A54" s="373"/>
      <c r="B54" s="374"/>
      <c r="C54" s="375"/>
      <c r="D54" s="376"/>
      <c r="E54" s="377"/>
      <c r="F54" s="378"/>
      <c r="G54" s="377"/>
      <c r="H54" s="378"/>
      <c r="I54" s="377"/>
      <c r="J54" s="378"/>
      <c r="K54" s="377"/>
      <c r="L54" s="378"/>
      <c r="M54" s="377"/>
      <c r="N54" s="378"/>
      <c r="O54" s="377"/>
      <c r="P54" s="378"/>
      <c r="Q54" s="377"/>
      <c r="R54" s="378"/>
      <c r="S54" s="377"/>
      <c r="T54" s="378"/>
      <c r="U54" s="377"/>
      <c r="V54" s="378"/>
      <c r="W54" s="377"/>
      <c r="X54" s="378"/>
      <c r="Y54" s="377"/>
      <c r="Z54" s="378"/>
      <c r="AA54" s="377"/>
      <c r="AB54" s="372"/>
    </row>
    <row r="55" spans="1:28" ht="14.25" customHeight="1">
      <c r="A55" s="356"/>
      <c r="B55" s="355" t="s">
        <v>275</v>
      </c>
      <c r="C55" s="356"/>
      <c r="D55" s="356"/>
      <c r="E55" s="357">
        <f>SUM(E38:E54)</f>
        <v>3432.2</v>
      </c>
      <c r="F55" s="379"/>
      <c r="G55" s="357">
        <f>SUM(G38:G54)</f>
        <v>3463</v>
      </c>
      <c r="H55" s="379"/>
      <c r="I55" s="357">
        <f>SUM(I38:I54)</f>
        <v>4784</v>
      </c>
      <c r="J55" s="379"/>
      <c r="K55" s="357">
        <f>SUM(K38:K54)</f>
        <v>4819</v>
      </c>
      <c r="L55" s="379"/>
      <c r="M55" s="357">
        <f>SUM(M38:M54)</f>
        <v>4942.3999999999996</v>
      </c>
      <c r="N55" s="356"/>
      <c r="O55" s="357">
        <f>SUM(O38:O54)</f>
        <v>4978.8</v>
      </c>
      <c r="P55" s="379"/>
      <c r="Q55" s="357">
        <f>SUM(Q38:Q54)</f>
        <v>5103.6000000000004</v>
      </c>
      <c r="R55" s="379"/>
      <c r="S55" s="357">
        <f>SUM(S38:S54)</f>
        <v>5141.3999999999996</v>
      </c>
      <c r="T55" s="379"/>
      <c r="U55" s="357">
        <f>SUM(U38:U54)</f>
        <v>5518.4</v>
      </c>
      <c r="V55" s="379"/>
      <c r="W55" s="357">
        <f>SUM(W38:W54)</f>
        <v>5560.4</v>
      </c>
      <c r="X55" s="379"/>
      <c r="Y55" s="357">
        <f>SUM(Y38:Y54)</f>
        <v>5842.6</v>
      </c>
      <c r="Z55" s="379"/>
      <c r="AA55" s="357">
        <f>SUM(AA38:AA54)</f>
        <v>5888.8</v>
      </c>
      <c r="AB55" s="357">
        <f>SUM(AB38:AB54)</f>
        <v>59474.6</v>
      </c>
    </row>
    <row r="56" spans="1:28"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ht="25.5" customHeight="1">
      <c r="A58" s="13"/>
      <c r="B58" s="345" t="s">
        <v>298</v>
      </c>
    </row>
    <row r="59" spans="1:28" ht="14.25" customHeight="1">
      <c r="A59" s="346" t="s">
        <v>247</v>
      </c>
      <c r="B59" s="346" t="s">
        <v>171</v>
      </c>
      <c r="C59" s="346" t="s">
        <v>281</v>
      </c>
      <c r="D59" s="694" t="s">
        <v>80</v>
      </c>
      <c r="E59" s="694"/>
      <c r="F59" s="694" t="s">
        <v>81</v>
      </c>
      <c r="G59" s="694"/>
      <c r="H59" s="694" t="s">
        <v>82</v>
      </c>
      <c r="I59" s="694"/>
      <c r="J59" s="694" t="s">
        <v>83</v>
      </c>
      <c r="K59" s="694"/>
      <c r="L59" s="694" t="s">
        <v>84</v>
      </c>
      <c r="M59" s="694"/>
      <c r="N59" s="694" t="s">
        <v>85</v>
      </c>
      <c r="O59" s="694"/>
      <c r="P59" s="694" t="s">
        <v>86</v>
      </c>
      <c r="Q59" s="694"/>
      <c r="R59" s="694" t="s">
        <v>87</v>
      </c>
      <c r="S59" s="694"/>
      <c r="T59" s="694" t="s">
        <v>88</v>
      </c>
      <c r="U59" s="694"/>
      <c r="V59" s="694" t="s">
        <v>89</v>
      </c>
      <c r="W59" s="694"/>
      <c r="X59" s="694" t="s">
        <v>90</v>
      </c>
      <c r="Y59" s="694"/>
      <c r="Z59" s="694" t="s">
        <v>91</v>
      </c>
      <c r="AA59" s="694"/>
      <c r="AB59" s="694" t="s">
        <v>248</v>
      </c>
    </row>
    <row r="60" spans="1:28" ht="14.25" customHeight="1">
      <c r="A60" s="359"/>
      <c r="B60" s="359"/>
      <c r="C60" s="359"/>
      <c r="D60" s="359" t="s">
        <v>282</v>
      </c>
      <c r="E60" s="359" t="s">
        <v>283</v>
      </c>
      <c r="F60" s="359" t="s">
        <v>282</v>
      </c>
      <c r="G60" s="359" t="s">
        <v>283</v>
      </c>
      <c r="H60" s="359" t="s">
        <v>282</v>
      </c>
      <c r="I60" s="359" t="s">
        <v>283</v>
      </c>
      <c r="J60" s="359" t="s">
        <v>282</v>
      </c>
      <c r="K60" s="359" t="s">
        <v>283</v>
      </c>
      <c r="L60" s="359" t="s">
        <v>282</v>
      </c>
      <c r="M60" s="359" t="s">
        <v>283</v>
      </c>
      <c r="N60" s="359" t="s">
        <v>282</v>
      </c>
      <c r="O60" s="359" t="s">
        <v>283</v>
      </c>
      <c r="P60" s="359" t="s">
        <v>282</v>
      </c>
      <c r="Q60" s="359" t="s">
        <v>283</v>
      </c>
      <c r="R60" s="359" t="s">
        <v>282</v>
      </c>
      <c r="S60" s="359" t="s">
        <v>283</v>
      </c>
      <c r="T60" s="359" t="s">
        <v>282</v>
      </c>
      <c r="U60" s="359" t="s">
        <v>283</v>
      </c>
      <c r="V60" s="359" t="s">
        <v>282</v>
      </c>
      <c r="W60" s="359" t="s">
        <v>283</v>
      </c>
      <c r="X60" s="359" t="s">
        <v>282</v>
      </c>
      <c r="Y60" s="359" t="s">
        <v>283</v>
      </c>
      <c r="Z60" s="359" t="s">
        <v>282</v>
      </c>
      <c r="AA60" s="359" t="s">
        <v>283</v>
      </c>
      <c r="AB60" s="694"/>
    </row>
    <row r="61" spans="1:28" ht="14.25" customHeight="1">
      <c r="A61" s="693" t="s">
        <v>284</v>
      </c>
      <c r="B61" s="351" t="s">
        <v>285</v>
      </c>
      <c r="C61" s="360">
        <v>40</v>
      </c>
      <c r="D61" s="361">
        <f>'Proy. ventas'!E144+'Proy. ventas'!E145+'Proy. ventas'!E146</f>
        <v>30</v>
      </c>
      <c r="E61" s="349">
        <f t="shared" ref="E61:E71" si="26">D61*$C61</f>
        <v>1200</v>
      </c>
      <c r="F61" s="361">
        <f>'Proy. ventas'!G144+'Proy. ventas'!G145+'Proy. ventas'!G146</f>
        <v>30</v>
      </c>
      <c r="G61" s="349">
        <f t="shared" ref="G61:G71" si="27">F61*$C61</f>
        <v>1200</v>
      </c>
      <c r="H61" s="361">
        <f>'Proy. ventas'!I144+'Proy. ventas'!I145+'Proy. ventas'!I146</f>
        <v>33</v>
      </c>
      <c r="I61" s="349">
        <f t="shared" ref="I61:I71" si="28">H61*$C61</f>
        <v>1320</v>
      </c>
      <c r="J61" s="361">
        <f>'Proy. ventas'!K144+'Proy. ventas'!K145+'Proy. ventas'!K146</f>
        <v>33</v>
      </c>
      <c r="K61" s="349">
        <f t="shared" ref="K61:K71" si="29">J61*$C61</f>
        <v>1320</v>
      </c>
      <c r="L61" s="361">
        <f>'Proy. ventas'!M144+'Proy. ventas'!M145+'Proy. ventas'!M146</f>
        <v>34</v>
      </c>
      <c r="M61" s="349">
        <f t="shared" ref="M61:M71" si="30">L61*$C61</f>
        <v>1360</v>
      </c>
      <c r="N61" s="361">
        <f>'Proy. ventas'!O144+'Proy. ventas'!O145+'Proy. ventas'!O146</f>
        <v>34</v>
      </c>
      <c r="O61" s="349">
        <f t="shared" ref="O61:O71" si="31">N61*$C61</f>
        <v>1360</v>
      </c>
      <c r="P61" s="361">
        <f>'Proy. ventas'!Q144+'Proy. ventas'!Q145+'Proy. ventas'!Q146</f>
        <v>37</v>
      </c>
      <c r="Q61" s="349">
        <f t="shared" ref="Q61:Q71" si="32">P61*$C61</f>
        <v>1480</v>
      </c>
      <c r="R61" s="361">
        <f>'Proy. ventas'!S144+'Proy. ventas'!S145+'Proy. ventas'!S146</f>
        <v>37</v>
      </c>
      <c r="S61" s="349">
        <f t="shared" ref="S61:S71" si="33">R61*$C61</f>
        <v>1480</v>
      </c>
      <c r="T61" s="361">
        <f>'Proy. ventas'!U144+'Proy. ventas'!U145+'Proy. ventas'!U146</f>
        <v>40</v>
      </c>
      <c r="U61" s="349">
        <f t="shared" ref="U61:U71" si="34">T61*$C61</f>
        <v>1600</v>
      </c>
      <c r="V61" s="361">
        <f>'Proy. ventas'!W144+'Proy. ventas'!W145+'Proy. ventas'!W146</f>
        <v>40</v>
      </c>
      <c r="W61" s="349">
        <f t="shared" ref="W61:W71" si="35">V61*$C61</f>
        <v>1600</v>
      </c>
      <c r="X61" s="361">
        <f>'Proy. ventas'!Y144+'Proy. ventas'!Y145+'Proy. ventas'!Y146</f>
        <v>44</v>
      </c>
      <c r="Y61" s="349">
        <f t="shared" ref="Y61:Y71" si="36">X61*$C61</f>
        <v>1760</v>
      </c>
      <c r="Z61" s="361">
        <f>'Proy. ventas'!AA144+'Proy. ventas'!AA145+'Proy. ventas'!AA146</f>
        <v>44</v>
      </c>
      <c r="AA61" s="349">
        <f t="shared" ref="AA61:AA71" si="37">Z61*$C61</f>
        <v>1760</v>
      </c>
      <c r="AB61" s="352">
        <f t="shared" ref="AB61:AB71" si="38">E61+G61+I61+K61+M61+O61+Q61+S61+U61+W61+Y61+AA61</f>
        <v>17440</v>
      </c>
    </row>
    <row r="62" spans="1:28" ht="14.25" customHeight="1">
      <c r="A62" s="693"/>
      <c r="B62" s="351" t="s">
        <v>286</v>
      </c>
      <c r="C62" s="360">
        <v>5</v>
      </c>
      <c r="D62" s="361">
        <f>'Proy. ventas'!E145+'Proy. ventas'!E146</f>
        <v>22</v>
      </c>
      <c r="E62" s="349">
        <f t="shared" si="26"/>
        <v>110</v>
      </c>
      <c r="F62" s="361">
        <f>'Proy. ventas'!G145+'Proy. ventas'!G146</f>
        <v>22</v>
      </c>
      <c r="G62" s="349">
        <f t="shared" si="27"/>
        <v>110</v>
      </c>
      <c r="H62" s="361">
        <f>'Proy. ventas'!I145+'Proy. ventas'!I146</f>
        <v>24</v>
      </c>
      <c r="I62" s="349">
        <f t="shared" si="28"/>
        <v>120</v>
      </c>
      <c r="J62" s="361">
        <f>'Proy. ventas'!K145+'Proy. ventas'!K146</f>
        <v>24</v>
      </c>
      <c r="K62" s="349">
        <f t="shared" si="29"/>
        <v>120</v>
      </c>
      <c r="L62" s="361">
        <f>'Proy. ventas'!M145+'Proy. ventas'!M146</f>
        <v>25</v>
      </c>
      <c r="M62" s="349">
        <f t="shared" si="30"/>
        <v>125</v>
      </c>
      <c r="N62" s="361">
        <f>'Proy. ventas'!O145+'Proy. ventas'!O146</f>
        <v>25</v>
      </c>
      <c r="O62" s="349">
        <f t="shared" si="31"/>
        <v>125</v>
      </c>
      <c r="P62" s="361">
        <f>'Proy. ventas'!Q145+'Proy. ventas'!Q146</f>
        <v>27</v>
      </c>
      <c r="Q62" s="349">
        <f t="shared" si="32"/>
        <v>135</v>
      </c>
      <c r="R62" s="361">
        <f>'Proy. ventas'!S145+'Proy. ventas'!S146</f>
        <v>27</v>
      </c>
      <c r="S62" s="349">
        <f t="shared" si="33"/>
        <v>135</v>
      </c>
      <c r="T62" s="361">
        <f>'Proy. ventas'!U145+'Proy. ventas'!U146</f>
        <v>29</v>
      </c>
      <c r="U62" s="349">
        <f t="shared" si="34"/>
        <v>145</v>
      </c>
      <c r="V62" s="361">
        <f>'Proy. ventas'!W145+'Proy. ventas'!W146</f>
        <v>29</v>
      </c>
      <c r="W62" s="349">
        <f t="shared" si="35"/>
        <v>145</v>
      </c>
      <c r="X62" s="361">
        <f>'Proy. ventas'!Y145+'Proy. ventas'!Y146</f>
        <v>32</v>
      </c>
      <c r="Y62" s="349">
        <f t="shared" si="36"/>
        <v>160</v>
      </c>
      <c r="Z62" s="361">
        <f>'Proy. ventas'!AA145+'Proy. ventas'!AA146</f>
        <v>32</v>
      </c>
      <c r="AA62" s="349">
        <f t="shared" si="37"/>
        <v>160</v>
      </c>
      <c r="AB62" s="352">
        <f t="shared" si="38"/>
        <v>1590</v>
      </c>
    </row>
    <row r="63" spans="1:28" ht="14.25" customHeight="1">
      <c r="A63" s="693"/>
      <c r="B63" s="351" t="s">
        <v>287</v>
      </c>
      <c r="C63" s="360">
        <v>0.35</v>
      </c>
      <c r="D63" s="361">
        <f>'Proy. ventas'!E147+'Proy. ventas'!E148+'Proy. ventas'!E149</f>
        <v>627</v>
      </c>
      <c r="E63" s="349">
        <f t="shared" si="26"/>
        <v>219.45</v>
      </c>
      <c r="F63" s="361">
        <f>'Proy. ventas'!G147+'Proy. ventas'!G148+'Proy. ventas'!G149</f>
        <v>657</v>
      </c>
      <c r="G63" s="349">
        <f t="shared" si="27"/>
        <v>229.95</v>
      </c>
      <c r="H63" s="361">
        <f>'Proy. ventas'!I147+'Proy. ventas'!I148+'Proy. ventas'!I149</f>
        <v>690</v>
      </c>
      <c r="I63" s="349">
        <f t="shared" si="28"/>
        <v>241.49999999999997</v>
      </c>
      <c r="J63" s="361">
        <f>'Proy. ventas'!K147+'Proy. ventas'!K148+'Proy. ventas'!K149</f>
        <v>723</v>
      </c>
      <c r="K63" s="349">
        <f t="shared" si="29"/>
        <v>253.04999999999998</v>
      </c>
      <c r="L63" s="361">
        <f>'Proy. ventas'!M147+'Proy. ventas'!M148+'Proy. ventas'!M149</f>
        <v>757</v>
      </c>
      <c r="M63" s="349">
        <f t="shared" si="30"/>
        <v>264.95</v>
      </c>
      <c r="N63" s="361">
        <f>'Proy. ventas'!O147+'Proy. ventas'!O148+'Proy. ventas'!O149</f>
        <v>791</v>
      </c>
      <c r="O63" s="349">
        <f t="shared" si="31"/>
        <v>276.84999999999997</v>
      </c>
      <c r="P63" s="361">
        <f>'Proy. ventas'!Q147+'Proy. ventas'!Q148+'Proy. ventas'!Q149</f>
        <v>828</v>
      </c>
      <c r="Q63" s="349">
        <f t="shared" si="32"/>
        <v>289.79999999999995</v>
      </c>
      <c r="R63" s="361">
        <f>'Proy. ventas'!S147+'Proy. ventas'!S148+'Proy. ventas'!S149</f>
        <v>865</v>
      </c>
      <c r="S63" s="349">
        <f t="shared" si="33"/>
        <v>302.75</v>
      </c>
      <c r="T63" s="361">
        <f>'Proy. ventas'!U147+'Proy. ventas'!U148+'Proy. ventas'!U149</f>
        <v>905</v>
      </c>
      <c r="U63" s="349">
        <f t="shared" si="34"/>
        <v>316.75</v>
      </c>
      <c r="V63" s="361">
        <f>'Proy. ventas'!W147+'Proy. ventas'!W148+'Proy. ventas'!W149</f>
        <v>945</v>
      </c>
      <c r="W63" s="349">
        <f t="shared" si="35"/>
        <v>330.75</v>
      </c>
      <c r="X63" s="361">
        <f>'Proy. ventas'!Y147+'Proy. ventas'!Y148+'Proy. ventas'!Y149</f>
        <v>989</v>
      </c>
      <c r="Y63" s="349">
        <f t="shared" si="36"/>
        <v>346.15</v>
      </c>
      <c r="Z63" s="361">
        <f>'Proy. ventas'!AA147+'Proy. ventas'!AA148+'Proy. ventas'!AA149</f>
        <v>1033</v>
      </c>
      <c r="AA63" s="349">
        <f t="shared" si="37"/>
        <v>361.54999999999995</v>
      </c>
      <c r="AB63" s="352">
        <f t="shared" si="38"/>
        <v>3433.5</v>
      </c>
    </row>
    <row r="64" spans="1:28" ht="14.25" customHeight="1">
      <c r="A64" s="693"/>
      <c r="B64" s="351" t="s">
        <v>288</v>
      </c>
      <c r="C64" s="360">
        <v>0.15</v>
      </c>
      <c r="D64" s="361">
        <f>'Proy. ventas'!E147+'Proy. ventas'!E148+'Proy. ventas'!E149</f>
        <v>627</v>
      </c>
      <c r="E64" s="349">
        <f t="shared" si="26"/>
        <v>94.05</v>
      </c>
      <c r="F64" s="361">
        <f>'Proy. ventas'!G147+'Proy. ventas'!G148+'Proy. ventas'!G149</f>
        <v>657</v>
      </c>
      <c r="G64" s="349">
        <f t="shared" si="27"/>
        <v>98.55</v>
      </c>
      <c r="H64" s="361">
        <f>'Proy. ventas'!I147+'Proy. ventas'!I148+'Proy. ventas'!I149</f>
        <v>690</v>
      </c>
      <c r="I64" s="349">
        <f t="shared" si="28"/>
        <v>103.5</v>
      </c>
      <c r="J64" s="361">
        <f>'Proy. ventas'!K147+'Proy. ventas'!K148+'Proy. ventas'!K149</f>
        <v>723</v>
      </c>
      <c r="K64" s="349">
        <f t="shared" si="29"/>
        <v>108.45</v>
      </c>
      <c r="L64" s="361">
        <f>'Proy. ventas'!M147+'Proy. ventas'!M148+'Proy. ventas'!M149</f>
        <v>757</v>
      </c>
      <c r="M64" s="349">
        <f t="shared" si="30"/>
        <v>113.55</v>
      </c>
      <c r="N64" s="361">
        <f>'Proy. ventas'!O147+'Proy. ventas'!O148+'Proy. ventas'!O149</f>
        <v>791</v>
      </c>
      <c r="O64" s="349">
        <f t="shared" si="31"/>
        <v>118.64999999999999</v>
      </c>
      <c r="P64" s="361">
        <f>'Proy. ventas'!Q147+'Proy. ventas'!Q148+'Proy. ventas'!Q149</f>
        <v>828</v>
      </c>
      <c r="Q64" s="349">
        <f t="shared" si="32"/>
        <v>124.19999999999999</v>
      </c>
      <c r="R64" s="361">
        <f>'Proy. ventas'!S147+'Proy. ventas'!S148+'Proy. ventas'!S149</f>
        <v>865</v>
      </c>
      <c r="S64" s="349">
        <f t="shared" si="33"/>
        <v>129.75</v>
      </c>
      <c r="T64" s="361">
        <f>'Proy. ventas'!U147+'Proy. ventas'!U148+'Proy. ventas'!U149</f>
        <v>905</v>
      </c>
      <c r="U64" s="349">
        <f t="shared" si="34"/>
        <v>135.75</v>
      </c>
      <c r="V64" s="361">
        <f>'Proy. ventas'!W147+'Proy. ventas'!W148+'Proy. ventas'!W149</f>
        <v>945</v>
      </c>
      <c r="W64" s="349">
        <f t="shared" si="35"/>
        <v>141.75</v>
      </c>
      <c r="X64" s="361">
        <f>'Proy. ventas'!Y147+'Proy. ventas'!Y148+'Proy. ventas'!Y149</f>
        <v>989</v>
      </c>
      <c r="Y64" s="349">
        <f t="shared" si="36"/>
        <v>148.35</v>
      </c>
      <c r="Z64" s="361">
        <f>'Proy. ventas'!AA147+'Proy. ventas'!AA148+'Proy. ventas'!AA149</f>
        <v>1033</v>
      </c>
      <c r="AA64" s="349">
        <f t="shared" si="37"/>
        <v>154.94999999999999</v>
      </c>
      <c r="AB64" s="352">
        <f t="shared" si="38"/>
        <v>1471.5</v>
      </c>
    </row>
    <row r="65" spans="1:28" ht="14.25" customHeight="1">
      <c r="A65" s="693"/>
      <c r="B65" s="351" t="s">
        <v>289</v>
      </c>
      <c r="C65" s="360">
        <v>0.9</v>
      </c>
      <c r="D65" s="361">
        <f>'Proy. ventas'!E147+'Proy. ventas'!E148+'Proy. ventas'!E149</f>
        <v>627</v>
      </c>
      <c r="E65" s="349">
        <f t="shared" si="26"/>
        <v>564.30000000000007</v>
      </c>
      <c r="F65" s="361">
        <f>'Proy. ventas'!G147+'Proy. ventas'!G148+'Proy. ventas'!G149</f>
        <v>657</v>
      </c>
      <c r="G65" s="349">
        <f t="shared" si="27"/>
        <v>591.30000000000007</v>
      </c>
      <c r="H65" s="361">
        <f>'Proy. ventas'!I147+'Proy. ventas'!I148+'Proy. ventas'!I149</f>
        <v>690</v>
      </c>
      <c r="I65" s="349">
        <f t="shared" si="28"/>
        <v>621</v>
      </c>
      <c r="J65" s="361">
        <f>'Proy. ventas'!K147+'Proy. ventas'!K148+'Proy. ventas'!K149</f>
        <v>723</v>
      </c>
      <c r="K65" s="349">
        <f t="shared" si="29"/>
        <v>650.70000000000005</v>
      </c>
      <c r="L65" s="361">
        <f>'Proy. ventas'!M147+'Proy. ventas'!M148+'Proy. ventas'!M149</f>
        <v>757</v>
      </c>
      <c r="M65" s="349">
        <f t="shared" si="30"/>
        <v>681.30000000000007</v>
      </c>
      <c r="N65" s="361">
        <f>'Proy. ventas'!O147+'Proy. ventas'!O148+'Proy. ventas'!O149</f>
        <v>791</v>
      </c>
      <c r="O65" s="349">
        <f t="shared" si="31"/>
        <v>711.9</v>
      </c>
      <c r="P65" s="361">
        <f>'Proy. ventas'!Q147+'Proy. ventas'!Q148+'Proy. ventas'!Q149</f>
        <v>828</v>
      </c>
      <c r="Q65" s="349">
        <f t="shared" si="32"/>
        <v>745.2</v>
      </c>
      <c r="R65" s="361">
        <f>'Proy. ventas'!S147+'Proy. ventas'!S148+'Proy. ventas'!S149</f>
        <v>865</v>
      </c>
      <c r="S65" s="349">
        <f t="shared" si="33"/>
        <v>778.5</v>
      </c>
      <c r="T65" s="361">
        <f>'Proy. ventas'!U147+'Proy. ventas'!U148+'Proy. ventas'!U149</f>
        <v>905</v>
      </c>
      <c r="U65" s="349">
        <f t="shared" si="34"/>
        <v>814.5</v>
      </c>
      <c r="V65" s="361">
        <f>'Proy. ventas'!W147+'Proy. ventas'!W148+'Proy. ventas'!W149</f>
        <v>945</v>
      </c>
      <c r="W65" s="349">
        <f t="shared" si="35"/>
        <v>850.5</v>
      </c>
      <c r="X65" s="361">
        <f>'Proy. ventas'!Y147+'Proy. ventas'!Y148+'Proy. ventas'!Y149</f>
        <v>989</v>
      </c>
      <c r="Y65" s="349">
        <f t="shared" si="36"/>
        <v>890.1</v>
      </c>
      <c r="Z65" s="361">
        <f>'Proy. ventas'!AA147+'Proy. ventas'!AA148+'Proy. ventas'!AA149</f>
        <v>1033</v>
      </c>
      <c r="AA65" s="349">
        <f t="shared" si="37"/>
        <v>929.7</v>
      </c>
      <c r="AB65" s="352">
        <f t="shared" si="38"/>
        <v>8829.0000000000018</v>
      </c>
    </row>
    <row r="66" spans="1:28" ht="14.25" customHeight="1">
      <c r="A66" s="693"/>
      <c r="B66" s="351" t="s">
        <v>290</v>
      </c>
      <c r="C66" s="360">
        <v>6</v>
      </c>
      <c r="D66" s="361">
        <f>'Proy. ventas'!E145+'Proy. ventas'!E146</f>
        <v>22</v>
      </c>
      <c r="E66" s="349">
        <f t="shared" si="26"/>
        <v>132</v>
      </c>
      <c r="F66" s="361">
        <f>'Proy. ventas'!G145+'Proy. ventas'!G146</f>
        <v>22</v>
      </c>
      <c r="G66" s="349">
        <f t="shared" si="27"/>
        <v>132</v>
      </c>
      <c r="H66" s="361">
        <f>'Proy. ventas'!I145+'Proy. ventas'!I146</f>
        <v>24</v>
      </c>
      <c r="I66" s="349">
        <f t="shared" si="28"/>
        <v>144</v>
      </c>
      <c r="J66" s="361">
        <f>'Proy. ventas'!K145+'Proy. ventas'!K146</f>
        <v>24</v>
      </c>
      <c r="K66" s="349">
        <f t="shared" si="29"/>
        <v>144</v>
      </c>
      <c r="L66" s="361">
        <f>'Proy. ventas'!M145+'Proy. ventas'!M146</f>
        <v>25</v>
      </c>
      <c r="M66" s="349">
        <f t="shared" si="30"/>
        <v>150</v>
      </c>
      <c r="N66" s="361">
        <f>'Proy. ventas'!O145+'Proy. ventas'!O146</f>
        <v>25</v>
      </c>
      <c r="O66" s="349">
        <f t="shared" si="31"/>
        <v>150</v>
      </c>
      <c r="P66" s="361">
        <f>'Proy. ventas'!Q145+'Proy. ventas'!Q146</f>
        <v>27</v>
      </c>
      <c r="Q66" s="349">
        <f t="shared" si="32"/>
        <v>162</v>
      </c>
      <c r="R66" s="361">
        <f>'Proy. ventas'!S145+'Proy. ventas'!S146</f>
        <v>27</v>
      </c>
      <c r="S66" s="349">
        <f t="shared" si="33"/>
        <v>162</v>
      </c>
      <c r="T66" s="361">
        <f>'Proy. ventas'!U145+'Proy. ventas'!U146</f>
        <v>29</v>
      </c>
      <c r="U66" s="349">
        <f t="shared" si="34"/>
        <v>174</v>
      </c>
      <c r="V66" s="361">
        <f>'Proy. ventas'!W145+'Proy. ventas'!W146</f>
        <v>29</v>
      </c>
      <c r="W66" s="349">
        <f t="shared" si="35"/>
        <v>174</v>
      </c>
      <c r="X66" s="361">
        <f>'Proy. ventas'!Y145+'Proy. ventas'!Y146</f>
        <v>32</v>
      </c>
      <c r="Y66" s="349">
        <f t="shared" si="36"/>
        <v>192</v>
      </c>
      <c r="Z66" s="361">
        <f>'Proy. ventas'!AA145+'Proy. ventas'!AA146</f>
        <v>32</v>
      </c>
      <c r="AA66" s="349">
        <f t="shared" si="37"/>
        <v>192</v>
      </c>
      <c r="AB66" s="352">
        <f t="shared" si="38"/>
        <v>1908</v>
      </c>
    </row>
    <row r="67" spans="1:28" ht="14.25" customHeight="1">
      <c r="A67" s="693" t="s">
        <v>291</v>
      </c>
      <c r="B67" s="351" t="s">
        <v>292</v>
      </c>
      <c r="C67" s="360">
        <f>Hipótesis!$C$58*0.3</f>
        <v>12</v>
      </c>
      <c r="D67" s="361">
        <f>'Proy. ventas'!E144</f>
        <v>8</v>
      </c>
      <c r="E67" s="349">
        <f t="shared" si="26"/>
        <v>96</v>
      </c>
      <c r="F67" s="361">
        <f>'Proy. ventas'!G144</f>
        <v>8</v>
      </c>
      <c r="G67" s="349">
        <f t="shared" si="27"/>
        <v>96</v>
      </c>
      <c r="H67" s="361">
        <f>'Proy. ventas'!I144</f>
        <v>9</v>
      </c>
      <c r="I67" s="349">
        <f t="shared" si="28"/>
        <v>108</v>
      </c>
      <c r="J67" s="361">
        <f>'Proy. ventas'!K144</f>
        <v>9</v>
      </c>
      <c r="K67" s="349">
        <f t="shared" si="29"/>
        <v>108</v>
      </c>
      <c r="L67" s="361">
        <f>'Proy. ventas'!M144</f>
        <v>9</v>
      </c>
      <c r="M67" s="349">
        <f t="shared" si="30"/>
        <v>108</v>
      </c>
      <c r="N67" s="361">
        <f>'Proy. ventas'!O144</f>
        <v>9</v>
      </c>
      <c r="O67" s="349">
        <f t="shared" si="31"/>
        <v>108</v>
      </c>
      <c r="P67" s="361">
        <f>'Proy. ventas'!Q144</f>
        <v>10</v>
      </c>
      <c r="Q67" s="349">
        <f t="shared" si="32"/>
        <v>120</v>
      </c>
      <c r="R67" s="361">
        <f>'Proy. ventas'!S144</f>
        <v>10</v>
      </c>
      <c r="S67" s="349">
        <f t="shared" si="33"/>
        <v>120</v>
      </c>
      <c r="T67" s="361">
        <f>'Proy. ventas'!U144</f>
        <v>11</v>
      </c>
      <c r="U67" s="349">
        <f t="shared" si="34"/>
        <v>132</v>
      </c>
      <c r="V67" s="361">
        <f>'Proy. ventas'!W144</f>
        <v>11</v>
      </c>
      <c r="W67" s="349">
        <f t="shared" si="35"/>
        <v>132</v>
      </c>
      <c r="X67" s="361">
        <f>'Proy. ventas'!Y144</f>
        <v>12</v>
      </c>
      <c r="Y67" s="349">
        <f t="shared" si="36"/>
        <v>144</v>
      </c>
      <c r="Z67" s="361">
        <f>'Proy. ventas'!AA144</f>
        <v>12</v>
      </c>
      <c r="AA67" s="349">
        <f t="shared" si="37"/>
        <v>144</v>
      </c>
      <c r="AB67" s="352">
        <f t="shared" si="38"/>
        <v>1416</v>
      </c>
    </row>
    <row r="68" spans="1:28" ht="14.25" customHeight="1">
      <c r="A68" s="693"/>
      <c r="B68" s="351" t="s">
        <v>293</v>
      </c>
      <c r="C68" s="360">
        <f>Hipótesis!$C$59*0.3</f>
        <v>36</v>
      </c>
      <c r="D68" s="361">
        <f>'Proy. ventas'!E145</f>
        <v>19</v>
      </c>
      <c r="E68" s="349">
        <f t="shared" si="26"/>
        <v>684</v>
      </c>
      <c r="F68" s="361">
        <f>'Proy. ventas'!G145</f>
        <v>19</v>
      </c>
      <c r="G68" s="349">
        <f t="shared" si="27"/>
        <v>684</v>
      </c>
      <c r="H68" s="361">
        <f>'Proy. ventas'!I145</f>
        <v>21</v>
      </c>
      <c r="I68" s="349">
        <f t="shared" si="28"/>
        <v>756</v>
      </c>
      <c r="J68" s="361">
        <f>'Proy. ventas'!K145</f>
        <v>21</v>
      </c>
      <c r="K68" s="349">
        <f t="shared" si="29"/>
        <v>756</v>
      </c>
      <c r="L68" s="361">
        <f>'Proy. ventas'!M145</f>
        <v>22</v>
      </c>
      <c r="M68" s="349">
        <f t="shared" si="30"/>
        <v>792</v>
      </c>
      <c r="N68" s="361">
        <f>'Proy. ventas'!O145</f>
        <v>22</v>
      </c>
      <c r="O68" s="349">
        <f t="shared" si="31"/>
        <v>792</v>
      </c>
      <c r="P68" s="361">
        <f>'Proy. ventas'!Q145</f>
        <v>24</v>
      </c>
      <c r="Q68" s="349">
        <f t="shared" si="32"/>
        <v>864</v>
      </c>
      <c r="R68" s="361">
        <f>'Proy. ventas'!S145</f>
        <v>24</v>
      </c>
      <c r="S68" s="349">
        <f t="shared" si="33"/>
        <v>864</v>
      </c>
      <c r="T68" s="361">
        <f>'Proy. ventas'!U145</f>
        <v>25</v>
      </c>
      <c r="U68" s="349">
        <f t="shared" si="34"/>
        <v>900</v>
      </c>
      <c r="V68" s="361">
        <f>'Proy. ventas'!W145</f>
        <v>25</v>
      </c>
      <c r="W68" s="349">
        <f t="shared" si="35"/>
        <v>900</v>
      </c>
      <c r="X68" s="361">
        <f>'Proy. ventas'!Y145</f>
        <v>28</v>
      </c>
      <c r="Y68" s="349">
        <f t="shared" si="36"/>
        <v>1008</v>
      </c>
      <c r="Z68" s="361">
        <f>'Proy. ventas'!AA145</f>
        <v>28</v>
      </c>
      <c r="AA68" s="349">
        <f t="shared" si="37"/>
        <v>1008</v>
      </c>
      <c r="AB68" s="352">
        <f t="shared" si="38"/>
        <v>10008</v>
      </c>
    </row>
    <row r="69" spans="1:28" ht="14.25" customHeight="1">
      <c r="A69" s="693"/>
      <c r="B69" s="351" t="s">
        <v>294</v>
      </c>
      <c r="C69" s="360">
        <f>Hipótesis!$C$60*0.3</f>
        <v>135</v>
      </c>
      <c r="D69" s="361">
        <f>'Proy. ventas'!E146</f>
        <v>3</v>
      </c>
      <c r="E69" s="349">
        <f t="shared" si="26"/>
        <v>405</v>
      </c>
      <c r="F69" s="361">
        <f>'Proy. ventas'!G146</f>
        <v>3</v>
      </c>
      <c r="G69" s="349">
        <f t="shared" si="27"/>
        <v>405</v>
      </c>
      <c r="H69" s="361">
        <f>'Proy. ventas'!I146</f>
        <v>3</v>
      </c>
      <c r="I69" s="349">
        <f t="shared" si="28"/>
        <v>405</v>
      </c>
      <c r="J69" s="361">
        <f>'Proy. ventas'!K146</f>
        <v>3</v>
      </c>
      <c r="K69" s="349">
        <f t="shared" si="29"/>
        <v>405</v>
      </c>
      <c r="L69" s="361">
        <f>'Proy. ventas'!M146</f>
        <v>3</v>
      </c>
      <c r="M69" s="349">
        <f t="shared" si="30"/>
        <v>405</v>
      </c>
      <c r="N69" s="361">
        <f>'Proy. ventas'!O146</f>
        <v>3</v>
      </c>
      <c r="O69" s="349">
        <f t="shared" si="31"/>
        <v>405</v>
      </c>
      <c r="P69" s="361">
        <f>'Proy. ventas'!Q146</f>
        <v>3</v>
      </c>
      <c r="Q69" s="349">
        <f t="shared" si="32"/>
        <v>405</v>
      </c>
      <c r="R69" s="361">
        <f>'Proy. ventas'!S146</f>
        <v>3</v>
      </c>
      <c r="S69" s="349">
        <f t="shared" si="33"/>
        <v>405</v>
      </c>
      <c r="T69" s="361">
        <f>'Proy. ventas'!U146</f>
        <v>4</v>
      </c>
      <c r="U69" s="349">
        <f t="shared" si="34"/>
        <v>540</v>
      </c>
      <c r="V69" s="361">
        <f>'Proy. ventas'!W146</f>
        <v>4</v>
      </c>
      <c r="W69" s="349">
        <f t="shared" si="35"/>
        <v>540</v>
      </c>
      <c r="X69" s="361">
        <f>'Proy. ventas'!Y146</f>
        <v>4</v>
      </c>
      <c r="Y69" s="349">
        <f t="shared" si="36"/>
        <v>540</v>
      </c>
      <c r="Z69" s="361">
        <f>'Proy. ventas'!AA146</f>
        <v>4</v>
      </c>
      <c r="AA69" s="349">
        <f t="shared" si="37"/>
        <v>540</v>
      </c>
      <c r="AB69" s="352">
        <f t="shared" si="38"/>
        <v>5400</v>
      </c>
    </row>
    <row r="70" spans="1:28" ht="14.25" customHeight="1">
      <c r="A70" s="693"/>
      <c r="B70" s="351" t="s">
        <v>295</v>
      </c>
      <c r="C70" s="360">
        <v>10</v>
      </c>
      <c r="D70" s="361">
        <f>ROUND(('Proy. ventas'!E144+'Proy. ventas'!E145+'Proy. ventas'!E146)*0.3,0)</f>
        <v>9</v>
      </c>
      <c r="E70" s="349">
        <f t="shared" si="26"/>
        <v>90</v>
      </c>
      <c r="F70" s="361">
        <f>ROUND(('Proy. ventas'!G144+'Proy. ventas'!G145+'Proy. ventas'!G146)*0.3,0)</f>
        <v>9</v>
      </c>
      <c r="G70" s="349">
        <f t="shared" si="27"/>
        <v>90</v>
      </c>
      <c r="H70" s="361">
        <f>ROUND(('Proy. ventas'!I144+'Proy. ventas'!I145+'Proy. ventas'!I146)*0.3,0)</f>
        <v>10</v>
      </c>
      <c r="I70" s="349">
        <f t="shared" si="28"/>
        <v>100</v>
      </c>
      <c r="J70" s="361">
        <f>ROUND(('Proy. ventas'!K144+'Proy. ventas'!K145+'Proy. ventas'!K146)*0.3,0)</f>
        <v>10</v>
      </c>
      <c r="K70" s="349">
        <f t="shared" si="29"/>
        <v>100</v>
      </c>
      <c r="L70" s="361">
        <f>ROUND(('Proy. ventas'!M144+'Proy. ventas'!M145+'Proy. ventas'!M146)*0.3,0)</f>
        <v>10</v>
      </c>
      <c r="M70" s="349">
        <f t="shared" si="30"/>
        <v>100</v>
      </c>
      <c r="N70" s="361">
        <f>ROUND(('Proy. ventas'!O144+'Proy. ventas'!O145+'Proy. ventas'!O146)*0.3,0)</f>
        <v>10</v>
      </c>
      <c r="O70" s="349">
        <f t="shared" si="31"/>
        <v>100</v>
      </c>
      <c r="P70" s="361">
        <f>ROUND(('Proy. ventas'!Q144+'Proy. ventas'!Q145+'Proy. ventas'!Q146)*0.3,0)</f>
        <v>11</v>
      </c>
      <c r="Q70" s="349">
        <f t="shared" si="32"/>
        <v>110</v>
      </c>
      <c r="R70" s="361">
        <f>ROUND(('Proy. ventas'!S144+'Proy. ventas'!S145+'Proy. ventas'!S146)*0.3,0)</f>
        <v>11</v>
      </c>
      <c r="S70" s="349">
        <f t="shared" si="33"/>
        <v>110</v>
      </c>
      <c r="T70" s="361">
        <f>ROUND(('Proy. ventas'!U144+'Proy. ventas'!U145+'Proy. ventas'!U146)*0.3,0)</f>
        <v>12</v>
      </c>
      <c r="U70" s="349">
        <f t="shared" si="34"/>
        <v>120</v>
      </c>
      <c r="V70" s="361">
        <f>ROUND(('Proy. ventas'!W144+'Proy. ventas'!W145+'Proy. ventas'!W146)*0.3,0)</f>
        <v>12</v>
      </c>
      <c r="W70" s="349">
        <f t="shared" si="35"/>
        <v>120</v>
      </c>
      <c r="X70" s="361">
        <f>ROUND(('Proy. ventas'!Y144+'Proy. ventas'!Y145+'Proy. ventas'!Y146)*0.3,0)</f>
        <v>13</v>
      </c>
      <c r="Y70" s="349">
        <f t="shared" si="36"/>
        <v>130</v>
      </c>
      <c r="Z70" s="361">
        <f>ROUND(('Proy. ventas'!AA144+'Proy. ventas'!AA145+'Proy. ventas'!AA146)*0.3,0)</f>
        <v>13</v>
      </c>
      <c r="AA70" s="349">
        <f t="shared" si="37"/>
        <v>130</v>
      </c>
      <c r="AB70" s="352">
        <f t="shared" si="38"/>
        <v>1300</v>
      </c>
    </row>
    <row r="71" spans="1:28" ht="14.25" customHeight="1">
      <c r="A71" s="354" t="s">
        <v>284</v>
      </c>
      <c r="B71" s="351" t="s">
        <v>296</v>
      </c>
      <c r="C71" s="360">
        <v>7</v>
      </c>
      <c r="D71" s="361">
        <f>'Anexo capacidad operativa'!D109</f>
        <v>300</v>
      </c>
      <c r="E71" s="349">
        <f t="shared" si="26"/>
        <v>2100</v>
      </c>
      <c r="F71" s="361">
        <f>'Anexo capacidad operativa'!F109</f>
        <v>300</v>
      </c>
      <c r="G71" s="349">
        <f t="shared" si="27"/>
        <v>2100</v>
      </c>
      <c r="H71" s="361">
        <f>'Anexo capacidad operativa'!H109</f>
        <v>300</v>
      </c>
      <c r="I71" s="349">
        <f t="shared" si="28"/>
        <v>2100</v>
      </c>
      <c r="J71" s="361">
        <f>'Anexo capacidad operativa'!J109</f>
        <v>300</v>
      </c>
      <c r="K71" s="349">
        <f t="shared" si="29"/>
        <v>2100</v>
      </c>
      <c r="L71" s="361">
        <f>'Anexo capacidad operativa'!L109</f>
        <v>300</v>
      </c>
      <c r="M71" s="349">
        <f t="shared" si="30"/>
        <v>2100</v>
      </c>
      <c r="N71" s="361">
        <f>'Anexo capacidad operativa'!N109</f>
        <v>450</v>
      </c>
      <c r="O71" s="349">
        <f t="shared" si="31"/>
        <v>3150</v>
      </c>
      <c r="P71" s="361">
        <f>'Anexo capacidad operativa'!P109</f>
        <v>450</v>
      </c>
      <c r="Q71" s="349">
        <f t="shared" si="32"/>
        <v>3150</v>
      </c>
      <c r="R71" s="361">
        <f>'Anexo capacidad operativa'!R109</f>
        <v>450</v>
      </c>
      <c r="S71" s="349">
        <f t="shared" si="33"/>
        <v>3150</v>
      </c>
      <c r="T71" s="361">
        <f>'Anexo capacidad operativa'!T109</f>
        <v>450</v>
      </c>
      <c r="U71" s="349">
        <f t="shared" si="34"/>
        <v>3150</v>
      </c>
      <c r="V71" s="361">
        <f>'Anexo capacidad operativa'!V109</f>
        <v>450</v>
      </c>
      <c r="W71" s="349">
        <f t="shared" si="35"/>
        <v>3150</v>
      </c>
      <c r="X71" s="361">
        <f>'Anexo capacidad operativa'!X109</f>
        <v>450</v>
      </c>
      <c r="Y71" s="349">
        <f t="shared" si="36"/>
        <v>3150</v>
      </c>
      <c r="Z71" s="361">
        <f>'Anexo capacidad operativa'!Z109</f>
        <v>450</v>
      </c>
      <c r="AA71" s="349">
        <f t="shared" si="37"/>
        <v>3150</v>
      </c>
      <c r="AB71" s="352">
        <f t="shared" si="38"/>
        <v>32550</v>
      </c>
    </row>
    <row r="72" spans="1:28" ht="14.25" customHeight="1">
      <c r="A72" s="354"/>
      <c r="B72" s="351"/>
      <c r="C72" s="360"/>
      <c r="D72" s="361"/>
      <c r="E72" s="349"/>
      <c r="F72" s="361"/>
      <c r="G72" s="349"/>
      <c r="H72" s="361"/>
      <c r="I72" s="349"/>
      <c r="J72" s="361"/>
      <c r="K72" s="349"/>
      <c r="L72" s="361"/>
      <c r="M72" s="349"/>
      <c r="N72" s="361"/>
      <c r="O72" s="349"/>
      <c r="P72" s="361"/>
      <c r="Q72" s="349"/>
      <c r="R72" s="361"/>
      <c r="S72" s="349"/>
      <c r="T72" s="361"/>
      <c r="U72" s="349"/>
      <c r="V72" s="361"/>
      <c r="W72" s="349"/>
      <c r="X72" s="361"/>
      <c r="Y72" s="349"/>
      <c r="Z72" s="361"/>
      <c r="AA72" s="349"/>
      <c r="AB72" s="352"/>
    </row>
    <row r="73" spans="1:28" ht="14.25" customHeight="1">
      <c r="A73" s="354"/>
      <c r="B73" s="351"/>
      <c r="C73" s="360"/>
      <c r="D73" s="361"/>
      <c r="E73" s="349"/>
      <c r="F73" s="361"/>
      <c r="G73" s="349"/>
      <c r="H73" s="361"/>
      <c r="I73" s="349"/>
      <c r="J73" s="361"/>
      <c r="K73" s="349"/>
      <c r="L73" s="361"/>
      <c r="M73" s="349"/>
      <c r="N73" s="361"/>
      <c r="O73" s="349"/>
      <c r="P73" s="361"/>
      <c r="Q73" s="349"/>
      <c r="R73" s="361"/>
      <c r="S73" s="349"/>
      <c r="T73" s="361"/>
      <c r="U73" s="349"/>
      <c r="V73" s="361"/>
      <c r="W73" s="349"/>
      <c r="X73" s="361"/>
      <c r="Y73" s="349"/>
      <c r="Z73" s="361"/>
      <c r="AA73" s="349"/>
      <c r="AB73" s="352"/>
    </row>
    <row r="74" spans="1:28" ht="14.25" customHeight="1">
      <c r="B74" s="362"/>
      <c r="C74" s="363"/>
      <c r="D74" s="364"/>
      <c r="E74" s="365"/>
      <c r="F74" s="364"/>
      <c r="G74" s="365"/>
      <c r="H74" s="364"/>
      <c r="I74" s="365"/>
      <c r="J74" s="364"/>
      <c r="K74" s="365"/>
      <c r="L74" s="364"/>
      <c r="M74" s="365"/>
      <c r="N74" s="364"/>
      <c r="O74" s="365"/>
      <c r="P74" s="364"/>
      <c r="Q74" s="365"/>
      <c r="R74" s="364"/>
      <c r="S74" s="365"/>
      <c r="T74" s="364"/>
      <c r="U74" s="365"/>
      <c r="V74" s="364"/>
      <c r="W74" s="365"/>
      <c r="X74" s="364"/>
      <c r="Y74" s="365"/>
      <c r="Z74" s="364"/>
      <c r="AA74" s="365"/>
      <c r="AB74" s="366"/>
    </row>
    <row r="75" spans="1:28" ht="14.25" customHeight="1">
      <c r="B75" s="362"/>
      <c r="C75" s="363"/>
      <c r="D75" s="364"/>
      <c r="E75" s="365"/>
      <c r="F75" s="364"/>
      <c r="G75" s="365"/>
      <c r="H75" s="364"/>
      <c r="I75" s="365"/>
      <c r="J75" s="364"/>
      <c r="K75" s="365"/>
      <c r="L75" s="364"/>
      <c r="M75" s="365"/>
      <c r="N75" s="364"/>
      <c r="O75" s="365"/>
      <c r="P75" s="364"/>
      <c r="Q75" s="365"/>
      <c r="R75" s="364"/>
      <c r="S75" s="365"/>
      <c r="T75" s="364"/>
      <c r="U75" s="365"/>
      <c r="V75" s="364"/>
      <c r="W75" s="365"/>
      <c r="X75" s="364"/>
      <c r="Y75" s="365"/>
      <c r="Z75" s="364"/>
      <c r="AA75" s="365"/>
      <c r="AB75" s="366"/>
    </row>
    <row r="76" spans="1:28" ht="14.25" customHeight="1">
      <c r="B76" s="380"/>
      <c r="C76" s="381"/>
      <c r="D76" s="369"/>
      <c r="E76" s="370"/>
      <c r="F76" s="371"/>
      <c r="G76" s="370"/>
      <c r="H76" s="371"/>
      <c r="I76" s="370"/>
      <c r="J76" s="371"/>
      <c r="K76" s="370"/>
      <c r="L76" s="371"/>
      <c r="M76" s="370"/>
      <c r="N76" s="371"/>
      <c r="O76" s="370"/>
      <c r="P76" s="371"/>
      <c r="Q76" s="370"/>
      <c r="R76" s="371"/>
      <c r="S76" s="370"/>
      <c r="T76" s="371"/>
      <c r="U76" s="370"/>
      <c r="V76" s="371"/>
      <c r="W76" s="370"/>
      <c r="X76" s="371"/>
      <c r="Y76" s="370"/>
      <c r="Z76" s="371"/>
      <c r="AA76" s="365"/>
      <c r="AB76" s="382"/>
    </row>
    <row r="77" spans="1:28" ht="14.25" customHeight="1">
      <c r="A77" s="373"/>
      <c r="B77" s="374"/>
      <c r="C77" s="375"/>
      <c r="D77" s="376"/>
      <c r="E77" s="377"/>
      <c r="F77" s="378"/>
      <c r="G77" s="377"/>
      <c r="H77" s="378"/>
      <c r="I77" s="377"/>
      <c r="J77" s="378"/>
      <c r="K77" s="377"/>
      <c r="L77" s="378"/>
      <c r="M77" s="377"/>
      <c r="N77" s="378"/>
      <c r="O77" s="377"/>
      <c r="P77" s="378"/>
      <c r="Q77" s="377"/>
      <c r="R77" s="378"/>
      <c r="S77" s="377"/>
      <c r="T77" s="378"/>
      <c r="U77" s="377"/>
      <c r="V77" s="378"/>
      <c r="W77" s="377"/>
      <c r="X77" s="378"/>
      <c r="Y77" s="377"/>
      <c r="Z77" s="378"/>
      <c r="AA77" s="377"/>
      <c r="AB77" s="372"/>
    </row>
    <row r="78" spans="1:28" ht="14.25" customHeight="1">
      <c r="A78" s="356"/>
      <c r="B78" s="355" t="s">
        <v>275</v>
      </c>
      <c r="C78" s="356"/>
      <c r="D78" s="356"/>
      <c r="E78" s="357">
        <f>SUM(E61:E77)</f>
        <v>5694.8</v>
      </c>
      <c r="F78" s="379"/>
      <c r="G78" s="357">
        <f>SUM(G61:G77)</f>
        <v>5736.8</v>
      </c>
      <c r="H78" s="379"/>
      <c r="I78" s="357">
        <f>SUM(I61:I77)</f>
        <v>6019</v>
      </c>
      <c r="J78" s="379"/>
      <c r="K78" s="357">
        <f>SUM(K61:K77)</f>
        <v>6065.2</v>
      </c>
      <c r="L78" s="379"/>
      <c r="M78" s="357">
        <f>SUM(M61:M77)</f>
        <v>6199.8</v>
      </c>
      <c r="N78" s="356"/>
      <c r="O78" s="357">
        <f>SUM(O61:O77)</f>
        <v>7297.4</v>
      </c>
      <c r="P78" s="379"/>
      <c r="Q78" s="357">
        <f>SUM(Q61:Q77)</f>
        <v>7585.2</v>
      </c>
      <c r="R78" s="379"/>
      <c r="S78" s="357">
        <f>SUM(S61:S77)</f>
        <v>7637</v>
      </c>
      <c r="T78" s="379"/>
      <c r="U78" s="357">
        <f>SUM(U61:U77)</f>
        <v>8028</v>
      </c>
      <c r="V78" s="379"/>
      <c r="W78" s="357">
        <f>SUM(W61:W77)</f>
        <v>8084</v>
      </c>
      <c r="X78" s="379"/>
      <c r="Y78" s="357">
        <f>SUM(Y61:Y77)</f>
        <v>8468.6</v>
      </c>
      <c r="Z78" s="379"/>
      <c r="AA78" s="357">
        <f>SUM(AA61:AA77)</f>
        <v>8530.2000000000007</v>
      </c>
      <c r="AB78" s="357">
        <f>SUM(AB61:AB77)</f>
        <v>85346</v>
      </c>
    </row>
    <row r="79" spans="1:28"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sheetData>
  <mergeCells count="48">
    <mergeCell ref="A67:A70"/>
    <mergeCell ref="V59:W59"/>
    <mergeCell ref="X59:Y59"/>
    <mergeCell ref="Z59:AA59"/>
    <mergeCell ref="AB59:AB60"/>
    <mergeCell ref="A61:A66"/>
    <mergeCell ref="L59:M59"/>
    <mergeCell ref="N59:O59"/>
    <mergeCell ref="P59:Q59"/>
    <mergeCell ref="R59:S59"/>
    <mergeCell ref="T59:U59"/>
    <mergeCell ref="A44:A47"/>
    <mergeCell ref="D59:E59"/>
    <mergeCell ref="F59:G59"/>
    <mergeCell ref="H59:I59"/>
    <mergeCell ref="J59:K59"/>
    <mergeCell ref="V36:W36"/>
    <mergeCell ref="X36:Y36"/>
    <mergeCell ref="Z36:AA36"/>
    <mergeCell ref="AB36:AB37"/>
    <mergeCell ref="A38:A43"/>
    <mergeCell ref="L36:M36"/>
    <mergeCell ref="N36:O36"/>
    <mergeCell ref="P36:Q36"/>
    <mergeCell ref="R36:S36"/>
    <mergeCell ref="T36:U36"/>
    <mergeCell ref="A21:A24"/>
    <mergeCell ref="D36:E36"/>
    <mergeCell ref="F36:G36"/>
    <mergeCell ref="H36:I36"/>
    <mergeCell ref="J36:K36"/>
    <mergeCell ref="V13:W13"/>
    <mergeCell ref="X13:Y13"/>
    <mergeCell ref="Z13:AA13"/>
    <mergeCell ref="AB13:AB14"/>
    <mergeCell ref="A15:A20"/>
    <mergeCell ref="L13:M13"/>
    <mergeCell ref="N13:O13"/>
    <mergeCell ref="P13:Q13"/>
    <mergeCell ref="R13:S13"/>
    <mergeCell ref="T13:U13"/>
    <mergeCell ref="B4:D4"/>
    <mergeCell ref="H4:J4"/>
    <mergeCell ref="H8:J8"/>
    <mergeCell ref="D13:E13"/>
    <mergeCell ref="F13:G13"/>
    <mergeCell ref="H13:I13"/>
    <mergeCell ref="J13:K13"/>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95"/>
  <sheetViews>
    <sheetView topLeftCell="E1" zoomScaleNormal="100" workbookViewId="0"/>
  </sheetViews>
  <sheetFormatPr baseColWidth="10" defaultColWidth="8.6640625" defaultRowHeight="14"/>
  <cols>
    <col min="1" max="1" width="11.5" customWidth="1"/>
    <col min="2" max="2" width="32.5" customWidth="1"/>
    <col min="3" max="3" width="38" customWidth="1"/>
    <col min="4" max="4" width="15.1640625" customWidth="1"/>
    <col min="5" max="5" width="22" customWidth="1"/>
    <col min="6" max="6" width="23" customWidth="1"/>
    <col min="7" max="7" width="11.5" customWidth="1"/>
    <col min="8" max="8" width="15.5" customWidth="1"/>
    <col min="9" max="9" width="14.1640625" customWidth="1"/>
    <col min="10" max="10" width="15.1640625" customWidth="1"/>
    <col min="11" max="11" width="16.6640625" customWidth="1"/>
    <col min="12" max="12" width="21.33203125" customWidth="1"/>
    <col min="13" max="13" width="12.83203125" customWidth="1"/>
    <col min="14" max="14" width="13.5" customWidth="1"/>
    <col min="15" max="15" width="11.5" customWidth="1"/>
    <col min="16" max="16" width="12" customWidth="1"/>
    <col min="17" max="17" width="11.5" customWidth="1"/>
    <col min="18" max="18" width="12" customWidth="1"/>
    <col min="19" max="19" width="11.5" customWidth="1"/>
    <col min="20" max="20" width="12" customWidth="1"/>
    <col min="21" max="21" width="11.5" customWidth="1"/>
    <col min="22" max="22" width="12" customWidth="1"/>
    <col min="23" max="23" width="17.83203125" customWidth="1"/>
    <col min="24" max="24" width="12" customWidth="1"/>
    <col min="25" max="25" width="12.5" customWidth="1"/>
    <col min="26" max="26" width="13.5" customWidth="1"/>
    <col min="27" max="27" width="15.5" customWidth="1"/>
    <col min="28" max="28" width="11.5" customWidth="1"/>
    <col min="29" max="29" width="12.5" customWidth="1"/>
    <col min="30" max="30" width="11.5" customWidth="1"/>
  </cols>
  <sheetData>
    <row r="1" spans="1:31" ht="58.5" customHeight="1">
      <c r="A1" s="383"/>
      <c r="B1" s="383"/>
      <c r="C1" s="383"/>
      <c r="D1" s="383"/>
      <c r="E1" s="384" t="s">
        <v>14</v>
      </c>
      <c r="F1" s="385"/>
      <c r="G1" s="385"/>
      <c r="H1" s="383"/>
      <c r="I1" s="383"/>
      <c r="J1" s="383"/>
      <c r="K1" s="383"/>
      <c r="L1" s="383"/>
      <c r="M1" s="383"/>
      <c r="N1" s="383"/>
      <c r="O1" s="383"/>
      <c r="P1" s="383"/>
      <c r="Q1" s="383"/>
      <c r="R1" s="383"/>
      <c r="S1" s="383"/>
      <c r="T1" s="383"/>
      <c r="U1" s="383"/>
      <c r="V1" s="383"/>
      <c r="W1" s="383"/>
      <c r="X1" s="383"/>
      <c r="Y1" s="383"/>
      <c r="Z1" s="383"/>
      <c r="AA1" s="383"/>
      <c r="AB1" s="383"/>
      <c r="AC1" s="383"/>
      <c r="AD1" s="383"/>
      <c r="AE1" s="383"/>
    </row>
    <row r="3" spans="1:31" ht="15.75" customHeight="1"/>
    <row r="4" spans="1:31" ht="27" customHeight="1">
      <c r="B4" s="695" t="s">
        <v>73</v>
      </c>
      <c r="C4" s="695"/>
      <c r="D4" s="695"/>
      <c r="E4" s="386"/>
      <c r="H4" s="695" t="s">
        <v>299</v>
      </c>
      <c r="I4" s="695"/>
      <c r="J4" s="695"/>
    </row>
    <row r="5" spans="1:31" ht="15" customHeight="1">
      <c r="B5" s="387">
        <v>2026</v>
      </c>
      <c r="C5" s="387">
        <v>2027</v>
      </c>
      <c r="D5" s="387">
        <v>2028</v>
      </c>
      <c r="E5" s="388"/>
      <c r="H5" s="387">
        <v>2026</v>
      </c>
      <c r="I5" s="387">
        <v>2027</v>
      </c>
      <c r="J5" s="387">
        <v>2028</v>
      </c>
    </row>
    <row r="6" spans="1:31" ht="15.75" customHeight="1">
      <c r="B6" s="389">
        <f>Hipótesis!C24</f>
        <v>8.0000000000000002E-3</v>
      </c>
      <c r="C6" s="389">
        <f>Hipótesis!C25</f>
        <v>2.9000000000000001E-2</v>
      </c>
      <c r="D6" s="389">
        <f>Hipótesis!C26</f>
        <v>5.1999999999999998E-2</v>
      </c>
      <c r="E6" s="390"/>
      <c r="H6" s="391">
        <f>$AA$46</f>
        <v>67319.200000000012</v>
      </c>
      <c r="I6" s="392">
        <f>$AA$67</f>
        <v>67319.200000000012</v>
      </c>
      <c r="J6" s="393">
        <f>$AA$88</f>
        <v>67319.200000000012</v>
      </c>
    </row>
    <row r="7" spans="1:31" ht="15" customHeight="1">
      <c r="B7" s="394">
        <f>Hipótesis!D24</f>
        <v>107520</v>
      </c>
      <c r="C7" s="394">
        <f>Hipótesis!D25</f>
        <v>389760</v>
      </c>
      <c r="D7" s="394">
        <f>Hipótesis!D26</f>
        <v>698880</v>
      </c>
      <c r="E7" s="395"/>
    </row>
    <row r="9" spans="1:31" ht="15" customHeight="1">
      <c r="A9" s="396"/>
      <c r="B9" s="396"/>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row>
    <row r="10" spans="1:31" ht="15.75" customHeight="1">
      <c r="A10" s="396"/>
      <c r="B10" s="396"/>
      <c r="C10" s="396"/>
      <c r="D10" s="396"/>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row>
    <row r="11" spans="1:31" ht="27" customHeight="1">
      <c r="A11" s="396"/>
      <c r="B11" s="695" t="s">
        <v>300</v>
      </c>
      <c r="C11" s="695"/>
      <c r="D11" s="695"/>
      <c r="E11" s="695"/>
      <c r="F11" s="695"/>
      <c r="G11" s="695"/>
      <c r="H11" s="695"/>
      <c r="I11" s="695"/>
      <c r="J11" s="695"/>
      <c r="K11" s="695"/>
      <c r="L11" s="695"/>
      <c r="M11" s="396"/>
      <c r="N11" s="396"/>
      <c r="O11" s="396"/>
      <c r="P11" s="396"/>
      <c r="Q11" s="396"/>
      <c r="R11" s="396"/>
      <c r="S11" s="396"/>
      <c r="T11" s="396"/>
      <c r="U11" s="396"/>
      <c r="V11" s="396"/>
      <c r="W11" s="396"/>
      <c r="X11" s="396"/>
      <c r="Y11" s="396"/>
      <c r="Z11" s="396"/>
      <c r="AA11" s="396"/>
      <c r="AB11" s="396"/>
      <c r="AC11" s="396"/>
      <c r="AD11" s="396"/>
      <c r="AE11" s="396"/>
    </row>
    <row r="12" spans="1:31" ht="16.5" customHeight="1">
      <c r="A12" s="396"/>
      <c r="B12" s="696" t="s">
        <v>301</v>
      </c>
      <c r="C12" s="696" t="s">
        <v>302</v>
      </c>
      <c r="D12" s="696" t="s">
        <v>303</v>
      </c>
      <c r="E12" s="397" t="s">
        <v>304</v>
      </c>
      <c r="F12" s="397" t="s">
        <v>305</v>
      </c>
      <c r="G12" s="397" t="s">
        <v>306</v>
      </c>
      <c r="H12" s="397" t="s">
        <v>307</v>
      </c>
      <c r="I12" s="397" t="s">
        <v>308</v>
      </c>
      <c r="J12" s="397" t="s">
        <v>309</v>
      </c>
      <c r="K12" s="397" t="s">
        <v>310</v>
      </c>
      <c r="L12" s="696" t="s">
        <v>311</v>
      </c>
      <c r="M12" s="696" t="s">
        <v>312</v>
      </c>
      <c r="N12" s="696" t="s">
        <v>313</v>
      </c>
      <c r="O12" s="696"/>
      <c r="P12" s="696"/>
      <c r="Q12" s="696"/>
      <c r="R12" s="696"/>
      <c r="S12" s="696"/>
      <c r="T12" s="696"/>
      <c r="U12" s="696"/>
      <c r="V12" s="696"/>
      <c r="W12" s="696"/>
      <c r="X12" s="696"/>
      <c r="Y12" s="696"/>
      <c r="Z12" s="696"/>
      <c r="AA12" s="696"/>
      <c r="AB12" s="396"/>
      <c r="AC12" s="396"/>
      <c r="AD12" s="396"/>
      <c r="AE12" s="396"/>
    </row>
    <row r="13" spans="1:31" ht="16.5" customHeight="1">
      <c r="A13" s="396"/>
      <c r="B13" s="696"/>
      <c r="C13" s="696"/>
      <c r="D13" s="696"/>
      <c r="E13" s="398">
        <v>0.1235</v>
      </c>
      <c r="F13" s="398">
        <v>1.5699999999999999E-2</v>
      </c>
      <c r="G13" s="398">
        <v>0.06</v>
      </c>
      <c r="H13" s="398">
        <v>1.0800000000000001E-2</v>
      </c>
      <c r="I13" s="398">
        <v>5.3999999999999999E-2</v>
      </c>
      <c r="J13" s="399">
        <v>1.2</v>
      </c>
      <c r="K13" s="398">
        <v>0.03</v>
      </c>
      <c r="L13" s="696"/>
      <c r="M13" s="696"/>
      <c r="N13" s="696"/>
      <c r="O13" s="696"/>
      <c r="P13" s="696"/>
      <c r="Q13" s="696"/>
      <c r="R13" s="696"/>
      <c r="S13" s="696"/>
      <c r="T13" s="696"/>
      <c r="U13" s="696"/>
      <c r="V13" s="696"/>
      <c r="W13" s="696"/>
      <c r="X13" s="696"/>
      <c r="Y13" s="696"/>
      <c r="Z13" s="696"/>
      <c r="AA13" s="696"/>
      <c r="AB13" s="396"/>
      <c r="AC13" s="396"/>
      <c r="AD13" s="396"/>
      <c r="AE13" s="396"/>
    </row>
    <row r="14" spans="1:31" ht="15.75" customHeight="1">
      <c r="A14" s="396"/>
      <c r="B14" s="697" t="s">
        <v>314</v>
      </c>
      <c r="C14" s="401" t="s">
        <v>315</v>
      </c>
      <c r="D14" s="402">
        <v>2000</v>
      </c>
      <c r="E14" s="403">
        <f t="shared" ref="E14:I27" si="0">$D14*E$13</f>
        <v>247</v>
      </c>
      <c r="F14" s="403">
        <f t="shared" si="0"/>
        <v>31.4</v>
      </c>
      <c r="G14" s="403">
        <f t="shared" si="0"/>
        <v>120</v>
      </c>
      <c r="H14" s="403">
        <f t="shared" si="0"/>
        <v>21.6</v>
      </c>
      <c r="I14" s="403">
        <f t="shared" si="0"/>
        <v>108</v>
      </c>
      <c r="J14" s="404">
        <f t="shared" ref="J14:J27" si="1">$J$13</f>
        <v>1.2</v>
      </c>
      <c r="K14" s="403">
        <f t="shared" ref="K14:K27" si="2">$D14*K$13</f>
        <v>60</v>
      </c>
      <c r="L14" s="405">
        <f t="shared" ref="L14:L27" si="3">SUM(E14:K14)</f>
        <v>589.20000000000005</v>
      </c>
      <c r="M14" s="406">
        <f t="shared" ref="M14:M27" si="4">D14+L14</f>
        <v>2589.1999999999998</v>
      </c>
      <c r="N14" s="698" t="s">
        <v>316</v>
      </c>
      <c r="O14" s="698"/>
      <c r="P14" s="698"/>
      <c r="Q14" s="698"/>
      <c r="R14" s="698"/>
      <c r="S14" s="698"/>
      <c r="T14" s="698"/>
      <c r="U14" s="698"/>
      <c r="V14" s="698"/>
      <c r="W14" s="698"/>
      <c r="X14" s="698"/>
      <c r="Y14" s="698"/>
      <c r="Z14" s="698"/>
      <c r="AA14" s="698"/>
      <c r="AB14" s="396"/>
      <c r="AC14" s="396"/>
      <c r="AD14" s="396"/>
      <c r="AE14" s="396"/>
    </row>
    <row r="15" spans="1:31" ht="15.75" customHeight="1">
      <c r="A15" s="396"/>
      <c r="B15" s="697"/>
      <c r="C15" s="401" t="s">
        <v>317</v>
      </c>
      <c r="D15" s="402">
        <v>2000</v>
      </c>
      <c r="E15" s="403">
        <f t="shared" si="0"/>
        <v>247</v>
      </c>
      <c r="F15" s="403">
        <f t="shared" si="0"/>
        <v>31.4</v>
      </c>
      <c r="G15" s="403">
        <f t="shared" si="0"/>
        <v>120</v>
      </c>
      <c r="H15" s="403">
        <f t="shared" si="0"/>
        <v>21.6</v>
      </c>
      <c r="I15" s="403">
        <f t="shared" si="0"/>
        <v>108</v>
      </c>
      <c r="J15" s="404">
        <f t="shared" si="1"/>
        <v>1.2</v>
      </c>
      <c r="K15" s="403">
        <f t="shared" si="2"/>
        <v>60</v>
      </c>
      <c r="L15" s="405">
        <f t="shared" si="3"/>
        <v>589.20000000000005</v>
      </c>
      <c r="M15" s="406">
        <f t="shared" si="4"/>
        <v>2589.1999999999998</v>
      </c>
      <c r="N15" s="698" t="s">
        <v>316</v>
      </c>
      <c r="O15" s="698"/>
      <c r="P15" s="698"/>
      <c r="Q15" s="698"/>
      <c r="R15" s="698"/>
      <c r="S15" s="698"/>
      <c r="T15" s="698"/>
      <c r="U15" s="698"/>
      <c r="V15" s="698"/>
      <c r="W15" s="698"/>
      <c r="X15" s="698"/>
      <c r="Y15" s="698"/>
      <c r="Z15" s="698"/>
      <c r="AA15" s="698"/>
      <c r="AB15" s="396"/>
      <c r="AC15" s="396"/>
      <c r="AD15" s="396"/>
      <c r="AE15" s="396"/>
    </row>
    <row r="16" spans="1:31" ht="15.75" customHeight="1">
      <c r="A16" s="396"/>
      <c r="B16" s="697" t="s">
        <v>318</v>
      </c>
      <c r="C16" s="401" t="s">
        <v>319</v>
      </c>
      <c r="D16" s="402">
        <v>900</v>
      </c>
      <c r="E16" s="403">
        <f t="shared" si="0"/>
        <v>111.15</v>
      </c>
      <c r="F16" s="403">
        <f t="shared" si="0"/>
        <v>14.129999999999999</v>
      </c>
      <c r="G16" s="403">
        <f t="shared" si="0"/>
        <v>54</v>
      </c>
      <c r="H16" s="403">
        <f t="shared" si="0"/>
        <v>9.7200000000000006</v>
      </c>
      <c r="I16" s="403">
        <f t="shared" si="0"/>
        <v>48.6</v>
      </c>
      <c r="J16" s="404">
        <f t="shared" si="1"/>
        <v>1.2</v>
      </c>
      <c r="K16" s="403">
        <f t="shared" si="2"/>
        <v>27</v>
      </c>
      <c r="L16" s="405">
        <f t="shared" si="3"/>
        <v>265.79999999999995</v>
      </c>
      <c r="M16" s="406">
        <f t="shared" si="4"/>
        <v>1165.8</v>
      </c>
      <c r="N16" s="698" t="s">
        <v>320</v>
      </c>
      <c r="O16" s="698"/>
      <c r="P16" s="698"/>
      <c r="Q16" s="698"/>
      <c r="R16" s="698"/>
      <c r="S16" s="698"/>
      <c r="T16" s="698"/>
      <c r="U16" s="698"/>
      <c r="V16" s="698"/>
      <c r="W16" s="698"/>
      <c r="X16" s="698"/>
      <c r="Y16" s="698"/>
      <c r="Z16" s="698"/>
      <c r="AA16" s="698"/>
      <c r="AB16" s="396"/>
      <c r="AC16" s="396"/>
      <c r="AD16" s="396"/>
      <c r="AE16" s="396"/>
    </row>
    <row r="17" spans="1:31" ht="15.75" customHeight="1">
      <c r="A17" s="396"/>
      <c r="B17" s="697"/>
      <c r="C17" s="401" t="s">
        <v>321</v>
      </c>
      <c r="D17" s="402">
        <v>800</v>
      </c>
      <c r="E17" s="403">
        <f t="shared" si="0"/>
        <v>98.8</v>
      </c>
      <c r="F17" s="403">
        <f t="shared" si="0"/>
        <v>12.559999999999999</v>
      </c>
      <c r="G17" s="403">
        <f t="shared" si="0"/>
        <v>48</v>
      </c>
      <c r="H17" s="403">
        <f t="shared" si="0"/>
        <v>8.64</v>
      </c>
      <c r="I17" s="403">
        <f t="shared" si="0"/>
        <v>43.2</v>
      </c>
      <c r="J17" s="404">
        <f t="shared" si="1"/>
        <v>1.2</v>
      </c>
      <c r="K17" s="403">
        <f t="shared" si="2"/>
        <v>24</v>
      </c>
      <c r="L17" s="405">
        <f t="shared" si="3"/>
        <v>236.39999999999998</v>
      </c>
      <c r="M17" s="406">
        <f t="shared" si="4"/>
        <v>1036.4000000000001</v>
      </c>
      <c r="N17" s="698" t="s">
        <v>322</v>
      </c>
      <c r="O17" s="698"/>
      <c r="P17" s="698"/>
      <c r="Q17" s="698"/>
      <c r="R17" s="698"/>
      <c r="S17" s="698"/>
      <c r="T17" s="698"/>
      <c r="U17" s="698"/>
      <c r="V17" s="698"/>
      <c r="W17" s="698"/>
      <c r="X17" s="698"/>
      <c r="Y17" s="698"/>
      <c r="Z17" s="698"/>
      <c r="AA17" s="698"/>
      <c r="AB17" s="396"/>
      <c r="AC17" s="396"/>
      <c r="AD17" s="396"/>
      <c r="AE17" s="396"/>
    </row>
    <row r="18" spans="1:31" ht="15.75" customHeight="1">
      <c r="A18" s="396"/>
      <c r="B18" s="697"/>
      <c r="C18" s="401" t="s">
        <v>323</v>
      </c>
      <c r="D18" s="402">
        <v>850</v>
      </c>
      <c r="E18" s="403">
        <f t="shared" si="0"/>
        <v>104.97499999999999</v>
      </c>
      <c r="F18" s="403">
        <f t="shared" si="0"/>
        <v>13.344999999999999</v>
      </c>
      <c r="G18" s="403">
        <f t="shared" si="0"/>
        <v>51</v>
      </c>
      <c r="H18" s="403">
        <f t="shared" si="0"/>
        <v>9.18</v>
      </c>
      <c r="I18" s="403">
        <f t="shared" si="0"/>
        <v>45.9</v>
      </c>
      <c r="J18" s="404">
        <f t="shared" si="1"/>
        <v>1.2</v>
      </c>
      <c r="K18" s="403">
        <f t="shared" si="2"/>
        <v>25.5</v>
      </c>
      <c r="L18" s="405">
        <f t="shared" si="3"/>
        <v>251.1</v>
      </c>
      <c r="M18" s="406">
        <f t="shared" si="4"/>
        <v>1101.0999999999999</v>
      </c>
      <c r="N18" s="698" t="s">
        <v>320</v>
      </c>
      <c r="O18" s="698"/>
      <c r="P18" s="698"/>
      <c r="Q18" s="698"/>
      <c r="R18" s="698"/>
      <c r="S18" s="698"/>
      <c r="T18" s="698"/>
      <c r="U18" s="698"/>
      <c r="V18" s="698"/>
      <c r="W18" s="698"/>
      <c r="X18" s="698"/>
      <c r="Y18" s="698"/>
      <c r="Z18" s="698"/>
      <c r="AA18" s="698"/>
      <c r="AB18" s="396"/>
      <c r="AC18" s="396"/>
      <c r="AD18" s="396"/>
      <c r="AE18" s="396"/>
    </row>
    <row r="19" spans="1:31" ht="15.75" customHeight="1">
      <c r="A19" s="396"/>
      <c r="B19" s="697" t="s">
        <v>324</v>
      </c>
      <c r="C19" s="401" t="s">
        <v>325</v>
      </c>
      <c r="D19" s="402">
        <v>1000</v>
      </c>
      <c r="E19" s="403">
        <f t="shared" si="0"/>
        <v>123.5</v>
      </c>
      <c r="F19" s="403">
        <f t="shared" si="0"/>
        <v>15.7</v>
      </c>
      <c r="G19" s="403">
        <f t="shared" si="0"/>
        <v>60</v>
      </c>
      <c r="H19" s="403">
        <f t="shared" si="0"/>
        <v>10.8</v>
      </c>
      <c r="I19" s="403">
        <f t="shared" si="0"/>
        <v>54</v>
      </c>
      <c r="J19" s="404">
        <f t="shared" si="1"/>
        <v>1.2</v>
      </c>
      <c r="K19" s="403">
        <f t="shared" si="2"/>
        <v>30</v>
      </c>
      <c r="L19" s="405">
        <f t="shared" si="3"/>
        <v>295.2</v>
      </c>
      <c r="M19" s="406">
        <f t="shared" si="4"/>
        <v>1295.2</v>
      </c>
      <c r="N19" s="698" t="s">
        <v>326</v>
      </c>
      <c r="O19" s="698"/>
      <c r="P19" s="698"/>
      <c r="Q19" s="698"/>
      <c r="R19" s="698"/>
      <c r="S19" s="698"/>
      <c r="T19" s="698"/>
      <c r="U19" s="698"/>
      <c r="V19" s="698"/>
      <c r="W19" s="698"/>
      <c r="X19" s="698"/>
      <c r="Y19" s="698"/>
      <c r="Z19" s="698"/>
      <c r="AA19" s="698"/>
      <c r="AB19" s="396"/>
      <c r="AC19" s="396"/>
      <c r="AD19" s="396"/>
      <c r="AE19" s="396"/>
    </row>
    <row r="20" spans="1:31" ht="15.75" customHeight="1">
      <c r="A20" s="396"/>
      <c r="B20" s="697"/>
      <c r="C20" s="401" t="s">
        <v>327</v>
      </c>
      <c r="D20" s="402">
        <v>900</v>
      </c>
      <c r="E20" s="403">
        <f t="shared" si="0"/>
        <v>111.15</v>
      </c>
      <c r="F20" s="403">
        <f t="shared" si="0"/>
        <v>14.129999999999999</v>
      </c>
      <c r="G20" s="403">
        <f t="shared" si="0"/>
        <v>54</v>
      </c>
      <c r="H20" s="403">
        <f t="shared" si="0"/>
        <v>9.7200000000000006</v>
      </c>
      <c r="I20" s="403">
        <f t="shared" si="0"/>
        <v>48.6</v>
      </c>
      <c r="J20" s="404">
        <f t="shared" si="1"/>
        <v>1.2</v>
      </c>
      <c r="K20" s="403">
        <f t="shared" si="2"/>
        <v>27</v>
      </c>
      <c r="L20" s="405">
        <f t="shared" si="3"/>
        <v>265.79999999999995</v>
      </c>
      <c r="M20" s="406">
        <f t="shared" si="4"/>
        <v>1165.8</v>
      </c>
      <c r="N20" s="698" t="s">
        <v>320</v>
      </c>
      <c r="O20" s="698"/>
      <c r="P20" s="698"/>
      <c r="Q20" s="698"/>
      <c r="R20" s="698"/>
      <c r="S20" s="698"/>
      <c r="T20" s="698"/>
      <c r="U20" s="698"/>
      <c r="V20" s="698"/>
      <c r="W20" s="698"/>
      <c r="X20" s="698"/>
      <c r="Y20" s="698"/>
      <c r="Z20" s="698"/>
      <c r="AA20" s="698"/>
      <c r="AB20" s="396"/>
      <c r="AC20" s="396"/>
      <c r="AD20" s="396"/>
      <c r="AE20" s="396"/>
    </row>
    <row r="21" spans="1:31" ht="15.75" customHeight="1">
      <c r="A21" s="396"/>
      <c r="B21" s="400" t="s">
        <v>328</v>
      </c>
      <c r="C21" s="401" t="s">
        <v>329</v>
      </c>
      <c r="D21" s="402">
        <v>1100</v>
      </c>
      <c r="E21" s="403">
        <f t="shared" si="0"/>
        <v>135.85</v>
      </c>
      <c r="F21" s="403">
        <f t="shared" si="0"/>
        <v>17.27</v>
      </c>
      <c r="G21" s="403">
        <f t="shared" si="0"/>
        <v>66</v>
      </c>
      <c r="H21" s="403">
        <f t="shared" si="0"/>
        <v>11.88</v>
      </c>
      <c r="I21" s="403">
        <f t="shared" si="0"/>
        <v>59.4</v>
      </c>
      <c r="J21" s="404">
        <f t="shared" si="1"/>
        <v>1.2</v>
      </c>
      <c r="K21" s="403">
        <f t="shared" si="2"/>
        <v>33</v>
      </c>
      <c r="L21" s="405">
        <f t="shared" si="3"/>
        <v>324.59999999999997</v>
      </c>
      <c r="M21" s="406">
        <f t="shared" si="4"/>
        <v>1424.6</v>
      </c>
      <c r="N21" s="698" t="s">
        <v>330</v>
      </c>
      <c r="O21" s="698"/>
      <c r="P21" s="698"/>
      <c r="Q21" s="698"/>
      <c r="R21" s="698"/>
      <c r="S21" s="698"/>
      <c r="T21" s="698"/>
      <c r="U21" s="698"/>
      <c r="V21" s="698"/>
      <c r="W21" s="698"/>
      <c r="X21" s="698"/>
      <c r="Y21" s="698"/>
      <c r="Z21" s="698"/>
      <c r="AA21" s="698"/>
      <c r="AB21" s="396"/>
      <c r="AC21" s="396"/>
      <c r="AD21" s="396"/>
      <c r="AE21" s="396"/>
    </row>
    <row r="22" spans="1:31" ht="15.75" customHeight="1">
      <c r="A22" s="396"/>
      <c r="B22" s="697" t="s">
        <v>331</v>
      </c>
      <c r="C22" s="401" t="s">
        <v>332</v>
      </c>
      <c r="D22" s="402">
        <v>2200</v>
      </c>
      <c r="E22" s="403">
        <f t="shared" si="0"/>
        <v>271.7</v>
      </c>
      <c r="F22" s="403">
        <f t="shared" si="0"/>
        <v>34.54</v>
      </c>
      <c r="G22" s="403">
        <f t="shared" si="0"/>
        <v>132</v>
      </c>
      <c r="H22" s="403">
        <f t="shared" si="0"/>
        <v>23.76</v>
      </c>
      <c r="I22" s="403">
        <f t="shared" si="0"/>
        <v>118.8</v>
      </c>
      <c r="J22" s="404">
        <f t="shared" si="1"/>
        <v>1.2</v>
      </c>
      <c r="K22" s="403">
        <f t="shared" si="2"/>
        <v>66</v>
      </c>
      <c r="L22" s="405">
        <f t="shared" si="3"/>
        <v>648</v>
      </c>
      <c r="M22" s="406">
        <f t="shared" si="4"/>
        <v>2848</v>
      </c>
      <c r="N22" s="698" t="s">
        <v>333</v>
      </c>
      <c r="O22" s="698"/>
      <c r="P22" s="698"/>
      <c r="Q22" s="698"/>
      <c r="R22" s="698"/>
      <c r="S22" s="698"/>
      <c r="T22" s="698"/>
      <c r="U22" s="698"/>
      <c r="V22" s="698"/>
      <c r="W22" s="698"/>
      <c r="X22" s="698"/>
      <c r="Y22" s="698"/>
      <c r="Z22" s="698"/>
      <c r="AA22" s="698"/>
      <c r="AB22" s="396"/>
      <c r="AC22" s="396"/>
      <c r="AD22" s="396"/>
      <c r="AE22" s="396"/>
    </row>
    <row r="23" spans="1:31" ht="15.75" customHeight="1">
      <c r="A23" s="396"/>
      <c r="B23" s="697"/>
      <c r="C23" s="401" t="s">
        <v>104</v>
      </c>
      <c r="D23" s="402">
        <v>1800</v>
      </c>
      <c r="E23" s="403">
        <f t="shared" si="0"/>
        <v>222.3</v>
      </c>
      <c r="F23" s="403">
        <f t="shared" si="0"/>
        <v>28.259999999999998</v>
      </c>
      <c r="G23" s="403">
        <f t="shared" si="0"/>
        <v>108</v>
      </c>
      <c r="H23" s="403">
        <f t="shared" si="0"/>
        <v>19.440000000000001</v>
      </c>
      <c r="I23" s="403">
        <f t="shared" si="0"/>
        <v>97.2</v>
      </c>
      <c r="J23" s="404">
        <f t="shared" si="1"/>
        <v>1.2</v>
      </c>
      <c r="K23" s="403">
        <f t="shared" si="2"/>
        <v>54</v>
      </c>
      <c r="L23" s="405">
        <f t="shared" si="3"/>
        <v>530.4</v>
      </c>
      <c r="M23" s="406">
        <f t="shared" si="4"/>
        <v>2330.4</v>
      </c>
      <c r="N23" s="698" t="s">
        <v>334</v>
      </c>
      <c r="O23" s="698"/>
      <c r="P23" s="698"/>
      <c r="Q23" s="698"/>
      <c r="R23" s="698"/>
      <c r="S23" s="698"/>
      <c r="T23" s="698"/>
      <c r="U23" s="698"/>
      <c r="V23" s="698"/>
      <c r="W23" s="698"/>
      <c r="X23" s="698"/>
      <c r="Y23" s="698"/>
      <c r="Z23" s="698"/>
      <c r="AA23" s="698"/>
      <c r="AB23" s="396"/>
      <c r="AC23" s="396"/>
      <c r="AD23" s="396"/>
      <c r="AE23" s="396"/>
    </row>
    <row r="24" spans="1:31" ht="15.75" customHeight="1">
      <c r="A24" s="396"/>
      <c r="B24" s="697"/>
      <c r="C24" s="401" t="s">
        <v>335</v>
      </c>
      <c r="D24" s="402">
        <v>2000</v>
      </c>
      <c r="E24" s="403">
        <f t="shared" si="0"/>
        <v>247</v>
      </c>
      <c r="F24" s="403">
        <f t="shared" si="0"/>
        <v>31.4</v>
      </c>
      <c r="G24" s="403">
        <f t="shared" si="0"/>
        <v>120</v>
      </c>
      <c r="H24" s="403">
        <f t="shared" si="0"/>
        <v>21.6</v>
      </c>
      <c r="I24" s="403">
        <f t="shared" si="0"/>
        <v>108</v>
      </c>
      <c r="J24" s="404">
        <f t="shared" si="1"/>
        <v>1.2</v>
      </c>
      <c r="K24" s="403">
        <f t="shared" si="2"/>
        <v>60</v>
      </c>
      <c r="L24" s="405">
        <f t="shared" si="3"/>
        <v>589.20000000000005</v>
      </c>
      <c r="M24" s="406">
        <f t="shared" si="4"/>
        <v>2589.1999999999998</v>
      </c>
      <c r="N24" s="698" t="s">
        <v>336</v>
      </c>
      <c r="O24" s="698"/>
      <c r="P24" s="698"/>
      <c r="Q24" s="698"/>
      <c r="R24" s="698"/>
      <c r="S24" s="698"/>
      <c r="T24" s="698"/>
      <c r="U24" s="698"/>
      <c r="V24" s="698"/>
      <c r="W24" s="698"/>
      <c r="X24" s="698"/>
      <c r="Y24" s="698"/>
      <c r="Z24" s="698"/>
      <c r="AA24" s="698"/>
      <c r="AB24" s="396"/>
      <c r="AC24" s="396"/>
      <c r="AD24" s="396"/>
      <c r="AE24" s="396"/>
    </row>
    <row r="25" spans="1:31" ht="15.75" customHeight="1">
      <c r="A25" s="396"/>
      <c r="B25" s="697"/>
      <c r="C25" s="401" t="s">
        <v>337</v>
      </c>
      <c r="D25" s="402">
        <v>1900</v>
      </c>
      <c r="E25" s="403">
        <f t="shared" si="0"/>
        <v>234.65</v>
      </c>
      <c r="F25" s="403">
        <f t="shared" si="0"/>
        <v>29.83</v>
      </c>
      <c r="G25" s="403">
        <f t="shared" si="0"/>
        <v>114</v>
      </c>
      <c r="H25" s="403">
        <f t="shared" si="0"/>
        <v>20.52</v>
      </c>
      <c r="I25" s="403">
        <f t="shared" si="0"/>
        <v>102.6</v>
      </c>
      <c r="J25" s="404">
        <f t="shared" si="1"/>
        <v>1.2</v>
      </c>
      <c r="K25" s="403">
        <f t="shared" si="2"/>
        <v>57</v>
      </c>
      <c r="L25" s="405">
        <f t="shared" si="3"/>
        <v>559.79999999999995</v>
      </c>
      <c r="M25" s="406">
        <f t="shared" si="4"/>
        <v>2459.8000000000002</v>
      </c>
      <c r="N25" s="698" t="s">
        <v>336</v>
      </c>
      <c r="O25" s="698"/>
      <c r="P25" s="698"/>
      <c r="Q25" s="698"/>
      <c r="R25" s="698"/>
      <c r="S25" s="698"/>
      <c r="T25" s="698"/>
      <c r="U25" s="698"/>
      <c r="V25" s="698"/>
      <c r="W25" s="698"/>
      <c r="X25" s="698"/>
      <c r="Y25" s="698"/>
      <c r="Z25" s="698"/>
      <c r="AA25" s="698"/>
      <c r="AB25" s="396"/>
      <c r="AC25" s="396"/>
      <c r="AD25" s="396"/>
      <c r="AE25" s="396"/>
    </row>
    <row r="26" spans="1:31" ht="15.75" customHeight="1">
      <c r="A26" s="396"/>
      <c r="B26" s="697" t="s">
        <v>181</v>
      </c>
      <c r="C26" s="401" t="s">
        <v>106</v>
      </c>
      <c r="D26" s="402">
        <v>1100</v>
      </c>
      <c r="E26" s="403">
        <f t="shared" si="0"/>
        <v>135.85</v>
      </c>
      <c r="F26" s="403">
        <f t="shared" si="0"/>
        <v>17.27</v>
      </c>
      <c r="G26" s="403">
        <f t="shared" si="0"/>
        <v>66</v>
      </c>
      <c r="H26" s="403">
        <f t="shared" si="0"/>
        <v>11.88</v>
      </c>
      <c r="I26" s="403">
        <f t="shared" si="0"/>
        <v>59.4</v>
      </c>
      <c r="J26" s="404">
        <f t="shared" si="1"/>
        <v>1.2</v>
      </c>
      <c r="K26" s="403">
        <f t="shared" si="2"/>
        <v>33</v>
      </c>
      <c r="L26" s="405">
        <f t="shared" si="3"/>
        <v>324.59999999999997</v>
      </c>
      <c r="M26" s="406">
        <f t="shared" si="4"/>
        <v>1424.6</v>
      </c>
      <c r="N26" s="698" t="s">
        <v>338</v>
      </c>
      <c r="O26" s="698"/>
      <c r="P26" s="698"/>
      <c r="Q26" s="698"/>
      <c r="R26" s="698"/>
      <c r="S26" s="698"/>
      <c r="T26" s="698"/>
      <c r="U26" s="698"/>
      <c r="V26" s="698"/>
      <c r="W26" s="698"/>
      <c r="X26" s="698"/>
      <c r="Y26" s="698"/>
      <c r="Z26" s="698"/>
      <c r="AA26" s="698"/>
      <c r="AB26" s="396"/>
      <c r="AC26" s="396"/>
      <c r="AD26" s="396"/>
      <c r="AE26" s="396"/>
    </row>
    <row r="27" spans="1:31" ht="15.75" customHeight="1">
      <c r="A27" s="396"/>
      <c r="B27" s="697"/>
      <c r="C27" s="401" t="s">
        <v>339</v>
      </c>
      <c r="D27" s="402">
        <v>900</v>
      </c>
      <c r="E27" s="403">
        <f t="shared" si="0"/>
        <v>111.15</v>
      </c>
      <c r="F27" s="403">
        <f t="shared" si="0"/>
        <v>14.129999999999999</v>
      </c>
      <c r="G27" s="403">
        <f t="shared" si="0"/>
        <v>54</v>
      </c>
      <c r="H27" s="403">
        <f t="shared" si="0"/>
        <v>9.7200000000000006</v>
      </c>
      <c r="I27" s="403">
        <f t="shared" si="0"/>
        <v>48.6</v>
      </c>
      <c r="J27" s="404">
        <f t="shared" si="1"/>
        <v>1.2</v>
      </c>
      <c r="K27" s="403">
        <f t="shared" si="2"/>
        <v>27</v>
      </c>
      <c r="L27" s="405">
        <f t="shared" si="3"/>
        <v>265.79999999999995</v>
      </c>
      <c r="M27" s="406">
        <f t="shared" si="4"/>
        <v>1165.8</v>
      </c>
      <c r="N27" s="698" t="s">
        <v>336</v>
      </c>
      <c r="O27" s="698"/>
      <c r="P27" s="698"/>
      <c r="Q27" s="698"/>
      <c r="R27" s="698"/>
      <c r="S27" s="698"/>
      <c r="T27" s="698"/>
      <c r="U27" s="698"/>
      <c r="V27" s="698"/>
      <c r="W27" s="698"/>
      <c r="X27" s="698"/>
      <c r="Y27" s="698"/>
      <c r="Z27" s="698"/>
      <c r="AA27" s="698"/>
      <c r="AB27" s="396"/>
      <c r="AC27" s="396"/>
      <c r="AD27" s="396"/>
      <c r="AE27" s="396"/>
    </row>
    <row r="28" spans="1:31" ht="15.75" customHeight="1">
      <c r="A28" s="396"/>
      <c r="B28" s="396"/>
      <c r="C28" s="396"/>
      <c r="D28" s="396"/>
      <c r="E28" s="396"/>
      <c r="F28" s="396"/>
      <c r="G28" s="396"/>
      <c r="H28" s="396"/>
      <c r="I28" s="396"/>
      <c r="J28" s="396"/>
      <c r="K28" s="396"/>
      <c r="L28" s="396"/>
      <c r="M28" s="396"/>
      <c r="N28" s="396"/>
      <c r="O28" s="396"/>
      <c r="P28" s="396"/>
      <c r="Q28" s="396"/>
      <c r="R28" s="396"/>
      <c r="S28" s="396"/>
      <c r="T28" s="396"/>
      <c r="U28" s="396"/>
      <c r="V28" s="396"/>
      <c r="W28" s="396"/>
      <c r="X28" s="396"/>
      <c r="Y28" s="396"/>
      <c r="Z28" s="396"/>
      <c r="AA28" s="396"/>
      <c r="AB28" s="396"/>
      <c r="AC28" s="396"/>
      <c r="AD28" s="396"/>
      <c r="AE28" s="396"/>
    </row>
    <row r="29" spans="1:31" ht="15.75" customHeight="1">
      <c r="A29" s="396"/>
      <c r="B29" s="695" t="s">
        <v>340</v>
      </c>
      <c r="C29" s="695"/>
      <c r="D29" s="695"/>
      <c r="E29" s="695"/>
      <c r="F29" s="695"/>
      <c r="G29" s="695"/>
      <c r="H29" s="695"/>
      <c r="I29" s="695"/>
      <c r="J29" s="695"/>
      <c r="K29" s="695"/>
      <c r="L29" s="695"/>
      <c r="M29" s="695"/>
      <c r="N29" s="695"/>
      <c r="O29" s="695"/>
      <c r="P29" s="695"/>
      <c r="Q29" s="695"/>
      <c r="R29" s="695"/>
      <c r="S29" s="695"/>
      <c r="T29" s="695"/>
      <c r="U29" s="695"/>
      <c r="V29" s="695"/>
      <c r="W29" s="695"/>
      <c r="X29" s="695"/>
      <c r="Y29" s="695"/>
      <c r="Z29" s="695"/>
      <c r="AA29" s="695"/>
      <c r="AB29" s="396"/>
      <c r="AC29" s="396"/>
      <c r="AD29" s="396"/>
      <c r="AE29" s="396"/>
    </row>
    <row r="30" spans="1:31" ht="15.75" customHeight="1">
      <c r="A30" s="396"/>
      <c r="B30" s="699" t="s">
        <v>302</v>
      </c>
      <c r="C30" s="699" t="s">
        <v>80</v>
      </c>
      <c r="D30" s="699"/>
      <c r="E30" s="699" t="s">
        <v>81</v>
      </c>
      <c r="F30" s="699"/>
      <c r="G30" s="699" t="s">
        <v>82</v>
      </c>
      <c r="H30" s="699"/>
      <c r="I30" s="699" t="s">
        <v>83</v>
      </c>
      <c r="J30" s="699"/>
      <c r="K30" s="699" t="s">
        <v>84</v>
      </c>
      <c r="L30" s="699"/>
      <c r="M30" s="699" t="s">
        <v>341</v>
      </c>
      <c r="N30" s="699"/>
      <c r="O30" s="699" t="s">
        <v>86</v>
      </c>
      <c r="P30" s="699"/>
      <c r="Q30" s="699" t="s">
        <v>87</v>
      </c>
      <c r="R30" s="699"/>
      <c r="S30" s="699" t="s">
        <v>88</v>
      </c>
      <c r="T30" s="699"/>
      <c r="U30" s="699" t="s">
        <v>89</v>
      </c>
      <c r="V30" s="699"/>
      <c r="W30" s="699" t="s">
        <v>90</v>
      </c>
      <c r="X30" s="699"/>
      <c r="Y30" s="699" t="s">
        <v>342</v>
      </c>
      <c r="Z30" s="699"/>
      <c r="AA30" s="699" t="s">
        <v>248</v>
      </c>
      <c r="AB30" s="396"/>
      <c r="AC30" s="396"/>
      <c r="AD30" s="396"/>
      <c r="AE30" s="396"/>
    </row>
    <row r="31" spans="1:31" ht="15.75" customHeight="1">
      <c r="A31" s="396"/>
      <c r="B31" s="699"/>
      <c r="C31" s="407" t="s">
        <v>36</v>
      </c>
      <c r="D31" s="407" t="s">
        <v>283</v>
      </c>
      <c r="E31" s="407" t="s">
        <v>36</v>
      </c>
      <c r="F31" s="407" t="s">
        <v>283</v>
      </c>
      <c r="G31" s="407" t="s">
        <v>36</v>
      </c>
      <c r="H31" s="407" t="s">
        <v>283</v>
      </c>
      <c r="I31" s="407" t="s">
        <v>36</v>
      </c>
      <c r="J31" s="407" t="s">
        <v>283</v>
      </c>
      <c r="K31" s="407" t="s">
        <v>36</v>
      </c>
      <c r="L31" s="407" t="s">
        <v>283</v>
      </c>
      <c r="M31" s="407" t="s">
        <v>36</v>
      </c>
      <c r="N31" s="407" t="s">
        <v>283</v>
      </c>
      <c r="O31" s="407" t="s">
        <v>36</v>
      </c>
      <c r="P31" s="407" t="s">
        <v>283</v>
      </c>
      <c r="Q31" s="407" t="s">
        <v>36</v>
      </c>
      <c r="R31" s="407" t="s">
        <v>283</v>
      </c>
      <c r="S31" s="407" t="s">
        <v>36</v>
      </c>
      <c r="T31" s="407" t="s">
        <v>283</v>
      </c>
      <c r="U31" s="407" t="s">
        <v>36</v>
      </c>
      <c r="V31" s="407" t="s">
        <v>283</v>
      </c>
      <c r="W31" s="407" t="s">
        <v>36</v>
      </c>
      <c r="X31" s="407" t="s">
        <v>283</v>
      </c>
      <c r="Y31" s="407" t="s">
        <v>36</v>
      </c>
      <c r="Z31" s="407" t="s">
        <v>283</v>
      </c>
      <c r="AA31" s="699"/>
      <c r="AB31" s="396"/>
      <c r="AC31" s="396"/>
      <c r="AD31" s="396"/>
      <c r="AE31" s="396"/>
    </row>
    <row r="32" spans="1:31" ht="27" customHeight="1">
      <c r="A32" s="396"/>
      <c r="B32" s="408" t="s">
        <v>315</v>
      </c>
      <c r="C32" s="409">
        <v>1</v>
      </c>
      <c r="D32" s="410">
        <f>C32*$M$14</f>
        <v>2589.1999999999998</v>
      </c>
      <c r="E32" s="409">
        <v>1</v>
      </c>
      <c r="F32" s="410">
        <f>E32*$M$14</f>
        <v>2589.1999999999998</v>
      </c>
      <c r="G32" s="409">
        <v>1</v>
      </c>
      <c r="H32" s="410">
        <f>G32*$M$14</f>
        <v>2589.1999999999998</v>
      </c>
      <c r="I32" s="409">
        <v>1</v>
      </c>
      <c r="J32" s="410">
        <f>I32*$M$14</f>
        <v>2589.1999999999998</v>
      </c>
      <c r="K32" s="409">
        <v>1</v>
      </c>
      <c r="L32" s="410">
        <f>K32*$M$14</f>
        <v>2589.1999999999998</v>
      </c>
      <c r="M32" s="409">
        <v>1</v>
      </c>
      <c r="N32" s="410">
        <f>M32*$M$14+L32/2</f>
        <v>3883.7999999999997</v>
      </c>
      <c r="O32" s="409">
        <v>1</v>
      </c>
      <c r="P32" s="410">
        <f>O32*$M$14</f>
        <v>2589.1999999999998</v>
      </c>
      <c r="Q32" s="409">
        <v>1</v>
      </c>
      <c r="R32" s="410">
        <f>Q32*$M$14</f>
        <v>2589.1999999999998</v>
      </c>
      <c r="S32" s="409">
        <v>1</v>
      </c>
      <c r="T32" s="410">
        <f>S32*$M$14</f>
        <v>2589.1999999999998</v>
      </c>
      <c r="U32" s="409">
        <v>1</v>
      </c>
      <c r="V32" s="410">
        <f>U32*$M$14</f>
        <v>2589.1999999999998</v>
      </c>
      <c r="W32" s="409">
        <v>1</v>
      </c>
      <c r="X32" s="410">
        <f>W32*$M$14</f>
        <v>2589.1999999999998</v>
      </c>
      <c r="Y32" s="409">
        <v>1</v>
      </c>
      <c r="Z32" s="410">
        <f>Y32*$M$14+X32/2</f>
        <v>3883.7999999999997</v>
      </c>
      <c r="AA32" s="410">
        <f t="shared" ref="AA32:AA45" si="5">D32+F32+H32+J32+L32+N32+P32+R32+T32+V32+X32+Z32</f>
        <v>33659.600000000006</v>
      </c>
      <c r="AB32" s="396"/>
      <c r="AC32" s="396"/>
      <c r="AD32" s="396"/>
      <c r="AE32" s="396"/>
    </row>
    <row r="33" spans="1:31" ht="15.75" customHeight="1">
      <c r="A33" s="396"/>
      <c r="B33" s="408" t="s">
        <v>317</v>
      </c>
      <c r="C33" s="409">
        <v>1</v>
      </c>
      <c r="D33" s="410">
        <f>C33*$M$15</f>
        <v>2589.1999999999998</v>
      </c>
      <c r="E33" s="409">
        <v>1</v>
      </c>
      <c r="F33" s="410">
        <f>E33*$M$15</f>
        <v>2589.1999999999998</v>
      </c>
      <c r="G33" s="409">
        <v>1</v>
      </c>
      <c r="H33" s="410">
        <f>G33*$M$15</f>
        <v>2589.1999999999998</v>
      </c>
      <c r="I33" s="409">
        <v>1</v>
      </c>
      <c r="J33" s="410">
        <f>I33*$M$15</f>
        <v>2589.1999999999998</v>
      </c>
      <c r="K33" s="409">
        <v>1</v>
      </c>
      <c r="L33" s="410">
        <f>K33*$M$15</f>
        <v>2589.1999999999998</v>
      </c>
      <c r="M33" s="409">
        <v>1</v>
      </c>
      <c r="N33" s="410">
        <f>M33*$M$15+L33/2</f>
        <v>3883.7999999999997</v>
      </c>
      <c r="O33" s="409">
        <v>1</v>
      </c>
      <c r="P33" s="410">
        <f>O33*$M$15</f>
        <v>2589.1999999999998</v>
      </c>
      <c r="Q33" s="409">
        <v>1</v>
      </c>
      <c r="R33" s="410">
        <f>Q33*$M$15</f>
        <v>2589.1999999999998</v>
      </c>
      <c r="S33" s="409">
        <v>1</v>
      </c>
      <c r="T33" s="410">
        <f>S33*$M$15</f>
        <v>2589.1999999999998</v>
      </c>
      <c r="U33" s="409">
        <v>1</v>
      </c>
      <c r="V33" s="410">
        <f>U33*$M$15</f>
        <v>2589.1999999999998</v>
      </c>
      <c r="W33" s="409">
        <v>1</v>
      </c>
      <c r="X33" s="410">
        <f>W33*$M$15</f>
        <v>2589.1999999999998</v>
      </c>
      <c r="Y33" s="409">
        <v>1</v>
      </c>
      <c r="Z33" s="410">
        <f>Y33*$M$15+X33/2</f>
        <v>3883.7999999999997</v>
      </c>
      <c r="AA33" s="410">
        <f t="shared" si="5"/>
        <v>33659.600000000006</v>
      </c>
      <c r="AB33" s="396"/>
      <c r="AC33" s="396"/>
      <c r="AD33" s="396"/>
      <c r="AE33" s="396"/>
    </row>
    <row r="34" spans="1:31" ht="15.75" customHeight="1">
      <c r="A34" s="396"/>
      <c r="B34" s="408" t="s">
        <v>319</v>
      </c>
      <c r="C34" s="409">
        <v>0</v>
      </c>
      <c r="D34" s="410">
        <f>C34*$M$16</f>
        <v>0</v>
      </c>
      <c r="E34" s="409">
        <v>0</v>
      </c>
      <c r="F34" s="410">
        <f>E34*$M$16</f>
        <v>0</v>
      </c>
      <c r="G34" s="409">
        <v>0</v>
      </c>
      <c r="H34" s="410">
        <f>G34*$M$16</f>
        <v>0</v>
      </c>
      <c r="I34" s="409">
        <v>0</v>
      </c>
      <c r="J34" s="410">
        <f>I34*$M$16</f>
        <v>0</v>
      </c>
      <c r="K34" s="409">
        <v>0</v>
      </c>
      <c r="L34" s="410">
        <f>K34*$M$16</f>
        <v>0</v>
      </c>
      <c r="M34" s="409">
        <v>0</v>
      </c>
      <c r="N34" s="410">
        <f>M34*$M$16+L34/2</f>
        <v>0</v>
      </c>
      <c r="O34" s="409">
        <v>0</v>
      </c>
      <c r="P34" s="410">
        <f>O34*$M$16</f>
        <v>0</v>
      </c>
      <c r="Q34" s="409">
        <v>0</v>
      </c>
      <c r="R34" s="410">
        <f>Q34*$M$16</f>
        <v>0</v>
      </c>
      <c r="S34" s="409">
        <v>0</v>
      </c>
      <c r="T34" s="410">
        <f>S34*$M$16</f>
        <v>0</v>
      </c>
      <c r="U34" s="409">
        <v>0</v>
      </c>
      <c r="V34" s="410">
        <f>U34*$M$16</f>
        <v>0</v>
      </c>
      <c r="W34" s="409">
        <v>0</v>
      </c>
      <c r="X34" s="410">
        <f>W34*$M$16</f>
        <v>0</v>
      </c>
      <c r="Y34" s="409">
        <v>0</v>
      </c>
      <c r="Z34" s="410">
        <f>Y34*$M$16+X34/2</f>
        <v>0</v>
      </c>
      <c r="AA34" s="410">
        <f t="shared" si="5"/>
        <v>0</v>
      </c>
      <c r="AB34" s="396"/>
      <c r="AC34" s="396"/>
      <c r="AD34" s="396"/>
      <c r="AE34" s="396"/>
    </row>
    <row r="35" spans="1:31" ht="15" customHeight="1">
      <c r="A35" s="396"/>
      <c r="B35" s="408" t="s">
        <v>321</v>
      </c>
      <c r="C35" s="409">
        <v>0</v>
      </c>
      <c r="D35" s="410">
        <f>C35*$M$17</f>
        <v>0</v>
      </c>
      <c r="E35" s="409">
        <v>0</v>
      </c>
      <c r="F35" s="410">
        <f>E35*$M$17</f>
        <v>0</v>
      </c>
      <c r="G35" s="409">
        <v>0</v>
      </c>
      <c r="H35" s="410">
        <f>G35*$M$17</f>
        <v>0</v>
      </c>
      <c r="I35" s="409">
        <v>0</v>
      </c>
      <c r="J35" s="410">
        <f>I35*$M$17</f>
        <v>0</v>
      </c>
      <c r="K35" s="409">
        <v>0</v>
      </c>
      <c r="L35" s="410">
        <f>K35*$M$17</f>
        <v>0</v>
      </c>
      <c r="M35" s="409">
        <v>0</v>
      </c>
      <c r="N35" s="410">
        <f>M35*$M$17+L35/2</f>
        <v>0</v>
      </c>
      <c r="O35" s="409">
        <v>0</v>
      </c>
      <c r="P35" s="410">
        <f>O35*$M$17</f>
        <v>0</v>
      </c>
      <c r="Q35" s="409">
        <v>0</v>
      </c>
      <c r="R35" s="410">
        <f>Q35*$M$17</f>
        <v>0</v>
      </c>
      <c r="S35" s="409">
        <v>0</v>
      </c>
      <c r="T35" s="410">
        <f>S35*$M$17</f>
        <v>0</v>
      </c>
      <c r="U35" s="409">
        <v>0</v>
      </c>
      <c r="V35" s="410">
        <f>U35*$M$17</f>
        <v>0</v>
      </c>
      <c r="W35" s="409">
        <v>0</v>
      </c>
      <c r="X35" s="410">
        <f>W35*$M$17</f>
        <v>0</v>
      </c>
      <c r="Y35" s="409">
        <v>0</v>
      </c>
      <c r="Z35" s="410">
        <f>Y35*$M$17+X35/2</f>
        <v>0</v>
      </c>
      <c r="AA35" s="410">
        <f t="shared" si="5"/>
        <v>0</v>
      </c>
      <c r="AB35" s="396"/>
      <c r="AC35" s="396"/>
      <c r="AD35" s="396"/>
      <c r="AE35" s="396"/>
    </row>
    <row r="36" spans="1:31" ht="15" customHeight="1">
      <c r="A36" s="396"/>
      <c r="B36" s="408" t="s">
        <v>323</v>
      </c>
      <c r="C36" s="409">
        <v>0</v>
      </c>
      <c r="D36" s="410">
        <f>C36*$M$18</f>
        <v>0</v>
      </c>
      <c r="E36" s="409">
        <v>0</v>
      </c>
      <c r="F36" s="410">
        <f>E36*$M$18</f>
        <v>0</v>
      </c>
      <c r="G36" s="409">
        <v>0</v>
      </c>
      <c r="H36" s="410">
        <f>G36*$M$18</f>
        <v>0</v>
      </c>
      <c r="I36" s="409">
        <v>0</v>
      </c>
      <c r="J36" s="410">
        <f>I36*$M$18</f>
        <v>0</v>
      </c>
      <c r="K36" s="409">
        <v>0</v>
      </c>
      <c r="L36" s="410">
        <f>K36*$M$18</f>
        <v>0</v>
      </c>
      <c r="M36" s="409">
        <v>0</v>
      </c>
      <c r="N36" s="410">
        <f>M36*$M$18+L36/2</f>
        <v>0</v>
      </c>
      <c r="O36" s="409">
        <v>0</v>
      </c>
      <c r="P36" s="410">
        <f>O36*$M$18</f>
        <v>0</v>
      </c>
      <c r="Q36" s="409">
        <v>0</v>
      </c>
      <c r="R36" s="410">
        <f>Q36*$M$18</f>
        <v>0</v>
      </c>
      <c r="S36" s="409">
        <v>0</v>
      </c>
      <c r="T36" s="410">
        <f>S36*$M$18</f>
        <v>0</v>
      </c>
      <c r="U36" s="409">
        <v>0</v>
      </c>
      <c r="V36" s="410">
        <f>U36*$M$18</f>
        <v>0</v>
      </c>
      <c r="W36" s="409">
        <v>0</v>
      </c>
      <c r="X36" s="410">
        <f>W36*$M$18</f>
        <v>0</v>
      </c>
      <c r="Y36" s="409">
        <v>0</v>
      </c>
      <c r="Z36" s="410">
        <f>Y36*$M$18+X36/2</f>
        <v>0</v>
      </c>
      <c r="AA36" s="410">
        <f t="shared" si="5"/>
        <v>0</v>
      </c>
      <c r="AB36" s="396"/>
      <c r="AC36" s="396"/>
      <c r="AD36" s="396"/>
      <c r="AE36" s="396"/>
    </row>
    <row r="37" spans="1:31" ht="15" customHeight="1">
      <c r="A37" s="396"/>
      <c r="B37" s="408" t="s">
        <v>325</v>
      </c>
      <c r="C37" s="409">
        <v>0</v>
      </c>
      <c r="D37" s="410">
        <f>C37*$M$19</f>
        <v>0</v>
      </c>
      <c r="E37" s="409">
        <v>0</v>
      </c>
      <c r="F37" s="410">
        <f>E37*$M$19</f>
        <v>0</v>
      </c>
      <c r="G37" s="409">
        <v>0</v>
      </c>
      <c r="H37" s="410">
        <f>G37*$M$19</f>
        <v>0</v>
      </c>
      <c r="I37" s="409">
        <v>0</v>
      </c>
      <c r="J37" s="410">
        <f>I37*$M$19</f>
        <v>0</v>
      </c>
      <c r="K37" s="409">
        <v>0</v>
      </c>
      <c r="L37" s="410">
        <f>K37*$M$19</f>
        <v>0</v>
      </c>
      <c r="M37" s="409">
        <v>0</v>
      </c>
      <c r="N37" s="410">
        <f>M37*$M$19+L37/2</f>
        <v>0</v>
      </c>
      <c r="O37" s="409">
        <v>0</v>
      </c>
      <c r="P37" s="410">
        <f>O37*$M$19</f>
        <v>0</v>
      </c>
      <c r="Q37" s="409">
        <v>0</v>
      </c>
      <c r="R37" s="410">
        <f>Q37*$M$19</f>
        <v>0</v>
      </c>
      <c r="S37" s="409">
        <v>0</v>
      </c>
      <c r="T37" s="410">
        <f>S37*$M$19</f>
        <v>0</v>
      </c>
      <c r="U37" s="409">
        <v>0</v>
      </c>
      <c r="V37" s="410">
        <f>U37*$M$19</f>
        <v>0</v>
      </c>
      <c r="W37" s="409">
        <v>0</v>
      </c>
      <c r="X37" s="410">
        <f>W37*$M$19</f>
        <v>0</v>
      </c>
      <c r="Y37" s="409">
        <v>0</v>
      </c>
      <c r="Z37" s="410">
        <f>Y37*$M$19+X37/2</f>
        <v>0</v>
      </c>
      <c r="AA37" s="410">
        <f t="shared" si="5"/>
        <v>0</v>
      </c>
      <c r="AB37" s="396"/>
      <c r="AC37" s="396"/>
      <c r="AD37" s="396"/>
      <c r="AE37" s="396"/>
    </row>
    <row r="38" spans="1:31" ht="15" customHeight="1">
      <c r="A38" s="396"/>
      <c r="B38" s="408" t="s">
        <v>327</v>
      </c>
      <c r="C38" s="409">
        <v>0</v>
      </c>
      <c r="D38" s="410">
        <f>C38*$M$20</f>
        <v>0</v>
      </c>
      <c r="E38" s="409">
        <v>0</v>
      </c>
      <c r="F38" s="410">
        <f>E38*$M$20</f>
        <v>0</v>
      </c>
      <c r="G38" s="409">
        <v>0</v>
      </c>
      <c r="H38" s="410">
        <f>G38*$M$20</f>
        <v>0</v>
      </c>
      <c r="I38" s="409">
        <v>0</v>
      </c>
      <c r="J38" s="410">
        <f>I38*$M$20</f>
        <v>0</v>
      </c>
      <c r="K38" s="409">
        <v>0</v>
      </c>
      <c r="L38" s="410">
        <f>K38*$M$20</f>
        <v>0</v>
      </c>
      <c r="M38" s="409">
        <v>0</v>
      </c>
      <c r="N38" s="410">
        <f>M38*$M$20+L38/2</f>
        <v>0</v>
      </c>
      <c r="O38" s="409">
        <v>0</v>
      </c>
      <c r="P38" s="410">
        <f>O38*$M$20</f>
        <v>0</v>
      </c>
      <c r="Q38" s="409">
        <v>0</v>
      </c>
      <c r="R38" s="410">
        <f>Q38*$M$20</f>
        <v>0</v>
      </c>
      <c r="S38" s="409">
        <v>0</v>
      </c>
      <c r="T38" s="410">
        <f>S38*$M$20</f>
        <v>0</v>
      </c>
      <c r="U38" s="409">
        <v>0</v>
      </c>
      <c r="V38" s="410">
        <f>U38*$M$20</f>
        <v>0</v>
      </c>
      <c r="W38" s="409">
        <v>0</v>
      </c>
      <c r="X38" s="410">
        <f>W38*$M$20</f>
        <v>0</v>
      </c>
      <c r="Y38" s="409">
        <v>0</v>
      </c>
      <c r="Z38" s="410">
        <f>Y38*$M$20+X38/2</f>
        <v>0</v>
      </c>
      <c r="AA38" s="410">
        <f t="shared" si="5"/>
        <v>0</v>
      </c>
      <c r="AB38" s="396"/>
      <c r="AC38" s="396"/>
      <c r="AD38" s="396"/>
      <c r="AE38" s="396"/>
    </row>
    <row r="39" spans="1:31" ht="15" customHeight="1">
      <c r="A39" s="396"/>
      <c r="B39" s="408" t="s">
        <v>329</v>
      </c>
      <c r="C39" s="409">
        <v>0</v>
      </c>
      <c r="D39" s="410">
        <f>C39*$M$21</f>
        <v>0</v>
      </c>
      <c r="E39" s="409">
        <v>0</v>
      </c>
      <c r="F39" s="410">
        <f>E39*$M$21</f>
        <v>0</v>
      </c>
      <c r="G39" s="409">
        <v>0</v>
      </c>
      <c r="H39" s="410">
        <f>G39*$M$21</f>
        <v>0</v>
      </c>
      <c r="I39" s="409">
        <v>0</v>
      </c>
      <c r="J39" s="410">
        <f>I39*$M$21</f>
        <v>0</v>
      </c>
      <c r="K39" s="409">
        <v>0</v>
      </c>
      <c r="L39" s="410">
        <f>K39*$M$21</f>
        <v>0</v>
      </c>
      <c r="M39" s="409">
        <v>0</v>
      </c>
      <c r="N39" s="410">
        <f>M39*$M$21+L39/2</f>
        <v>0</v>
      </c>
      <c r="O39" s="409">
        <v>0</v>
      </c>
      <c r="P39" s="410">
        <f>O39*$M$21</f>
        <v>0</v>
      </c>
      <c r="Q39" s="409">
        <v>0</v>
      </c>
      <c r="R39" s="410">
        <f>Q39*$M$21</f>
        <v>0</v>
      </c>
      <c r="S39" s="409">
        <v>0</v>
      </c>
      <c r="T39" s="410">
        <f>S39*$M$21</f>
        <v>0</v>
      </c>
      <c r="U39" s="409">
        <v>0</v>
      </c>
      <c r="V39" s="410">
        <f>U39*$M$21</f>
        <v>0</v>
      </c>
      <c r="W39" s="409">
        <v>0</v>
      </c>
      <c r="X39" s="410">
        <f>W39*$M$21</f>
        <v>0</v>
      </c>
      <c r="Y39" s="409">
        <v>0</v>
      </c>
      <c r="Z39" s="410">
        <f>Y39*$M$21+X39/2</f>
        <v>0</v>
      </c>
      <c r="AA39" s="410">
        <f t="shared" si="5"/>
        <v>0</v>
      </c>
      <c r="AB39" s="396"/>
      <c r="AC39" s="396"/>
      <c r="AD39" s="396"/>
      <c r="AE39" s="396"/>
    </row>
    <row r="40" spans="1:31" ht="15" customHeight="1">
      <c r="A40" s="396"/>
      <c r="B40" s="408" t="s">
        <v>332</v>
      </c>
      <c r="C40" s="409">
        <v>0</v>
      </c>
      <c r="D40" s="410">
        <f>C40*$M$22</f>
        <v>0</v>
      </c>
      <c r="E40" s="409">
        <v>0</v>
      </c>
      <c r="F40" s="410">
        <f>E40*$M$22</f>
        <v>0</v>
      </c>
      <c r="G40" s="409">
        <v>0</v>
      </c>
      <c r="H40" s="410">
        <f>G40*$M$22</f>
        <v>0</v>
      </c>
      <c r="I40" s="409">
        <v>0</v>
      </c>
      <c r="J40" s="410">
        <f>I40*$M$22</f>
        <v>0</v>
      </c>
      <c r="K40" s="409">
        <v>0</v>
      </c>
      <c r="L40" s="410">
        <f>K40*$M$22</f>
        <v>0</v>
      </c>
      <c r="M40" s="409">
        <v>0</v>
      </c>
      <c r="N40" s="410">
        <f>M40*$M$22+L40/2</f>
        <v>0</v>
      </c>
      <c r="O40" s="409">
        <v>0</v>
      </c>
      <c r="P40" s="410">
        <f>O40*$M$22</f>
        <v>0</v>
      </c>
      <c r="Q40" s="409">
        <v>0</v>
      </c>
      <c r="R40" s="410">
        <f>Q40*$M$22</f>
        <v>0</v>
      </c>
      <c r="S40" s="409">
        <v>0</v>
      </c>
      <c r="T40" s="410">
        <f>S40*$M$22</f>
        <v>0</v>
      </c>
      <c r="U40" s="409">
        <v>0</v>
      </c>
      <c r="V40" s="410">
        <f>U40*$M$22</f>
        <v>0</v>
      </c>
      <c r="W40" s="409">
        <v>0</v>
      </c>
      <c r="X40" s="410">
        <f>W40*$M$22</f>
        <v>0</v>
      </c>
      <c r="Y40" s="409">
        <v>0</v>
      </c>
      <c r="Z40" s="410">
        <f>Y40*$M$22+X40/2</f>
        <v>0</v>
      </c>
      <c r="AA40" s="410">
        <f t="shared" si="5"/>
        <v>0</v>
      </c>
      <c r="AB40" s="396"/>
      <c r="AC40" s="396"/>
      <c r="AD40" s="396"/>
      <c r="AE40" s="396"/>
    </row>
    <row r="41" spans="1:31" ht="15" customHeight="1">
      <c r="A41" s="396"/>
      <c r="B41" s="408" t="s">
        <v>104</v>
      </c>
      <c r="C41" s="409">
        <v>0</v>
      </c>
      <c r="D41" s="410">
        <f>C41*$M$23</f>
        <v>0</v>
      </c>
      <c r="E41" s="409">
        <v>0</v>
      </c>
      <c r="F41" s="410">
        <f>E41*$M$23</f>
        <v>0</v>
      </c>
      <c r="G41" s="409">
        <v>0</v>
      </c>
      <c r="H41" s="410">
        <f>G41*$M$23</f>
        <v>0</v>
      </c>
      <c r="I41" s="409">
        <v>0</v>
      </c>
      <c r="J41" s="410">
        <f>I41*$M$23</f>
        <v>0</v>
      </c>
      <c r="K41" s="409">
        <v>0</v>
      </c>
      <c r="L41" s="410">
        <f>K41*$M$23</f>
        <v>0</v>
      </c>
      <c r="M41" s="409">
        <v>0</v>
      </c>
      <c r="N41" s="410">
        <f>M41*$M$23+L41/2</f>
        <v>0</v>
      </c>
      <c r="O41" s="409">
        <v>0</v>
      </c>
      <c r="P41" s="410">
        <f>O41*$M$23</f>
        <v>0</v>
      </c>
      <c r="Q41" s="409">
        <v>0</v>
      </c>
      <c r="R41" s="410">
        <f>Q41*$M$23</f>
        <v>0</v>
      </c>
      <c r="S41" s="409">
        <v>0</v>
      </c>
      <c r="T41" s="410">
        <f>S41*$M$23</f>
        <v>0</v>
      </c>
      <c r="U41" s="409">
        <v>0</v>
      </c>
      <c r="V41" s="410">
        <f>U41*$M$23</f>
        <v>0</v>
      </c>
      <c r="W41" s="409">
        <v>0</v>
      </c>
      <c r="X41" s="410">
        <f>W41*$M$23</f>
        <v>0</v>
      </c>
      <c r="Y41" s="409">
        <v>0</v>
      </c>
      <c r="Z41" s="410">
        <f>Y41*$M$23+X41/2</f>
        <v>0</v>
      </c>
      <c r="AA41" s="410">
        <f t="shared" si="5"/>
        <v>0</v>
      </c>
      <c r="AB41" s="396"/>
      <c r="AC41" s="396"/>
      <c r="AD41" s="396"/>
      <c r="AE41" s="396"/>
    </row>
    <row r="42" spans="1:31" ht="15" customHeight="1">
      <c r="A42" s="396"/>
      <c r="B42" s="408" t="s">
        <v>335</v>
      </c>
      <c r="C42" s="409">
        <v>0</v>
      </c>
      <c r="D42" s="410">
        <f>C42*$M$24</f>
        <v>0</v>
      </c>
      <c r="E42" s="409">
        <v>0</v>
      </c>
      <c r="F42" s="410">
        <f>E42*$M$24</f>
        <v>0</v>
      </c>
      <c r="G42" s="409">
        <v>0</v>
      </c>
      <c r="H42" s="410">
        <f>G42*$M$24</f>
        <v>0</v>
      </c>
      <c r="I42" s="409">
        <v>0</v>
      </c>
      <c r="J42" s="410">
        <f>I42*$M$24</f>
        <v>0</v>
      </c>
      <c r="K42" s="409">
        <v>0</v>
      </c>
      <c r="L42" s="410">
        <f>K42*$M$24</f>
        <v>0</v>
      </c>
      <c r="M42" s="409">
        <v>0</v>
      </c>
      <c r="N42" s="410">
        <f>M42*$M$24+L42/2</f>
        <v>0</v>
      </c>
      <c r="O42" s="409">
        <v>0</v>
      </c>
      <c r="P42" s="410">
        <f>O42*$M$24</f>
        <v>0</v>
      </c>
      <c r="Q42" s="409">
        <v>0</v>
      </c>
      <c r="R42" s="410">
        <f>Q42*$M$24</f>
        <v>0</v>
      </c>
      <c r="S42" s="409">
        <v>0</v>
      </c>
      <c r="T42" s="410">
        <f>S42*$M$24</f>
        <v>0</v>
      </c>
      <c r="U42" s="409">
        <v>0</v>
      </c>
      <c r="V42" s="410">
        <f>U42*$M$24</f>
        <v>0</v>
      </c>
      <c r="W42" s="409">
        <v>0</v>
      </c>
      <c r="X42" s="410">
        <f>W42*$M$24</f>
        <v>0</v>
      </c>
      <c r="Y42" s="409">
        <v>0</v>
      </c>
      <c r="Z42" s="410">
        <f>Y42*$M$24+X42/2</f>
        <v>0</v>
      </c>
      <c r="AA42" s="410">
        <f t="shared" si="5"/>
        <v>0</v>
      </c>
      <c r="AB42" s="396"/>
      <c r="AC42" s="396"/>
      <c r="AD42" s="396"/>
      <c r="AE42" s="396"/>
    </row>
    <row r="43" spans="1:31" ht="15" customHeight="1">
      <c r="A43" s="396"/>
      <c r="B43" s="408" t="s">
        <v>337</v>
      </c>
      <c r="C43" s="409">
        <v>0</v>
      </c>
      <c r="D43" s="410">
        <f>C43*$M$25</f>
        <v>0</v>
      </c>
      <c r="E43" s="409">
        <v>0</v>
      </c>
      <c r="F43" s="410">
        <f>E43*$M$25</f>
        <v>0</v>
      </c>
      <c r="G43" s="409">
        <v>0</v>
      </c>
      <c r="H43" s="410">
        <f>G43*$M$25</f>
        <v>0</v>
      </c>
      <c r="I43" s="409">
        <v>0</v>
      </c>
      <c r="J43" s="410">
        <f>I43*$M$25</f>
        <v>0</v>
      </c>
      <c r="K43" s="409">
        <v>0</v>
      </c>
      <c r="L43" s="410">
        <f>K43*$M$25</f>
        <v>0</v>
      </c>
      <c r="M43" s="409">
        <v>0</v>
      </c>
      <c r="N43" s="410">
        <f>M43*$M$25+L43/2</f>
        <v>0</v>
      </c>
      <c r="O43" s="409">
        <v>0</v>
      </c>
      <c r="P43" s="410">
        <f>O43*$M$25</f>
        <v>0</v>
      </c>
      <c r="Q43" s="409">
        <v>0</v>
      </c>
      <c r="R43" s="410">
        <f>Q43*$M$25</f>
        <v>0</v>
      </c>
      <c r="S43" s="409">
        <v>0</v>
      </c>
      <c r="T43" s="410">
        <f>S43*$M$25</f>
        <v>0</v>
      </c>
      <c r="U43" s="409">
        <v>0</v>
      </c>
      <c r="V43" s="410">
        <f>U43*$M$25</f>
        <v>0</v>
      </c>
      <c r="W43" s="409">
        <v>0</v>
      </c>
      <c r="X43" s="410">
        <f>W43*$M$25</f>
        <v>0</v>
      </c>
      <c r="Y43" s="409">
        <v>0</v>
      </c>
      <c r="Z43" s="410">
        <f>Y43*$M$25+X43/2</f>
        <v>0</v>
      </c>
      <c r="AA43" s="410">
        <f t="shared" si="5"/>
        <v>0</v>
      </c>
      <c r="AB43" s="396"/>
      <c r="AC43" s="396"/>
      <c r="AD43" s="396"/>
      <c r="AE43" s="396"/>
    </row>
    <row r="44" spans="1:31" ht="16.5" customHeight="1">
      <c r="A44" s="396"/>
      <c r="B44" s="408" t="s">
        <v>106</v>
      </c>
      <c r="C44" s="409">
        <v>0</v>
      </c>
      <c r="D44" s="410">
        <f>C44*$M$26</f>
        <v>0</v>
      </c>
      <c r="E44" s="409">
        <v>0</v>
      </c>
      <c r="F44" s="410">
        <f>E44*$M$26</f>
        <v>0</v>
      </c>
      <c r="G44" s="409">
        <v>0</v>
      </c>
      <c r="H44" s="410">
        <f>G44*$M$26</f>
        <v>0</v>
      </c>
      <c r="I44" s="409">
        <v>0</v>
      </c>
      <c r="J44" s="410">
        <f>I44*$M$26</f>
        <v>0</v>
      </c>
      <c r="K44" s="409">
        <v>0</v>
      </c>
      <c r="L44" s="410">
        <f>K44*$M$26</f>
        <v>0</v>
      </c>
      <c r="M44" s="409">
        <v>0</v>
      </c>
      <c r="N44" s="410">
        <f>M44*$M$26+L44/2</f>
        <v>0</v>
      </c>
      <c r="O44" s="409">
        <v>0</v>
      </c>
      <c r="P44" s="410">
        <f>O44*$M$26</f>
        <v>0</v>
      </c>
      <c r="Q44" s="409">
        <v>0</v>
      </c>
      <c r="R44" s="410">
        <f>Q44*$M$26</f>
        <v>0</v>
      </c>
      <c r="S44" s="409">
        <v>0</v>
      </c>
      <c r="T44" s="410">
        <f>S44*$M$26</f>
        <v>0</v>
      </c>
      <c r="U44" s="409">
        <v>0</v>
      </c>
      <c r="V44" s="410">
        <f>U44*$M$26</f>
        <v>0</v>
      </c>
      <c r="W44" s="409">
        <v>0</v>
      </c>
      <c r="X44" s="410">
        <f>W44*$M$26</f>
        <v>0</v>
      </c>
      <c r="Y44" s="409">
        <v>0</v>
      </c>
      <c r="Z44" s="410">
        <f>Y44*$M$26+X44/2</f>
        <v>0</v>
      </c>
      <c r="AA44" s="410">
        <f t="shared" si="5"/>
        <v>0</v>
      </c>
      <c r="AB44" s="396"/>
      <c r="AC44" s="396"/>
      <c r="AD44" s="396"/>
      <c r="AE44" s="396"/>
    </row>
    <row r="45" spans="1:31" ht="15" customHeight="1">
      <c r="A45" s="396"/>
      <c r="B45" s="408" t="s">
        <v>339</v>
      </c>
      <c r="C45" s="409">
        <v>0</v>
      </c>
      <c r="D45" s="410">
        <f>C45*$M$27</f>
        <v>0</v>
      </c>
      <c r="E45" s="409">
        <v>0</v>
      </c>
      <c r="F45" s="410">
        <f>E45*$M$27</f>
        <v>0</v>
      </c>
      <c r="G45" s="409">
        <v>0</v>
      </c>
      <c r="H45" s="410">
        <f>G45*$M$27</f>
        <v>0</v>
      </c>
      <c r="I45" s="409">
        <v>0</v>
      </c>
      <c r="J45" s="410">
        <f>I45*$M$27</f>
        <v>0</v>
      </c>
      <c r="K45" s="409">
        <v>0</v>
      </c>
      <c r="L45" s="410">
        <f>K45*$M$27</f>
        <v>0</v>
      </c>
      <c r="M45" s="409">
        <v>0</v>
      </c>
      <c r="N45" s="410">
        <f>M45*$M$27+L45/2</f>
        <v>0</v>
      </c>
      <c r="O45" s="409">
        <v>0</v>
      </c>
      <c r="P45" s="410">
        <f>O45*$M$27</f>
        <v>0</v>
      </c>
      <c r="Q45" s="409">
        <v>0</v>
      </c>
      <c r="R45" s="410">
        <f>Q45*$M$27</f>
        <v>0</v>
      </c>
      <c r="S45" s="409">
        <v>0</v>
      </c>
      <c r="T45" s="410">
        <f>S45*$M$27</f>
        <v>0</v>
      </c>
      <c r="U45" s="409">
        <v>0</v>
      </c>
      <c r="V45" s="410">
        <f>U45*$M$27</f>
        <v>0</v>
      </c>
      <c r="W45" s="409">
        <v>0</v>
      </c>
      <c r="X45" s="410">
        <f>W45*$M$27</f>
        <v>0</v>
      </c>
      <c r="Y45" s="409">
        <v>0</v>
      </c>
      <c r="Z45" s="410">
        <f>Y45*$M$27+X45/2</f>
        <v>0</v>
      </c>
      <c r="AA45" s="410">
        <f t="shared" si="5"/>
        <v>0</v>
      </c>
      <c r="AB45" s="396"/>
      <c r="AC45" s="396"/>
      <c r="AD45" s="396"/>
      <c r="AE45" s="396"/>
    </row>
    <row r="46" spans="1:31" ht="15" customHeight="1">
      <c r="A46" s="396"/>
      <c r="B46" s="411" t="s">
        <v>343</v>
      </c>
      <c r="C46" s="412">
        <f t="shared" ref="C46:AA46" si="6">SUM(C32:C45)</f>
        <v>2</v>
      </c>
      <c r="D46" s="413">
        <f t="shared" si="6"/>
        <v>5178.3999999999996</v>
      </c>
      <c r="E46" s="412">
        <f t="shared" si="6"/>
        <v>2</v>
      </c>
      <c r="F46" s="413">
        <f t="shared" si="6"/>
        <v>5178.3999999999996</v>
      </c>
      <c r="G46" s="412">
        <f t="shared" si="6"/>
        <v>2</v>
      </c>
      <c r="H46" s="413">
        <f t="shared" si="6"/>
        <v>5178.3999999999996</v>
      </c>
      <c r="I46" s="412">
        <f t="shared" si="6"/>
        <v>2</v>
      </c>
      <c r="J46" s="413">
        <f t="shared" si="6"/>
        <v>5178.3999999999996</v>
      </c>
      <c r="K46" s="412">
        <f t="shared" si="6"/>
        <v>2</v>
      </c>
      <c r="L46" s="413">
        <f t="shared" si="6"/>
        <v>5178.3999999999996</v>
      </c>
      <c r="M46" s="412">
        <f t="shared" si="6"/>
        <v>2</v>
      </c>
      <c r="N46" s="413">
        <f t="shared" si="6"/>
        <v>7767.5999999999995</v>
      </c>
      <c r="O46" s="412">
        <f t="shared" si="6"/>
        <v>2</v>
      </c>
      <c r="P46" s="413">
        <f t="shared" si="6"/>
        <v>5178.3999999999996</v>
      </c>
      <c r="Q46" s="412">
        <f t="shared" si="6"/>
        <v>2</v>
      </c>
      <c r="R46" s="413">
        <f t="shared" si="6"/>
        <v>5178.3999999999996</v>
      </c>
      <c r="S46" s="412">
        <f t="shared" si="6"/>
        <v>2</v>
      </c>
      <c r="T46" s="413">
        <f t="shared" si="6"/>
        <v>5178.3999999999996</v>
      </c>
      <c r="U46" s="412">
        <f t="shared" si="6"/>
        <v>2</v>
      </c>
      <c r="V46" s="413">
        <f t="shared" si="6"/>
        <v>5178.3999999999996</v>
      </c>
      <c r="W46" s="412">
        <f t="shared" si="6"/>
        <v>2</v>
      </c>
      <c r="X46" s="413">
        <f t="shared" si="6"/>
        <v>5178.3999999999996</v>
      </c>
      <c r="Y46" s="412">
        <f t="shared" si="6"/>
        <v>2</v>
      </c>
      <c r="Z46" s="413">
        <f t="shared" si="6"/>
        <v>7767.5999999999995</v>
      </c>
      <c r="AA46" s="413">
        <f t="shared" si="6"/>
        <v>67319.200000000012</v>
      </c>
      <c r="AB46" s="396"/>
      <c r="AC46" s="396"/>
      <c r="AD46" s="396"/>
      <c r="AE46" s="396"/>
    </row>
    <row r="47" spans="1:31" ht="15.75" customHeight="1">
      <c r="A47" s="396"/>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row>
    <row r="48" spans="1:31" ht="27" customHeight="1">
      <c r="A48" s="396"/>
      <c r="B48" s="396"/>
      <c r="C48" s="396"/>
      <c r="D48" s="396"/>
      <c r="E48" s="396"/>
      <c r="F48" s="396"/>
      <c r="G48" s="396"/>
      <c r="H48" s="396"/>
      <c r="I48" s="396"/>
      <c r="J48" s="396"/>
      <c r="K48" s="396"/>
      <c r="L48" s="396"/>
      <c r="M48" s="396"/>
      <c r="N48" s="396"/>
      <c r="O48" s="396"/>
      <c r="P48" s="396"/>
      <c r="Q48" s="396"/>
      <c r="R48" s="396"/>
      <c r="S48" s="396"/>
      <c r="T48" s="396"/>
      <c r="U48" s="396"/>
      <c r="V48" s="396"/>
      <c r="W48" s="396"/>
      <c r="X48" s="396"/>
      <c r="Y48" s="396"/>
      <c r="Z48" s="396"/>
      <c r="AA48" s="396"/>
      <c r="AB48" s="396"/>
      <c r="AC48" s="396"/>
      <c r="AD48" s="396"/>
      <c r="AE48" s="396"/>
    </row>
    <row r="49" spans="1:31" ht="15.75" customHeight="1">
      <c r="A49" s="396"/>
      <c r="B49" s="396"/>
      <c r="C49" s="396"/>
      <c r="D49" s="396"/>
      <c r="E49" s="396"/>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c r="AD49" s="396"/>
      <c r="AE49" s="396"/>
    </row>
    <row r="50" spans="1:31" ht="15.75" customHeight="1">
      <c r="A50" s="396"/>
      <c r="B50" s="695" t="s">
        <v>344</v>
      </c>
      <c r="C50" s="695"/>
      <c r="D50" s="695"/>
      <c r="E50" s="695"/>
      <c r="F50" s="695"/>
      <c r="G50" s="695"/>
      <c r="H50" s="695"/>
      <c r="I50" s="695"/>
      <c r="J50" s="695"/>
      <c r="K50" s="695"/>
      <c r="L50" s="695"/>
      <c r="M50" s="695"/>
      <c r="N50" s="695"/>
      <c r="O50" s="695"/>
      <c r="P50" s="695"/>
      <c r="Q50" s="695"/>
      <c r="R50" s="695"/>
      <c r="S50" s="695"/>
      <c r="T50" s="695"/>
      <c r="U50" s="695"/>
      <c r="V50" s="695"/>
      <c r="W50" s="695"/>
      <c r="X50" s="695"/>
      <c r="Y50" s="695"/>
      <c r="Z50" s="695"/>
      <c r="AA50" s="695"/>
      <c r="AB50" s="396"/>
      <c r="AC50" s="396"/>
      <c r="AD50" s="396"/>
      <c r="AE50" s="396"/>
    </row>
    <row r="51" spans="1:31" ht="15" customHeight="1">
      <c r="A51" s="396"/>
      <c r="B51" s="699" t="s">
        <v>302</v>
      </c>
      <c r="C51" s="699" t="s">
        <v>80</v>
      </c>
      <c r="D51" s="699"/>
      <c r="E51" s="699" t="s">
        <v>81</v>
      </c>
      <c r="F51" s="699"/>
      <c r="G51" s="699" t="s">
        <v>82</v>
      </c>
      <c r="H51" s="699"/>
      <c r="I51" s="699" t="s">
        <v>83</v>
      </c>
      <c r="J51" s="699"/>
      <c r="K51" s="699" t="s">
        <v>84</v>
      </c>
      <c r="L51" s="699"/>
      <c r="M51" s="699" t="s">
        <v>341</v>
      </c>
      <c r="N51" s="699"/>
      <c r="O51" s="699" t="s">
        <v>86</v>
      </c>
      <c r="P51" s="699"/>
      <c r="Q51" s="699" t="s">
        <v>87</v>
      </c>
      <c r="R51" s="699"/>
      <c r="S51" s="699" t="s">
        <v>88</v>
      </c>
      <c r="T51" s="699"/>
      <c r="U51" s="699" t="s">
        <v>89</v>
      </c>
      <c r="V51" s="699"/>
      <c r="W51" s="699" t="s">
        <v>90</v>
      </c>
      <c r="X51" s="699"/>
      <c r="Y51" s="699" t="s">
        <v>342</v>
      </c>
      <c r="Z51" s="699"/>
      <c r="AA51" s="699" t="s">
        <v>248</v>
      </c>
      <c r="AB51" s="396"/>
      <c r="AC51" s="396"/>
      <c r="AD51" s="396"/>
      <c r="AE51" s="396"/>
    </row>
    <row r="52" spans="1:31" ht="15" customHeight="1">
      <c r="A52" s="396"/>
      <c r="B52" s="699"/>
      <c r="C52" s="407" t="s">
        <v>36</v>
      </c>
      <c r="D52" s="407" t="s">
        <v>283</v>
      </c>
      <c r="E52" s="407" t="s">
        <v>36</v>
      </c>
      <c r="F52" s="407" t="s">
        <v>283</v>
      </c>
      <c r="G52" s="407" t="s">
        <v>36</v>
      </c>
      <c r="H52" s="407" t="s">
        <v>283</v>
      </c>
      <c r="I52" s="407" t="s">
        <v>36</v>
      </c>
      <c r="J52" s="407" t="s">
        <v>283</v>
      </c>
      <c r="K52" s="407" t="s">
        <v>36</v>
      </c>
      <c r="L52" s="407" t="s">
        <v>283</v>
      </c>
      <c r="M52" s="407" t="s">
        <v>36</v>
      </c>
      <c r="N52" s="407" t="s">
        <v>283</v>
      </c>
      <c r="O52" s="407" t="s">
        <v>36</v>
      </c>
      <c r="P52" s="407" t="s">
        <v>283</v>
      </c>
      <c r="Q52" s="407" t="s">
        <v>36</v>
      </c>
      <c r="R52" s="407" t="s">
        <v>283</v>
      </c>
      <c r="S52" s="407" t="s">
        <v>36</v>
      </c>
      <c r="T52" s="407" t="s">
        <v>283</v>
      </c>
      <c r="U52" s="407" t="s">
        <v>36</v>
      </c>
      <c r="V52" s="407" t="s">
        <v>283</v>
      </c>
      <c r="W52" s="407" t="s">
        <v>36</v>
      </c>
      <c r="X52" s="407" t="s">
        <v>283</v>
      </c>
      <c r="Y52" s="407" t="s">
        <v>36</v>
      </c>
      <c r="Z52" s="407" t="s">
        <v>283</v>
      </c>
      <c r="AA52" s="699"/>
      <c r="AB52" s="396"/>
      <c r="AC52" s="396"/>
      <c r="AD52" s="396"/>
      <c r="AE52" s="396"/>
    </row>
    <row r="53" spans="1:31" ht="15" customHeight="1">
      <c r="A53" s="396"/>
      <c r="B53" s="408" t="s">
        <v>315</v>
      </c>
      <c r="C53" s="409">
        <v>1</v>
      </c>
      <c r="D53" s="410">
        <f>C53*$M$14</f>
        <v>2589.1999999999998</v>
      </c>
      <c r="E53" s="409">
        <v>1</v>
      </c>
      <c r="F53" s="410">
        <f>E53*$M$14</f>
        <v>2589.1999999999998</v>
      </c>
      <c r="G53" s="409">
        <v>1</v>
      </c>
      <c r="H53" s="410">
        <f>G53*$M$14</f>
        <v>2589.1999999999998</v>
      </c>
      <c r="I53" s="409">
        <v>1</v>
      </c>
      <c r="J53" s="410">
        <f>I53*$M$14</f>
        <v>2589.1999999999998</v>
      </c>
      <c r="K53" s="409">
        <v>1</v>
      </c>
      <c r="L53" s="410">
        <f>K53*$M$14</f>
        <v>2589.1999999999998</v>
      </c>
      <c r="M53" s="409">
        <v>1</v>
      </c>
      <c r="N53" s="410">
        <f>M53*$M$14+L53/2</f>
        <v>3883.7999999999997</v>
      </c>
      <c r="O53" s="409">
        <v>1</v>
      </c>
      <c r="P53" s="410">
        <f>O53*$M$14</f>
        <v>2589.1999999999998</v>
      </c>
      <c r="Q53" s="409">
        <v>1</v>
      </c>
      <c r="R53" s="410">
        <f>Q53*$M$14</f>
        <v>2589.1999999999998</v>
      </c>
      <c r="S53" s="409">
        <v>1</v>
      </c>
      <c r="T53" s="410">
        <f>S53*$M$14</f>
        <v>2589.1999999999998</v>
      </c>
      <c r="U53" s="409">
        <v>1</v>
      </c>
      <c r="V53" s="410">
        <f>U53*$M$14</f>
        <v>2589.1999999999998</v>
      </c>
      <c r="W53" s="409">
        <v>1</v>
      </c>
      <c r="X53" s="410">
        <f>W53*$M$14</f>
        <v>2589.1999999999998</v>
      </c>
      <c r="Y53" s="409">
        <v>1</v>
      </c>
      <c r="Z53" s="410">
        <f>Y53*$M$14+X53/2</f>
        <v>3883.7999999999997</v>
      </c>
      <c r="AA53" s="410">
        <f t="shared" ref="AA53:AA66" si="7">D53+F53+H53+J53+L53+N53+P53+R53+T53+V53+X53+Z53</f>
        <v>33659.600000000006</v>
      </c>
      <c r="AB53" s="396"/>
      <c r="AC53" s="396"/>
      <c r="AD53" s="396"/>
      <c r="AE53" s="396"/>
    </row>
    <row r="54" spans="1:31" ht="15" customHeight="1">
      <c r="A54" s="396"/>
      <c r="B54" s="408" t="s">
        <v>317</v>
      </c>
      <c r="C54" s="409">
        <v>1</v>
      </c>
      <c r="D54" s="410">
        <f>C54*$M$15</f>
        <v>2589.1999999999998</v>
      </c>
      <c r="E54" s="409">
        <v>1</v>
      </c>
      <c r="F54" s="410">
        <f>E54*$M$15</f>
        <v>2589.1999999999998</v>
      </c>
      <c r="G54" s="409">
        <v>1</v>
      </c>
      <c r="H54" s="410">
        <f>G54*$M$15</f>
        <v>2589.1999999999998</v>
      </c>
      <c r="I54" s="409">
        <v>1</v>
      </c>
      <c r="J54" s="410">
        <f>I54*$M$15</f>
        <v>2589.1999999999998</v>
      </c>
      <c r="K54" s="409">
        <v>1</v>
      </c>
      <c r="L54" s="410">
        <f>K54*$M$15</f>
        <v>2589.1999999999998</v>
      </c>
      <c r="M54" s="409">
        <v>1</v>
      </c>
      <c r="N54" s="410">
        <f>M54*$M$15+L54/2</f>
        <v>3883.7999999999997</v>
      </c>
      <c r="O54" s="409">
        <v>1</v>
      </c>
      <c r="P54" s="410">
        <f>O54*$M$15</f>
        <v>2589.1999999999998</v>
      </c>
      <c r="Q54" s="409">
        <v>1</v>
      </c>
      <c r="R54" s="410">
        <f>Q54*$M$15</f>
        <v>2589.1999999999998</v>
      </c>
      <c r="S54" s="409">
        <v>1</v>
      </c>
      <c r="T54" s="410">
        <f>S54*$M$15</f>
        <v>2589.1999999999998</v>
      </c>
      <c r="U54" s="409">
        <v>1</v>
      </c>
      <c r="V54" s="410">
        <f>U54*$M$15</f>
        <v>2589.1999999999998</v>
      </c>
      <c r="W54" s="409">
        <v>1</v>
      </c>
      <c r="X54" s="410">
        <f>W54*$M$15</f>
        <v>2589.1999999999998</v>
      </c>
      <c r="Y54" s="409">
        <v>1</v>
      </c>
      <c r="Z54" s="410">
        <f>Y54*$M$15+X54/2</f>
        <v>3883.7999999999997</v>
      </c>
      <c r="AA54" s="410">
        <f t="shared" si="7"/>
        <v>33659.600000000006</v>
      </c>
      <c r="AB54" s="396"/>
      <c r="AC54" s="396"/>
      <c r="AD54" s="396"/>
      <c r="AE54" s="396"/>
    </row>
    <row r="55" spans="1:31" ht="15" customHeight="1">
      <c r="A55" s="396"/>
      <c r="B55" s="408" t="s">
        <v>319</v>
      </c>
      <c r="C55" s="409">
        <v>0</v>
      </c>
      <c r="D55" s="410">
        <f>C55*$M$16</f>
        <v>0</v>
      </c>
      <c r="E55" s="409">
        <v>0</v>
      </c>
      <c r="F55" s="410">
        <f>E55*$M$16</f>
        <v>0</v>
      </c>
      <c r="G55" s="409">
        <v>0</v>
      </c>
      <c r="H55" s="410">
        <f>G55*$M$16</f>
        <v>0</v>
      </c>
      <c r="I55" s="409">
        <v>0</v>
      </c>
      <c r="J55" s="410">
        <f>I55*$M$16</f>
        <v>0</v>
      </c>
      <c r="K55" s="409">
        <v>0</v>
      </c>
      <c r="L55" s="410">
        <f>K55*$M$16</f>
        <v>0</v>
      </c>
      <c r="M55" s="409">
        <v>0</v>
      </c>
      <c r="N55" s="410">
        <f>M55*$M$16+L55/2</f>
        <v>0</v>
      </c>
      <c r="O55" s="409">
        <v>0</v>
      </c>
      <c r="P55" s="410">
        <f>O55*$M$16</f>
        <v>0</v>
      </c>
      <c r="Q55" s="409">
        <v>0</v>
      </c>
      <c r="R55" s="410">
        <f>Q55*$M$16</f>
        <v>0</v>
      </c>
      <c r="S55" s="409">
        <v>0</v>
      </c>
      <c r="T55" s="410">
        <f>S55*$M$16</f>
        <v>0</v>
      </c>
      <c r="U55" s="409">
        <v>0</v>
      </c>
      <c r="V55" s="410">
        <f>U55*$M$16</f>
        <v>0</v>
      </c>
      <c r="W55" s="409">
        <v>0</v>
      </c>
      <c r="X55" s="410">
        <f>W55*$M$16</f>
        <v>0</v>
      </c>
      <c r="Y55" s="409">
        <v>0</v>
      </c>
      <c r="Z55" s="410">
        <f>Y55*$M$16+X55/2</f>
        <v>0</v>
      </c>
      <c r="AA55" s="410">
        <f t="shared" si="7"/>
        <v>0</v>
      </c>
      <c r="AB55" s="396"/>
      <c r="AC55" s="396"/>
      <c r="AD55" s="396"/>
      <c r="AE55" s="396"/>
    </row>
    <row r="56" spans="1:31" ht="15" customHeight="1">
      <c r="A56" s="396"/>
      <c r="B56" s="408" t="s">
        <v>321</v>
      </c>
      <c r="C56" s="409">
        <v>0</v>
      </c>
      <c r="D56" s="410">
        <f>C56*$M$17</f>
        <v>0</v>
      </c>
      <c r="E56" s="409">
        <v>0</v>
      </c>
      <c r="F56" s="410">
        <f>E56*$M$17</f>
        <v>0</v>
      </c>
      <c r="G56" s="409">
        <v>0</v>
      </c>
      <c r="H56" s="410">
        <f>G56*$M$17</f>
        <v>0</v>
      </c>
      <c r="I56" s="409">
        <v>0</v>
      </c>
      <c r="J56" s="410">
        <f>I56*$M$17</f>
        <v>0</v>
      </c>
      <c r="K56" s="409">
        <v>0</v>
      </c>
      <c r="L56" s="410">
        <f>K56*$M$17</f>
        <v>0</v>
      </c>
      <c r="M56" s="409">
        <v>0</v>
      </c>
      <c r="N56" s="410">
        <f>M56*$M$17+L56/2</f>
        <v>0</v>
      </c>
      <c r="O56" s="409">
        <v>0</v>
      </c>
      <c r="P56" s="410">
        <f>O56*$M$17</f>
        <v>0</v>
      </c>
      <c r="Q56" s="409">
        <v>0</v>
      </c>
      <c r="R56" s="410">
        <f>Q56*$M$17</f>
        <v>0</v>
      </c>
      <c r="S56" s="409">
        <v>0</v>
      </c>
      <c r="T56" s="410">
        <f>S56*$M$17</f>
        <v>0</v>
      </c>
      <c r="U56" s="409">
        <v>0</v>
      </c>
      <c r="V56" s="410">
        <f>U56*$M$17</f>
        <v>0</v>
      </c>
      <c r="W56" s="409">
        <v>0</v>
      </c>
      <c r="X56" s="410">
        <f>W56*$M$17</f>
        <v>0</v>
      </c>
      <c r="Y56" s="409">
        <v>0</v>
      </c>
      <c r="Z56" s="410">
        <f>Y56*$M$17+X56/2</f>
        <v>0</v>
      </c>
      <c r="AA56" s="410">
        <f t="shared" si="7"/>
        <v>0</v>
      </c>
      <c r="AB56" s="396"/>
      <c r="AC56" s="396"/>
      <c r="AD56" s="396"/>
      <c r="AE56" s="396"/>
    </row>
    <row r="57" spans="1:31" ht="15" customHeight="1">
      <c r="A57" s="396"/>
      <c r="B57" s="408" t="s">
        <v>323</v>
      </c>
      <c r="C57" s="409">
        <v>0</v>
      </c>
      <c r="D57" s="410">
        <f>C57*$M$18</f>
        <v>0</v>
      </c>
      <c r="E57" s="409">
        <v>0</v>
      </c>
      <c r="F57" s="410">
        <f>E57*$M$18</f>
        <v>0</v>
      </c>
      <c r="G57" s="409">
        <v>0</v>
      </c>
      <c r="H57" s="410">
        <f>G57*$M$18</f>
        <v>0</v>
      </c>
      <c r="I57" s="409">
        <v>0</v>
      </c>
      <c r="J57" s="410">
        <f>I57*$M$18</f>
        <v>0</v>
      </c>
      <c r="K57" s="409">
        <v>0</v>
      </c>
      <c r="L57" s="410">
        <f>K57*$M$18</f>
        <v>0</v>
      </c>
      <c r="M57" s="409">
        <v>0</v>
      </c>
      <c r="N57" s="410">
        <f>M57*$M$18+L57/2</f>
        <v>0</v>
      </c>
      <c r="O57" s="409">
        <v>0</v>
      </c>
      <c r="P57" s="410">
        <f>O57*$M$18</f>
        <v>0</v>
      </c>
      <c r="Q57" s="409">
        <v>0</v>
      </c>
      <c r="R57" s="410">
        <f>Q57*$M$18</f>
        <v>0</v>
      </c>
      <c r="S57" s="409">
        <v>0</v>
      </c>
      <c r="T57" s="410">
        <f>S57*$M$18</f>
        <v>0</v>
      </c>
      <c r="U57" s="409">
        <v>0</v>
      </c>
      <c r="V57" s="410">
        <f>U57*$M$18</f>
        <v>0</v>
      </c>
      <c r="W57" s="409">
        <v>0</v>
      </c>
      <c r="X57" s="410">
        <f>W57*$M$18</f>
        <v>0</v>
      </c>
      <c r="Y57" s="409">
        <v>0</v>
      </c>
      <c r="Z57" s="410">
        <f>Y57*$M$18+X57/2</f>
        <v>0</v>
      </c>
      <c r="AA57" s="410">
        <f t="shared" si="7"/>
        <v>0</v>
      </c>
      <c r="AB57" s="396"/>
      <c r="AC57" s="396"/>
      <c r="AD57" s="396"/>
      <c r="AE57" s="396"/>
    </row>
    <row r="58" spans="1:31" ht="15" customHeight="1">
      <c r="A58" s="396"/>
      <c r="B58" s="408" t="s">
        <v>325</v>
      </c>
      <c r="C58" s="409">
        <v>0</v>
      </c>
      <c r="D58" s="410">
        <f>C58*$M$19</f>
        <v>0</v>
      </c>
      <c r="E58" s="409">
        <v>0</v>
      </c>
      <c r="F58" s="410">
        <f>E58*$M$19</f>
        <v>0</v>
      </c>
      <c r="G58" s="409">
        <v>0</v>
      </c>
      <c r="H58" s="410">
        <f>G58*$M$19</f>
        <v>0</v>
      </c>
      <c r="I58" s="409">
        <v>0</v>
      </c>
      <c r="J58" s="410">
        <f>I58*$M$19</f>
        <v>0</v>
      </c>
      <c r="K58" s="409">
        <v>0</v>
      </c>
      <c r="L58" s="410">
        <f>K58*$M$19</f>
        <v>0</v>
      </c>
      <c r="M58" s="409">
        <v>0</v>
      </c>
      <c r="N58" s="410">
        <f>M58*$M$19+L58/2</f>
        <v>0</v>
      </c>
      <c r="O58" s="409">
        <v>0</v>
      </c>
      <c r="P58" s="410">
        <f>O58*$M$19</f>
        <v>0</v>
      </c>
      <c r="Q58" s="409">
        <v>0</v>
      </c>
      <c r="R58" s="410">
        <f>Q58*$M$19</f>
        <v>0</v>
      </c>
      <c r="S58" s="409">
        <v>0</v>
      </c>
      <c r="T58" s="410">
        <f>S58*$M$19</f>
        <v>0</v>
      </c>
      <c r="U58" s="409">
        <v>0</v>
      </c>
      <c r="V58" s="410">
        <f>U58*$M$19</f>
        <v>0</v>
      </c>
      <c r="W58" s="409">
        <v>0</v>
      </c>
      <c r="X58" s="410">
        <f>W58*$M$19</f>
        <v>0</v>
      </c>
      <c r="Y58" s="409">
        <v>0</v>
      </c>
      <c r="Z58" s="410">
        <f>Y58*$M$19+X58/2</f>
        <v>0</v>
      </c>
      <c r="AA58" s="410">
        <f t="shared" si="7"/>
        <v>0</v>
      </c>
      <c r="AB58" s="396"/>
      <c r="AC58" s="396"/>
      <c r="AD58" s="396"/>
      <c r="AE58" s="396"/>
    </row>
    <row r="59" spans="1:31" ht="15" customHeight="1">
      <c r="A59" s="396"/>
      <c r="B59" s="408" t="s">
        <v>327</v>
      </c>
      <c r="C59" s="409">
        <v>0</v>
      </c>
      <c r="D59" s="410">
        <f>C59*$M$20</f>
        <v>0</v>
      </c>
      <c r="E59" s="409">
        <v>0</v>
      </c>
      <c r="F59" s="410">
        <f>E59*$M$20</f>
        <v>0</v>
      </c>
      <c r="G59" s="409">
        <v>0</v>
      </c>
      <c r="H59" s="410">
        <f>G59*$M$20</f>
        <v>0</v>
      </c>
      <c r="I59" s="409">
        <v>0</v>
      </c>
      <c r="J59" s="410">
        <f>I59*$M$20</f>
        <v>0</v>
      </c>
      <c r="K59" s="409">
        <v>0</v>
      </c>
      <c r="L59" s="410">
        <f>K59*$M$20</f>
        <v>0</v>
      </c>
      <c r="M59" s="409">
        <v>0</v>
      </c>
      <c r="N59" s="410">
        <f>M59*$M$20+L59/2</f>
        <v>0</v>
      </c>
      <c r="O59" s="409">
        <v>0</v>
      </c>
      <c r="P59" s="410">
        <f>O59*$M$20</f>
        <v>0</v>
      </c>
      <c r="Q59" s="409">
        <v>0</v>
      </c>
      <c r="R59" s="410">
        <f>Q59*$M$20</f>
        <v>0</v>
      </c>
      <c r="S59" s="409">
        <v>0</v>
      </c>
      <c r="T59" s="410">
        <f>S59*$M$20</f>
        <v>0</v>
      </c>
      <c r="U59" s="409">
        <v>0</v>
      </c>
      <c r="V59" s="410">
        <f>U59*$M$20</f>
        <v>0</v>
      </c>
      <c r="W59" s="409">
        <v>0</v>
      </c>
      <c r="X59" s="410">
        <f>W59*$M$20</f>
        <v>0</v>
      </c>
      <c r="Y59" s="409">
        <v>0</v>
      </c>
      <c r="Z59" s="410">
        <f>Y59*$M$20+X59/2</f>
        <v>0</v>
      </c>
      <c r="AA59" s="410">
        <f t="shared" si="7"/>
        <v>0</v>
      </c>
      <c r="AB59" s="396"/>
      <c r="AC59" s="396"/>
      <c r="AD59" s="396"/>
      <c r="AE59" s="396"/>
    </row>
    <row r="60" spans="1:31" ht="14.25" customHeight="1">
      <c r="A60" s="396"/>
      <c r="B60" s="408" t="s">
        <v>329</v>
      </c>
      <c r="C60" s="409">
        <v>0</v>
      </c>
      <c r="D60" s="410">
        <f>C60*$M$21</f>
        <v>0</v>
      </c>
      <c r="E60" s="409">
        <v>0</v>
      </c>
      <c r="F60" s="410">
        <f>E60*$M$21</f>
        <v>0</v>
      </c>
      <c r="G60" s="409">
        <v>0</v>
      </c>
      <c r="H60" s="410">
        <f>G60*$M$21</f>
        <v>0</v>
      </c>
      <c r="I60" s="409">
        <v>0</v>
      </c>
      <c r="J60" s="410">
        <f>I60*$M$21</f>
        <v>0</v>
      </c>
      <c r="K60" s="409">
        <v>0</v>
      </c>
      <c r="L60" s="410">
        <f>K60*$M$21</f>
        <v>0</v>
      </c>
      <c r="M60" s="409">
        <v>0</v>
      </c>
      <c r="N60" s="410">
        <f>M60*$M$21+L60/2</f>
        <v>0</v>
      </c>
      <c r="O60" s="409">
        <v>0</v>
      </c>
      <c r="P60" s="410">
        <f>O60*$M$21</f>
        <v>0</v>
      </c>
      <c r="Q60" s="409">
        <v>0</v>
      </c>
      <c r="R60" s="410">
        <f>Q60*$M$21</f>
        <v>0</v>
      </c>
      <c r="S60" s="409">
        <v>0</v>
      </c>
      <c r="T60" s="410">
        <f>S60*$M$21</f>
        <v>0</v>
      </c>
      <c r="U60" s="409">
        <v>0</v>
      </c>
      <c r="V60" s="410">
        <f>U60*$M$21</f>
        <v>0</v>
      </c>
      <c r="W60" s="409">
        <v>0</v>
      </c>
      <c r="X60" s="410">
        <f>W60*$M$21</f>
        <v>0</v>
      </c>
      <c r="Y60" s="409">
        <v>0</v>
      </c>
      <c r="Z60" s="410">
        <f>Y60*$M$21+X60/2</f>
        <v>0</v>
      </c>
      <c r="AA60" s="410">
        <f t="shared" si="7"/>
        <v>0</v>
      </c>
      <c r="AB60" s="396"/>
      <c r="AC60" s="396"/>
      <c r="AD60" s="396"/>
      <c r="AE60" s="396"/>
    </row>
    <row r="61" spans="1:31" ht="15.75" customHeight="1">
      <c r="A61" s="396"/>
      <c r="B61" s="408" t="s">
        <v>332</v>
      </c>
      <c r="C61" s="409">
        <v>0</v>
      </c>
      <c r="D61" s="410">
        <f>C61*$M$22</f>
        <v>0</v>
      </c>
      <c r="E61" s="409">
        <v>0</v>
      </c>
      <c r="F61" s="410">
        <f>E61*$M$22</f>
        <v>0</v>
      </c>
      <c r="G61" s="409">
        <v>0</v>
      </c>
      <c r="H61" s="410">
        <f>G61*$M$22</f>
        <v>0</v>
      </c>
      <c r="I61" s="409">
        <v>0</v>
      </c>
      <c r="J61" s="410">
        <f>I61*$M$22</f>
        <v>0</v>
      </c>
      <c r="K61" s="409">
        <v>0</v>
      </c>
      <c r="L61" s="410">
        <f>K61*$M$22</f>
        <v>0</v>
      </c>
      <c r="M61" s="409">
        <v>0</v>
      </c>
      <c r="N61" s="410">
        <f>M61*$M$22+L61/2</f>
        <v>0</v>
      </c>
      <c r="O61" s="409">
        <v>0</v>
      </c>
      <c r="P61" s="410">
        <f>O61*$M$22</f>
        <v>0</v>
      </c>
      <c r="Q61" s="409">
        <v>0</v>
      </c>
      <c r="R61" s="410">
        <f>Q61*$M$22</f>
        <v>0</v>
      </c>
      <c r="S61" s="409">
        <v>0</v>
      </c>
      <c r="T61" s="410">
        <f>S61*$M$22</f>
        <v>0</v>
      </c>
      <c r="U61" s="409">
        <v>0</v>
      </c>
      <c r="V61" s="410">
        <f>U61*$M$22</f>
        <v>0</v>
      </c>
      <c r="W61" s="409">
        <v>0</v>
      </c>
      <c r="X61" s="410">
        <f>W61*$M$22</f>
        <v>0</v>
      </c>
      <c r="Y61" s="409">
        <v>0</v>
      </c>
      <c r="Z61" s="410">
        <f>Y61*$M$22+X61/2</f>
        <v>0</v>
      </c>
      <c r="AA61" s="410">
        <f t="shared" si="7"/>
        <v>0</v>
      </c>
      <c r="AB61" s="396"/>
      <c r="AC61" s="396"/>
      <c r="AD61" s="396"/>
      <c r="AE61" s="396"/>
    </row>
    <row r="62" spans="1:31" ht="15.75" customHeight="1">
      <c r="A62" s="396"/>
      <c r="B62" s="408" t="s">
        <v>104</v>
      </c>
      <c r="C62" s="409">
        <v>0</v>
      </c>
      <c r="D62" s="410">
        <f>C62*$M$23</f>
        <v>0</v>
      </c>
      <c r="E62" s="409">
        <v>0</v>
      </c>
      <c r="F62" s="410">
        <f>E62*$M$23</f>
        <v>0</v>
      </c>
      <c r="G62" s="409">
        <v>0</v>
      </c>
      <c r="H62" s="410">
        <f>G62*$M$23</f>
        <v>0</v>
      </c>
      <c r="I62" s="409">
        <v>0</v>
      </c>
      <c r="J62" s="410">
        <f>I62*$M$23</f>
        <v>0</v>
      </c>
      <c r="K62" s="409">
        <v>0</v>
      </c>
      <c r="L62" s="410">
        <f>K62*$M$23</f>
        <v>0</v>
      </c>
      <c r="M62" s="409">
        <v>0</v>
      </c>
      <c r="N62" s="410">
        <f>M62*$M$23+L62/2</f>
        <v>0</v>
      </c>
      <c r="O62" s="409">
        <v>0</v>
      </c>
      <c r="P62" s="410">
        <f>O62*$M$23</f>
        <v>0</v>
      </c>
      <c r="Q62" s="409">
        <v>0</v>
      </c>
      <c r="R62" s="410">
        <f>Q62*$M$23</f>
        <v>0</v>
      </c>
      <c r="S62" s="409">
        <v>0</v>
      </c>
      <c r="T62" s="410">
        <f>S62*$M$23</f>
        <v>0</v>
      </c>
      <c r="U62" s="409">
        <v>0</v>
      </c>
      <c r="V62" s="410">
        <f>U62*$M$23</f>
        <v>0</v>
      </c>
      <c r="W62" s="409">
        <v>0</v>
      </c>
      <c r="X62" s="410">
        <f>W62*$M$23</f>
        <v>0</v>
      </c>
      <c r="Y62" s="409">
        <v>0</v>
      </c>
      <c r="Z62" s="410">
        <f>Y62*$M$23+X62/2</f>
        <v>0</v>
      </c>
      <c r="AA62" s="410">
        <f t="shared" si="7"/>
        <v>0</v>
      </c>
      <c r="AB62" s="396"/>
      <c r="AC62" s="396"/>
      <c r="AD62" s="396"/>
      <c r="AE62" s="396"/>
    </row>
    <row r="63" spans="1:31" ht="15.75" customHeight="1">
      <c r="A63" s="396"/>
      <c r="B63" s="408" t="s">
        <v>335</v>
      </c>
      <c r="C63" s="409">
        <v>0</v>
      </c>
      <c r="D63" s="410">
        <f>C63*$M$24</f>
        <v>0</v>
      </c>
      <c r="E63" s="409">
        <v>0</v>
      </c>
      <c r="F63" s="410">
        <f>E63*$M$24</f>
        <v>0</v>
      </c>
      <c r="G63" s="409">
        <v>0</v>
      </c>
      <c r="H63" s="410">
        <f>G63*$M$24</f>
        <v>0</v>
      </c>
      <c r="I63" s="409">
        <v>0</v>
      </c>
      <c r="J63" s="410">
        <f>I63*$M$24</f>
        <v>0</v>
      </c>
      <c r="K63" s="409">
        <v>0</v>
      </c>
      <c r="L63" s="410">
        <f>K63*$M$24</f>
        <v>0</v>
      </c>
      <c r="M63" s="409">
        <v>0</v>
      </c>
      <c r="N63" s="410">
        <f>M63*$M$24+L63/2</f>
        <v>0</v>
      </c>
      <c r="O63" s="409">
        <v>0</v>
      </c>
      <c r="P63" s="410">
        <f>O63*$M$24</f>
        <v>0</v>
      </c>
      <c r="Q63" s="409">
        <v>0</v>
      </c>
      <c r="R63" s="410">
        <f>Q63*$M$24</f>
        <v>0</v>
      </c>
      <c r="S63" s="409">
        <v>0</v>
      </c>
      <c r="T63" s="410">
        <f>S63*$M$24</f>
        <v>0</v>
      </c>
      <c r="U63" s="409">
        <v>0</v>
      </c>
      <c r="V63" s="410">
        <f>U63*$M$24</f>
        <v>0</v>
      </c>
      <c r="W63" s="409">
        <v>0</v>
      </c>
      <c r="X63" s="410">
        <f>W63*$M$24</f>
        <v>0</v>
      </c>
      <c r="Y63" s="409">
        <v>0</v>
      </c>
      <c r="Z63" s="410">
        <f>Y63*$M$24+X63/2</f>
        <v>0</v>
      </c>
      <c r="AA63" s="410">
        <f t="shared" si="7"/>
        <v>0</v>
      </c>
      <c r="AB63" s="396"/>
      <c r="AC63" s="396"/>
      <c r="AD63" s="396"/>
      <c r="AE63" s="396"/>
    </row>
    <row r="64" spans="1:31" ht="27" customHeight="1">
      <c r="A64" s="396"/>
      <c r="B64" s="408" t="s">
        <v>337</v>
      </c>
      <c r="C64" s="409">
        <v>0</v>
      </c>
      <c r="D64" s="410">
        <f>C64*$M$25</f>
        <v>0</v>
      </c>
      <c r="E64" s="409">
        <v>0</v>
      </c>
      <c r="F64" s="410">
        <f>E64*$M$25</f>
        <v>0</v>
      </c>
      <c r="G64" s="409">
        <v>0</v>
      </c>
      <c r="H64" s="410">
        <f>G64*$M$25</f>
        <v>0</v>
      </c>
      <c r="I64" s="409">
        <v>0</v>
      </c>
      <c r="J64" s="410">
        <f>I64*$M$25</f>
        <v>0</v>
      </c>
      <c r="K64" s="409">
        <v>0</v>
      </c>
      <c r="L64" s="410">
        <f>K64*$M$25</f>
        <v>0</v>
      </c>
      <c r="M64" s="409">
        <v>0</v>
      </c>
      <c r="N64" s="410">
        <f>M64*$M$25+L64/2</f>
        <v>0</v>
      </c>
      <c r="O64" s="409">
        <v>0</v>
      </c>
      <c r="P64" s="410">
        <f>O64*$M$25</f>
        <v>0</v>
      </c>
      <c r="Q64" s="409">
        <v>0</v>
      </c>
      <c r="R64" s="410">
        <f>Q64*$M$25</f>
        <v>0</v>
      </c>
      <c r="S64" s="409">
        <v>0</v>
      </c>
      <c r="T64" s="410">
        <f>S64*$M$25</f>
        <v>0</v>
      </c>
      <c r="U64" s="409">
        <v>0</v>
      </c>
      <c r="V64" s="410">
        <f>U64*$M$25</f>
        <v>0</v>
      </c>
      <c r="W64" s="409">
        <v>0</v>
      </c>
      <c r="X64" s="410">
        <f>W64*$M$25</f>
        <v>0</v>
      </c>
      <c r="Y64" s="409">
        <v>0</v>
      </c>
      <c r="Z64" s="410">
        <f>Y64*$M$25+X64/2</f>
        <v>0</v>
      </c>
      <c r="AA64" s="410">
        <f t="shared" si="7"/>
        <v>0</v>
      </c>
      <c r="AB64" s="396"/>
      <c r="AC64" s="396"/>
      <c r="AD64" s="396"/>
      <c r="AE64" s="396"/>
    </row>
    <row r="65" spans="1:31" ht="15.75" customHeight="1">
      <c r="A65" s="396"/>
      <c r="B65" s="408" t="s">
        <v>106</v>
      </c>
      <c r="C65" s="409">
        <v>0</v>
      </c>
      <c r="D65" s="410">
        <f>C65*$M$26</f>
        <v>0</v>
      </c>
      <c r="E65" s="409">
        <v>0</v>
      </c>
      <c r="F65" s="410">
        <f>E65*$M$26</f>
        <v>0</v>
      </c>
      <c r="G65" s="409">
        <v>0</v>
      </c>
      <c r="H65" s="410">
        <f>G65*$M$26</f>
        <v>0</v>
      </c>
      <c r="I65" s="409">
        <v>0</v>
      </c>
      <c r="J65" s="410">
        <f>I65*$M$26</f>
        <v>0</v>
      </c>
      <c r="K65" s="409">
        <v>0</v>
      </c>
      <c r="L65" s="410">
        <f>K65*$M$26</f>
        <v>0</v>
      </c>
      <c r="M65" s="409">
        <v>0</v>
      </c>
      <c r="N65" s="410">
        <f>M65*$M$26+L65/2</f>
        <v>0</v>
      </c>
      <c r="O65" s="409">
        <v>0</v>
      </c>
      <c r="P65" s="410">
        <f>O65*$M$26</f>
        <v>0</v>
      </c>
      <c r="Q65" s="409">
        <v>0</v>
      </c>
      <c r="R65" s="410">
        <f>Q65*$M$26</f>
        <v>0</v>
      </c>
      <c r="S65" s="409">
        <v>0</v>
      </c>
      <c r="T65" s="410">
        <f>S65*$M$26</f>
        <v>0</v>
      </c>
      <c r="U65" s="409">
        <v>0</v>
      </c>
      <c r="V65" s="410">
        <f>U65*$M$26</f>
        <v>0</v>
      </c>
      <c r="W65" s="409">
        <v>0</v>
      </c>
      <c r="X65" s="410">
        <f>W65*$M$26</f>
        <v>0</v>
      </c>
      <c r="Y65" s="409">
        <v>0</v>
      </c>
      <c r="Z65" s="410">
        <f>Y65*$M$26+X65/2</f>
        <v>0</v>
      </c>
      <c r="AA65" s="410">
        <f t="shared" si="7"/>
        <v>0</v>
      </c>
      <c r="AB65" s="396"/>
      <c r="AC65" s="396"/>
      <c r="AD65" s="396"/>
      <c r="AE65" s="396"/>
    </row>
    <row r="66" spans="1:31" ht="15.75" customHeight="1">
      <c r="A66" s="396"/>
      <c r="B66" s="408" t="s">
        <v>339</v>
      </c>
      <c r="C66" s="409">
        <v>0</v>
      </c>
      <c r="D66" s="410">
        <f>C66*$M$27</f>
        <v>0</v>
      </c>
      <c r="E66" s="409">
        <v>0</v>
      </c>
      <c r="F66" s="410">
        <f>E66*$M$27</f>
        <v>0</v>
      </c>
      <c r="G66" s="409">
        <v>0</v>
      </c>
      <c r="H66" s="410">
        <f>G66*$M$27</f>
        <v>0</v>
      </c>
      <c r="I66" s="409">
        <v>0</v>
      </c>
      <c r="J66" s="410">
        <f>I66*$M$27</f>
        <v>0</v>
      </c>
      <c r="K66" s="409">
        <v>0</v>
      </c>
      <c r="L66" s="410">
        <f>K66*$M$27</f>
        <v>0</v>
      </c>
      <c r="M66" s="409">
        <v>0</v>
      </c>
      <c r="N66" s="410">
        <f>M66*$M$27+L66/2</f>
        <v>0</v>
      </c>
      <c r="O66" s="409">
        <v>0</v>
      </c>
      <c r="P66" s="410">
        <f>O66*$M$27</f>
        <v>0</v>
      </c>
      <c r="Q66" s="409">
        <v>0</v>
      </c>
      <c r="R66" s="410">
        <f>Q66*$M$27</f>
        <v>0</v>
      </c>
      <c r="S66" s="409">
        <v>0</v>
      </c>
      <c r="T66" s="410">
        <f>S66*$M$27</f>
        <v>0</v>
      </c>
      <c r="U66" s="409">
        <v>0</v>
      </c>
      <c r="V66" s="410">
        <f>U66*$M$27</f>
        <v>0</v>
      </c>
      <c r="W66" s="409">
        <v>0</v>
      </c>
      <c r="X66" s="410">
        <f>W66*$M$27</f>
        <v>0</v>
      </c>
      <c r="Y66" s="409">
        <v>0</v>
      </c>
      <c r="Z66" s="410">
        <f>Y66*$M$27+X66/2</f>
        <v>0</v>
      </c>
      <c r="AA66" s="410">
        <f t="shared" si="7"/>
        <v>0</v>
      </c>
      <c r="AB66" s="396"/>
      <c r="AC66" s="396"/>
      <c r="AD66" s="396"/>
      <c r="AE66" s="396"/>
    </row>
    <row r="67" spans="1:31" ht="15" customHeight="1">
      <c r="A67" s="396"/>
      <c r="B67" s="411" t="s">
        <v>343</v>
      </c>
      <c r="C67" s="412">
        <f t="shared" ref="C67:AA67" si="8">SUM(C53:C66)</f>
        <v>2</v>
      </c>
      <c r="D67" s="413">
        <f t="shared" si="8"/>
        <v>5178.3999999999996</v>
      </c>
      <c r="E67" s="412">
        <f t="shared" si="8"/>
        <v>2</v>
      </c>
      <c r="F67" s="413">
        <f t="shared" si="8"/>
        <v>5178.3999999999996</v>
      </c>
      <c r="G67" s="412">
        <f t="shared" si="8"/>
        <v>2</v>
      </c>
      <c r="H67" s="413">
        <f t="shared" si="8"/>
        <v>5178.3999999999996</v>
      </c>
      <c r="I67" s="412">
        <f t="shared" si="8"/>
        <v>2</v>
      </c>
      <c r="J67" s="413">
        <f t="shared" si="8"/>
        <v>5178.3999999999996</v>
      </c>
      <c r="K67" s="412">
        <f t="shared" si="8"/>
        <v>2</v>
      </c>
      <c r="L67" s="413">
        <f t="shared" si="8"/>
        <v>5178.3999999999996</v>
      </c>
      <c r="M67" s="412">
        <f t="shared" si="8"/>
        <v>2</v>
      </c>
      <c r="N67" s="413">
        <f t="shared" si="8"/>
        <v>7767.5999999999995</v>
      </c>
      <c r="O67" s="412">
        <f t="shared" si="8"/>
        <v>2</v>
      </c>
      <c r="P67" s="413">
        <f t="shared" si="8"/>
        <v>5178.3999999999996</v>
      </c>
      <c r="Q67" s="412">
        <f t="shared" si="8"/>
        <v>2</v>
      </c>
      <c r="R67" s="413">
        <f t="shared" si="8"/>
        <v>5178.3999999999996</v>
      </c>
      <c r="S67" s="412">
        <f t="shared" si="8"/>
        <v>2</v>
      </c>
      <c r="T67" s="413">
        <f t="shared" si="8"/>
        <v>5178.3999999999996</v>
      </c>
      <c r="U67" s="412">
        <f t="shared" si="8"/>
        <v>2</v>
      </c>
      <c r="V67" s="413">
        <f t="shared" si="8"/>
        <v>5178.3999999999996</v>
      </c>
      <c r="W67" s="412">
        <f t="shared" si="8"/>
        <v>2</v>
      </c>
      <c r="X67" s="413">
        <f t="shared" si="8"/>
        <v>5178.3999999999996</v>
      </c>
      <c r="Y67" s="412">
        <f t="shared" si="8"/>
        <v>2</v>
      </c>
      <c r="Z67" s="413">
        <f t="shared" si="8"/>
        <v>7767.5999999999995</v>
      </c>
      <c r="AA67" s="413">
        <f t="shared" si="8"/>
        <v>67319.200000000012</v>
      </c>
      <c r="AB67" s="396"/>
      <c r="AC67" s="396"/>
      <c r="AD67" s="396"/>
      <c r="AE67" s="396"/>
    </row>
    <row r="68" spans="1:31" ht="15" customHeight="1">
      <c r="A68" s="396"/>
      <c r="B68" s="396"/>
      <c r="C68" s="396"/>
      <c r="D68" s="396"/>
      <c r="E68" s="396"/>
      <c r="F68" s="396"/>
      <c r="G68" s="396"/>
      <c r="H68" s="396"/>
      <c r="I68" s="396"/>
      <c r="J68" s="396"/>
      <c r="K68" s="396"/>
      <c r="L68" s="396"/>
      <c r="M68" s="396"/>
      <c r="N68" s="396"/>
      <c r="O68" s="396"/>
      <c r="P68" s="396"/>
      <c r="Q68" s="396"/>
      <c r="R68" s="396"/>
      <c r="S68" s="396"/>
      <c r="T68" s="396"/>
      <c r="U68" s="396"/>
      <c r="V68" s="396"/>
      <c r="W68" s="396"/>
      <c r="X68" s="396"/>
      <c r="Y68" s="396"/>
      <c r="Z68" s="396"/>
      <c r="AA68" s="396"/>
      <c r="AB68" s="396"/>
      <c r="AC68" s="396"/>
      <c r="AD68" s="396"/>
      <c r="AE68" s="396"/>
    </row>
    <row r="69" spans="1:31" ht="15" customHeight="1">
      <c r="A69" s="396"/>
      <c r="B69" s="396"/>
      <c r="C69" s="396"/>
      <c r="D69" s="396"/>
      <c r="E69" s="396"/>
      <c r="F69" s="396"/>
      <c r="G69" s="396"/>
      <c r="H69" s="396"/>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row>
    <row r="70" spans="1:31" ht="15" customHeight="1">
      <c r="A70" s="396"/>
      <c r="B70" s="396"/>
      <c r="C70" s="396"/>
      <c r="D70" s="396"/>
      <c r="E70" s="396"/>
      <c r="F70" s="396"/>
      <c r="G70" s="396"/>
      <c r="H70" s="396"/>
      <c r="I70" s="396"/>
      <c r="J70" s="396"/>
      <c r="K70" s="396"/>
      <c r="L70" s="396"/>
      <c r="M70" s="396"/>
      <c r="N70" s="396"/>
      <c r="O70" s="396"/>
      <c r="P70" s="396"/>
      <c r="Q70" s="396"/>
      <c r="R70" s="396"/>
      <c r="S70" s="396"/>
      <c r="T70" s="396"/>
      <c r="U70" s="396"/>
      <c r="V70" s="396"/>
      <c r="W70" s="396"/>
      <c r="X70" s="396"/>
      <c r="Y70" s="396"/>
      <c r="Z70" s="396"/>
      <c r="AA70" s="396"/>
      <c r="AB70" s="396"/>
      <c r="AC70" s="396"/>
      <c r="AD70" s="396"/>
      <c r="AE70" s="396"/>
    </row>
    <row r="71" spans="1:31" ht="24" customHeight="1">
      <c r="A71" s="396"/>
      <c r="B71" s="695" t="s">
        <v>345</v>
      </c>
      <c r="C71" s="695"/>
      <c r="D71" s="695"/>
      <c r="E71" s="695"/>
      <c r="F71" s="695"/>
      <c r="G71" s="695"/>
      <c r="H71" s="695"/>
      <c r="I71" s="695"/>
      <c r="J71" s="695"/>
      <c r="K71" s="695"/>
      <c r="L71" s="695"/>
      <c r="M71" s="695"/>
      <c r="N71" s="695"/>
      <c r="O71" s="695"/>
      <c r="P71" s="695"/>
      <c r="Q71" s="695"/>
      <c r="R71" s="695"/>
      <c r="S71" s="695"/>
      <c r="T71" s="695"/>
      <c r="U71" s="695"/>
      <c r="V71" s="695"/>
      <c r="W71" s="695"/>
      <c r="X71" s="695"/>
      <c r="Y71" s="695"/>
      <c r="Z71" s="695"/>
      <c r="AA71" s="695"/>
      <c r="AB71" s="396"/>
      <c r="AC71" s="396"/>
      <c r="AD71" s="396"/>
      <c r="AE71" s="396"/>
    </row>
    <row r="72" spans="1:31" ht="15" customHeight="1">
      <c r="A72" s="396"/>
      <c r="B72" s="699" t="s">
        <v>302</v>
      </c>
      <c r="C72" s="699" t="s">
        <v>80</v>
      </c>
      <c r="D72" s="699"/>
      <c r="E72" s="699" t="s">
        <v>81</v>
      </c>
      <c r="F72" s="699"/>
      <c r="G72" s="699" t="s">
        <v>82</v>
      </c>
      <c r="H72" s="699"/>
      <c r="I72" s="699" t="s">
        <v>83</v>
      </c>
      <c r="J72" s="699"/>
      <c r="K72" s="699" t="s">
        <v>84</v>
      </c>
      <c r="L72" s="699"/>
      <c r="M72" s="699" t="s">
        <v>341</v>
      </c>
      <c r="N72" s="699"/>
      <c r="O72" s="699" t="s">
        <v>86</v>
      </c>
      <c r="P72" s="699"/>
      <c r="Q72" s="699" t="s">
        <v>87</v>
      </c>
      <c r="R72" s="699"/>
      <c r="S72" s="699" t="s">
        <v>88</v>
      </c>
      <c r="T72" s="699"/>
      <c r="U72" s="699" t="s">
        <v>89</v>
      </c>
      <c r="V72" s="699"/>
      <c r="W72" s="699" t="s">
        <v>90</v>
      </c>
      <c r="X72" s="699"/>
      <c r="Y72" s="699" t="s">
        <v>342</v>
      </c>
      <c r="Z72" s="699"/>
      <c r="AA72" s="699" t="s">
        <v>248</v>
      </c>
      <c r="AB72" s="396"/>
      <c r="AC72" s="396"/>
      <c r="AD72" s="396"/>
      <c r="AE72" s="396"/>
    </row>
    <row r="73" spans="1:31" ht="15" customHeight="1">
      <c r="A73" s="396"/>
      <c r="B73" s="699"/>
      <c r="C73" s="407" t="s">
        <v>36</v>
      </c>
      <c r="D73" s="407" t="s">
        <v>283</v>
      </c>
      <c r="E73" s="407" t="s">
        <v>36</v>
      </c>
      <c r="F73" s="407" t="s">
        <v>283</v>
      </c>
      <c r="G73" s="407" t="s">
        <v>36</v>
      </c>
      <c r="H73" s="407" t="s">
        <v>283</v>
      </c>
      <c r="I73" s="407" t="s">
        <v>36</v>
      </c>
      <c r="J73" s="407" t="s">
        <v>283</v>
      </c>
      <c r="K73" s="407" t="s">
        <v>36</v>
      </c>
      <c r="L73" s="407" t="s">
        <v>283</v>
      </c>
      <c r="M73" s="407" t="s">
        <v>36</v>
      </c>
      <c r="N73" s="407" t="s">
        <v>283</v>
      </c>
      <c r="O73" s="407" t="s">
        <v>36</v>
      </c>
      <c r="P73" s="407" t="s">
        <v>283</v>
      </c>
      <c r="Q73" s="407" t="s">
        <v>36</v>
      </c>
      <c r="R73" s="407" t="s">
        <v>283</v>
      </c>
      <c r="S73" s="407" t="s">
        <v>36</v>
      </c>
      <c r="T73" s="407" t="s">
        <v>283</v>
      </c>
      <c r="U73" s="407" t="s">
        <v>36</v>
      </c>
      <c r="V73" s="407" t="s">
        <v>283</v>
      </c>
      <c r="W73" s="407" t="s">
        <v>36</v>
      </c>
      <c r="X73" s="407" t="s">
        <v>283</v>
      </c>
      <c r="Y73" s="407" t="s">
        <v>36</v>
      </c>
      <c r="Z73" s="407" t="s">
        <v>283</v>
      </c>
      <c r="AA73" s="699"/>
      <c r="AB73" s="396"/>
      <c r="AC73" s="396"/>
      <c r="AD73" s="396"/>
      <c r="AE73" s="396"/>
    </row>
    <row r="74" spans="1:31" ht="15" customHeight="1">
      <c r="A74" s="396"/>
      <c r="B74" s="408" t="s">
        <v>315</v>
      </c>
      <c r="C74" s="409">
        <v>1</v>
      </c>
      <c r="D74" s="410">
        <f>C74*$M$14</f>
        <v>2589.1999999999998</v>
      </c>
      <c r="E74" s="409">
        <v>1</v>
      </c>
      <c r="F74" s="410">
        <f>E74*$M$14</f>
        <v>2589.1999999999998</v>
      </c>
      <c r="G74" s="409">
        <v>1</v>
      </c>
      <c r="H74" s="410">
        <f>G74*$M$14</f>
        <v>2589.1999999999998</v>
      </c>
      <c r="I74" s="409">
        <v>1</v>
      </c>
      <c r="J74" s="410">
        <f>I74*$M$14</f>
        <v>2589.1999999999998</v>
      </c>
      <c r="K74" s="409">
        <v>1</v>
      </c>
      <c r="L74" s="410">
        <f>K74*$M$14</f>
        <v>2589.1999999999998</v>
      </c>
      <c r="M74" s="409">
        <v>1</v>
      </c>
      <c r="N74" s="410">
        <f>M74*$M$14+L74/2</f>
        <v>3883.7999999999997</v>
      </c>
      <c r="O74" s="409">
        <v>1</v>
      </c>
      <c r="P74" s="410">
        <f>O74*$M$14</f>
        <v>2589.1999999999998</v>
      </c>
      <c r="Q74" s="409">
        <v>1</v>
      </c>
      <c r="R74" s="410">
        <f>Q74*$M$14</f>
        <v>2589.1999999999998</v>
      </c>
      <c r="S74" s="409">
        <v>1</v>
      </c>
      <c r="T74" s="410">
        <f>S74*$M$14</f>
        <v>2589.1999999999998</v>
      </c>
      <c r="U74" s="409">
        <v>1</v>
      </c>
      <c r="V74" s="410">
        <f>U74*$M$14</f>
        <v>2589.1999999999998</v>
      </c>
      <c r="W74" s="409">
        <v>1</v>
      </c>
      <c r="X74" s="410">
        <f>W74*$M$14</f>
        <v>2589.1999999999998</v>
      </c>
      <c r="Y74" s="409">
        <v>1</v>
      </c>
      <c r="Z74" s="410">
        <f>Y74*$M$14+X74/2</f>
        <v>3883.7999999999997</v>
      </c>
      <c r="AA74" s="410">
        <f t="shared" ref="AA74:AA87" si="9">D74+F74+H74+J74+L74+N74+P74+R74+T74+V74+X74+Z74</f>
        <v>33659.600000000006</v>
      </c>
      <c r="AB74" s="396"/>
      <c r="AC74" s="396"/>
      <c r="AD74" s="396"/>
      <c r="AE74" s="396"/>
    </row>
    <row r="75" spans="1:31" ht="15" customHeight="1">
      <c r="A75" s="396"/>
      <c r="B75" s="408" t="s">
        <v>317</v>
      </c>
      <c r="C75" s="409">
        <v>1</v>
      </c>
      <c r="D75" s="410">
        <f>C75*$M$15</f>
        <v>2589.1999999999998</v>
      </c>
      <c r="E75" s="409">
        <v>1</v>
      </c>
      <c r="F75" s="410">
        <f>E75*$M$15</f>
        <v>2589.1999999999998</v>
      </c>
      <c r="G75" s="409">
        <v>1</v>
      </c>
      <c r="H75" s="410">
        <f>G75*$M$15</f>
        <v>2589.1999999999998</v>
      </c>
      <c r="I75" s="409">
        <v>1</v>
      </c>
      <c r="J75" s="410">
        <f>I75*$M$15</f>
        <v>2589.1999999999998</v>
      </c>
      <c r="K75" s="409">
        <v>1</v>
      </c>
      <c r="L75" s="410">
        <f>K75*$M$15</f>
        <v>2589.1999999999998</v>
      </c>
      <c r="M75" s="409">
        <v>1</v>
      </c>
      <c r="N75" s="410">
        <f>M75*$M$15+L75/2</f>
        <v>3883.7999999999997</v>
      </c>
      <c r="O75" s="409">
        <v>1</v>
      </c>
      <c r="P75" s="410">
        <f>O75*$M$15</f>
        <v>2589.1999999999998</v>
      </c>
      <c r="Q75" s="409">
        <v>1</v>
      </c>
      <c r="R75" s="410">
        <f>Q75*$M$15</f>
        <v>2589.1999999999998</v>
      </c>
      <c r="S75" s="409">
        <v>1</v>
      </c>
      <c r="T75" s="410">
        <f>S75*$M$15</f>
        <v>2589.1999999999998</v>
      </c>
      <c r="U75" s="409">
        <v>1</v>
      </c>
      <c r="V75" s="410">
        <f>U75*$M$15</f>
        <v>2589.1999999999998</v>
      </c>
      <c r="W75" s="409">
        <v>1</v>
      </c>
      <c r="X75" s="410">
        <f>W75*$M$15</f>
        <v>2589.1999999999998</v>
      </c>
      <c r="Y75" s="409">
        <v>1</v>
      </c>
      <c r="Z75" s="410">
        <f>Y75*$M$15+X75/2</f>
        <v>3883.7999999999997</v>
      </c>
      <c r="AA75" s="410">
        <f t="shared" si="9"/>
        <v>33659.600000000006</v>
      </c>
      <c r="AB75" s="396"/>
      <c r="AC75" s="396"/>
      <c r="AD75" s="396"/>
      <c r="AE75" s="396"/>
    </row>
    <row r="76" spans="1:31" ht="15" customHeight="1">
      <c r="A76" s="396"/>
      <c r="B76" s="408" t="s">
        <v>319</v>
      </c>
      <c r="C76" s="409">
        <v>0</v>
      </c>
      <c r="D76" s="410">
        <f>C76*$M$16</f>
        <v>0</v>
      </c>
      <c r="E76" s="409">
        <v>0</v>
      </c>
      <c r="F76" s="410">
        <f>E76*$M$16</f>
        <v>0</v>
      </c>
      <c r="G76" s="409">
        <v>0</v>
      </c>
      <c r="H76" s="410">
        <f>G76*$M$16</f>
        <v>0</v>
      </c>
      <c r="I76" s="409">
        <v>0</v>
      </c>
      <c r="J76" s="410">
        <f>I76*$M$16</f>
        <v>0</v>
      </c>
      <c r="K76" s="409">
        <v>0</v>
      </c>
      <c r="L76" s="410">
        <f>K76*$M$16</f>
        <v>0</v>
      </c>
      <c r="M76" s="409">
        <v>0</v>
      </c>
      <c r="N76" s="410">
        <f>M76*$M$16+L76/2</f>
        <v>0</v>
      </c>
      <c r="O76" s="409">
        <v>0</v>
      </c>
      <c r="P76" s="410">
        <f>O76*$M$16</f>
        <v>0</v>
      </c>
      <c r="Q76" s="409">
        <v>0</v>
      </c>
      <c r="R76" s="410">
        <f>Q76*$M$16</f>
        <v>0</v>
      </c>
      <c r="S76" s="409">
        <v>0</v>
      </c>
      <c r="T76" s="410">
        <f>S76*$M$16</f>
        <v>0</v>
      </c>
      <c r="U76" s="409">
        <v>0</v>
      </c>
      <c r="V76" s="410">
        <f>U76*$M$16</f>
        <v>0</v>
      </c>
      <c r="W76" s="409">
        <v>0</v>
      </c>
      <c r="X76" s="410">
        <f>W76*$M$16</f>
        <v>0</v>
      </c>
      <c r="Y76" s="409">
        <v>0</v>
      </c>
      <c r="Z76" s="410">
        <f>Y76*$M$16+X76/2</f>
        <v>0</v>
      </c>
      <c r="AA76" s="410">
        <f t="shared" si="9"/>
        <v>0</v>
      </c>
      <c r="AB76" s="396"/>
      <c r="AC76" s="396"/>
      <c r="AD76" s="396"/>
      <c r="AE76" s="396"/>
    </row>
    <row r="77" spans="1:31" ht="16.5" customHeight="1">
      <c r="A77" s="396"/>
      <c r="B77" s="408" t="s">
        <v>321</v>
      </c>
      <c r="C77" s="409">
        <v>0</v>
      </c>
      <c r="D77" s="410">
        <f>C77*$M$17</f>
        <v>0</v>
      </c>
      <c r="E77" s="409">
        <v>0</v>
      </c>
      <c r="F77" s="410">
        <f>E77*$M$17</f>
        <v>0</v>
      </c>
      <c r="G77" s="409">
        <v>0</v>
      </c>
      <c r="H77" s="410">
        <f>G77*$M$17</f>
        <v>0</v>
      </c>
      <c r="I77" s="409">
        <v>0</v>
      </c>
      <c r="J77" s="410">
        <f>I77*$M$17</f>
        <v>0</v>
      </c>
      <c r="K77" s="409">
        <v>0</v>
      </c>
      <c r="L77" s="410">
        <f>K77*$M$17</f>
        <v>0</v>
      </c>
      <c r="M77" s="409">
        <v>0</v>
      </c>
      <c r="N77" s="410">
        <f>M77*$M$17+L77/2</f>
        <v>0</v>
      </c>
      <c r="O77" s="409">
        <v>0</v>
      </c>
      <c r="P77" s="410">
        <f>O77*$M$17</f>
        <v>0</v>
      </c>
      <c r="Q77" s="409">
        <v>0</v>
      </c>
      <c r="R77" s="410">
        <f>Q77*$M$17</f>
        <v>0</v>
      </c>
      <c r="S77" s="409">
        <v>0</v>
      </c>
      <c r="T77" s="410">
        <f>S77*$M$17</f>
        <v>0</v>
      </c>
      <c r="U77" s="409">
        <v>0</v>
      </c>
      <c r="V77" s="410">
        <f>U77*$M$17</f>
        <v>0</v>
      </c>
      <c r="W77" s="409">
        <v>0</v>
      </c>
      <c r="X77" s="410">
        <f>W77*$M$17</f>
        <v>0</v>
      </c>
      <c r="Y77" s="409">
        <v>0</v>
      </c>
      <c r="Z77" s="410">
        <f>Y77*$M$17+X77/2</f>
        <v>0</v>
      </c>
      <c r="AA77" s="410">
        <f t="shared" si="9"/>
        <v>0</v>
      </c>
      <c r="AB77" s="396"/>
      <c r="AC77" s="396"/>
      <c r="AD77" s="396"/>
      <c r="AE77" s="396"/>
    </row>
    <row r="78" spans="1:31" ht="15" customHeight="1">
      <c r="A78" s="396"/>
      <c r="B78" s="408" t="s">
        <v>323</v>
      </c>
      <c r="C78" s="409">
        <v>0</v>
      </c>
      <c r="D78" s="410">
        <f>C78*$M$18</f>
        <v>0</v>
      </c>
      <c r="E78" s="409">
        <v>0</v>
      </c>
      <c r="F78" s="410">
        <f>E78*$M$18</f>
        <v>0</v>
      </c>
      <c r="G78" s="409">
        <v>0</v>
      </c>
      <c r="H78" s="410">
        <f>G78*$M$18</f>
        <v>0</v>
      </c>
      <c r="I78" s="409">
        <v>0</v>
      </c>
      <c r="J78" s="410">
        <f>I78*$M$18</f>
        <v>0</v>
      </c>
      <c r="K78" s="409">
        <v>0</v>
      </c>
      <c r="L78" s="410">
        <f>K78*$M$18</f>
        <v>0</v>
      </c>
      <c r="M78" s="409">
        <v>0</v>
      </c>
      <c r="N78" s="410">
        <f>M78*$M$18+L78/2</f>
        <v>0</v>
      </c>
      <c r="O78" s="409">
        <v>0</v>
      </c>
      <c r="P78" s="410">
        <f>O78*$M$18</f>
        <v>0</v>
      </c>
      <c r="Q78" s="409">
        <v>0</v>
      </c>
      <c r="R78" s="410">
        <f>Q78*$M$18</f>
        <v>0</v>
      </c>
      <c r="S78" s="409">
        <v>0</v>
      </c>
      <c r="T78" s="410">
        <f>S78*$M$18</f>
        <v>0</v>
      </c>
      <c r="U78" s="409">
        <v>0</v>
      </c>
      <c r="V78" s="410">
        <f>U78*$M$18</f>
        <v>0</v>
      </c>
      <c r="W78" s="409">
        <v>0</v>
      </c>
      <c r="X78" s="410">
        <f>W78*$M$18</f>
        <v>0</v>
      </c>
      <c r="Y78" s="409">
        <v>0</v>
      </c>
      <c r="Z78" s="410">
        <f>Y78*$M$18+X78/2</f>
        <v>0</v>
      </c>
      <c r="AA78" s="410">
        <f t="shared" si="9"/>
        <v>0</v>
      </c>
      <c r="AB78" s="396"/>
      <c r="AC78" s="396"/>
      <c r="AD78" s="396"/>
      <c r="AE78" s="396"/>
    </row>
    <row r="79" spans="1:31" ht="15" customHeight="1">
      <c r="A79" s="396"/>
      <c r="B79" s="408" t="s">
        <v>325</v>
      </c>
      <c r="C79" s="409">
        <v>0</v>
      </c>
      <c r="D79" s="410">
        <f>C79*$M$19</f>
        <v>0</v>
      </c>
      <c r="E79" s="409">
        <v>0</v>
      </c>
      <c r="F79" s="410">
        <f>E79*$M$19</f>
        <v>0</v>
      </c>
      <c r="G79" s="409">
        <v>0</v>
      </c>
      <c r="H79" s="410">
        <f>G79*$M$19</f>
        <v>0</v>
      </c>
      <c r="I79" s="409">
        <v>0</v>
      </c>
      <c r="J79" s="410">
        <f>I79*$M$19</f>
        <v>0</v>
      </c>
      <c r="K79" s="409">
        <v>0</v>
      </c>
      <c r="L79" s="410">
        <f>K79*$M$19</f>
        <v>0</v>
      </c>
      <c r="M79" s="409">
        <v>0</v>
      </c>
      <c r="N79" s="410">
        <f>M79*$M$19+L79/2</f>
        <v>0</v>
      </c>
      <c r="O79" s="409">
        <v>0</v>
      </c>
      <c r="P79" s="410">
        <f>O79*$M$19</f>
        <v>0</v>
      </c>
      <c r="Q79" s="409">
        <v>0</v>
      </c>
      <c r="R79" s="410">
        <f>Q79*$M$19</f>
        <v>0</v>
      </c>
      <c r="S79" s="409">
        <v>0</v>
      </c>
      <c r="T79" s="410">
        <f>S79*$M$19</f>
        <v>0</v>
      </c>
      <c r="U79" s="409">
        <v>0</v>
      </c>
      <c r="V79" s="410">
        <f>U79*$M$19</f>
        <v>0</v>
      </c>
      <c r="W79" s="409">
        <v>0</v>
      </c>
      <c r="X79" s="410">
        <f>W79*$M$19</f>
        <v>0</v>
      </c>
      <c r="Y79" s="409">
        <v>0</v>
      </c>
      <c r="Z79" s="410">
        <f>Y79*$M$19+X79/2</f>
        <v>0</v>
      </c>
      <c r="AA79" s="410">
        <f t="shared" si="9"/>
        <v>0</v>
      </c>
      <c r="AB79" s="396"/>
      <c r="AC79" s="396"/>
      <c r="AD79" s="396"/>
      <c r="AE79" s="396"/>
    </row>
    <row r="80" spans="1:31" ht="15" customHeight="1">
      <c r="A80" s="396"/>
      <c r="B80" s="408" t="s">
        <v>327</v>
      </c>
      <c r="C80" s="409">
        <v>0</v>
      </c>
      <c r="D80" s="410">
        <f>C80*$M$20</f>
        <v>0</v>
      </c>
      <c r="E80" s="409">
        <v>0</v>
      </c>
      <c r="F80" s="410">
        <f>E80*$M$20</f>
        <v>0</v>
      </c>
      <c r="G80" s="409">
        <v>0</v>
      </c>
      <c r="H80" s="410">
        <f>G80*$M$20</f>
        <v>0</v>
      </c>
      <c r="I80" s="409">
        <v>0</v>
      </c>
      <c r="J80" s="410">
        <f>I80*$M$20</f>
        <v>0</v>
      </c>
      <c r="K80" s="409">
        <v>0</v>
      </c>
      <c r="L80" s="410">
        <f>K80*$M$20</f>
        <v>0</v>
      </c>
      <c r="M80" s="409">
        <v>0</v>
      </c>
      <c r="N80" s="410">
        <f>M80*$M$20+L80/2</f>
        <v>0</v>
      </c>
      <c r="O80" s="409">
        <v>0</v>
      </c>
      <c r="P80" s="410">
        <f>O80*$M$20</f>
        <v>0</v>
      </c>
      <c r="Q80" s="409">
        <v>0</v>
      </c>
      <c r="R80" s="410">
        <f>Q80*$M$20</f>
        <v>0</v>
      </c>
      <c r="S80" s="409">
        <v>0</v>
      </c>
      <c r="T80" s="410">
        <f>S80*$M$20</f>
        <v>0</v>
      </c>
      <c r="U80" s="409">
        <v>0</v>
      </c>
      <c r="V80" s="410">
        <f>U80*$M$20</f>
        <v>0</v>
      </c>
      <c r="W80" s="409">
        <v>0</v>
      </c>
      <c r="X80" s="410">
        <f>W80*$M$20</f>
        <v>0</v>
      </c>
      <c r="Y80" s="409">
        <v>0</v>
      </c>
      <c r="Z80" s="410">
        <f>Y80*$M$20+X80/2</f>
        <v>0</v>
      </c>
      <c r="AA80" s="410">
        <f t="shared" si="9"/>
        <v>0</v>
      </c>
      <c r="AB80" s="396"/>
      <c r="AC80" s="396"/>
      <c r="AD80" s="396"/>
      <c r="AE80" s="396"/>
    </row>
    <row r="81" spans="1:31" ht="15" customHeight="1">
      <c r="A81" s="396"/>
      <c r="B81" s="408" t="s">
        <v>329</v>
      </c>
      <c r="C81" s="409">
        <v>0</v>
      </c>
      <c r="D81" s="410">
        <f>C81*$M$21</f>
        <v>0</v>
      </c>
      <c r="E81" s="409">
        <v>0</v>
      </c>
      <c r="F81" s="410">
        <f>E81*$M$21</f>
        <v>0</v>
      </c>
      <c r="G81" s="409">
        <v>0</v>
      </c>
      <c r="H81" s="410">
        <f>G81*$M$21</f>
        <v>0</v>
      </c>
      <c r="I81" s="409">
        <v>0</v>
      </c>
      <c r="J81" s="410">
        <f>I81*$M$21</f>
        <v>0</v>
      </c>
      <c r="K81" s="409">
        <v>0</v>
      </c>
      <c r="L81" s="410">
        <f>K81*$M$21</f>
        <v>0</v>
      </c>
      <c r="M81" s="409">
        <v>0</v>
      </c>
      <c r="N81" s="410">
        <f>M81*$M$21+L81/2</f>
        <v>0</v>
      </c>
      <c r="O81" s="409">
        <v>0</v>
      </c>
      <c r="P81" s="410">
        <f>O81*$M$21</f>
        <v>0</v>
      </c>
      <c r="Q81" s="409">
        <v>0</v>
      </c>
      <c r="R81" s="410">
        <f>Q81*$M$21</f>
        <v>0</v>
      </c>
      <c r="S81" s="409">
        <v>0</v>
      </c>
      <c r="T81" s="410">
        <f>S81*$M$21</f>
        <v>0</v>
      </c>
      <c r="U81" s="409">
        <v>0</v>
      </c>
      <c r="V81" s="410">
        <f>U81*$M$21</f>
        <v>0</v>
      </c>
      <c r="W81" s="409">
        <v>0</v>
      </c>
      <c r="X81" s="410">
        <f>W81*$M$21</f>
        <v>0</v>
      </c>
      <c r="Y81" s="409">
        <v>0</v>
      </c>
      <c r="Z81" s="410">
        <f>Y81*$M$21+X81/2</f>
        <v>0</v>
      </c>
      <c r="AA81" s="410">
        <f t="shared" si="9"/>
        <v>0</v>
      </c>
      <c r="AB81" s="396"/>
      <c r="AC81" s="396"/>
      <c r="AD81" s="396"/>
      <c r="AE81" s="396"/>
    </row>
    <row r="82" spans="1:31" ht="15" customHeight="1">
      <c r="A82" s="396"/>
      <c r="B82" s="408" t="s">
        <v>332</v>
      </c>
      <c r="C82" s="409">
        <v>0</v>
      </c>
      <c r="D82" s="410">
        <f>C82*$M$22</f>
        <v>0</v>
      </c>
      <c r="E82" s="409">
        <v>0</v>
      </c>
      <c r="F82" s="410">
        <f>E82*$M$22</f>
        <v>0</v>
      </c>
      <c r="G82" s="409">
        <v>0</v>
      </c>
      <c r="H82" s="410">
        <f>G82*$M$22</f>
        <v>0</v>
      </c>
      <c r="I82" s="409">
        <v>0</v>
      </c>
      <c r="J82" s="410">
        <f>I82*$M$22</f>
        <v>0</v>
      </c>
      <c r="K82" s="409">
        <v>0</v>
      </c>
      <c r="L82" s="410">
        <f>K82*$M$22</f>
        <v>0</v>
      </c>
      <c r="M82" s="409">
        <v>0</v>
      </c>
      <c r="N82" s="410">
        <f>M82*$M$22+L82/2</f>
        <v>0</v>
      </c>
      <c r="O82" s="409">
        <v>0</v>
      </c>
      <c r="P82" s="410">
        <f>O82*$M$22</f>
        <v>0</v>
      </c>
      <c r="Q82" s="409">
        <v>0</v>
      </c>
      <c r="R82" s="410">
        <f>Q82*$M$22</f>
        <v>0</v>
      </c>
      <c r="S82" s="409">
        <v>0</v>
      </c>
      <c r="T82" s="410">
        <f>S82*$M$22</f>
        <v>0</v>
      </c>
      <c r="U82" s="409">
        <v>0</v>
      </c>
      <c r="V82" s="410">
        <f>U82*$M$22</f>
        <v>0</v>
      </c>
      <c r="W82" s="409">
        <v>0</v>
      </c>
      <c r="X82" s="410">
        <f>W82*$M$22</f>
        <v>0</v>
      </c>
      <c r="Y82" s="409">
        <v>0</v>
      </c>
      <c r="Z82" s="410">
        <f>Y82*$M$22+X82/2</f>
        <v>0</v>
      </c>
      <c r="AA82" s="410">
        <f t="shared" si="9"/>
        <v>0</v>
      </c>
      <c r="AB82" s="396"/>
      <c r="AC82" s="396"/>
      <c r="AD82" s="396"/>
      <c r="AE82" s="396"/>
    </row>
    <row r="83" spans="1:31" ht="15" customHeight="1">
      <c r="A83" s="396"/>
      <c r="B83" s="408" t="s">
        <v>104</v>
      </c>
      <c r="C83" s="409">
        <v>0</v>
      </c>
      <c r="D83" s="410">
        <f>C83*$M$23</f>
        <v>0</v>
      </c>
      <c r="E83" s="409">
        <v>0</v>
      </c>
      <c r="F83" s="410">
        <f>E83*$M$23</f>
        <v>0</v>
      </c>
      <c r="G83" s="409">
        <v>0</v>
      </c>
      <c r="H83" s="410">
        <f>G83*$M$23</f>
        <v>0</v>
      </c>
      <c r="I83" s="409">
        <v>0</v>
      </c>
      <c r="J83" s="410">
        <f>I83*$M$23</f>
        <v>0</v>
      </c>
      <c r="K83" s="409">
        <v>0</v>
      </c>
      <c r="L83" s="410">
        <f>K83*$M$23</f>
        <v>0</v>
      </c>
      <c r="M83" s="409">
        <v>0</v>
      </c>
      <c r="N83" s="410">
        <f>M83*$M$23+L83/2</f>
        <v>0</v>
      </c>
      <c r="O83" s="409">
        <v>0</v>
      </c>
      <c r="P83" s="410">
        <f>O83*$M$23</f>
        <v>0</v>
      </c>
      <c r="Q83" s="409">
        <v>0</v>
      </c>
      <c r="R83" s="410">
        <f>Q83*$M$23</f>
        <v>0</v>
      </c>
      <c r="S83" s="409">
        <v>0</v>
      </c>
      <c r="T83" s="410">
        <f>S83*$M$23</f>
        <v>0</v>
      </c>
      <c r="U83" s="409">
        <v>0</v>
      </c>
      <c r="V83" s="410">
        <f>U83*$M$23</f>
        <v>0</v>
      </c>
      <c r="W83" s="409">
        <v>0</v>
      </c>
      <c r="X83" s="410">
        <f>W83*$M$23</f>
        <v>0</v>
      </c>
      <c r="Y83" s="409">
        <v>0</v>
      </c>
      <c r="Z83" s="410">
        <f>Y83*$M$23+X83/2</f>
        <v>0</v>
      </c>
      <c r="AA83" s="410">
        <f t="shared" si="9"/>
        <v>0</v>
      </c>
      <c r="AB83" s="396"/>
      <c r="AC83" s="396"/>
      <c r="AD83" s="396"/>
      <c r="AE83" s="396"/>
    </row>
    <row r="84" spans="1:31" ht="15" customHeight="1">
      <c r="A84" s="396"/>
      <c r="B84" s="408" t="s">
        <v>335</v>
      </c>
      <c r="C84" s="409">
        <v>0</v>
      </c>
      <c r="D84" s="410">
        <f>C84*$M$24</f>
        <v>0</v>
      </c>
      <c r="E84" s="409">
        <v>0</v>
      </c>
      <c r="F84" s="410">
        <f>E84*$M$24</f>
        <v>0</v>
      </c>
      <c r="G84" s="409">
        <v>0</v>
      </c>
      <c r="H84" s="410">
        <f>G84*$M$24</f>
        <v>0</v>
      </c>
      <c r="I84" s="409">
        <v>0</v>
      </c>
      <c r="J84" s="410">
        <f>I84*$M$24</f>
        <v>0</v>
      </c>
      <c r="K84" s="409">
        <v>0</v>
      </c>
      <c r="L84" s="410">
        <f>K84*$M$24</f>
        <v>0</v>
      </c>
      <c r="M84" s="409">
        <v>0</v>
      </c>
      <c r="N84" s="410">
        <f>M84*$M$24+L84/2</f>
        <v>0</v>
      </c>
      <c r="O84" s="409">
        <v>0</v>
      </c>
      <c r="P84" s="410">
        <f>O84*$M$24</f>
        <v>0</v>
      </c>
      <c r="Q84" s="409">
        <v>0</v>
      </c>
      <c r="R84" s="410">
        <f>Q84*$M$24</f>
        <v>0</v>
      </c>
      <c r="S84" s="409">
        <v>0</v>
      </c>
      <c r="T84" s="410">
        <f>S84*$M$24</f>
        <v>0</v>
      </c>
      <c r="U84" s="409">
        <v>0</v>
      </c>
      <c r="V84" s="410">
        <f>U84*$M$24</f>
        <v>0</v>
      </c>
      <c r="W84" s="409">
        <v>0</v>
      </c>
      <c r="X84" s="410">
        <f>W84*$M$24</f>
        <v>0</v>
      </c>
      <c r="Y84" s="409">
        <v>0</v>
      </c>
      <c r="Z84" s="410">
        <f>Y84*$M$24+X84/2</f>
        <v>0</v>
      </c>
      <c r="AA84" s="410">
        <f t="shared" si="9"/>
        <v>0</v>
      </c>
      <c r="AB84" s="396"/>
      <c r="AC84" s="396"/>
      <c r="AD84" s="396"/>
      <c r="AE84" s="396"/>
    </row>
    <row r="85" spans="1:31" ht="15" customHeight="1">
      <c r="A85" s="396"/>
      <c r="B85" s="408" t="s">
        <v>337</v>
      </c>
      <c r="C85" s="409">
        <v>0</v>
      </c>
      <c r="D85" s="410">
        <f>C85*$M$25</f>
        <v>0</v>
      </c>
      <c r="E85" s="409">
        <v>0</v>
      </c>
      <c r="F85" s="410">
        <f>E85*$M$25</f>
        <v>0</v>
      </c>
      <c r="G85" s="409">
        <v>0</v>
      </c>
      <c r="H85" s="410">
        <f>G85*$M$25</f>
        <v>0</v>
      </c>
      <c r="I85" s="409">
        <v>0</v>
      </c>
      <c r="J85" s="410">
        <f>I85*$M$25</f>
        <v>0</v>
      </c>
      <c r="K85" s="409">
        <v>0</v>
      </c>
      <c r="L85" s="410">
        <f>K85*$M$25</f>
        <v>0</v>
      </c>
      <c r="M85" s="409">
        <v>0</v>
      </c>
      <c r="N85" s="410">
        <f>M85*$M$25+L85/2</f>
        <v>0</v>
      </c>
      <c r="O85" s="409">
        <v>0</v>
      </c>
      <c r="P85" s="410">
        <f>O85*$M$25</f>
        <v>0</v>
      </c>
      <c r="Q85" s="409">
        <v>0</v>
      </c>
      <c r="R85" s="410">
        <f>Q85*$M$25</f>
        <v>0</v>
      </c>
      <c r="S85" s="409">
        <v>0</v>
      </c>
      <c r="T85" s="410">
        <f>S85*$M$25</f>
        <v>0</v>
      </c>
      <c r="U85" s="409">
        <v>0</v>
      </c>
      <c r="V85" s="410">
        <f>U85*$M$25</f>
        <v>0</v>
      </c>
      <c r="W85" s="409">
        <v>0</v>
      </c>
      <c r="X85" s="410">
        <f>W85*$M$25</f>
        <v>0</v>
      </c>
      <c r="Y85" s="409">
        <v>0</v>
      </c>
      <c r="Z85" s="410">
        <f>Y85*$M$25+X85/2</f>
        <v>0</v>
      </c>
      <c r="AA85" s="410">
        <f t="shared" si="9"/>
        <v>0</v>
      </c>
      <c r="AB85" s="396"/>
      <c r="AC85" s="396"/>
      <c r="AD85" s="396"/>
      <c r="AE85" s="396"/>
    </row>
    <row r="86" spans="1:31" ht="15" customHeight="1">
      <c r="A86" s="396"/>
      <c r="B86" s="408" t="s">
        <v>106</v>
      </c>
      <c r="C86" s="409">
        <v>0</v>
      </c>
      <c r="D86" s="410">
        <f>C86*$M$26</f>
        <v>0</v>
      </c>
      <c r="E86" s="409">
        <v>0</v>
      </c>
      <c r="F86" s="410">
        <f>E86*$M$26</f>
        <v>0</v>
      </c>
      <c r="G86" s="409">
        <v>0</v>
      </c>
      <c r="H86" s="410">
        <f>G86*$M$26</f>
        <v>0</v>
      </c>
      <c r="I86" s="409">
        <v>0</v>
      </c>
      <c r="J86" s="410">
        <f>I86*$M$26</f>
        <v>0</v>
      </c>
      <c r="K86" s="409">
        <v>0</v>
      </c>
      <c r="L86" s="410">
        <f>K86*$M$26</f>
        <v>0</v>
      </c>
      <c r="M86" s="409">
        <v>0</v>
      </c>
      <c r="N86" s="410">
        <f>M86*$M$26+L86/2</f>
        <v>0</v>
      </c>
      <c r="O86" s="409">
        <v>0</v>
      </c>
      <c r="P86" s="410">
        <f>O86*$M$26</f>
        <v>0</v>
      </c>
      <c r="Q86" s="409">
        <v>0</v>
      </c>
      <c r="R86" s="410">
        <f>Q86*$M$26</f>
        <v>0</v>
      </c>
      <c r="S86" s="409">
        <v>0</v>
      </c>
      <c r="T86" s="410">
        <f>S86*$M$26</f>
        <v>0</v>
      </c>
      <c r="U86" s="409">
        <v>0</v>
      </c>
      <c r="V86" s="410">
        <f>U86*$M$26</f>
        <v>0</v>
      </c>
      <c r="W86" s="409">
        <v>0</v>
      </c>
      <c r="X86" s="410">
        <f>W86*$M$26</f>
        <v>0</v>
      </c>
      <c r="Y86" s="409">
        <v>0</v>
      </c>
      <c r="Z86" s="410">
        <f>Y86*$M$26+X86/2</f>
        <v>0</v>
      </c>
      <c r="AA86" s="410">
        <f t="shared" si="9"/>
        <v>0</v>
      </c>
      <c r="AB86" s="396"/>
      <c r="AC86" s="396"/>
      <c r="AD86" s="396"/>
      <c r="AE86" s="396"/>
    </row>
    <row r="87" spans="1:31" ht="15" customHeight="1">
      <c r="A87" s="396"/>
      <c r="B87" s="408" t="s">
        <v>339</v>
      </c>
      <c r="C87" s="409">
        <v>0</v>
      </c>
      <c r="D87" s="410">
        <f>C87*$M$27</f>
        <v>0</v>
      </c>
      <c r="E87" s="409">
        <v>0</v>
      </c>
      <c r="F87" s="410">
        <f>E87*$M$27</f>
        <v>0</v>
      </c>
      <c r="G87" s="409">
        <v>0</v>
      </c>
      <c r="H87" s="410">
        <f>G87*$M$27</f>
        <v>0</v>
      </c>
      <c r="I87" s="409">
        <v>0</v>
      </c>
      <c r="J87" s="410">
        <f>I87*$M$27</f>
        <v>0</v>
      </c>
      <c r="K87" s="409">
        <v>0</v>
      </c>
      <c r="L87" s="410">
        <f>K87*$M$27</f>
        <v>0</v>
      </c>
      <c r="M87" s="409">
        <v>0</v>
      </c>
      <c r="N87" s="410">
        <f>M87*$M$27+L87/2</f>
        <v>0</v>
      </c>
      <c r="O87" s="409">
        <v>0</v>
      </c>
      <c r="P87" s="410">
        <f>O87*$M$27</f>
        <v>0</v>
      </c>
      <c r="Q87" s="409">
        <v>0</v>
      </c>
      <c r="R87" s="410">
        <f>Q87*$M$27</f>
        <v>0</v>
      </c>
      <c r="S87" s="409">
        <v>0</v>
      </c>
      <c r="T87" s="410">
        <f>S87*$M$27</f>
        <v>0</v>
      </c>
      <c r="U87" s="409">
        <v>0</v>
      </c>
      <c r="V87" s="410">
        <f>U87*$M$27</f>
        <v>0</v>
      </c>
      <c r="W87" s="409">
        <v>0</v>
      </c>
      <c r="X87" s="410">
        <f>W87*$M$27</f>
        <v>0</v>
      </c>
      <c r="Y87" s="409">
        <v>0</v>
      </c>
      <c r="Z87" s="410">
        <f>Y87*$M$27+X87/2</f>
        <v>0</v>
      </c>
      <c r="AA87" s="410">
        <f t="shared" si="9"/>
        <v>0</v>
      </c>
      <c r="AB87" s="396"/>
      <c r="AC87" s="396"/>
      <c r="AD87" s="396"/>
      <c r="AE87" s="396"/>
    </row>
    <row r="88" spans="1:31" ht="15" customHeight="1">
      <c r="A88" s="396"/>
      <c r="B88" s="411" t="s">
        <v>343</v>
      </c>
      <c r="C88" s="412">
        <f t="shared" ref="C88:AA88" si="10">SUM(C74:C87)</f>
        <v>2</v>
      </c>
      <c r="D88" s="413">
        <f t="shared" si="10"/>
        <v>5178.3999999999996</v>
      </c>
      <c r="E88" s="412">
        <f t="shared" si="10"/>
        <v>2</v>
      </c>
      <c r="F88" s="413">
        <f t="shared" si="10"/>
        <v>5178.3999999999996</v>
      </c>
      <c r="G88" s="412">
        <f t="shared" si="10"/>
        <v>2</v>
      </c>
      <c r="H88" s="413">
        <f t="shared" si="10"/>
        <v>5178.3999999999996</v>
      </c>
      <c r="I88" s="412">
        <f t="shared" si="10"/>
        <v>2</v>
      </c>
      <c r="J88" s="413">
        <f t="shared" si="10"/>
        <v>5178.3999999999996</v>
      </c>
      <c r="K88" s="412">
        <f t="shared" si="10"/>
        <v>2</v>
      </c>
      <c r="L88" s="413">
        <f t="shared" si="10"/>
        <v>5178.3999999999996</v>
      </c>
      <c r="M88" s="412">
        <f t="shared" si="10"/>
        <v>2</v>
      </c>
      <c r="N88" s="413">
        <f t="shared" si="10"/>
        <v>7767.5999999999995</v>
      </c>
      <c r="O88" s="412">
        <f t="shared" si="10"/>
        <v>2</v>
      </c>
      <c r="P88" s="413">
        <f t="shared" si="10"/>
        <v>5178.3999999999996</v>
      </c>
      <c r="Q88" s="412">
        <f t="shared" si="10"/>
        <v>2</v>
      </c>
      <c r="R88" s="413">
        <f t="shared" si="10"/>
        <v>5178.3999999999996</v>
      </c>
      <c r="S88" s="412">
        <f t="shared" si="10"/>
        <v>2</v>
      </c>
      <c r="T88" s="413">
        <f t="shared" si="10"/>
        <v>5178.3999999999996</v>
      </c>
      <c r="U88" s="412">
        <f t="shared" si="10"/>
        <v>2</v>
      </c>
      <c r="V88" s="413">
        <f t="shared" si="10"/>
        <v>5178.3999999999996</v>
      </c>
      <c r="W88" s="412">
        <f t="shared" si="10"/>
        <v>2</v>
      </c>
      <c r="X88" s="413">
        <f t="shared" si="10"/>
        <v>5178.3999999999996</v>
      </c>
      <c r="Y88" s="412">
        <f t="shared" si="10"/>
        <v>2</v>
      </c>
      <c r="Z88" s="413">
        <f t="shared" si="10"/>
        <v>7767.5999999999995</v>
      </c>
      <c r="AA88" s="413">
        <f t="shared" si="10"/>
        <v>67319.200000000012</v>
      </c>
      <c r="AB88" s="396"/>
      <c r="AC88" s="396"/>
      <c r="AD88" s="396"/>
      <c r="AE88" s="396"/>
    </row>
    <row r="89" spans="1:31" ht="15" customHeight="1">
      <c r="A89" s="396"/>
      <c r="B89" s="396"/>
      <c r="C89" s="396"/>
      <c r="D89" s="396"/>
      <c r="E89" s="396"/>
      <c r="F89" s="396"/>
      <c r="G89" s="396"/>
      <c r="H89" s="396"/>
      <c r="I89" s="396"/>
      <c r="J89" s="396"/>
      <c r="K89" s="396"/>
      <c r="L89" s="396"/>
      <c r="M89" s="396"/>
      <c r="N89" s="396"/>
      <c r="O89" s="396"/>
      <c r="P89" s="396"/>
      <c r="Q89" s="396"/>
      <c r="R89" s="396"/>
      <c r="S89" s="396"/>
      <c r="T89" s="396"/>
      <c r="U89" s="396"/>
      <c r="V89" s="396"/>
      <c r="W89" s="396"/>
      <c r="X89" s="396"/>
      <c r="Y89" s="396"/>
      <c r="Z89" s="396"/>
      <c r="AA89" s="396"/>
      <c r="AB89" s="396"/>
      <c r="AC89" s="396"/>
      <c r="AD89" s="396"/>
      <c r="AE89" s="396"/>
    </row>
    <row r="90" spans="1:31" ht="15" customHeight="1">
      <c r="A90" s="396"/>
      <c r="B90" s="396"/>
      <c r="C90" s="396"/>
      <c r="D90" s="396"/>
      <c r="E90" s="396"/>
      <c r="F90" s="396"/>
      <c r="G90" s="396"/>
      <c r="H90" s="396"/>
      <c r="I90" s="396"/>
      <c r="J90" s="396"/>
      <c r="K90" s="396"/>
      <c r="L90" s="396"/>
      <c r="M90" s="396"/>
      <c r="N90" s="396"/>
      <c r="O90" s="396"/>
      <c r="P90" s="396"/>
      <c r="Q90" s="396"/>
      <c r="R90" s="396"/>
      <c r="S90" s="396"/>
      <c r="T90" s="396"/>
      <c r="U90" s="396"/>
      <c r="V90" s="396"/>
      <c r="W90" s="396"/>
      <c r="X90" s="396"/>
      <c r="Y90" s="396"/>
      <c r="Z90" s="396"/>
      <c r="AA90" s="396"/>
      <c r="AB90" s="396"/>
      <c r="AC90" s="396"/>
      <c r="AD90" s="396"/>
      <c r="AE90" s="396"/>
    </row>
    <row r="91" spans="1:31" ht="15" customHeight="1">
      <c r="A91" s="396"/>
      <c r="B91" s="396"/>
      <c r="C91" s="396"/>
      <c r="D91" s="396"/>
      <c r="E91" s="396"/>
      <c r="F91" s="396"/>
      <c r="G91" s="396"/>
      <c r="H91" s="396"/>
      <c r="I91" s="396"/>
      <c r="J91" s="396"/>
      <c r="K91" s="396"/>
      <c r="L91" s="396"/>
      <c r="M91" s="396"/>
      <c r="N91" s="396"/>
      <c r="O91" s="396"/>
      <c r="P91" s="396"/>
      <c r="Q91" s="396"/>
      <c r="R91" s="396"/>
      <c r="S91" s="396"/>
      <c r="T91" s="396"/>
      <c r="U91" s="396"/>
      <c r="V91" s="396"/>
      <c r="W91" s="396"/>
      <c r="X91" s="396"/>
      <c r="Y91" s="396"/>
      <c r="Z91" s="396"/>
      <c r="AA91" s="396"/>
      <c r="AB91" s="396"/>
      <c r="AC91" s="396"/>
      <c r="AD91" s="396"/>
      <c r="AE91" s="396"/>
    </row>
    <row r="92" spans="1:31" ht="15" customHeight="1">
      <c r="A92" s="396"/>
      <c r="B92" s="396"/>
      <c r="C92" s="396"/>
      <c r="D92" s="396"/>
      <c r="E92" s="396"/>
      <c r="F92" s="396"/>
      <c r="G92" s="396"/>
      <c r="H92" s="396"/>
      <c r="I92" s="396"/>
      <c r="J92" s="396"/>
      <c r="K92" s="396"/>
      <c r="L92" s="396"/>
      <c r="M92" s="396"/>
      <c r="N92" s="396"/>
      <c r="O92" s="396"/>
      <c r="P92" s="396"/>
      <c r="Q92" s="396"/>
      <c r="R92" s="396"/>
      <c r="S92" s="396"/>
      <c r="T92" s="396"/>
      <c r="U92" s="396"/>
      <c r="V92" s="396"/>
      <c r="W92" s="396"/>
      <c r="X92" s="396"/>
      <c r="Y92" s="396"/>
      <c r="Z92" s="396"/>
      <c r="AA92" s="396"/>
      <c r="AB92" s="396"/>
      <c r="AC92" s="396"/>
      <c r="AD92" s="396"/>
      <c r="AE92" s="396"/>
    </row>
    <row r="93" spans="1:31" ht="15" customHeight="1">
      <c r="A93" s="396"/>
      <c r="B93" s="396"/>
      <c r="C93" s="396"/>
      <c r="D93" s="396"/>
      <c r="E93" s="396"/>
      <c r="F93" s="396"/>
      <c r="G93" s="396"/>
      <c r="H93" s="396"/>
      <c r="I93" s="396"/>
      <c r="J93" s="396"/>
      <c r="K93" s="396"/>
      <c r="L93" s="396"/>
      <c r="M93" s="396"/>
      <c r="N93" s="396"/>
      <c r="O93" s="396"/>
      <c r="P93" s="396"/>
      <c r="Q93" s="396"/>
      <c r="R93" s="396"/>
      <c r="S93" s="396"/>
      <c r="T93" s="396"/>
      <c r="U93" s="396"/>
      <c r="V93" s="396"/>
      <c r="W93" s="396"/>
      <c r="X93" s="396"/>
      <c r="Y93" s="396"/>
      <c r="Z93" s="396"/>
      <c r="AA93" s="396"/>
      <c r="AB93" s="396"/>
      <c r="AC93" s="396"/>
      <c r="AD93" s="396"/>
      <c r="AE93" s="396"/>
    </row>
    <row r="94" spans="1:31" ht="15" customHeight="1">
      <c r="A94" s="396"/>
      <c r="B94" s="396"/>
      <c r="C94" s="396"/>
      <c r="D94" s="396"/>
      <c r="E94" s="396"/>
      <c r="F94" s="396"/>
      <c r="G94" s="396"/>
      <c r="H94" s="396"/>
      <c r="I94" s="396"/>
      <c r="J94" s="396"/>
      <c r="K94" s="396"/>
      <c r="L94" s="396"/>
      <c r="M94" s="396"/>
      <c r="N94" s="396"/>
      <c r="O94" s="396"/>
      <c r="P94" s="396"/>
      <c r="Q94" s="396"/>
      <c r="R94" s="396"/>
      <c r="S94" s="396"/>
      <c r="T94" s="396"/>
      <c r="U94" s="396"/>
      <c r="V94" s="396"/>
      <c r="W94" s="396"/>
      <c r="X94" s="396"/>
      <c r="Y94" s="396"/>
      <c r="Z94" s="396"/>
      <c r="AA94" s="396"/>
      <c r="AB94" s="396"/>
      <c r="AC94" s="396"/>
      <c r="AD94" s="396"/>
      <c r="AE94" s="396"/>
    </row>
    <row r="95" spans="1:31" ht="15" customHeight="1">
      <c r="A95" s="396"/>
      <c r="B95" s="396"/>
      <c r="C95" s="396"/>
      <c r="D95" s="396"/>
      <c r="E95" s="396"/>
      <c r="F95" s="396"/>
      <c r="G95" s="396"/>
      <c r="H95" s="396"/>
      <c r="I95" s="396"/>
      <c r="J95" s="396"/>
      <c r="K95" s="396"/>
      <c r="L95" s="396"/>
      <c r="M95" s="396"/>
      <c r="N95" s="396"/>
      <c r="O95" s="396"/>
      <c r="P95" s="396"/>
      <c r="Q95" s="396"/>
      <c r="R95" s="396"/>
      <c r="S95" s="396"/>
      <c r="T95" s="396"/>
      <c r="U95" s="396"/>
      <c r="V95" s="396"/>
      <c r="W95" s="396"/>
      <c r="X95" s="396"/>
      <c r="Y95" s="396"/>
      <c r="Z95" s="396"/>
      <c r="AA95" s="396"/>
      <c r="AB95" s="396"/>
      <c r="AC95" s="396"/>
      <c r="AD95" s="396"/>
      <c r="AE95" s="396"/>
    </row>
  </sheetData>
  <mergeCells count="73">
    <mergeCell ref="AA51:AA52"/>
    <mergeCell ref="B71:AA71"/>
    <mergeCell ref="B72:B73"/>
    <mergeCell ref="C72:D72"/>
    <mergeCell ref="E72:F72"/>
    <mergeCell ref="G72:H72"/>
    <mergeCell ref="I72:J72"/>
    <mergeCell ref="K72:L72"/>
    <mergeCell ref="M72:N72"/>
    <mergeCell ref="O72:P72"/>
    <mergeCell ref="Q72:R72"/>
    <mergeCell ref="S72:T72"/>
    <mergeCell ref="U72:V72"/>
    <mergeCell ref="W72:X72"/>
    <mergeCell ref="Y72:Z72"/>
    <mergeCell ref="AA72:AA73"/>
    <mergeCell ref="Y30:Z30"/>
    <mergeCell ref="AA30:AA31"/>
    <mergeCell ref="B50:AA50"/>
    <mergeCell ref="B51:B52"/>
    <mergeCell ref="C51:D51"/>
    <mergeCell ref="E51:F51"/>
    <mergeCell ref="G51:H51"/>
    <mergeCell ref="I51:J51"/>
    <mergeCell ref="K51:L51"/>
    <mergeCell ref="M51:N51"/>
    <mergeCell ref="O51:P51"/>
    <mergeCell ref="Q51:R51"/>
    <mergeCell ref="S51:T51"/>
    <mergeCell ref="U51:V51"/>
    <mergeCell ref="W51:X51"/>
    <mergeCell ref="Y51:Z51"/>
    <mergeCell ref="B26:B27"/>
    <mergeCell ref="N26:AA26"/>
    <mergeCell ref="N27:AA27"/>
    <mergeCell ref="B29:AA29"/>
    <mergeCell ref="B30:B31"/>
    <mergeCell ref="C30:D30"/>
    <mergeCell ref="E30:F30"/>
    <mergeCell ref="G30:H30"/>
    <mergeCell ref="I30:J30"/>
    <mergeCell ref="K30:L30"/>
    <mergeCell ref="M30:N30"/>
    <mergeCell ref="O30:P30"/>
    <mergeCell ref="Q30:R30"/>
    <mergeCell ref="S30:T30"/>
    <mergeCell ref="U30:V30"/>
    <mergeCell ref="W30:X30"/>
    <mergeCell ref="N21:AA21"/>
    <mergeCell ref="B22:B25"/>
    <mergeCell ref="N22:AA22"/>
    <mergeCell ref="N23:AA23"/>
    <mergeCell ref="N24:AA24"/>
    <mergeCell ref="N25:AA25"/>
    <mergeCell ref="B16:B18"/>
    <mergeCell ref="N16:AA16"/>
    <mergeCell ref="N17:AA17"/>
    <mergeCell ref="N18:AA18"/>
    <mergeCell ref="B19:B20"/>
    <mergeCell ref="N19:AA19"/>
    <mergeCell ref="N20:AA20"/>
    <mergeCell ref="M12:M13"/>
    <mergeCell ref="N12:AA13"/>
    <mergeCell ref="B14:B15"/>
    <mergeCell ref="N14:AA14"/>
    <mergeCell ref="N15:AA15"/>
    <mergeCell ref="B4:D4"/>
    <mergeCell ref="H4:J4"/>
    <mergeCell ref="B11:L11"/>
    <mergeCell ref="B12:B13"/>
    <mergeCell ref="C12:C13"/>
    <mergeCell ref="D12:D13"/>
    <mergeCell ref="L12:L13"/>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20"/>
  <sheetViews>
    <sheetView zoomScale="85" zoomScaleNormal="85" workbookViewId="0">
      <selection activeCell="E32" sqref="E32"/>
    </sheetView>
  </sheetViews>
  <sheetFormatPr baseColWidth="10" defaultColWidth="12.6640625" defaultRowHeight="15" customHeight="1"/>
  <cols>
    <col min="1" max="1" width="40" customWidth="1"/>
    <col min="2" max="4" width="16" customWidth="1"/>
    <col min="5" max="26" width="56" customWidth="1"/>
  </cols>
  <sheetData>
    <row r="1" spans="1:26" ht="45.75" customHeight="1">
      <c r="A1" s="20"/>
      <c r="B1" s="20"/>
      <c r="C1" s="20"/>
      <c r="D1" s="20"/>
      <c r="E1" s="20"/>
      <c r="F1" s="344" t="s">
        <v>15</v>
      </c>
      <c r="G1" s="312"/>
      <c r="H1" s="312"/>
      <c r="I1" s="20"/>
      <c r="J1" s="20"/>
      <c r="K1" s="20"/>
      <c r="L1" s="20"/>
      <c r="M1" s="20"/>
      <c r="N1" s="20"/>
      <c r="O1" s="20"/>
      <c r="P1" s="13"/>
      <c r="Q1" s="13"/>
      <c r="R1" s="13"/>
      <c r="S1" s="13"/>
      <c r="T1" s="13"/>
      <c r="U1" s="13"/>
      <c r="V1" s="13"/>
      <c r="W1" s="13"/>
      <c r="X1" s="13"/>
      <c r="Y1" s="13"/>
      <c r="Z1" s="13"/>
    </row>
    <row r="2" spans="1:26" ht="1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5" customHeight="1">
      <c r="A3" s="13"/>
      <c r="B3" s="692" t="s">
        <v>73</v>
      </c>
      <c r="C3" s="692"/>
      <c r="D3" s="692"/>
      <c r="E3" s="13"/>
      <c r="F3" s="13"/>
      <c r="G3" s="13"/>
      <c r="H3" s="13"/>
      <c r="I3" s="13"/>
      <c r="J3" s="13"/>
      <c r="K3" s="13"/>
      <c r="L3" s="13"/>
      <c r="M3" s="13"/>
      <c r="N3" s="13"/>
      <c r="O3" s="13"/>
      <c r="P3" s="13"/>
      <c r="Q3" s="13"/>
      <c r="R3" s="13"/>
      <c r="S3" s="13"/>
      <c r="T3" s="13"/>
      <c r="U3" s="13"/>
      <c r="V3" s="13"/>
      <c r="W3" s="13"/>
      <c r="X3" s="13"/>
      <c r="Y3" s="13"/>
      <c r="Z3" s="13"/>
    </row>
    <row r="4" spans="1:26" ht="15" customHeight="1">
      <c r="A4" s="13"/>
      <c r="B4" s="346">
        <v>2026</v>
      </c>
      <c r="C4" s="346">
        <v>2027</v>
      </c>
      <c r="D4" s="346">
        <v>2028</v>
      </c>
      <c r="E4" s="13"/>
      <c r="F4" s="13"/>
      <c r="G4" s="13"/>
      <c r="H4" s="13"/>
      <c r="I4" s="13"/>
      <c r="J4" s="13"/>
      <c r="K4" s="13"/>
      <c r="L4" s="13"/>
      <c r="M4" s="13"/>
      <c r="N4" s="13"/>
      <c r="O4" s="13"/>
      <c r="P4" s="13"/>
      <c r="Q4" s="13"/>
      <c r="R4" s="13"/>
      <c r="S4" s="13"/>
      <c r="T4" s="13"/>
      <c r="U4" s="13"/>
      <c r="V4" s="13"/>
      <c r="W4" s="13"/>
      <c r="X4" s="13"/>
      <c r="Y4" s="13"/>
      <c r="Z4" s="13"/>
    </row>
    <row r="5" spans="1:26" ht="15" customHeight="1">
      <c r="A5" s="13"/>
      <c r="B5" s="347">
        <f>Hipótesis!C24</f>
        <v>8.0000000000000002E-3</v>
      </c>
      <c r="C5" s="347">
        <f>Hipótesis!C25</f>
        <v>2.9000000000000001E-2</v>
      </c>
      <c r="D5" s="347">
        <f>Hipótesis!C26</f>
        <v>5.1999999999999998E-2</v>
      </c>
      <c r="E5" s="13"/>
      <c r="F5" s="13"/>
      <c r="G5" s="13"/>
      <c r="H5" s="13"/>
      <c r="I5" s="13"/>
      <c r="J5" s="13"/>
      <c r="K5" s="13"/>
      <c r="L5" s="13"/>
      <c r="M5" s="13"/>
      <c r="N5" s="13"/>
      <c r="O5" s="13"/>
      <c r="P5" s="13"/>
      <c r="Q5" s="13"/>
      <c r="R5" s="13"/>
      <c r="S5" s="13"/>
      <c r="T5" s="13"/>
      <c r="U5" s="13"/>
      <c r="V5" s="13"/>
      <c r="W5" s="13"/>
      <c r="X5" s="13"/>
      <c r="Y5" s="13"/>
      <c r="Z5" s="13"/>
    </row>
    <row r="6" spans="1:26" ht="15" customHeight="1">
      <c r="A6" s="13"/>
      <c r="B6" s="349">
        <f>Hipótesis!D24</f>
        <v>107520</v>
      </c>
      <c r="C6" s="349">
        <f>Hipótesis!D25</f>
        <v>389760</v>
      </c>
      <c r="D6" s="349">
        <f>Hipótesis!D26</f>
        <v>698880</v>
      </c>
      <c r="E6" s="13"/>
      <c r="F6" s="13"/>
      <c r="G6" s="13"/>
      <c r="H6" s="13"/>
      <c r="I6" s="13"/>
      <c r="J6" s="13"/>
      <c r="K6" s="13"/>
      <c r="L6" s="13"/>
      <c r="M6" s="13"/>
      <c r="N6" s="13"/>
      <c r="O6" s="13"/>
      <c r="P6" s="13"/>
      <c r="Q6" s="13"/>
      <c r="R6" s="13"/>
      <c r="S6" s="13"/>
      <c r="T6" s="13"/>
      <c r="U6" s="13"/>
      <c r="V6" s="13"/>
      <c r="W6" s="13"/>
      <c r="X6" s="13"/>
      <c r="Y6" s="13"/>
      <c r="Z6" s="13"/>
    </row>
    <row r="7" spans="1:26" ht="15" customHeight="1">
      <c r="A7" s="13"/>
      <c r="B7" s="350"/>
      <c r="C7" s="350"/>
      <c r="D7" s="350"/>
      <c r="E7" s="13"/>
      <c r="F7" s="13"/>
      <c r="G7" s="13"/>
      <c r="H7" s="13"/>
      <c r="I7" s="13"/>
      <c r="J7" s="13"/>
      <c r="K7" s="13"/>
      <c r="L7" s="13"/>
      <c r="M7" s="13"/>
      <c r="N7" s="13"/>
      <c r="O7" s="13"/>
      <c r="P7" s="13"/>
      <c r="Q7" s="13"/>
      <c r="R7" s="13"/>
      <c r="S7" s="13"/>
      <c r="T7" s="13"/>
      <c r="U7" s="13"/>
      <c r="V7" s="13"/>
      <c r="W7" s="13"/>
      <c r="X7" s="13"/>
      <c r="Y7" s="13"/>
      <c r="Z7" s="13"/>
    </row>
    <row r="8" spans="1:26" ht="21.75" customHeight="1">
      <c r="A8" s="13"/>
      <c r="B8" s="692" t="s">
        <v>346</v>
      </c>
      <c r="C8" s="692"/>
      <c r="D8" s="692"/>
      <c r="E8" s="13"/>
      <c r="F8" s="13"/>
      <c r="G8" s="13"/>
      <c r="H8" s="13"/>
      <c r="I8" s="13"/>
      <c r="J8" s="13"/>
      <c r="K8" s="13"/>
      <c r="L8" s="13"/>
      <c r="M8" s="13"/>
      <c r="N8" s="13"/>
      <c r="O8" s="13"/>
      <c r="P8" s="13"/>
      <c r="Q8" s="13"/>
      <c r="R8" s="13"/>
      <c r="S8" s="13"/>
      <c r="T8" s="13"/>
      <c r="U8" s="13"/>
      <c r="V8" s="13"/>
      <c r="W8" s="13"/>
      <c r="X8" s="13"/>
      <c r="Y8" s="13"/>
      <c r="Z8" s="13"/>
    </row>
    <row r="9" spans="1:26" ht="15" customHeight="1">
      <c r="A9" s="346" t="s">
        <v>97</v>
      </c>
      <c r="B9" s="346">
        <v>2026</v>
      </c>
      <c r="C9" s="346">
        <v>2027</v>
      </c>
      <c r="D9" s="346">
        <v>2028</v>
      </c>
      <c r="E9" s="13"/>
      <c r="F9" s="13"/>
      <c r="G9" s="13"/>
      <c r="H9" s="13"/>
      <c r="I9" s="13"/>
      <c r="J9" s="13"/>
      <c r="K9" s="13"/>
      <c r="L9" s="13"/>
      <c r="M9" s="13"/>
      <c r="N9" s="13"/>
      <c r="O9" s="13"/>
      <c r="P9" s="13"/>
      <c r="Q9" s="13"/>
      <c r="R9" s="13"/>
      <c r="S9" s="13"/>
      <c r="T9" s="13"/>
      <c r="U9" s="13"/>
      <c r="V9" s="13"/>
      <c r="W9" s="13"/>
      <c r="X9" s="13"/>
      <c r="Y9" s="13"/>
      <c r="Z9" s="13"/>
    </row>
    <row r="10" spans="1:26" ht="15" customHeight="1">
      <c r="A10" s="351" t="s">
        <v>347</v>
      </c>
      <c r="B10" s="349">
        <f>'Costos fijos'!$G$5</f>
        <v>32640</v>
      </c>
      <c r="C10" s="349">
        <f>'Costos fijos'!$H$5</f>
        <v>77700</v>
      </c>
      <c r="D10" s="349">
        <f>'Costos fijos'!$I$5</f>
        <v>106860</v>
      </c>
      <c r="E10" s="13"/>
      <c r="F10" s="13"/>
      <c r="G10" s="13"/>
      <c r="H10" s="13"/>
      <c r="I10" s="13"/>
      <c r="J10" s="13"/>
      <c r="K10" s="13"/>
      <c r="L10" s="13"/>
      <c r="M10" s="13"/>
      <c r="N10" s="13"/>
      <c r="O10" s="13"/>
      <c r="P10" s="13"/>
      <c r="Q10" s="13"/>
      <c r="R10" s="13"/>
      <c r="S10" s="13"/>
      <c r="T10" s="13"/>
      <c r="U10" s="13"/>
      <c r="V10" s="13"/>
      <c r="W10" s="13"/>
      <c r="X10" s="13"/>
      <c r="Y10" s="13"/>
      <c r="Z10" s="13"/>
    </row>
    <row r="11" spans="1:26" ht="15" customHeight="1">
      <c r="A11" s="351" t="s">
        <v>348</v>
      </c>
      <c r="B11" s="349">
        <f>'Costos variables'!$H$6</f>
        <v>40479.800000000003</v>
      </c>
      <c r="C11" s="349">
        <f>'Costos variables'!$I$6</f>
        <v>59474.6</v>
      </c>
      <c r="D11" s="349">
        <f>'Costos variables'!$J$6</f>
        <v>85346</v>
      </c>
      <c r="E11" s="13"/>
      <c r="F11" s="13"/>
      <c r="G11" s="13"/>
      <c r="H11" s="13"/>
      <c r="I11" s="13"/>
      <c r="J11" s="13"/>
      <c r="K11" s="13"/>
      <c r="L11" s="13"/>
      <c r="M11" s="13"/>
      <c r="N11" s="13"/>
      <c r="O11" s="13"/>
      <c r="P11" s="13"/>
      <c r="Q11" s="13"/>
      <c r="R11" s="13"/>
      <c r="S11" s="13"/>
      <c r="T11" s="13"/>
      <c r="U11" s="13"/>
      <c r="V11" s="13"/>
      <c r="W11" s="13"/>
      <c r="X11" s="13"/>
      <c r="Y11" s="13"/>
      <c r="Z11" s="13"/>
    </row>
    <row r="12" spans="1:26" ht="15" customHeight="1">
      <c r="A12" s="351" t="s">
        <v>349</v>
      </c>
      <c r="B12" s="349">
        <f>'Costos RRHH'!$H$6</f>
        <v>67319.200000000012</v>
      </c>
      <c r="C12" s="349">
        <f>'Costos RRHH'!$I$6</f>
        <v>67319.200000000012</v>
      </c>
      <c r="D12" s="349">
        <f>'Costos RRHH'!$J$6</f>
        <v>67319.200000000012</v>
      </c>
      <c r="E12" s="13"/>
      <c r="F12" s="13"/>
      <c r="G12" s="13"/>
      <c r="H12" s="13"/>
      <c r="I12" s="13"/>
      <c r="J12" s="13"/>
      <c r="K12" s="13"/>
      <c r="L12" s="13"/>
      <c r="M12" s="13"/>
      <c r="N12" s="13"/>
      <c r="O12" s="13"/>
      <c r="P12" s="13"/>
      <c r="Q12" s="13"/>
      <c r="R12" s="13"/>
      <c r="S12" s="13"/>
      <c r="T12" s="13"/>
      <c r="U12" s="13"/>
      <c r="V12" s="13"/>
      <c r="W12" s="13"/>
      <c r="X12" s="13"/>
      <c r="Y12" s="13"/>
      <c r="Z12" s="13"/>
    </row>
    <row r="13" spans="1:26" ht="15" customHeight="1">
      <c r="A13" s="355" t="s">
        <v>350</v>
      </c>
      <c r="B13" s="357">
        <f>SUM(B10:B12)</f>
        <v>140439</v>
      </c>
      <c r="C13" s="357">
        <f>SUM(C10:C12)</f>
        <v>204493.80000000002</v>
      </c>
      <c r="D13" s="357">
        <f>SUM(D10:D12)</f>
        <v>259525.2</v>
      </c>
      <c r="E13" s="13"/>
      <c r="F13" s="13"/>
      <c r="G13" s="13"/>
      <c r="H13" s="13"/>
      <c r="I13" s="13"/>
      <c r="J13" s="13"/>
      <c r="K13" s="13"/>
      <c r="L13" s="13"/>
      <c r="M13" s="13"/>
      <c r="N13" s="13"/>
      <c r="O13" s="13"/>
      <c r="P13" s="13"/>
      <c r="Q13" s="13"/>
      <c r="R13" s="13"/>
      <c r="S13" s="13"/>
      <c r="T13" s="13"/>
      <c r="U13" s="13"/>
      <c r="V13" s="13"/>
      <c r="W13" s="13"/>
      <c r="X13" s="13"/>
      <c r="Y13" s="13"/>
      <c r="Z13" s="13"/>
    </row>
    <row r="14" spans="1:26" ht="15" customHeight="1">
      <c r="A14" s="414" t="s">
        <v>351</v>
      </c>
      <c r="B14" s="352">
        <f>+'Mod. ingresos'!C30</f>
        <v>105865</v>
      </c>
      <c r="C14" s="352">
        <f>+'Mod. ingresos'!D30</f>
        <v>386897</v>
      </c>
      <c r="D14" s="352">
        <f>+'Mod. ingresos'!E30</f>
        <v>705506</v>
      </c>
      <c r="E14" s="13"/>
      <c r="F14" s="13"/>
      <c r="G14" s="13"/>
      <c r="H14" s="13"/>
      <c r="I14" s="13"/>
      <c r="J14" s="13"/>
      <c r="K14" s="13"/>
      <c r="L14" s="13"/>
      <c r="M14" s="13"/>
      <c r="N14" s="13"/>
      <c r="O14" s="13"/>
      <c r="P14" s="13"/>
      <c r="Q14" s="13"/>
      <c r="R14" s="13"/>
      <c r="S14" s="13"/>
      <c r="T14" s="13"/>
      <c r="U14" s="13"/>
      <c r="V14" s="13"/>
      <c r="W14" s="13"/>
      <c r="X14" s="13"/>
      <c r="Y14" s="13"/>
      <c r="Z14" s="13"/>
    </row>
    <row r="15" spans="1:26" ht="15" customHeight="1">
      <c r="A15" s="415" t="s">
        <v>352</v>
      </c>
      <c r="B15" s="416">
        <f>B14-B13</f>
        <v>-34574</v>
      </c>
      <c r="C15" s="416">
        <f>C14-C13</f>
        <v>182403.19999999998</v>
      </c>
      <c r="D15" s="416">
        <f>D14-D13</f>
        <v>445980.8</v>
      </c>
      <c r="E15" s="13"/>
      <c r="F15" s="13"/>
      <c r="G15" s="13"/>
      <c r="H15" s="13"/>
      <c r="I15" s="13"/>
      <c r="J15" s="13"/>
      <c r="K15" s="13"/>
      <c r="L15" s="13"/>
      <c r="M15" s="13"/>
      <c r="N15" s="13"/>
      <c r="O15" s="13"/>
      <c r="P15" s="13"/>
      <c r="Q15" s="13"/>
      <c r="R15" s="13"/>
      <c r="S15" s="13"/>
      <c r="T15" s="13"/>
      <c r="U15" s="13"/>
      <c r="V15" s="13"/>
      <c r="W15" s="13"/>
      <c r="X15" s="13"/>
      <c r="Y15" s="13"/>
      <c r="Z15" s="13"/>
    </row>
    <row r="16" spans="1:26" ht="15" customHeight="1">
      <c r="A16" s="353" t="s">
        <v>353</v>
      </c>
      <c r="B16" s="417">
        <f>IFERROR(B13/B14,"")</f>
        <v>1.3265857459972608</v>
      </c>
      <c r="C16" s="417">
        <f>IFERROR(C13/C14,"")</f>
        <v>0.52854842503301913</v>
      </c>
      <c r="D16" s="417">
        <f>IFERROR(D13/D14,"")</f>
        <v>0.36785682899932814</v>
      </c>
      <c r="E16" s="13"/>
      <c r="F16" s="13"/>
      <c r="G16" s="13"/>
      <c r="H16" s="13"/>
      <c r="I16" s="13"/>
      <c r="J16" s="13"/>
      <c r="K16" s="13"/>
      <c r="L16" s="13"/>
      <c r="M16" s="13"/>
      <c r="N16" s="13"/>
      <c r="O16" s="13"/>
      <c r="P16" s="13"/>
      <c r="Q16" s="13"/>
      <c r="R16" s="13"/>
      <c r="S16" s="13"/>
      <c r="T16" s="13"/>
      <c r="U16" s="13"/>
      <c r="V16" s="13"/>
      <c r="W16" s="13"/>
      <c r="X16" s="13"/>
      <c r="Y16" s="13"/>
      <c r="Z16" s="13"/>
    </row>
    <row r="17" spans="1:26" ht="1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21.75" customHeight="1">
      <c r="A18" s="13"/>
      <c r="B18" s="345"/>
      <c r="C18" s="345" t="s">
        <v>354</v>
      </c>
      <c r="D18" s="345"/>
      <c r="E18" s="13"/>
      <c r="F18" s="13"/>
      <c r="G18" s="13"/>
      <c r="H18" s="13"/>
      <c r="I18" s="13"/>
      <c r="J18" s="13"/>
      <c r="K18" s="13"/>
      <c r="L18" s="13"/>
      <c r="M18" s="13"/>
      <c r="N18" s="13"/>
      <c r="O18" s="13"/>
      <c r="P18" s="13"/>
      <c r="Q18" s="13"/>
      <c r="R18" s="13"/>
      <c r="S18" s="13"/>
      <c r="T18" s="13"/>
      <c r="U18" s="13"/>
      <c r="V18" s="13"/>
      <c r="W18" s="13"/>
      <c r="X18" s="13"/>
      <c r="Y18" s="13"/>
      <c r="Z18" s="13"/>
    </row>
    <row r="19" spans="1:26" ht="15" customHeight="1">
      <c r="A19" s="346" t="s">
        <v>97</v>
      </c>
      <c r="B19" s="346">
        <v>2026</v>
      </c>
      <c r="C19" s="346">
        <v>2027</v>
      </c>
      <c r="D19" s="346">
        <v>2028</v>
      </c>
      <c r="E19" s="13"/>
      <c r="F19" s="13"/>
      <c r="G19" s="13"/>
      <c r="H19" s="13"/>
      <c r="I19" s="13"/>
      <c r="J19" s="13"/>
      <c r="K19" s="13"/>
      <c r="L19" s="13"/>
      <c r="M19" s="13"/>
      <c r="N19" s="13"/>
      <c r="O19" s="13"/>
      <c r="P19" s="13"/>
      <c r="Q19" s="13"/>
      <c r="R19" s="13"/>
      <c r="S19" s="13"/>
      <c r="T19" s="13"/>
      <c r="U19" s="13"/>
      <c r="V19" s="13"/>
      <c r="W19" s="13"/>
      <c r="X19" s="13"/>
      <c r="Y19" s="13"/>
      <c r="Z19" s="13"/>
    </row>
    <row r="20" spans="1:26" ht="15" customHeight="1">
      <c r="A20" s="351" t="s">
        <v>347</v>
      </c>
      <c r="B20" s="347">
        <f t="shared" ref="B20:D22" si="0">IFERROR(B10/B$13,"")</f>
        <v>0.2324140730139064</v>
      </c>
      <c r="C20" s="347">
        <f t="shared" si="0"/>
        <v>0.37996261989361041</v>
      </c>
      <c r="D20" s="347">
        <f t="shared" si="0"/>
        <v>0.41175192235667285</v>
      </c>
      <c r="E20" s="13"/>
      <c r="F20" s="13"/>
      <c r="G20" s="13"/>
      <c r="H20" s="13"/>
      <c r="I20" s="13"/>
      <c r="J20" s="13"/>
      <c r="K20" s="13"/>
      <c r="L20" s="13"/>
      <c r="M20" s="13"/>
      <c r="N20" s="13"/>
      <c r="O20" s="13"/>
      <c r="P20" s="13"/>
      <c r="Q20" s="13"/>
      <c r="R20" s="13"/>
      <c r="S20" s="13"/>
      <c r="T20" s="13"/>
      <c r="U20" s="13"/>
      <c r="V20" s="13"/>
      <c r="W20" s="13"/>
      <c r="X20" s="13"/>
      <c r="Y20" s="13"/>
      <c r="Z20" s="13"/>
    </row>
    <row r="21" spans="1:26" ht="15" customHeight="1">
      <c r="A21" s="351" t="s">
        <v>348</v>
      </c>
      <c r="B21" s="347">
        <f t="shared" si="0"/>
        <v>0.28823759781826985</v>
      </c>
      <c r="C21" s="347">
        <f t="shared" si="0"/>
        <v>0.29083815744047004</v>
      </c>
      <c r="D21" s="347">
        <f t="shared" si="0"/>
        <v>0.32885438485357105</v>
      </c>
      <c r="E21" s="13"/>
      <c r="F21" s="13"/>
      <c r="G21" s="13"/>
      <c r="H21" s="13"/>
      <c r="I21" s="13"/>
      <c r="J21" s="13"/>
      <c r="K21" s="13"/>
      <c r="L21" s="13"/>
      <c r="M21" s="13"/>
      <c r="N21" s="13"/>
      <c r="O21" s="13"/>
      <c r="P21" s="13"/>
      <c r="Q21" s="13"/>
      <c r="R21" s="13"/>
      <c r="S21" s="13"/>
      <c r="T21" s="13"/>
      <c r="U21" s="13"/>
      <c r="V21" s="13"/>
      <c r="W21" s="13"/>
      <c r="X21" s="13"/>
      <c r="Y21" s="13"/>
      <c r="Z21" s="13"/>
    </row>
    <row r="22" spans="1:26" ht="15" customHeight="1">
      <c r="A22" s="351" t="s">
        <v>349</v>
      </c>
      <c r="B22" s="347">
        <f t="shared" si="0"/>
        <v>0.47934832916782383</v>
      </c>
      <c r="C22" s="347">
        <f t="shared" si="0"/>
        <v>0.3291992226659195</v>
      </c>
      <c r="D22" s="347">
        <f t="shared" si="0"/>
        <v>0.2593936927897561</v>
      </c>
      <c r="E22" s="13"/>
      <c r="F22" s="13"/>
      <c r="G22" s="13"/>
      <c r="H22" s="13"/>
      <c r="I22" s="13"/>
      <c r="J22" s="13"/>
      <c r="K22" s="13"/>
      <c r="L22" s="13"/>
      <c r="M22" s="13"/>
      <c r="N22" s="13"/>
      <c r="O22" s="13"/>
      <c r="P22" s="13"/>
      <c r="Q22" s="13"/>
      <c r="R22" s="13"/>
      <c r="S22" s="13"/>
      <c r="T22" s="13"/>
      <c r="U22" s="13"/>
      <c r="V22" s="13"/>
      <c r="W22" s="13"/>
      <c r="X22" s="13"/>
      <c r="Y22" s="13"/>
      <c r="Z22" s="13"/>
    </row>
    <row r="23" spans="1:26" ht="1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sheetData>
  <mergeCells count="2">
    <mergeCell ref="B3:D3"/>
    <mergeCell ref="B8:D8"/>
  </mergeCells>
  <pageMargins left="0.7" right="0.7" top="0.75" bottom="0.75"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81"/>
  <sheetViews>
    <sheetView topLeftCell="A25" zoomScaleNormal="100" workbookViewId="0"/>
  </sheetViews>
  <sheetFormatPr baseColWidth="10" defaultColWidth="8.6640625" defaultRowHeight="14"/>
  <cols>
    <col min="1" max="1" width="10" customWidth="1"/>
    <col min="2" max="2" width="40.6640625" customWidth="1"/>
    <col min="3" max="3" width="13.83203125" customWidth="1"/>
    <col min="4" max="4" width="14" customWidth="1"/>
    <col min="5" max="5" width="13.1640625" customWidth="1"/>
    <col min="6" max="6" width="83.33203125" customWidth="1"/>
    <col min="7" max="7" width="29.6640625" customWidth="1"/>
    <col min="8" max="8" width="12.1640625" customWidth="1"/>
    <col min="10" max="10" width="13.1640625" customWidth="1"/>
    <col min="11" max="11" width="10" customWidth="1"/>
  </cols>
  <sheetData>
    <row r="1" spans="1:26" ht="60.75" customHeight="1">
      <c r="A1" s="20"/>
      <c r="B1" s="20"/>
      <c r="C1" s="20"/>
      <c r="D1" s="20"/>
      <c r="E1" s="20"/>
      <c r="F1" s="208" t="s">
        <v>16</v>
      </c>
      <c r="G1" s="312"/>
      <c r="H1" s="312"/>
      <c r="I1" s="20"/>
      <c r="J1" s="20"/>
      <c r="K1" s="20"/>
      <c r="L1" s="20"/>
      <c r="M1" s="13"/>
      <c r="N1" s="13"/>
      <c r="O1" s="13"/>
      <c r="P1" s="13"/>
      <c r="Q1" s="13"/>
      <c r="R1" s="13"/>
      <c r="S1" s="13"/>
      <c r="T1" s="13"/>
      <c r="U1" s="13"/>
      <c r="V1" s="13"/>
      <c r="W1" s="13"/>
      <c r="X1" s="13"/>
      <c r="Y1" s="13"/>
      <c r="Z1" s="13"/>
    </row>
    <row r="2" spans="1:26" ht="14.2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5.5" customHeight="1">
      <c r="A3" s="13"/>
      <c r="B3" s="12" t="s">
        <v>73</v>
      </c>
      <c r="C3" s="12"/>
      <c r="D3" s="12"/>
      <c r="E3" s="13"/>
      <c r="F3" s="13"/>
      <c r="G3" s="1" t="s">
        <v>355</v>
      </c>
      <c r="H3" s="1"/>
      <c r="I3" s="1"/>
      <c r="J3" s="1"/>
      <c r="K3" s="13"/>
      <c r="L3" s="13"/>
      <c r="M3" s="13"/>
      <c r="N3" s="13"/>
      <c r="O3" s="13"/>
      <c r="P3" s="13"/>
      <c r="Q3" s="13"/>
      <c r="R3" s="13"/>
      <c r="S3" s="13"/>
      <c r="T3" s="13"/>
      <c r="U3" s="13"/>
      <c r="V3" s="13"/>
      <c r="W3" s="13"/>
      <c r="X3" s="13"/>
      <c r="Y3" s="13"/>
      <c r="Z3" s="13"/>
    </row>
    <row r="4" spans="1:26" ht="14.25" customHeight="1">
      <c r="A4" s="13"/>
      <c r="B4" s="79">
        <v>2026</v>
      </c>
      <c r="C4" s="80">
        <v>2027</v>
      </c>
      <c r="D4" s="81">
        <v>2028</v>
      </c>
      <c r="E4" s="13"/>
      <c r="F4" s="13"/>
      <c r="G4" s="418" t="s">
        <v>356</v>
      </c>
      <c r="H4" s="79">
        <v>2026</v>
      </c>
      <c r="I4" s="80">
        <v>2027</v>
      </c>
      <c r="J4" s="81">
        <v>2028</v>
      </c>
      <c r="K4" s="13"/>
      <c r="L4" s="13"/>
      <c r="M4" s="13"/>
      <c r="N4" s="13"/>
      <c r="O4" s="13"/>
      <c r="P4" s="13"/>
      <c r="Q4" s="13"/>
      <c r="R4" s="13"/>
      <c r="S4" s="13"/>
      <c r="T4" s="13"/>
      <c r="U4" s="13"/>
      <c r="V4" s="13"/>
      <c r="W4" s="13"/>
      <c r="X4" s="13"/>
      <c r="Y4" s="13"/>
      <c r="Z4" s="13"/>
    </row>
    <row r="5" spans="1:26" ht="14.25" customHeight="1">
      <c r="A5" s="13"/>
      <c r="B5" s="82">
        <f>Hipótesis!$C$24</f>
        <v>8.0000000000000002E-3</v>
      </c>
      <c r="C5" s="83">
        <f>Hipótesis!$C$25</f>
        <v>2.9000000000000001E-2</v>
      </c>
      <c r="D5" s="84">
        <f>Hipótesis!$C$26</f>
        <v>5.1999999999999998E-2</v>
      </c>
      <c r="E5" s="13"/>
      <c r="F5" s="13"/>
      <c r="G5" s="419">
        <f>$E$28</f>
        <v>67705</v>
      </c>
      <c r="H5" s="420">
        <f>$E$45</f>
        <v>10098</v>
      </c>
      <c r="I5" s="420">
        <f>$E$63</f>
        <v>11900</v>
      </c>
      <c r="J5" s="421">
        <f>$E$81</f>
        <v>18132</v>
      </c>
      <c r="K5" s="13"/>
      <c r="L5" s="13"/>
      <c r="M5" s="13"/>
      <c r="N5" s="13"/>
      <c r="O5" s="13"/>
      <c r="P5" s="13"/>
      <c r="Q5" s="13"/>
      <c r="R5" s="13"/>
      <c r="S5" s="13"/>
      <c r="T5" s="13"/>
      <c r="U5" s="13"/>
      <c r="V5" s="13"/>
      <c r="W5" s="13"/>
      <c r="X5" s="13"/>
      <c r="Y5" s="13"/>
      <c r="Z5" s="13"/>
    </row>
    <row r="6" spans="1:26" ht="14.25" customHeight="1">
      <c r="A6" s="13"/>
      <c r="B6" s="85">
        <f>Hipótesis!$D$24</f>
        <v>107520</v>
      </c>
      <c r="C6" s="86">
        <f>Hipótesis!$D$25</f>
        <v>389760</v>
      </c>
      <c r="D6" s="87">
        <f>Hipótesis!$D$26</f>
        <v>698880</v>
      </c>
      <c r="E6" s="13"/>
      <c r="F6" s="13"/>
      <c r="G6" s="13"/>
      <c r="H6" s="13"/>
      <c r="I6" s="13"/>
      <c r="J6" s="13"/>
      <c r="K6" s="13"/>
      <c r="L6" s="13"/>
      <c r="M6" s="13"/>
      <c r="N6" s="13"/>
      <c r="O6" s="13"/>
      <c r="P6" s="13"/>
      <c r="Q6" s="13"/>
      <c r="R6" s="13"/>
      <c r="S6" s="13"/>
      <c r="T6" s="13"/>
      <c r="U6" s="13"/>
      <c r="V6" s="13"/>
      <c r="W6" s="13"/>
      <c r="X6" s="13"/>
      <c r="Y6" s="13"/>
      <c r="Z6" s="13"/>
    </row>
    <row r="7" spans="1:26" ht="14.25"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14.25" customHeight="1">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25.5" customHeight="1">
      <c r="A9" s="13"/>
      <c r="B9" s="12" t="s">
        <v>357</v>
      </c>
      <c r="C9" s="12"/>
      <c r="D9" s="12"/>
      <c r="E9" s="12"/>
      <c r="F9" s="12"/>
      <c r="G9" s="13"/>
      <c r="H9" s="13"/>
      <c r="I9" s="13"/>
      <c r="J9" s="13"/>
      <c r="K9" s="13"/>
      <c r="L9" s="13"/>
      <c r="M9" s="13"/>
      <c r="N9" s="13"/>
      <c r="O9" s="13"/>
      <c r="P9" s="13"/>
      <c r="Q9" s="13"/>
      <c r="R9" s="13"/>
      <c r="S9" s="13"/>
      <c r="T9" s="13"/>
      <c r="U9" s="13"/>
      <c r="V9" s="13"/>
      <c r="W9" s="13"/>
      <c r="X9" s="13"/>
      <c r="Y9" s="13"/>
      <c r="Z9" s="13"/>
    </row>
    <row r="10" spans="1:26" ht="15" customHeight="1">
      <c r="A10" s="13"/>
      <c r="B10" s="422" t="s">
        <v>97</v>
      </c>
      <c r="C10" s="423" t="s">
        <v>36</v>
      </c>
      <c r="D10" s="423" t="s">
        <v>176</v>
      </c>
      <c r="E10" s="423" t="s">
        <v>177</v>
      </c>
      <c r="F10" s="43" t="s">
        <v>358</v>
      </c>
      <c r="G10" s="13"/>
      <c r="H10" s="13"/>
      <c r="I10" s="13"/>
      <c r="J10" s="13"/>
      <c r="K10" s="13"/>
      <c r="L10" s="13"/>
      <c r="M10" s="13"/>
      <c r="N10" s="13"/>
      <c r="O10" s="13"/>
      <c r="P10" s="13"/>
      <c r="Q10" s="13"/>
      <c r="R10" s="13"/>
      <c r="S10" s="13"/>
      <c r="T10" s="13"/>
      <c r="U10" s="13"/>
      <c r="V10" s="13"/>
      <c r="W10" s="13"/>
      <c r="X10" s="13"/>
      <c r="Y10" s="13"/>
      <c r="Z10" s="13"/>
    </row>
    <row r="11" spans="1:26" ht="14.25" customHeight="1">
      <c r="A11" s="13"/>
      <c r="B11" s="424" t="s">
        <v>359</v>
      </c>
      <c r="C11" s="250">
        <v>1</v>
      </c>
      <c r="D11" s="425">
        <v>64880</v>
      </c>
      <c r="E11" s="426">
        <f t="shared" ref="E11:E20" si="0">C11*D11</f>
        <v>64880</v>
      </c>
      <c r="F11" s="427" t="s">
        <v>360</v>
      </c>
      <c r="G11" s="13"/>
      <c r="H11" s="13"/>
      <c r="I11" s="13"/>
      <c r="J11" s="13"/>
      <c r="K11" s="13"/>
      <c r="L11" s="13"/>
      <c r="M11" s="13"/>
      <c r="N11" s="13"/>
      <c r="O11" s="13"/>
      <c r="P11" s="13"/>
      <c r="Q11" s="13"/>
      <c r="R11" s="13"/>
      <c r="S11" s="13"/>
      <c r="T11" s="13"/>
      <c r="U11" s="13"/>
      <c r="V11" s="13"/>
      <c r="W11" s="13"/>
      <c r="X11" s="13"/>
      <c r="Y11" s="13"/>
      <c r="Z11" s="13"/>
    </row>
    <row r="12" spans="1:26" ht="14.25" customHeight="1">
      <c r="A12" s="13"/>
      <c r="B12" s="424" t="s">
        <v>113</v>
      </c>
      <c r="C12" s="250">
        <v>2</v>
      </c>
      <c r="D12" s="425">
        <v>940</v>
      </c>
      <c r="E12" s="426">
        <f t="shared" si="0"/>
        <v>1880</v>
      </c>
      <c r="F12" s="427" t="s">
        <v>361</v>
      </c>
      <c r="G12" s="13"/>
      <c r="H12" s="13"/>
      <c r="I12" s="13"/>
      <c r="J12" s="13"/>
      <c r="K12" s="13"/>
      <c r="L12" s="13"/>
      <c r="M12" s="13"/>
      <c r="N12" s="13"/>
      <c r="O12" s="13"/>
      <c r="P12" s="13"/>
      <c r="Q12" s="13"/>
      <c r="R12" s="13"/>
      <c r="S12" s="13"/>
      <c r="T12" s="13"/>
      <c r="U12" s="13"/>
      <c r="V12" s="13"/>
      <c r="W12" s="13"/>
      <c r="X12" s="13"/>
      <c r="Y12" s="13"/>
      <c r="Z12" s="13"/>
    </row>
    <row r="13" spans="1:26" ht="14.25" customHeight="1">
      <c r="A13" s="13"/>
      <c r="B13" s="424" t="s">
        <v>114</v>
      </c>
      <c r="C13" s="250">
        <v>2</v>
      </c>
      <c r="D13" s="425">
        <v>100</v>
      </c>
      <c r="E13" s="426">
        <f t="shared" si="0"/>
        <v>200</v>
      </c>
      <c r="F13" s="428" t="s">
        <v>362</v>
      </c>
      <c r="G13" s="13"/>
      <c r="H13" s="13"/>
      <c r="I13" s="13"/>
      <c r="J13" s="13"/>
      <c r="K13" s="13"/>
      <c r="L13" s="13"/>
      <c r="M13" s="13"/>
      <c r="N13" s="13"/>
      <c r="O13" s="13"/>
      <c r="P13" s="13"/>
      <c r="Q13" s="13"/>
      <c r="R13" s="13"/>
      <c r="S13" s="13"/>
      <c r="T13" s="13"/>
      <c r="U13" s="13"/>
      <c r="V13" s="13"/>
      <c r="W13" s="13"/>
      <c r="X13" s="13"/>
      <c r="Y13" s="13"/>
      <c r="Z13" s="13"/>
    </row>
    <row r="14" spans="1:26" ht="14.25" customHeight="1">
      <c r="A14" s="13"/>
      <c r="B14" s="424" t="s">
        <v>115</v>
      </c>
      <c r="C14" s="250">
        <v>2</v>
      </c>
      <c r="D14" s="425">
        <v>85</v>
      </c>
      <c r="E14" s="426">
        <f t="shared" si="0"/>
        <v>170</v>
      </c>
      <c r="F14" s="428" t="s">
        <v>363</v>
      </c>
      <c r="G14" s="13"/>
      <c r="H14" s="13"/>
      <c r="I14" s="13"/>
      <c r="J14" s="13"/>
      <c r="K14" s="13"/>
      <c r="L14" s="13"/>
      <c r="M14" s="13"/>
      <c r="N14" s="13"/>
      <c r="O14" s="13"/>
      <c r="P14" s="13"/>
      <c r="Q14" s="13"/>
      <c r="R14" s="13"/>
      <c r="S14" s="13"/>
      <c r="T14" s="13"/>
      <c r="U14" s="13"/>
      <c r="V14" s="13"/>
      <c r="W14" s="13"/>
      <c r="X14" s="13"/>
      <c r="Y14" s="13"/>
      <c r="Z14" s="13"/>
    </row>
    <row r="15" spans="1:26" ht="14.25" customHeight="1">
      <c r="A15" s="13"/>
      <c r="B15" s="424" t="s">
        <v>364</v>
      </c>
      <c r="C15" s="429">
        <v>1</v>
      </c>
      <c r="D15" s="425">
        <v>205</v>
      </c>
      <c r="E15" s="426">
        <f t="shared" si="0"/>
        <v>205</v>
      </c>
      <c r="F15" s="428" t="s">
        <v>365</v>
      </c>
      <c r="G15" s="13"/>
      <c r="H15" s="13"/>
      <c r="I15" s="13"/>
      <c r="J15" s="13"/>
      <c r="K15" s="13"/>
      <c r="L15" s="13"/>
      <c r="M15" s="13"/>
      <c r="N15" s="13"/>
      <c r="O15" s="13"/>
      <c r="P15" s="13"/>
      <c r="Q15" s="13"/>
      <c r="R15" s="13"/>
      <c r="S15" s="13"/>
      <c r="T15" s="13"/>
      <c r="U15" s="13"/>
      <c r="V15" s="13"/>
      <c r="W15" s="13"/>
      <c r="X15" s="13"/>
      <c r="Y15" s="13"/>
      <c r="Z15" s="13"/>
    </row>
    <row r="16" spans="1:26" ht="14.25" customHeight="1">
      <c r="A16" s="13"/>
      <c r="B16" s="424" t="s">
        <v>366</v>
      </c>
      <c r="C16" s="429">
        <v>1</v>
      </c>
      <c r="D16" s="425">
        <v>370</v>
      </c>
      <c r="E16" s="426">
        <f t="shared" si="0"/>
        <v>370</v>
      </c>
      <c r="F16" s="430" t="s">
        <v>367</v>
      </c>
      <c r="G16" s="13"/>
      <c r="H16" s="13"/>
      <c r="I16" s="13"/>
      <c r="J16" s="13"/>
      <c r="K16" s="13"/>
      <c r="L16" s="13"/>
      <c r="M16" s="13"/>
      <c r="N16" s="13"/>
      <c r="O16" s="13"/>
      <c r="P16" s="13"/>
      <c r="Q16" s="13"/>
      <c r="R16" s="13"/>
      <c r="S16" s="13"/>
      <c r="T16" s="13"/>
      <c r="U16" s="13"/>
      <c r="V16" s="13"/>
      <c r="W16" s="13"/>
      <c r="X16" s="13"/>
      <c r="Y16" s="13"/>
      <c r="Z16" s="13"/>
    </row>
    <row r="17" spans="1:26" ht="14.25" customHeight="1">
      <c r="A17" s="13"/>
      <c r="B17" s="424"/>
      <c r="C17" s="429"/>
      <c r="D17" s="425"/>
      <c r="E17" s="426">
        <f t="shared" si="0"/>
        <v>0</v>
      </c>
      <c r="F17" s="431"/>
      <c r="G17" s="13"/>
      <c r="H17" s="13"/>
      <c r="I17" s="13"/>
      <c r="J17" s="13"/>
      <c r="K17" s="13"/>
      <c r="L17" s="13"/>
      <c r="M17" s="13"/>
      <c r="N17" s="13"/>
      <c r="O17" s="13"/>
      <c r="P17" s="13"/>
      <c r="Q17" s="13"/>
      <c r="R17" s="13"/>
      <c r="S17" s="13"/>
      <c r="T17" s="13"/>
      <c r="U17" s="13"/>
      <c r="V17" s="13"/>
      <c r="W17" s="13"/>
      <c r="X17" s="13"/>
      <c r="Y17" s="13"/>
      <c r="Z17" s="13"/>
    </row>
    <row r="18" spans="1:26" ht="14.25" customHeight="1">
      <c r="A18" s="13"/>
      <c r="B18" s="424"/>
      <c r="C18" s="429"/>
      <c r="D18" s="425"/>
      <c r="E18" s="426">
        <f t="shared" si="0"/>
        <v>0</v>
      </c>
      <c r="F18" s="431"/>
      <c r="G18" s="13"/>
      <c r="H18" s="13"/>
      <c r="I18" s="13"/>
      <c r="J18" s="13"/>
      <c r="K18" s="13"/>
      <c r="L18" s="13"/>
      <c r="M18" s="13"/>
      <c r="N18" s="13"/>
      <c r="O18" s="13"/>
      <c r="P18" s="13"/>
      <c r="Q18" s="13"/>
      <c r="R18" s="13"/>
      <c r="S18" s="13"/>
      <c r="T18" s="13"/>
      <c r="U18" s="13"/>
      <c r="V18" s="13"/>
      <c r="W18" s="13"/>
      <c r="X18" s="13"/>
      <c r="Y18" s="13"/>
      <c r="Z18" s="13"/>
    </row>
    <row r="19" spans="1:26" ht="14.25" customHeight="1">
      <c r="A19" s="13"/>
      <c r="B19" s="424"/>
      <c r="C19" s="429"/>
      <c r="D19" s="425"/>
      <c r="E19" s="426">
        <f t="shared" si="0"/>
        <v>0</v>
      </c>
      <c r="F19" s="431"/>
      <c r="G19" s="13"/>
      <c r="H19" s="13"/>
      <c r="I19" s="13"/>
      <c r="J19" s="13"/>
      <c r="K19" s="13"/>
      <c r="L19" s="13"/>
      <c r="M19" s="13"/>
      <c r="N19" s="13"/>
      <c r="O19" s="13"/>
      <c r="P19" s="13"/>
      <c r="Q19" s="13"/>
      <c r="R19" s="13"/>
      <c r="S19" s="13"/>
      <c r="T19" s="13"/>
      <c r="U19" s="13"/>
      <c r="V19" s="13"/>
      <c r="W19" s="13"/>
      <c r="X19" s="13"/>
      <c r="Y19" s="13"/>
      <c r="Z19" s="13"/>
    </row>
    <row r="20" spans="1:26" ht="14.25" customHeight="1">
      <c r="A20" s="432"/>
      <c r="B20" s="424"/>
      <c r="C20" s="429"/>
      <c r="D20" s="425"/>
      <c r="E20" s="426">
        <f t="shared" si="0"/>
        <v>0</v>
      </c>
      <c r="F20" s="433"/>
      <c r="G20" s="13"/>
      <c r="H20" s="13"/>
      <c r="I20" s="13"/>
      <c r="J20" s="13"/>
      <c r="K20" s="13"/>
      <c r="L20" s="13"/>
      <c r="M20" s="13"/>
      <c r="N20" s="13"/>
      <c r="O20" s="13"/>
      <c r="P20" s="13"/>
      <c r="Q20" s="13"/>
      <c r="R20" s="13"/>
      <c r="S20" s="13"/>
      <c r="T20" s="13"/>
      <c r="U20" s="13"/>
      <c r="V20" s="13"/>
      <c r="W20" s="13"/>
      <c r="X20" s="13"/>
      <c r="Y20" s="13"/>
      <c r="Z20" s="13"/>
    </row>
    <row r="21" spans="1:26" ht="14.25" customHeight="1">
      <c r="A21" s="13"/>
      <c r="B21" s="424"/>
      <c r="C21" s="429"/>
      <c r="D21" s="425"/>
      <c r="E21" s="426"/>
      <c r="F21" s="431"/>
      <c r="G21" s="13"/>
      <c r="H21" s="13"/>
      <c r="I21" s="13"/>
      <c r="J21" s="13"/>
      <c r="K21" s="13"/>
      <c r="L21" s="13"/>
      <c r="M21" s="13"/>
      <c r="N21" s="13"/>
      <c r="O21" s="13"/>
      <c r="P21" s="13"/>
      <c r="Q21" s="13"/>
      <c r="R21" s="13"/>
      <c r="S21" s="13"/>
      <c r="T21" s="13"/>
      <c r="U21" s="13"/>
      <c r="V21" s="13"/>
      <c r="W21" s="13"/>
      <c r="X21" s="13"/>
      <c r="Y21" s="13"/>
      <c r="Z21" s="13"/>
    </row>
    <row r="22" spans="1:26" ht="14.25" customHeight="1">
      <c r="A22" s="13"/>
      <c r="B22" s="424"/>
      <c r="C22" s="429"/>
      <c r="D22" s="425"/>
      <c r="E22" s="426"/>
      <c r="F22" s="431"/>
      <c r="G22" s="13"/>
      <c r="H22" s="13"/>
      <c r="I22" s="13"/>
      <c r="J22" s="13"/>
      <c r="K22" s="13"/>
      <c r="L22" s="13"/>
      <c r="M22" s="13"/>
      <c r="N22" s="13"/>
      <c r="O22" s="13"/>
      <c r="P22" s="13"/>
      <c r="Q22" s="13"/>
      <c r="R22" s="13"/>
      <c r="S22" s="13"/>
      <c r="T22" s="13"/>
      <c r="U22" s="13"/>
      <c r="V22" s="13"/>
      <c r="W22" s="13"/>
      <c r="X22" s="13"/>
      <c r="Y22" s="13"/>
      <c r="Z22" s="13"/>
    </row>
    <row r="23" spans="1:26" ht="14.25" customHeight="1">
      <c r="A23" s="13"/>
      <c r="B23" s="424"/>
      <c r="C23" s="429"/>
      <c r="D23" s="425"/>
      <c r="E23" s="426"/>
      <c r="F23" s="430"/>
      <c r="G23" s="13"/>
      <c r="H23" s="13"/>
      <c r="I23" s="13"/>
      <c r="J23" s="13"/>
      <c r="K23" s="13"/>
      <c r="L23" s="13"/>
      <c r="M23" s="13"/>
      <c r="N23" s="13"/>
      <c r="O23" s="13"/>
      <c r="P23" s="13"/>
      <c r="Q23" s="13"/>
      <c r="R23" s="13"/>
      <c r="S23" s="13"/>
      <c r="T23" s="13"/>
      <c r="U23" s="13"/>
      <c r="V23" s="13"/>
      <c r="W23" s="13"/>
      <c r="X23" s="13"/>
      <c r="Y23" s="13"/>
      <c r="Z23" s="13"/>
    </row>
    <row r="24" spans="1:26" ht="14.25" customHeight="1">
      <c r="A24" s="13"/>
      <c r="B24" s="424"/>
      <c r="C24" s="429"/>
      <c r="D24" s="425"/>
      <c r="E24" s="426"/>
      <c r="F24" s="431"/>
      <c r="G24" s="13"/>
      <c r="H24" s="13"/>
      <c r="I24" s="13"/>
      <c r="J24" s="13"/>
      <c r="K24" s="13"/>
      <c r="L24" s="13"/>
      <c r="M24" s="13"/>
      <c r="N24" s="13"/>
      <c r="O24" s="13"/>
      <c r="P24" s="13"/>
      <c r="Q24" s="13"/>
      <c r="R24" s="13"/>
      <c r="S24" s="13"/>
      <c r="T24" s="13"/>
      <c r="U24" s="13"/>
      <c r="V24" s="13"/>
      <c r="W24" s="13"/>
      <c r="X24" s="13"/>
      <c r="Y24" s="13"/>
      <c r="Z24" s="13"/>
    </row>
    <row r="25" spans="1:26" ht="14.25" customHeight="1">
      <c r="A25" s="13"/>
      <c r="B25" s="424"/>
      <c r="C25" s="429"/>
      <c r="D25" s="425"/>
      <c r="E25" s="426"/>
      <c r="F25" s="431"/>
      <c r="G25" s="13"/>
      <c r="H25" s="13"/>
      <c r="I25" s="13"/>
      <c r="J25" s="13"/>
      <c r="K25" s="13"/>
      <c r="L25" s="13"/>
      <c r="M25" s="13"/>
      <c r="N25" s="13"/>
      <c r="O25" s="13"/>
      <c r="P25" s="13"/>
      <c r="Q25" s="13"/>
      <c r="R25" s="13"/>
      <c r="S25" s="13"/>
      <c r="T25" s="13"/>
      <c r="U25" s="13"/>
      <c r="V25" s="13"/>
      <c r="W25" s="13"/>
      <c r="X25" s="13"/>
      <c r="Y25" s="13"/>
      <c r="Z25" s="13"/>
    </row>
    <row r="26" spans="1:26" ht="14.25" customHeight="1">
      <c r="A26" s="13"/>
      <c r="B26" s="424"/>
      <c r="C26" s="429"/>
      <c r="D26" s="425"/>
      <c r="E26" s="426"/>
      <c r="F26" s="431"/>
      <c r="G26" s="13"/>
      <c r="H26" s="13"/>
      <c r="I26" s="13"/>
      <c r="J26" s="13"/>
      <c r="K26" s="13"/>
      <c r="L26" s="13"/>
      <c r="M26" s="13"/>
      <c r="N26" s="13"/>
      <c r="O26" s="13"/>
      <c r="P26" s="13"/>
      <c r="Q26" s="13"/>
      <c r="R26" s="13"/>
      <c r="S26" s="13"/>
      <c r="T26" s="13"/>
      <c r="U26" s="13"/>
      <c r="V26" s="13"/>
      <c r="W26" s="13"/>
      <c r="X26" s="13"/>
      <c r="Y26" s="13"/>
      <c r="Z26" s="13"/>
    </row>
    <row r="27" spans="1:26" ht="14.25" customHeight="1">
      <c r="A27" s="13"/>
      <c r="B27" s="434"/>
      <c r="C27" s="435"/>
      <c r="D27" s="420"/>
      <c r="E27" s="426"/>
      <c r="F27" s="436"/>
      <c r="G27" s="13"/>
      <c r="H27" s="13"/>
      <c r="I27" s="13"/>
      <c r="J27" s="13"/>
      <c r="K27" s="13"/>
      <c r="L27" s="13"/>
      <c r="M27" s="13"/>
      <c r="N27" s="13"/>
      <c r="O27" s="13"/>
      <c r="P27" s="13"/>
      <c r="Q27" s="13"/>
      <c r="R27" s="13"/>
      <c r="S27" s="13"/>
      <c r="T27" s="13"/>
      <c r="U27" s="13"/>
      <c r="V27" s="13"/>
      <c r="W27" s="13"/>
      <c r="X27" s="13"/>
      <c r="Y27" s="13"/>
      <c r="Z27" s="13"/>
    </row>
    <row r="28" spans="1:26" ht="14.25" customHeight="1">
      <c r="A28" s="13"/>
      <c r="B28" s="700" t="s">
        <v>188</v>
      </c>
      <c r="C28" s="700"/>
      <c r="D28" s="700"/>
      <c r="E28" s="437">
        <f>SUM(E11:E27)</f>
        <v>67705</v>
      </c>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25.5" customHeight="1">
      <c r="A30" s="13"/>
      <c r="B30" s="12" t="s">
        <v>368</v>
      </c>
      <c r="C30" s="12"/>
      <c r="D30" s="12"/>
      <c r="E30" s="12"/>
      <c r="F30" s="438"/>
      <c r="G30" s="13"/>
      <c r="H30" s="13"/>
      <c r="I30" s="13"/>
      <c r="J30" s="13"/>
      <c r="K30" s="13"/>
      <c r="L30" s="13"/>
      <c r="M30" s="13"/>
      <c r="N30" s="13"/>
      <c r="O30" s="13"/>
      <c r="P30" s="13"/>
      <c r="Q30" s="13"/>
      <c r="R30" s="13"/>
      <c r="S30" s="13"/>
      <c r="T30" s="13"/>
      <c r="U30" s="13"/>
      <c r="V30" s="13"/>
      <c r="W30" s="13"/>
      <c r="X30" s="13"/>
      <c r="Y30" s="13"/>
      <c r="Z30" s="13"/>
    </row>
    <row r="31" spans="1:26" ht="15" customHeight="1">
      <c r="A31" s="13"/>
      <c r="B31" s="422" t="s">
        <v>97</v>
      </c>
      <c r="C31" s="423" t="s">
        <v>36</v>
      </c>
      <c r="D31" s="423" t="s">
        <v>176</v>
      </c>
      <c r="E31" s="439" t="s">
        <v>177</v>
      </c>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424" t="s">
        <v>369</v>
      </c>
      <c r="C32" s="440">
        <f>'Proy. ventas'!C20</f>
        <v>172</v>
      </c>
      <c r="D32" s="425">
        <v>34</v>
      </c>
      <c r="E32" s="426">
        <f>C32*D32</f>
        <v>5848</v>
      </c>
      <c r="F32" s="427" t="s">
        <v>370</v>
      </c>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424" t="s">
        <v>371</v>
      </c>
      <c r="C33" s="440">
        <f>'Proy. ventas'!C21</f>
        <v>25</v>
      </c>
      <c r="D33" s="425">
        <v>170</v>
      </c>
      <c r="E33" s="426">
        <f>C33*D33</f>
        <v>4250</v>
      </c>
      <c r="F33" s="427" t="s">
        <v>372</v>
      </c>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424"/>
      <c r="C34" s="250"/>
      <c r="D34" s="425"/>
      <c r="E34" s="426"/>
      <c r="F34" s="441"/>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424"/>
      <c r="C35" s="250"/>
      <c r="D35" s="425"/>
      <c r="E35" s="426"/>
      <c r="F35" s="441"/>
      <c r="G35" s="701"/>
      <c r="H35" s="701"/>
      <c r="I35" s="13"/>
      <c r="J35" s="13"/>
      <c r="K35" s="13"/>
      <c r="L35" s="13"/>
      <c r="M35" s="13"/>
      <c r="N35" s="13"/>
      <c r="O35" s="13"/>
      <c r="P35" s="13"/>
      <c r="Q35" s="13"/>
      <c r="R35" s="13"/>
      <c r="S35" s="13"/>
      <c r="T35" s="13"/>
      <c r="U35" s="13"/>
      <c r="V35" s="13"/>
      <c r="W35" s="13"/>
      <c r="X35" s="13"/>
      <c r="Y35" s="13"/>
      <c r="Z35" s="13"/>
    </row>
    <row r="36" spans="1:26" ht="14.25" customHeight="1">
      <c r="A36" s="13"/>
      <c r="B36" s="424"/>
      <c r="C36" s="429"/>
      <c r="D36" s="425"/>
      <c r="E36" s="426"/>
      <c r="F36" s="441"/>
      <c r="G36" s="702"/>
      <c r="H36" s="702"/>
      <c r="I36" s="13"/>
      <c r="J36" s="13"/>
      <c r="K36" s="13"/>
      <c r="L36" s="13"/>
      <c r="M36" s="13"/>
      <c r="N36" s="13"/>
      <c r="O36" s="13"/>
      <c r="P36" s="13"/>
      <c r="Q36" s="13"/>
      <c r="R36" s="13"/>
      <c r="S36" s="13"/>
      <c r="T36" s="13"/>
      <c r="U36" s="13"/>
      <c r="V36" s="13"/>
      <c r="W36" s="13"/>
      <c r="X36" s="13"/>
      <c r="Y36" s="13"/>
      <c r="Z36" s="13"/>
    </row>
    <row r="37" spans="1:26" ht="14.25" customHeight="1">
      <c r="A37" s="13"/>
      <c r="B37" s="424"/>
      <c r="C37" s="429"/>
      <c r="D37" s="425"/>
      <c r="E37" s="426"/>
      <c r="F37" s="441"/>
      <c r="G37" s="701"/>
      <c r="H37" s="701"/>
      <c r="I37" s="13"/>
      <c r="J37" s="13"/>
      <c r="K37" s="13"/>
      <c r="L37" s="13"/>
      <c r="M37" s="13"/>
      <c r="N37" s="13"/>
      <c r="O37" s="13"/>
      <c r="P37" s="13"/>
      <c r="Q37" s="13"/>
      <c r="R37" s="13"/>
      <c r="S37" s="13"/>
      <c r="T37" s="13"/>
      <c r="U37" s="13"/>
      <c r="V37" s="13"/>
      <c r="W37" s="13"/>
      <c r="X37" s="13"/>
      <c r="Y37" s="13"/>
      <c r="Z37" s="13"/>
    </row>
    <row r="38" spans="1:26" ht="14.25" customHeight="1">
      <c r="A38" s="13"/>
      <c r="B38" s="424"/>
      <c r="C38" s="429"/>
      <c r="D38" s="425"/>
      <c r="E38" s="426"/>
      <c r="F38" s="441"/>
      <c r="G38" s="702"/>
      <c r="H38" s="702"/>
      <c r="I38" s="13"/>
      <c r="J38" s="13"/>
      <c r="K38" s="13"/>
      <c r="L38" s="13"/>
      <c r="M38" s="13"/>
      <c r="N38" s="13"/>
      <c r="O38" s="13"/>
      <c r="P38" s="13"/>
      <c r="Q38" s="13"/>
      <c r="R38" s="13"/>
      <c r="S38" s="13"/>
      <c r="T38" s="13"/>
      <c r="U38" s="13"/>
      <c r="V38" s="13"/>
      <c r="W38" s="13"/>
      <c r="X38" s="13"/>
      <c r="Y38" s="13"/>
      <c r="Z38" s="13"/>
    </row>
    <row r="39" spans="1:26" ht="14.25" customHeight="1">
      <c r="A39" s="13"/>
      <c r="B39" s="424"/>
      <c r="C39" s="429"/>
      <c r="D39" s="425"/>
      <c r="E39" s="426"/>
      <c r="F39" s="441"/>
      <c r="G39" s="702"/>
      <c r="H39" s="702"/>
      <c r="I39" s="13"/>
      <c r="J39" s="13"/>
      <c r="K39" s="13"/>
      <c r="L39" s="13"/>
      <c r="M39" s="13"/>
      <c r="N39" s="13"/>
      <c r="O39" s="13"/>
      <c r="P39" s="13"/>
      <c r="Q39" s="13"/>
      <c r="R39" s="13"/>
      <c r="S39" s="13"/>
      <c r="T39" s="13"/>
      <c r="U39" s="13"/>
      <c r="V39" s="13"/>
      <c r="W39" s="13"/>
      <c r="X39" s="13"/>
      <c r="Y39" s="13"/>
      <c r="Z39" s="13"/>
    </row>
    <row r="40" spans="1:26" ht="14.25" customHeight="1">
      <c r="A40" s="13"/>
      <c r="B40" s="424"/>
      <c r="C40" s="429"/>
      <c r="D40" s="425"/>
      <c r="E40" s="426"/>
      <c r="F40" s="441"/>
      <c r="G40" s="702"/>
      <c r="H40" s="702"/>
      <c r="I40" s="13"/>
      <c r="J40" s="13"/>
      <c r="K40" s="13"/>
      <c r="L40" s="13"/>
      <c r="M40" s="13"/>
      <c r="N40" s="13"/>
      <c r="O40" s="13"/>
      <c r="P40" s="13"/>
      <c r="Q40" s="13"/>
      <c r="R40" s="13"/>
      <c r="S40" s="13"/>
      <c r="T40" s="13"/>
      <c r="U40" s="13"/>
      <c r="V40" s="13"/>
      <c r="W40" s="13"/>
      <c r="X40" s="13"/>
      <c r="Y40" s="13"/>
      <c r="Z40" s="13"/>
    </row>
    <row r="41" spans="1:26" ht="14.25" customHeight="1">
      <c r="A41" s="13"/>
      <c r="B41" s="424"/>
      <c r="C41" s="429"/>
      <c r="D41" s="425"/>
      <c r="E41" s="426"/>
      <c r="F41" s="441"/>
      <c r="G41" s="701"/>
      <c r="H41" s="701"/>
      <c r="I41" s="13"/>
      <c r="J41" s="13"/>
      <c r="K41" s="13"/>
      <c r="L41" s="13"/>
      <c r="M41" s="13"/>
      <c r="N41" s="13"/>
      <c r="O41" s="13"/>
      <c r="P41" s="13"/>
      <c r="Q41" s="13"/>
      <c r="R41" s="13"/>
      <c r="S41" s="13"/>
      <c r="T41" s="13"/>
      <c r="U41" s="13"/>
      <c r="V41" s="13"/>
      <c r="W41" s="13"/>
      <c r="X41" s="13"/>
      <c r="Y41" s="13"/>
      <c r="Z41" s="13"/>
    </row>
    <row r="42" spans="1:26" ht="14.25" customHeight="1">
      <c r="A42" s="13"/>
      <c r="B42" s="424"/>
      <c r="C42" s="429"/>
      <c r="D42" s="425"/>
      <c r="E42" s="426"/>
      <c r="F42" s="441"/>
      <c r="G42" s="701"/>
      <c r="H42" s="701"/>
      <c r="I42" s="13"/>
      <c r="J42" s="13"/>
      <c r="K42" s="13"/>
      <c r="L42" s="13"/>
      <c r="M42" s="13"/>
      <c r="N42" s="13"/>
      <c r="O42" s="13"/>
      <c r="P42" s="13"/>
      <c r="Q42" s="13"/>
      <c r="R42" s="13"/>
      <c r="S42" s="13"/>
      <c r="T42" s="13"/>
      <c r="U42" s="13"/>
      <c r="V42" s="13"/>
      <c r="W42" s="13"/>
      <c r="X42" s="13"/>
      <c r="Y42" s="13"/>
      <c r="Z42" s="13"/>
    </row>
    <row r="43" spans="1:26" ht="14.25" customHeight="1">
      <c r="A43" s="13"/>
      <c r="B43" s="424"/>
      <c r="C43" s="442"/>
      <c r="D43" s="425"/>
      <c r="E43" s="44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434"/>
      <c r="C44" s="435"/>
      <c r="D44" s="420"/>
      <c r="E44" s="444"/>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700" t="s">
        <v>188</v>
      </c>
      <c r="C45" s="700"/>
      <c r="D45" s="700"/>
      <c r="E45" s="445">
        <f>SUM(E32:E44)</f>
        <v>10098</v>
      </c>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25.5" customHeight="1">
      <c r="A48" s="13"/>
      <c r="B48" s="12" t="s">
        <v>373</v>
      </c>
      <c r="C48" s="12"/>
      <c r="D48" s="12"/>
      <c r="E48" s="12"/>
      <c r="F48" s="13"/>
      <c r="G48" s="13"/>
      <c r="H48" s="13"/>
      <c r="I48" s="13"/>
      <c r="J48" s="13"/>
      <c r="K48" s="13"/>
      <c r="L48" s="13"/>
      <c r="M48" s="13"/>
      <c r="N48" s="13"/>
      <c r="O48" s="13"/>
      <c r="P48" s="13"/>
      <c r="Q48" s="13"/>
      <c r="R48" s="13"/>
      <c r="S48" s="13"/>
      <c r="T48" s="13"/>
      <c r="U48" s="13"/>
      <c r="V48" s="13"/>
      <c r="W48" s="13"/>
      <c r="X48" s="13"/>
      <c r="Y48" s="13"/>
      <c r="Z48" s="13"/>
    </row>
    <row r="49" spans="1:26" ht="15" customHeight="1">
      <c r="A49" s="13"/>
      <c r="B49" s="422" t="s">
        <v>97</v>
      </c>
      <c r="C49" s="423" t="s">
        <v>36</v>
      </c>
      <c r="D49" s="423" t="s">
        <v>176</v>
      </c>
      <c r="E49" s="439" t="s">
        <v>177</v>
      </c>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424" t="s">
        <v>369</v>
      </c>
      <c r="C50" s="440">
        <f>'Proy. ventas'!C83</f>
        <v>210</v>
      </c>
      <c r="D50" s="425">
        <v>34</v>
      </c>
      <c r="E50" s="426">
        <f>C50*D50</f>
        <v>7140</v>
      </c>
      <c r="F50" s="427" t="s">
        <v>370</v>
      </c>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424" t="s">
        <v>371</v>
      </c>
      <c r="C51" s="440">
        <f>'Proy. ventas'!C84</f>
        <v>28</v>
      </c>
      <c r="D51" s="425">
        <v>170</v>
      </c>
      <c r="E51" s="426">
        <f>C51*D51</f>
        <v>4760</v>
      </c>
      <c r="F51" s="427" t="s">
        <v>372</v>
      </c>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424"/>
      <c r="C52" s="250"/>
      <c r="D52" s="425"/>
      <c r="E52" s="426"/>
      <c r="F52" s="441"/>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424"/>
      <c r="C53" s="250"/>
      <c r="D53" s="425"/>
      <c r="E53" s="426"/>
      <c r="F53" s="441"/>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424"/>
      <c r="C54" s="429"/>
      <c r="D54" s="425"/>
      <c r="E54" s="426"/>
      <c r="F54" s="441"/>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424"/>
      <c r="C55" s="429"/>
      <c r="D55" s="425"/>
      <c r="E55" s="426"/>
      <c r="F55" s="441"/>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424"/>
      <c r="C56" s="429"/>
      <c r="D56" s="425"/>
      <c r="E56" s="426"/>
      <c r="F56" s="441"/>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424"/>
      <c r="C57" s="429"/>
      <c r="D57" s="425"/>
      <c r="E57" s="426"/>
      <c r="F57" s="441"/>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424"/>
      <c r="C58" s="429"/>
      <c r="D58" s="425"/>
      <c r="E58" s="426"/>
      <c r="F58" s="441"/>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424"/>
      <c r="C59" s="429"/>
      <c r="D59" s="425"/>
      <c r="E59" s="426"/>
      <c r="F59" s="441"/>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424"/>
      <c r="C60" s="429"/>
      <c r="D60" s="425"/>
      <c r="E60" s="426"/>
      <c r="F60" s="441"/>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424"/>
      <c r="C61" s="442"/>
      <c r="D61" s="425"/>
      <c r="E61" s="44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434"/>
      <c r="C62" s="435"/>
      <c r="D62" s="420"/>
      <c r="E62" s="444"/>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700" t="s">
        <v>188</v>
      </c>
      <c r="C63" s="700"/>
      <c r="D63" s="700"/>
      <c r="E63" s="445">
        <f>SUM(E50:E62)</f>
        <v>11900</v>
      </c>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25.5" customHeight="1">
      <c r="A66" s="13"/>
      <c r="B66" s="12" t="s">
        <v>374</v>
      </c>
      <c r="C66" s="12"/>
      <c r="D66" s="12"/>
      <c r="E66" s="12"/>
      <c r="F66" s="13"/>
      <c r="G66" s="13"/>
      <c r="H66" s="13"/>
      <c r="I66" s="13"/>
      <c r="J66" s="13"/>
      <c r="K66" s="13"/>
      <c r="L66" s="13"/>
      <c r="M66" s="13"/>
      <c r="N66" s="13"/>
      <c r="O66" s="13"/>
      <c r="P66" s="13"/>
      <c r="Q66" s="13"/>
      <c r="R66" s="13"/>
      <c r="S66" s="13"/>
      <c r="T66" s="13"/>
      <c r="U66" s="13"/>
      <c r="V66" s="13"/>
      <c r="W66" s="13"/>
      <c r="X66" s="13"/>
      <c r="Y66" s="13"/>
      <c r="Z66" s="13"/>
    </row>
    <row r="67" spans="1:26" ht="15" customHeight="1">
      <c r="A67" s="13"/>
      <c r="B67" s="422" t="s">
        <v>97</v>
      </c>
      <c r="C67" s="423" t="s">
        <v>36</v>
      </c>
      <c r="D67" s="423" t="s">
        <v>176</v>
      </c>
      <c r="E67" s="439" t="s">
        <v>177</v>
      </c>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424"/>
      <c r="C68" s="250"/>
      <c r="D68" s="425"/>
      <c r="E68" s="426"/>
      <c r="F68" s="441"/>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424" t="s">
        <v>375</v>
      </c>
      <c r="C69" s="250">
        <v>2</v>
      </c>
      <c r="D69" s="425">
        <v>940</v>
      </c>
      <c r="E69" s="426">
        <f>C69*D69</f>
        <v>1880</v>
      </c>
      <c r="F69" s="441"/>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424" t="s">
        <v>369</v>
      </c>
      <c r="C70" s="440">
        <f>'Proy. ventas'!C145</f>
        <v>278</v>
      </c>
      <c r="D70" s="425">
        <v>34</v>
      </c>
      <c r="E70" s="426">
        <f>C70*D70</f>
        <v>9452</v>
      </c>
      <c r="F70" s="427" t="s">
        <v>370</v>
      </c>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424" t="s">
        <v>371</v>
      </c>
      <c r="C71" s="440">
        <f>'Proy. ventas'!C146</f>
        <v>40</v>
      </c>
      <c r="D71" s="425">
        <v>170</v>
      </c>
      <c r="E71" s="426">
        <f>C71*D71</f>
        <v>6800</v>
      </c>
      <c r="F71" s="427" t="s">
        <v>372</v>
      </c>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424"/>
      <c r="C72" s="429"/>
      <c r="D72" s="425"/>
      <c r="E72" s="426"/>
      <c r="F72" s="441"/>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424"/>
      <c r="C73" s="429"/>
      <c r="D73" s="425"/>
      <c r="E73" s="426"/>
      <c r="F73" s="441"/>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424"/>
      <c r="C74" s="429"/>
      <c r="D74" s="425"/>
      <c r="E74" s="426"/>
      <c r="F74" s="441"/>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424"/>
      <c r="C75" s="429"/>
      <c r="D75" s="425"/>
      <c r="E75" s="426"/>
      <c r="F75" s="441"/>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424"/>
      <c r="C76" s="429"/>
      <c r="D76" s="425"/>
      <c r="E76" s="426"/>
      <c r="F76" s="441"/>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424"/>
      <c r="C77" s="429"/>
      <c r="D77" s="425"/>
      <c r="E77" s="426"/>
      <c r="F77" s="441"/>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424"/>
      <c r="C78" s="429"/>
      <c r="D78" s="425"/>
      <c r="E78" s="426"/>
      <c r="F78" s="441"/>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424"/>
      <c r="C79" s="442"/>
      <c r="D79" s="425"/>
      <c r="E79" s="44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434"/>
      <c r="C80" s="435"/>
      <c r="D80" s="420"/>
      <c r="E80" s="421"/>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700" t="s">
        <v>188</v>
      </c>
      <c r="C81" s="700"/>
      <c r="D81" s="700"/>
      <c r="E81" s="445">
        <f>SUM(E68:E80)</f>
        <v>18132</v>
      </c>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sheetData>
  <mergeCells count="18">
    <mergeCell ref="B63:D63"/>
    <mergeCell ref="B66:E66"/>
    <mergeCell ref="B81:D81"/>
    <mergeCell ref="G40:H40"/>
    <mergeCell ref="G41:H41"/>
    <mergeCell ref="G42:H42"/>
    <mergeCell ref="B45:D45"/>
    <mergeCell ref="B48:E48"/>
    <mergeCell ref="G35:H35"/>
    <mergeCell ref="G36:H36"/>
    <mergeCell ref="G37:H37"/>
    <mergeCell ref="G38:H38"/>
    <mergeCell ref="G39:H39"/>
    <mergeCell ref="B3:D3"/>
    <mergeCell ref="G3:J3"/>
    <mergeCell ref="B9:F9"/>
    <mergeCell ref="B28:D28"/>
    <mergeCell ref="B30:E30"/>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27"/>
  <sheetViews>
    <sheetView zoomScaleNormal="100" workbookViewId="0"/>
  </sheetViews>
  <sheetFormatPr baseColWidth="10" defaultColWidth="8.6640625" defaultRowHeight="14"/>
  <cols>
    <col min="1" max="1" width="10" customWidth="1"/>
    <col min="2" max="2" width="16.83203125" customWidth="1"/>
    <col min="3" max="3" width="38.1640625" customWidth="1"/>
    <col min="4" max="4" width="13.33203125" customWidth="1"/>
    <col min="5" max="5" width="19.33203125" customWidth="1"/>
    <col min="6" max="6" width="15.33203125" customWidth="1"/>
    <col min="7" max="7" width="12.6640625" customWidth="1"/>
    <col min="8" max="8" width="12.33203125" customWidth="1"/>
    <col min="9" max="9" width="13.33203125" customWidth="1"/>
    <col min="10" max="10" width="12.33203125" customWidth="1"/>
    <col min="11" max="11" width="13.33203125" customWidth="1"/>
    <col min="12" max="12" width="14.1640625" customWidth="1"/>
    <col min="13" max="13" width="13.5" customWidth="1"/>
    <col min="14" max="14" width="10" customWidth="1"/>
  </cols>
  <sheetData>
    <row r="1" spans="1:26" ht="60.75" customHeight="1">
      <c r="A1" s="20"/>
      <c r="B1" s="20"/>
      <c r="C1" s="20"/>
      <c r="D1" s="20"/>
      <c r="E1" s="20"/>
      <c r="F1" s="20"/>
      <c r="G1" s="208" t="s">
        <v>17</v>
      </c>
      <c r="H1" s="312"/>
      <c r="I1" s="20"/>
      <c r="J1" s="20"/>
      <c r="K1" s="20"/>
      <c r="L1" s="20"/>
      <c r="M1" s="20"/>
      <c r="N1" s="20"/>
      <c r="O1" s="20"/>
      <c r="P1" s="13"/>
      <c r="Q1" s="13"/>
      <c r="R1" s="13"/>
      <c r="S1" s="13"/>
      <c r="T1" s="13"/>
      <c r="U1" s="13"/>
      <c r="V1" s="13"/>
      <c r="W1" s="13"/>
      <c r="X1" s="13"/>
      <c r="Y1" s="13"/>
      <c r="Z1" s="13"/>
    </row>
    <row r="2" spans="1:26" ht="14.2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5.5" customHeight="1">
      <c r="A3" s="13"/>
      <c r="B3" s="12" t="s">
        <v>73</v>
      </c>
      <c r="C3" s="12"/>
      <c r="D3" s="12"/>
      <c r="E3" s="37"/>
      <c r="F3" s="13"/>
      <c r="G3" s="13"/>
      <c r="H3" s="13"/>
      <c r="I3" s="12" t="s">
        <v>17</v>
      </c>
      <c r="J3" s="12"/>
      <c r="K3" s="12"/>
      <c r="L3" s="13"/>
      <c r="M3" s="13"/>
      <c r="N3" s="13"/>
      <c r="O3" s="13"/>
      <c r="P3" s="13"/>
      <c r="Q3" s="13"/>
      <c r="R3" s="13"/>
      <c r="S3" s="13"/>
      <c r="T3" s="13"/>
      <c r="U3" s="13"/>
      <c r="V3" s="13"/>
      <c r="W3" s="13"/>
      <c r="X3" s="13"/>
      <c r="Y3" s="13"/>
      <c r="Z3" s="13"/>
    </row>
    <row r="4" spans="1:26" ht="14.25" customHeight="1">
      <c r="A4" s="13"/>
      <c r="B4" s="80">
        <v>2026</v>
      </c>
      <c r="C4" s="80">
        <v>2027</v>
      </c>
      <c r="D4" s="80">
        <v>2028</v>
      </c>
      <c r="E4" s="274"/>
      <c r="F4" s="13"/>
      <c r="G4" s="13"/>
      <c r="H4" s="13"/>
      <c r="I4" s="80">
        <v>2026</v>
      </c>
      <c r="J4" s="80">
        <v>2027</v>
      </c>
      <c r="K4" s="80">
        <v>2028</v>
      </c>
      <c r="L4" s="13"/>
      <c r="M4" s="13"/>
      <c r="N4" s="13"/>
      <c r="O4" s="13"/>
      <c r="P4" s="13"/>
      <c r="Q4" s="13"/>
      <c r="R4" s="13"/>
      <c r="S4" s="13"/>
      <c r="T4" s="13"/>
      <c r="U4" s="13"/>
      <c r="V4" s="13"/>
      <c r="W4" s="13"/>
      <c r="X4" s="13"/>
      <c r="Y4" s="13"/>
      <c r="Z4" s="13"/>
    </row>
    <row r="5" spans="1:26" ht="14.25" customHeight="1">
      <c r="A5" s="13"/>
      <c r="B5" s="83">
        <f>Hipótesis!$C$24</f>
        <v>8.0000000000000002E-3</v>
      </c>
      <c r="C5" s="83">
        <f>Hipótesis!$C$25</f>
        <v>2.9000000000000001E-2</v>
      </c>
      <c r="D5" s="83">
        <f>Hipótesis!$C$26</f>
        <v>5.1999999999999998E-2</v>
      </c>
      <c r="E5" s="358"/>
      <c r="F5" s="13"/>
      <c r="G5" s="13"/>
      <c r="H5" s="13"/>
      <c r="I5" s="419">
        <f>$K$27</f>
        <v>2148.666666666667</v>
      </c>
      <c r="J5" s="420">
        <f>$L$27</f>
        <v>3735.3333333333335</v>
      </c>
      <c r="K5" s="421">
        <f>$M$27</f>
        <v>5292.2</v>
      </c>
      <c r="L5" s="13"/>
      <c r="M5" s="13"/>
      <c r="N5" s="13"/>
      <c r="O5" s="13"/>
      <c r="P5" s="13"/>
      <c r="Q5" s="13"/>
      <c r="R5" s="13"/>
      <c r="S5" s="13"/>
      <c r="T5" s="13"/>
      <c r="U5" s="13"/>
      <c r="V5" s="13"/>
      <c r="W5" s="13"/>
      <c r="X5" s="13"/>
      <c r="Y5" s="13"/>
      <c r="Z5" s="13"/>
    </row>
    <row r="6" spans="1:26" ht="14.25" customHeight="1">
      <c r="A6" s="13"/>
      <c r="B6" s="313">
        <f>Hipótesis!$D$24</f>
        <v>107520</v>
      </c>
      <c r="C6" s="313">
        <f>Hipótesis!$D$25</f>
        <v>389760</v>
      </c>
      <c r="D6" s="313">
        <f>Hipótesis!$D$26</f>
        <v>698880</v>
      </c>
      <c r="E6" s="350"/>
      <c r="F6" s="13"/>
      <c r="G6" s="13"/>
      <c r="H6" s="13"/>
      <c r="I6" s="13"/>
      <c r="J6" s="13"/>
      <c r="K6" s="13"/>
      <c r="L6" s="13"/>
      <c r="M6" s="13"/>
      <c r="N6" s="13"/>
      <c r="O6" s="13"/>
      <c r="P6" s="13"/>
      <c r="Q6" s="13"/>
      <c r="R6" s="13"/>
      <c r="S6" s="13"/>
      <c r="T6" s="13"/>
      <c r="U6" s="13"/>
      <c r="V6" s="13"/>
      <c r="W6" s="13"/>
      <c r="X6" s="13"/>
      <c r="Y6" s="13"/>
      <c r="Z6" s="13"/>
    </row>
    <row r="7" spans="1:26" ht="14.25"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25.5" customHeight="1">
      <c r="A8" s="13"/>
      <c r="B8" s="703" t="s">
        <v>17</v>
      </c>
      <c r="C8" s="703"/>
      <c r="D8" s="703"/>
      <c r="E8" s="703"/>
      <c r="F8" s="703"/>
      <c r="G8" s="703"/>
      <c r="H8" s="703"/>
      <c r="I8" s="703"/>
      <c r="J8" s="703"/>
      <c r="K8" s="703"/>
      <c r="L8" s="703"/>
      <c r="M8" s="703"/>
      <c r="N8" s="13"/>
      <c r="O8" s="13"/>
      <c r="P8" s="13"/>
      <c r="Q8" s="13"/>
      <c r="R8" s="13"/>
      <c r="S8" s="13"/>
      <c r="T8" s="13"/>
      <c r="U8" s="13"/>
      <c r="V8" s="13"/>
      <c r="W8" s="13"/>
      <c r="X8" s="13"/>
      <c r="Y8" s="13"/>
      <c r="Z8" s="13"/>
    </row>
    <row r="9" spans="1:26" ht="14.25" customHeight="1">
      <c r="A9" s="13"/>
      <c r="B9" s="704" t="s">
        <v>247</v>
      </c>
      <c r="C9" s="705" t="s">
        <v>97</v>
      </c>
      <c r="D9" s="705" t="s">
        <v>36</v>
      </c>
      <c r="E9" s="705" t="s">
        <v>176</v>
      </c>
      <c r="F9" s="706" t="s">
        <v>376</v>
      </c>
      <c r="G9" s="707" t="s">
        <v>377</v>
      </c>
      <c r="H9" s="707"/>
      <c r="I9" s="707"/>
      <c r="J9" s="707"/>
      <c r="K9" s="614" t="s">
        <v>378</v>
      </c>
      <c r="L9" s="614"/>
      <c r="M9" s="614"/>
      <c r="N9" s="13"/>
      <c r="O9" s="13"/>
      <c r="P9" s="13"/>
      <c r="Q9" s="13"/>
      <c r="R9" s="13"/>
      <c r="S9" s="13"/>
      <c r="T9" s="13"/>
      <c r="U9" s="13"/>
      <c r="V9" s="13"/>
      <c r="W9" s="13"/>
      <c r="X9" s="13"/>
      <c r="Y9" s="13"/>
      <c r="Z9" s="13"/>
    </row>
    <row r="10" spans="1:26" ht="14.25" customHeight="1">
      <c r="A10" s="13"/>
      <c r="B10" s="704"/>
      <c r="C10" s="705"/>
      <c r="D10" s="705"/>
      <c r="E10" s="705"/>
      <c r="F10" s="706"/>
      <c r="G10" s="446" t="s">
        <v>379</v>
      </c>
      <c r="H10" s="447" t="s">
        <v>99</v>
      </c>
      <c r="I10" s="447" t="s">
        <v>380</v>
      </c>
      <c r="J10" s="448" t="s">
        <v>381</v>
      </c>
      <c r="K10" s="447" t="s">
        <v>99</v>
      </c>
      <c r="L10" s="447" t="s">
        <v>380</v>
      </c>
      <c r="M10" s="448" t="s">
        <v>381</v>
      </c>
      <c r="N10" s="13"/>
      <c r="O10" s="13"/>
      <c r="P10" s="13"/>
      <c r="Q10" s="13"/>
      <c r="R10" s="13"/>
      <c r="S10" s="13"/>
      <c r="T10" s="13"/>
      <c r="U10" s="13"/>
      <c r="V10" s="13"/>
      <c r="W10" s="13"/>
      <c r="X10" s="13"/>
      <c r="Y10" s="13"/>
      <c r="Z10" s="13"/>
    </row>
    <row r="11" spans="1:26" ht="14.25" customHeight="1">
      <c r="A11" s="13"/>
      <c r="B11" s="708" t="s">
        <v>382</v>
      </c>
      <c r="C11" s="449" t="s">
        <v>113</v>
      </c>
      <c r="D11" s="450">
        <f>'Mod. inversión'!C12</f>
        <v>2</v>
      </c>
      <c r="E11" s="451">
        <f>'Mod. inversión'!D12</f>
        <v>940</v>
      </c>
      <c r="F11" s="452">
        <v>3</v>
      </c>
      <c r="G11" s="453">
        <f>D11*E11</f>
        <v>1880</v>
      </c>
      <c r="H11" s="454">
        <v>0</v>
      </c>
      <c r="I11" s="454">
        <v>0</v>
      </c>
      <c r="J11" s="455">
        <v>0</v>
      </c>
      <c r="K11" s="456">
        <f>$G$11/$F$11</f>
        <v>626.66666666666663</v>
      </c>
      <c r="L11" s="457">
        <f>$G$11/$F$11</f>
        <v>626.66666666666663</v>
      </c>
      <c r="M11" s="458">
        <v>0</v>
      </c>
      <c r="N11" s="13"/>
      <c r="O11" s="13"/>
      <c r="P11" s="13"/>
      <c r="Q11" s="13"/>
      <c r="R11" s="13"/>
      <c r="S11" s="13"/>
      <c r="T11" s="13"/>
      <c r="U11" s="13"/>
      <c r="V11" s="13"/>
      <c r="W11" s="13"/>
      <c r="X11" s="13"/>
      <c r="Y11" s="13"/>
      <c r="Z11" s="13"/>
    </row>
    <row r="12" spans="1:26" ht="14.25" customHeight="1">
      <c r="A12" s="13"/>
      <c r="B12" s="708"/>
      <c r="C12" s="459" t="s">
        <v>113</v>
      </c>
      <c r="D12" s="460">
        <f>'Mod. inversión'!C33</f>
        <v>25</v>
      </c>
      <c r="E12" s="425">
        <f>'Mod. inversión'!D33</f>
        <v>170</v>
      </c>
      <c r="F12" s="461">
        <v>3</v>
      </c>
      <c r="G12" s="462">
        <v>0</v>
      </c>
      <c r="H12" s="463">
        <f>D12*E12</f>
        <v>4250</v>
      </c>
      <c r="I12" s="464">
        <v>0</v>
      </c>
      <c r="J12" s="465">
        <v>0</v>
      </c>
      <c r="K12" s="466">
        <f>$H$12/$F$12</f>
        <v>1416.6666666666667</v>
      </c>
      <c r="L12" s="467">
        <f>$H$12/$F$12</f>
        <v>1416.6666666666667</v>
      </c>
      <c r="M12" s="468">
        <f>$H$12/$F$12</f>
        <v>1416.6666666666667</v>
      </c>
      <c r="N12" s="13"/>
      <c r="O12" s="13"/>
      <c r="P12" s="13"/>
      <c r="Q12" s="13"/>
      <c r="R12" s="13"/>
      <c r="S12" s="13"/>
      <c r="T12" s="13"/>
      <c r="U12" s="13"/>
      <c r="V12" s="13"/>
      <c r="W12" s="13"/>
      <c r="X12" s="13"/>
      <c r="Y12" s="13"/>
      <c r="Z12" s="13"/>
    </row>
    <row r="13" spans="1:26" ht="14.25" customHeight="1">
      <c r="A13" s="13"/>
      <c r="B13" s="708"/>
      <c r="C13" s="459" t="s">
        <v>113</v>
      </c>
      <c r="D13" s="460">
        <f>'Mod. inversión'!C51</f>
        <v>28</v>
      </c>
      <c r="E13" s="425">
        <f>'Mod. inversión'!D51</f>
        <v>170</v>
      </c>
      <c r="F13" s="461">
        <v>3</v>
      </c>
      <c r="G13" s="462">
        <v>0</v>
      </c>
      <c r="H13" s="464">
        <v>0</v>
      </c>
      <c r="I13" s="463">
        <f>D13*E13</f>
        <v>4760</v>
      </c>
      <c r="J13" s="465">
        <v>0</v>
      </c>
      <c r="K13" s="466">
        <v>0</v>
      </c>
      <c r="L13" s="469">
        <f>$I$13/$F$13</f>
        <v>1586.6666666666667</v>
      </c>
      <c r="M13" s="468">
        <f>$I$13/$F$13</f>
        <v>1586.6666666666667</v>
      </c>
      <c r="N13" s="13"/>
      <c r="O13" s="13"/>
      <c r="P13" s="13"/>
      <c r="Q13" s="13"/>
      <c r="R13" s="13"/>
      <c r="S13" s="13"/>
      <c r="T13" s="13"/>
      <c r="U13" s="13"/>
      <c r="V13" s="13"/>
      <c r="W13" s="13"/>
      <c r="X13" s="13"/>
      <c r="Y13" s="13"/>
      <c r="Z13" s="13"/>
    </row>
    <row r="14" spans="1:26" ht="14.25" customHeight="1">
      <c r="A14" s="13"/>
      <c r="B14" s="708"/>
      <c r="C14" s="470" t="s">
        <v>113</v>
      </c>
      <c r="D14" s="435">
        <f>'Mod. inversión'!C69</f>
        <v>2</v>
      </c>
      <c r="E14" s="420">
        <f>'Mod. inversión'!D69</f>
        <v>940</v>
      </c>
      <c r="F14" s="471">
        <v>3</v>
      </c>
      <c r="G14" s="472">
        <v>0</v>
      </c>
      <c r="H14" s="473">
        <v>0</v>
      </c>
      <c r="I14" s="473">
        <v>0</v>
      </c>
      <c r="J14" s="474">
        <f>D14*E14</f>
        <v>1880</v>
      </c>
      <c r="K14" s="475">
        <v>0</v>
      </c>
      <c r="L14" s="476">
        <v>0</v>
      </c>
      <c r="M14" s="477">
        <f>$J$14/$F$14</f>
        <v>626.66666666666663</v>
      </c>
      <c r="N14" s="13"/>
      <c r="O14" s="13"/>
      <c r="P14" s="13"/>
      <c r="Q14" s="13"/>
      <c r="R14" s="13"/>
      <c r="S14" s="13"/>
      <c r="T14" s="13"/>
      <c r="U14" s="13"/>
      <c r="V14" s="13"/>
      <c r="W14" s="13"/>
      <c r="X14" s="13"/>
      <c r="Y14" s="13"/>
      <c r="Z14" s="13"/>
    </row>
    <row r="15" spans="1:26" ht="14.25" customHeight="1">
      <c r="A15" s="13"/>
      <c r="B15" s="709" t="s">
        <v>383</v>
      </c>
      <c r="C15" s="449" t="s">
        <v>114</v>
      </c>
      <c r="D15" s="450">
        <f>'Mod. inversión'!C13</f>
        <v>2</v>
      </c>
      <c r="E15" s="451">
        <f>'Mod. inversión'!D13</f>
        <v>100</v>
      </c>
      <c r="F15" s="452">
        <v>10</v>
      </c>
      <c r="G15" s="453">
        <f>D15*E15</f>
        <v>200</v>
      </c>
      <c r="H15" s="454">
        <v>0</v>
      </c>
      <c r="I15" s="454">
        <v>0</v>
      </c>
      <c r="J15" s="455">
        <v>0</v>
      </c>
      <c r="K15" s="456">
        <f>$G$15/$F$15</f>
        <v>20</v>
      </c>
      <c r="L15" s="457">
        <f>$G$15/$F$15</f>
        <v>20</v>
      </c>
      <c r="M15" s="458">
        <f>$G$15/$F$15</f>
        <v>20</v>
      </c>
      <c r="N15" s="13"/>
      <c r="O15" s="13"/>
      <c r="P15" s="13"/>
      <c r="Q15" s="13"/>
      <c r="R15" s="13"/>
      <c r="S15" s="13"/>
      <c r="T15" s="13"/>
      <c r="U15" s="13"/>
      <c r="V15" s="13"/>
      <c r="W15" s="13"/>
      <c r="X15" s="13"/>
      <c r="Y15" s="13"/>
      <c r="Z15" s="13"/>
    </row>
    <row r="16" spans="1:26" ht="14.25" customHeight="1">
      <c r="A16" s="13"/>
      <c r="B16" s="709"/>
      <c r="C16" s="459" t="s">
        <v>114</v>
      </c>
      <c r="D16" s="429">
        <f>'Mod. inversión'!C34</f>
        <v>0</v>
      </c>
      <c r="E16" s="425">
        <f>'Mod. inversión'!D34</f>
        <v>0</v>
      </c>
      <c r="F16" s="461">
        <v>10</v>
      </c>
      <c r="G16" s="462">
        <v>0</v>
      </c>
      <c r="H16" s="464">
        <f>D16*E16</f>
        <v>0</v>
      </c>
      <c r="I16" s="463">
        <v>0</v>
      </c>
      <c r="J16" s="465">
        <v>0</v>
      </c>
      <c r="K16" s="466">
        <f>$H$16/$F$16</f>
        <v>0</v>
      </c>
      <c r="L16" s="469">
        <f>$H$16/$F$16</f>
        <v>0</v>
      </c>
      <c r="M16" s="468">
        <f>$H$16/$F$16</f>
        <v>0</v>
      </c>
      <c r="N16" s="13"/>
      <c r="O16" s="13"/>
      <c r="P16" s="13"/>
      <c r="Q16" s="13"/>
      <c r="R16" s="13"/>
      <c r="S16" s="13"/>
      <c r="T16" s="13"/>
      <c r="U16" s="13"/>
      <c r="V16" s="13"/>
      <c r="W16" s="13"/>
      <c r="X16" s="13"/>
      <c r="Y16" s="13"/>
      <c r="Z16" s="13"/>
    </row>
    <row r="17" spans="1:26" ht="14.25" customHeight="1">
      <c r="A17" s="13"/>
      <c r="B17" s="709"/>
      <c r="C17" s="459" t="s">
        <v>114</v>
      </c>
      <c r="D17" s="429">
        <f>'Mod. inversión'!C52</f>
        <v>0</v>
      </c>
      <c r="E17" s="425">
        <f>'Mod. inversión'!D52</f>
        <v>0</v>
      </c>
      <c r="F17" s="461">
        <v>10</v>
      </c>
      <c r="G17" s="462">
        <v>0</v>
      </c>
      <c r="H17" s="464">
        <v>0</v>
      </c>
      <c r="I17" s="464">
        <f>D17*E17</f>
        <v>0</v>
      </c>
      <c r="J17" s="478">
        <v>0</v>
      </c>
      <c r="K17" s="466">
        <v>0</v>
      </c>
      <c r="L17" s="469">
        <f>$I$17/$F$17</f>
        <v>0</v>
      </c>
      <c r="M17" s="479">
        <f>$I$17/$F$17</f>
        <v>0</v>
      </c>
      <c r="N17" s="13"/>
      <c r="O17" s="13"/>
      <c r="P17" s="13"/>
      <c r="Q17" s="13"/>
      <c r="R17" s="13"/>
      <c r="S17" s="13"/>
      <c r="T17" s="13"/>
      <c r="U17" s="13"/>
      <c r="V17" s="13"/>
      <c r="W17" s="13"/>
      <c r="X17" s="13"/>
      <c r="Y17" s="13"/>
      <c r="Z17" s="13"/>
    </row>
    <row r="18" spans="1:26" ht="14.25" customHeight="1">
      <c r="A18" s="13"/>
      <c r="B18" s="709"/>
      <c r="C18" s="459" t="s">
        <v>114</v>
      </c>
      <c r="D18" s="460">
        <f>'Mod. inversión'!C70</f>
        <v>278</v>
      </c>
      <c r="E18" s="425">
        <f>'Mod. inversión'!D70</f>
        <v>34</v>
      </c>
      <c r="F18" s="461">
        <v>10</v>
      </c>
      <c r="G18" s="480">
        <v>0</v>
      </c>
      <c r="H18" s="464">
        <v>0</v>
      </c>
      <c r="I18" s="464">
        <v>0</v>
      </c>
      <c r="J18" s="465">
        <f>D18*E18</f>
        <v>9452</v>
      </c>
      <c r="K18" s="481">
        <v>0</v>
      </c>
      <c r="L18" s="467">
        <v>0</v>
      </c>
      <c r="M18" s="468">
        <f>$J$18/$F$18</f>
        <v>945.2</v>
      </c>
      <c r="N18" s="13"/>
      <c r="O18" s="13"/>
      <c r="P18" s="13"/>
      <c r="Q18" s="13"/>
      <c r="R18" s="13"/>
      <c r="S18" s="13"/>
      <c r="T18" s="13"/>
      <c r="U18" s="13"/>
      <c r="V18" s="13"/>
      <c r="W18" s="13"/>
      <c r="X18" s="13"/>
      <c r="Y18" s="13"/>
      <c r="Z18" s="13"/>
    </row>
    <row r="19" spans="1:26" ht="14.25" customHeight="1">
      <c r="A19" s="13"/>
      <c r="B19" s="709"/>
      <c r="C19" s="459" t="s">
        <v>115</v>
      </c>
      <c r="D19" s="482">
        <f>'Mod. inversión'!C14</f>
        <v>2</v>
      </c>
      <c r="E19" s="425">
        <f>'Mod. inversión'!D14</f>
        <v>85</v>
      </c>
      <c r="F19" s="461">
        <v>10</v>
      </c>
      <c r="G19" s="462">
        <f>D19*E19</f>
        <v>170</v>
      </c>
      <c r="H19" s="464">
        <v>0</v>
      </c>
      <c r="I19" s="463">
        <v>0</v>
      </c>
      <c r="J19" s="465">
        <v>0</v>
      </c>
      <c r="K19" s="466">
        <f>$G$19/$F$19</f>
        <v>17</v>
      </c>
      <c r="L19" s="469">
        <f>$G$19/$F$19</f>
        <v>17</v>
      </c>
      <c r="M19" s="468">
        <f>$G$19/$F$19</f>
        <v>17</v>
      </c>
      <c r="N19" s="13"/>
      <c r="O19" s="13"/>
      <c r="P19" s="13"/>
      <c r="Q19" s="13"/>
      <c r="R19" s="13"/>
      <c r="S19" s="13"/>
      <c r="T19" s="13"/>
      <c r="U19" s="13"/>
      <c r="V19" s="13"/>
      <c r="W19" s="13"/>
      <c r="X19" s="13"/>
      <c r="Y19" s="13"/>
      <c r="Z19" s="13"/>
    </row>
    <row r="20" spans="1:26" ht="14.25" customHeight="1">
      <c r="A20" s="13"/>
      <c r="B20" s="709"/>
      <c r="C20" s="470" t="s">
        <v>115</v>
      </c>
      <c r="D20" s="435">
        <f>'Mod. inversión'!C35</f>
        <v>0</v>
      </c>
      <c r="E20" s="420">
        <f>'Mod. inversión'!D35</f>
        <v>0</v>
      </c>
      <c r="F20" s="471">
        <v>10</v>
      </c>
      <c r="G20" s="472">
        <v>0</v>
      </c>
      <c r="H20" s="473">
        <f>D20*E20</f>
        <v>0</v>
      </c>
      <c r="I20" s="473">
        <v>0</v>
      </c>
      <c r="J20" s="474">
        <v>0</v>
      </c>
      <c r="K20" s="475">
        <f>$H$20/$F$20</f>
        <v>0</v>
      </c>
      <c r="L20" s="476">
        <f>$H$20/$F$20</f>
        <v>0</v>
      </c>
      <c r="M20" s="477">
        <f>$H$20/$F$20</f>
        <v>0</v>
      </c>
      <c r="N20" s="13"/>
      <c r="O20" s="13"/>
      <c r="P20" s="13"/>
      <c r="Q20" s="13"/>
      <c r="R20" s="13"/>
      <c r="S20" s="13"/>
      <c r="T20" s="13"/>
      <c r="U20" s="13"/>
      <c r="V20" s="13"/>
      <c r="W20" s="13"/>
      <c r="X20" s="13"/>
      <c r="Y20" s="13"/>
      <c r="Z20" s="13"/>
    </row>
    <row r="21" spans="1:26" ht="14.25" customHeight="1">
      <c r="A21" s="13"/>
      <c r="B21" s="709"/>
      <c r="C21" s="449" t="s">
        <v>115</v>
      </c>
      <c r="D21" s="241">
        <f>'Mod. inversión'!C53</f>
        <v>0</v>
      </c>
      <c r="E21" s="451">
        <f>'Mod. inversión'!D53</f>
        <v>0</v>
      </c>
      <c r="F21" s="452">
        <v>10</v>
      </c>
      <c r="G21" s="453">
        <v>0</v>
      </c>
      <c r="H21" s="454">
        <v>0</v>
      </c>
      <c r="I21" s="454">
        <f>D21*E21</f>
        <v>0</v>
      </c>
      <c r="J21" s="455">
        <v>0</v>
      </c>
      <c r="K21" s="456">
        <v>0</v>
      </c>
      <c r="L21" s="457">
        <f>$I$21/$F$21</f>
        <v>0</v>
      </c>
      <c r="M21" s="458">
        <f>$I$21/$F$21</f>
        <v>0</v>
      </c>
      <c r="N21" s="13"/>
      <c r="O21" s="13"/>
      <c r="P21" s="13"/>
      <c r="Q21" s="13"/>
      <c r="R21" s="13"/>
      <c r="S21" s="13"/>
      <c r="T21" s="13"/>
      <c r="U21" s="13"/>
      <c r="V21" s="13"/>
      <c r="W21" s="13"/>
      <c r="X21" s="13"/>
      <c r="Y21" s="13"/>
      <c r="Z21" s="13"/>
    </row>
    <row r="22" spans="1:26" ht="14.25" customHeight="1">
      <c r="A22" s="13"/>
      <c r="B22" s="709"/>
      <c r="C22" s="459" t="s">
        <v>115</v>
      </c>
      <c r="D22" s="460">
        <f>'Mod. inversión'!C71</f>
        <v>40</v>
      </c>
      <c r="E22" s="425">
        <f>'Mod. inversión'!D71</f>
        <v>170</v>
      </c>
      <c r="F22" s="461">
        <v>10</v>
      </c>
      <c r="G22" s="480">
        <v>0</v>
      </c>
      <c r="H22" s="464">
        <v>0</v>
      </c>
      <c r="I22" s="464">
        <v>0</v>
      </c>
      <c r="J22" s="465">
        <f>D22*E22</f>
        <v>6800</v>
      </c>
      <c r="K22" s="481">
        <v>0</v>
      </c>
      <c r="L22" s="467">
        <v>0</v>
      </c>
      <c r="M22" s="468">
        <f>$J$22/$F$22</f>
        <v>680</v>
      </c>
      <c r="N22" s="13"/>
      <c r="O22" s="13"/>
      <c r="P22" s="13"/>
      <c r="Q22" s="13"/>
      <c r="R22" s="13"/>
      <c r="S22" s="13"/>
      <c r="T22" s="13"/>
      <c r="U22" s="13"/>
      <c r="V22" s="13"/>
      <c r="W22" s="13"/>
      <c r="X22" s="13"/>
      <c r="Y22" s="13"/>
      <c r="Z22" s="13"/>
    </row>
    <row r="23" spans="1:26" ht="14.25" customHeight="1">
      <c r="A23" s="13"/>
      <c r="B23" s="710" t="s">
        <v>384</v>
      </c>
      <c r="C23" s="459" t="s">
        <v>385</v>
      </c>
      <c r="D23" s="429">
        <f>'Mod. inversión'!C15</f>
        <v>1</v>
      </c>
      <c r="E23" s="425">
        <f>'Mod. inversión'!D15</f>
        <v>205</v>
      </c>
      <c r="F23" s="461">
        <v>3</v>
      </c>
      <c r="G23" s="480">
        <f>D23*E23</f>
        <v>205</v>
      </c>
      <c r="H23" s="464">
        <v>0</v>
      </c>
      <c r="I23" s="464">
        <v>0</v>
      </c>
      <c r="J23" s="465">
        <v>0</v>
      </c>
      <c r="K23" s="481">
        <f>$G$23/$F$23</f>
        <v>68.333333333333329</v>
      </c>
      <c r="L23" s="467">
        <f>$G$23/$F$23</f>
        <v>68.333333333333329</v>
      </c>
      <c r="M23" s="468">
        <v>0</v>
      </c>
      <c r="N23" s="13"/>
      <c r="O23" s="13"/>
      <c r="P23" s="13"/>
      <c r="Q23" s="13"/>
      <c r="R23" s="13"/>
      <c r="S23" s="13"/>
      <c r="T23" s="13"/>
      <c r="U23" s="13"/>
      <c r="V23" s="13"/>
      <c r="W23" s="13"/>
      <c r="X23" s="13"/>
      <c r="Y23" s="13"/>
      <c r="Z23" s="13"/>
    </row>
    <row r="24" spans="1:26" ht="14.25" customHeight="1">
      <c r="A24" s="13"/>
      <c r="B24" s="710"/>
      <c r="C24" s="459" t="s">
        <v>385</v>
      </c>
      <c r="D24" s="429">
        <f>'Mod. inversión'!C36</f>
        <v>0</v>
      </c>
      <c r="E24" s="425">
        <f>'Mod. inversión'!D36</f>
        <v>0</v>
      </c>
      <c r="F24" s="461">
        <v>3</v>
      </c>
      <c r="G24" s="480">
        <v>0</v>
      </c>
      <c r="H24" s="464">
        <f>D24*E24</f>
        <v>0</v>
      </c>
      <c r="I24" s="464">
        <v>0</v>
      </c>
      <c r="J24" s="465">
        <v>0</v>
      </c>
      <c r="K24" s="481">
        <f>$H$24/$F$24</f>
        <v>0</v>
      </c>
      <c r="L24" s="467">
        <f>$H$24/$F$24</f>
        <v>0</v>
      </c>
      <c r="M24" s="468">
        <f>$H$24/$F$24</f>
        <v>0</v>
      </c>
      <c r="N24" s="13"/>
      <c r="O24" s="13"/>
      <c r="P24" s="13"/>
      <c r="Q24" s="13"/>
      <c r="R24" s="13"/>
      <c r="S24" s="13"/>
      <c r="T24" s="13"/>
      <c r="U24" s="13"/>
      <c r="V24" s="13"/>
      <c r="W24" s="13"/>
      <c r="X24" s="13"/>
      <c r="Y24" s="13"/>
      <c r="Z24" s="13"/>
    </row>
    <row r="25" spans="1:26" ht="14.25" customHeight="1">
      <c r="A25" s="13"/>
      <c r="B25" s="710"/>
      <c r="C25" s="459"/>
      <c r="D25" s="429"/>
      <c r="E25" s="425"/>
      <c r="F25" s="461"/>
      <c r="G25" s="480"/>
      <c r="H25" s="464"/>
      <c r="I25" s="464"/>
      <c r="J25" s="465"/>
      <c r="K25" s="481"/>
      <c r="L25" s="467"/>
      <c r="M25" s="468"/>
      <c r="N25" s="13"/>
      <c r="O25" s="13"/>
      <c r="P25" s="13"/>
      <c r="Q25" s="13"/>
      <c r="R25" s="13"/>
      <c r="S25" s="13"/>
      <c r="T25" s="13"/>
      <c r="U25" s="13"/>
      <c r="V25" s="13"/>
      <c r="W25" s="13"/>
      <c r="X25" s="13"/>
      <c r="Y25" s="13"/>
      <c r="Z25" s="13"/>
    </row>
    <row r="26" spans="1:26" ht="14.25" customHeight="1">
      <c r="A26" s="13"/>
      <c r="B26" s="710"/>
      <c r="C26" s="470"/>
      <c r="D26" s="435"/>
      <c r="E26" s="420"/>
      <c r="F26" s="471"/>
      <c r="G26" s="483"/>
      <c r="H26" s="473"/>
      <c r="I26" s="473"/>
      <c r="J26" s="484"/>
      <c r="K26" s="485"/>
      <c r="L26" s="486"/>
      <c r="M26" s="487"/>
      <c r="N26" s="13"/>
      <c r="O26" s="13"/>
      <c r="P26" s="13"/>
      <c r="Q26" s="13"/>
      <c r="R26" s="13"/>
      <c r="S26" s="13"/>
      <c r="T26" s="13"/>
      <c r="U26" s="13"/>
      <c r="V26" s="13"/>
      <c r="W26" s="13"/>
      <c r="X26" s="13"/>
      <c r="Y26" s="13"/>
      <c r="Z26" s="13"/>
    </row>
    <row r="27" spans="1:26" ht="15" customHeight="1">
      <c r="A27" s="13"/>
      <c r="B27" s="711" t="s">
        <v>343</v>
      </c>
      <c r="C27" s="711"/>
      <c r="D27" s="711"/>
      <c r="E27" s="711"/>
      <c r="F27" s="711"/>
      <c r="G27" s="711"/>
      <c r="H27" s="711"/>
      <c r="I27" s="711"/>
      <c r="J27" s="711"/>
      <c r="K27" s="488">
        <f>SUM(K11:K26)</f>
        <v>2148.666666666667</v>
      </c>
      <c r="L27" s="489">
        <f>SUM(L11:L26)</f>
        <v>3735.3333333333335</v>
      </c>
      <c r="M27" s="490">
        <f>SUM(M11:M26)</f>
        <v>5292.2</v>
      </c>
      <c r="N27" s="13"/>
      <c r="O27" s="13"/>
      <c r="P27" s="13"/>
      <c r="Q27" s="13"/>
      <c r="R27" s="13"/>
      <c r="S27" s="13"/>
      <c r="T27" s="13"/>
      <c r="U27" s="13"/>
      <c r="V27" s="13"/>
      <c r="W27" s="13"/>
      <c r="X27" s="13"/>
      <c r="Y27" s="13"/>
      <c r="Z27" s="13"/>
    </row>
    <row r="28" spans="1:26"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sheetData>
  <mergeCells count="14">
    <mergeCell ref="B11:B14"/>
    <mergeCell ref="B15:B22"/>
    <mergeCell ref="B23:B26"/>
    <mergeCell ref="B27:J27"/>
    <mergeCell ref="B3:D3"/>
    <mergeCell ref="I3:K3"/>
    <mergeCell ref="B8:M8"/>
    <mergeCell ref="B9:B10"/>
    <mergeCell ref="C9:C10"/>
    <mergeCell ref="D9:D10"/>
    <mergeCell ref="E9:E10"/>
    <mergeCell ref="F9:F10"/>
    <mergeCell ref="G9:J9"/>
    <mergeCell ref="K9:M9"/>
  </mergeCell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40"/>
  <sheetViews>
    <sheetView zoomScaleNormal="100" workbookViewId="0">
      <selection activeCell="I38" sqref="I38"/>
    </sheetView>
  </sheetViews>
  <sheetFormatPr baseColWidth="10" defaultColWidth="8.6640625" defaultRowHeight="14"/>
  <cols>
    <col min="1" max="1" width="5.33203125" customWidth="1"/>
    <col min="2" max="2" width="13.1640625" customWidth="1"/>
    <col min="3" max="3" width="25.83203125" customWidth="1"/>
    <col min="4" max="4" width="17.1640625" customWidth="1"/>
    <col min="5" max="5" width="16.6640625" customWidth="1"/>
    <col min="6" max="6" width="13.5" customWidth="1"/>
    <col min="7" max="7" width="20.33203125" customWidth="1"/>
    <col min="8" max="8" width="12.33203125" customWidth="1"/>
    <col min="9" max="9" width="12.83203125" customWidth="1"/>
    <col min="10" max="10" width="13.1640625" customWidth="1"/>
    <col min="11" max="12" width="15.33203125" customWidth="1"/>
    <col min="13" max="13" width="26.33203125" customWidth="1"/>
    <col min="14" max="14" width="20.6640625" customWidth="1"/>
    <col min="15" max="15" width="10" customWidth="1"/>
  </cols>
  <sheetData>
    <row r="1" spans="1:26" ht="45" customHeight="1">
      <c r="A1" s="20"/>
      <c r="B1" s="20"/>
      <c r="C1" s="20"/>
      <c r="D1" s="20"/>
      <c r="E1" s="208" t="s">
        <v>18</v>
      </c>
      <c r="F1" s="312"/>
      <c r="G1" s="312"/>
      <c r="H1" s="20"/>
      <c r="I1" s="20"/>
      <c r="J1" s="20"/>
      <c r="K1" s="20"/>
      <c r="L1" s="20"/>
      <c r="M1" s="20"/>
      <c r="N1" s="20"/>
      <c r="O1" s="20"/>
      <c r="P1" s="13"/>
      <c r="Q1" s="13"/>
      <c r="R1" s="13"/>
      <c r="S1" s="13"/>
      <c r="T1" s="13"/>
      <c r="U1" s="13"/>
      <c r="V1" s="13"/>
      <c r="W1" s="13"/>
      <c r="X1" s="13"/>
      <c r="Y1" s="13"/>
      <c r="Z1" s="13"/>
    </row>
    <row r="2" spans="1:26" ht="15" customHeight="1">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5" customHeight="1">
      <c r="A3" s="13"/>
      <c r="B3" s="13"/>
      <c r="C3" s="13"/>
      <c r="D3" s="13"/>
      <c r="E3" s="13"/>
      <c r="F3" s="13"/>
      <c r="G3" s="13"/>
      <c r="H3" s="211"/>
      <c r="I3" s="13"/>
      <c r="J3" s="13"/>
      <c r="K3" s="12" t="s">
        <v>73</v>
      </c>
      <c r="L3" s="12"/>
      <c r="M3" s="12"/>
      <c r="N3" s="13"/>
      <c r="O3" s="13"/>
      <c r="P3" s="13"/>
      <c r="Q3" s="13"/>
      <c r="R3" s="13"/>
      <c r="S3" s="13"/>
      <c r="T3" s="13"/>
      <c r="U3" s="13"/>
      <c r="V3" s="13"/>
      <c r="W3" s="13"/>
      <c r="X3" s="13"/>
      <c r="Y3" s="13"/>
      <c r="Z3" s="13"/>
    </row>
    <row r="4" spans="1:26" ht="15" customHeight="1">
      <c r="A4" s="13"/>
      <c r="B4" s="13"/>
      <c r="C4" s="13"/>
      <c r="D4" s="13"/>
      <c r="E4" s="13"/>
      <c r="F4" s="13"/>
      <c r="G4" s="13"/>
      <c r="H4" s="274"/>
      <c r="I4" s="13"/>
      <c r="J4" s="13"/>
      <c r="K4" s="491">
        <v>2026</v>
      </c>
      <c r="L4" s="492">
        <v>2027</v>
      </c>
      <c r="M4" s="493">
        <v>2028</v>
      </c>
      <c r="N4" s="13"/>
      <c r="O4" s="13"/>
      <c r="P4" s="13"/>
      <c r="Q4" s="13"/>
      <c r="R4" s="13"/>
      <c r="S4" s="13"/>
      <c r="T4" s="13"/>
      <c r="U4" s="13"/>
      <c r="V4" s="13"/>
      <c r="W4" s="13"/>
      <c r="X4" s="13"/>
      <c r="Y4" s="13"/>
      <c r="Z4" s="13"/>
    </row>
    <row r="5" spans="1:26" ht="15" customHeight="1">
      <c r="A5" s="13"/>
      <c r="B5" s="13"/>
      <c r="C5" s="13"/>
      <c r="D5" s="13"/>
      <c r="E5" s="13"/>
      <c r="F5" s="13"/>
      <c r="G5" s="13"/>
      <c r="H5" s="350"/>
      <c r="I5" s="13"/>
      <c r="J5" s="13"/>
      <c r="K5" s="82">
        <f>Hipótesis!$C$24</f>
        <v>8.0000000000000002E-3</v>
      </c>
      <c r="L5" s="83">
        <f>Hipótesis!$C$25</f>
        <v>2.9000000000000001E-2</v>
      </c>
      <c r="M5" s="84">
        <f>Hipótesis!$C$26</f>
        <v>5.1999999999999998E-2</v>
      </c>
      <c r="N5" s="13"/>
      <c r="O5" s="13"/>
      <c r="P5" s="13"/>
      <c r="Q5" s="13"/>
      <c r="R5" s="13"/>
      <c r="S5" s="13"/>
      <c r="T5" s="13"/>
      <c r="U5" s="13"/>
      <c r="V5" s="13"/>
      <c r="W5" s="13"/>
      <c r="X5" s="13"/>
      <c r="Y5" s="13"/>
      <c r="Z5" s="13"/>
    </row>
    <row r="6" spans="1:26" ht="15" customHeight="1">
      <c r="A6" s="13"/>
      <c r="B6" s="13"/>
      <c r="C6" s="13"/>
      <c r="D6" s="13"/>
      <c r="E6" s="13"/>
      <c r="F6" s="13"/>
      <c r="G6" s="13"/>
      <c r="H6" s="13"/>
      <c r="I6" s="13"/>
      <c r="J6" s="13"/>
      <c r="K6" s="85">
        <f>Hipótesis!$D$24</f>
        <v>107520</v>
      </c>
      <c r="L6" s="86">
        <f>Hipótesis!$D$25</f>
        <v>389760</v>
      </c>
      <c r="M6" s="87">
        <f>Hipótesis!$D$26</f>
        <v>698880</v>
      </c>
      <c r="N6" s="13"/>
      <c r="O6" s="13"/>
      <c r="P6" s="13"/>
      <c r="Q6" s="13"/>
      <c r="R6" s="13"/>
      <c r="S6" s="13"/>
      <c r="T6" s="13"/>
      <c r="U6" s="13"/>
      <c r="V6" s="13"/>
      <c r="W6" s="13"/>
      <c r="X6" s="13"/>
      <c r="Y6" s="13"/>
      <c r="Z6" s="13"/>
    </row>
    <row r="7" spans="1:26" ht="7.5"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21.75" customHeight="1">
      <c r="A8" s="13"/>
      <c r="B8" s="13"/>
      <c r="C8" s="13"/>
      <c r="D8" s="13"/>
      <c r="E8" s="13"/>
      <c r="F8" s="13"/>
      <c r="G8" s="13"/>
      <c r="H8" s="211"/>
      <c r="I8" s="13"/>
      <c r="J8" s="13"/>
      <c r="K8" s="12" t="s">
        <v>386</v>
      </c>
      <c r="L8" s="12"/>
      <c r="M8" s="12"/>
      <c r="N8" s="13"/>
      <c r="O8" s="13"/>
      <c r="P8" s="13"/>
      <c r="Q8" s="13"/>
      <c r="R8" s="13"/>
      <c r="S8" s="13"/>
      <c r="T8" s="13"/>
      <c r="U8" s="13"/>
      <c r="V8" s="13"/>
      <c r="W8" s="13"/>
      <c r="X8" s="13"/>
      <c r="Y8" s="13"/>
      <c r="Z8" s="13"/>
    </row>
    <row r="9" spans="1:26" ht="22.5" customHeight="1">
      <c r="A9" s="13"/>
      <c r="B9" s="13"/>
      <c r="C9" s="13"/>
      <c r="D9" s="13"/>
      <c r="E9" s="13"/>
      <c r="F9" s="13"/>
      <c r="G9" s="13"/>
      <c r="H9" s="274"/>
      <c r="I9" s="13"/>
      <c r="J9" s="13"/>
      <c r="K9" s="491">
        <v>2026</v>
      </c>
      <c r="L9" s="492">
        <v>2027</v>
      </c>
      <c r="M9" s="493">
        <v>2028</v>
      </c>
      <c r="N9" s="13"/>
      <c r="O9" s="13"/>
      <c r="P9" s="13"/>
      <c r="Q9" s="13"/>
      <c r="R9" s="13"/>
      <c r="S9" s="13"/>
      <c r="T9" s="13"/>
      <c r="U9" s="13"/>
      <c r="V9" s="13"/>
      <c r="W9" s="13"/>
      <c r="X9" s="13"/>
      <c r="Y9" s="13"/>
      <c r="Z9" s="13"/>
    </row>
    <row r="10" spans="1:26" ht="24.75" customHeight="1">
      <c r="A10" s="13"/>
      <c r="B10" s="12" t="s">
        <v>18</v>
      </c>
      <c r="C10" s="12"/>
      <c r="D10" s="12"/>
      <c r="E10" s="12"/>
      <c r="F10" s="12"/>
      <c r="G10" s="12"/>
      <c r="H10" s="350"/>
      <c r="I10" s="13"/>
      <c r="J10" s="494" t="s">
        <v>347</v>
      </c>
      <c r="K10" s="495">
        <f>'Costos fijos'!$G$5</f>
        <v>32640</v>
      </c>
      <c r="L10" s="496">
        <f>'Costos fijos'!$H$5</f>
        <v>77700</v>
      </c>
      <c r="M10" s="497">
        <f>'Costos fijos'!$I$5</f>
        <v>106860</v>
      </c>
      <c r="N10" s="13"/>
      <c r="O10" s="13"/>
      <c r="P10" s="13"/>
      <c r="Q10" s="13"/>
      <c r="R10" s="13"/>
      <c r="S10" s="13"/>
      <c r="T10" s="13"/>
      <c r="U10" s="13"/>
      <c r="V10" s="13"/>
      <c r="W10" s="13"/>
      <c r="X10" s="13"/>
      <c r="Y10" s="13"/>
      <c r="Z10" s="13"/>
    </row>
    <row r="11" spans="1:26" ht="15" customHeight="1">
      <c r="A11" s="13"/>
      <c r="B11" s="712" t="s">
        <v>387</v>
      </c>
      <c r="C11" s="712"/>
      <c r="D11" s="498">
        <v>0</v>
      </c>
      <c r="E11" s="499">
        <v>2026</v>
      </c>
      <c r="F11" s="499">
        <v>2027</v>
      </c>
      <c r="G11" s="500">
        <v>2028</v>
      </c>
      <c r="H11" s="13"/>
      <c r="I11" s="13"/>
      <c r="J11" s="501" t="s">
        <v>348</v>
      </c>
      <c r="K11" s="502">
        <f>'Costos variables'!$H$6</f>
        <v>40479.800000000003</v>
      </c>
      <c r="L11" s="313">
        <f>'Costos variables'!$I$6</f>
        <v>59474.6</v>
      </c>
      <c r="M11" s="503">
        <f>'Costos variables'!$J$6</f>
        <v>85346</v>
      </c>
      <c r="N11" s="13"/>
      <c r="O11" s="13"/>
      <c r="P11" s="13"/>
      <c r="Q11" s="13"/>
      <c r="R11" s="13"/>
      <c r="S11" s="13"/>
      <c r="T11" s="13"/>
      <c r="U11" s="13"/>
      <c r="V11" s="13"/>
      <c r="W11" s="13"/>
      <c r="X11" s="13"/>
      <c r="Y11" s="13"/>
      <c r="Z11" s="13"/>
    </row>
    <row r="12" spans="1:26" ht="15" customHeight="1">
      <c r="A12" s="13"/>
      <c r="B12" s="713" t="s">
        <v>92</v>
      </c>
      <c r="C12" s="713"/>
      <c r="D12" s="504" t="s">
        <v>388</v>
      </c>
      <c r="E12" s="451">
        <f>+'Mod. ingresos'!C30</f>
        <v>105865</v>
      </c>
      <c r="F12" s="451">
        <f>+'Mod. ingresos'!D30</f>
        <v>386897</v>
      </c>
      <c r="G12" s="505">
        <f>+'Mod. ingresos'!E30</f>
        <v>705506</v>
      </c>
      <c r="H12" s="13"/>
      <c r="I12" s="13"/>
      <c r="J12" s="506" t="s">
        <v>349</v>
      </c>
      <c r="K12" s="85">
        <f>'Costos RRHH'!$H$6</f>
        <v>67319.200000000012</v>
      </c>
      <c r="L12" s="86">
        <f>'Costos RRHH'!$I$6</f>
        <v>67319.200000000012</v>
      </c>
      <c r="M12" s="87">
        <f>'Costos RRHH'!$J$6</f>
        <v>67319.200000000012</v>
      </c>
      <c r="N12" s="13"/>
      <c r="O12" s="13"/>
      <c r="P12" s="13"/>
      <c r="Q12" s="13"/>
      <c r="R12" s="13"/>
      <c r="S12" s="13"/>
      <c r="T12" s="13"/>
      <c r="U12" s="13"/>
      <c r="V12" s="13"/>
      <c r="W12" s="13"/>
      <c r="X12" s="13"/>
      <c r="Y12" s="13"/>
      <c r="Z12" s="13"/>
    </row>
    <row r="13" spans="1:26" ht="15" customHeight="1">
      <c r="A13" s="13"/>
      <c r="B13" s="714" t="s">
        <v>389</v>
      </c>
      <c r="C13" s="507" t="s">
        <v>347</v>
      </c>
      <c r="D13" s="508" t="s">
        <v>388</v>
      </c>
      <c r="E13" s="425">
        <f>+'Mod. egresos'!B10</f>
        <v>32640</v>
      </c>
      <c r="F13" s="425">
        <f>+'Mod. egresos'!C10</f>
        <v>77700</v>
      </c>
      <c r="G13" s="443">
        <f>+'Mod. egresos'!D10</f>
        <v>106860</v>
      </c>
      <c r="H13" s="13"/>
      <c r="I13" s="13"/>
      <c r="J13" s="13"/>
      <c r="K13" s="13"/>
      <c r="L13" s="13"/>
      <c r="M13" s="13"/>
      <c r="N13" s="13"/>
      <c r="O13" s="13"/>
      <c r="P13" s="13"/>
      <c r="Q13" s="13"/>
      <c r="R13" s="13"/>
      <c r="S13" s="13"/>
      <c r="T13" s="13"/>
      <c r="U13" s="13"/>
      <c r="V13" s="13"/>
      <c r="W13" s="13"/>
      <c r="X13" s="13"/>
      <c r="Y13" s="13"/>
      <c r="Z13" s="13"/>
    </row>
    <row r="14" spans="1:26" ht="29.25" customHeight="1">
      <c r="A14" s="13"/>
      <c r="B14" s="714"/>
      <c r="C14" s="507" t="s">
        <v>348</v>
      </c>
      <c r="D14" s="508" t="s">
        <v>388</v>
      </c>
      <c r="E14" s="425">
        <f>+'Mod. egresos'!B11</f>
        <v>40479.800000000003</v>
      </c>
      <c r="F14" s="425">
        <f>+'Mod. egresos'!C11</f>
        <v>59474.6</v>
      </c>
      <c r="G14" s="443">
        <f>+'Mod. egresos'!D11</f>
        <v>85346</v>
      </c>
      <c r="H14" s="13"/>
      <c r="I14" s="13"/>
      <c r="J14" s="13"/>
      <c r="K14" s="12" t="s">
        <v>17</v>
      </c>
      <c r="L14" s="12"/>
      <c r="M14" s="12"/>
      <c r="N14" s="13"/>
      <c r="O14" s="13"/>
      <c r="P14" s="13"/>
      <c r="Q14" s="13"/>
      <c r="R14" s="13"/>
      <c r="S14" s="13"/>
      <c r="T14" s="13"/>
      <c r="U14" s="13"/>
      <c r="V14" s="13"/>
      <c r="W14" s="13"/>
      <c r="X14" s="13"/>
      <c r="Y14" s="13"/>
      <c r="Z14" s="13"/>
    </row>
    <row r="15" spans="1:26" ht="15" customHeight="1">
      <c r="A15" s="13"/>
      <c r="B15" s="714"/>
      <c r="C15" s="509" t="s">
        <v>349</v>
      </c>
      <c r="D15" s="510" t="s">
        <v>388</v>
      </c>
      <c r="E15" s="425">
        <f>+'Mod. egresos'!B12</f>
        <v>67319.200000000012</v>
      </c>
      <c r="F15" s="425">
        <f>+'Mod. egresos'!C12</f>
        <v>67319.200000000012</v>
      </c>
      <c r="G15" s="443">
        <f>+'Mod. egresos'!D12</f>
        <v>67319.200000000012</v>
      </c>
      <c r="H15" s="13"/>
      <c r="I15" s="13"/>
      <c r="J15" s="13"/>
      <c r="K15" s="491">
        <v>2026</v>
      </c>
      <c r="L15" s="492">
        <v>2027</v>
      </c>
      <c r="M15" s="493">
        <v>2028</v>
      </c>
      <c r="N15" s="13"/>
      <c r="O15" s="13"/>
      <c r="P15" s="13"/>
      <c r="Q15" s="13"/>
      <c r="R15" s="13"/>
      <c r="S15" s="13"/>
      <c r="T15" s="13"/>
      <c r="U15" s="13"/>
      <c r="V15" s="13"/>
      <c r="W15" s="13"/>
      <c r="X15" s="13"/>
      <c r="Y15" s="13"/>
      <c r="Z15" s="13"/>
    </row>
    <row r="16" spans="1:26" ht="15" customHeight="1">
      <c r="A16" s="13"/>
      <c r="B16" s="715" t="s">
        <v>390</v>
      </c>
      <c r="C16" s="715"/>
      <c r="D16" s="512" t="s">
        <v>388</v>
      </c>
      <c r="E16" s="513">
        <f>E12-E13-E14-E15</f>
        <v>-34574.000000000015</v>
      </c>
      <c r="F16" s="513">
        <f>F12-F13-F14-F15</f>
        <v>182403.19999999998</v>
      </c>
      <c r="G16" s="514">
        <f>G12-G13-G14-G15</f>
        <v>445980.8</v>
      </c>
      <c r="H16" s="13"/>
      <c r="I16" s="13"/>
      <c r="J16" s="13"/>
      <c r="K16" s="419">
        <f>Amortizaciones!$I$5</f>
        <v>2148.666666666667</v>
      </c>
      <c r="L16" s="420">
        <f>Amortizaciones!$J$5</f>
        <v>3735.3333333333335</v>
      </c>
      <c r="M16" s="421">
        <f>Amortizaciones!$K$5</f>
        <v>5292.2</v>
      </c>
      <c r="N16" s="13"/>
      <c r="O16" s="13"/>
      <c r="P16" s="13"/>
      <c r="Q16" s="13"/>
      <c r="R16" s="13"/>
      <c r="S16" s="13"/>
      <c r="T16" s="13"/>
      <c r="U16" s="13"/>
      <c r="V16" s="13"/>
      <c r="W16" s="13"/>
      <c r="X16" s="13"/>
      <c r="Y16" s="13"/>
      <c r="Z16" s="13"/>
    </row>
    <row r="17" spans="1:26" ht="21" customHeight="1">
      <c r="A17" s="13"/>
      <c r="B17" s="716" t="s">
        <v>391</v>
      </c>
      <c r="C17" s="716"/>
      <c r="D17" s="515" t="s">
        <v>388</v>
      </c>
      <c r="E17" s="516">
        <f>E12*0.03</f>
        <v>3175.95</v>
      </c>
      <c r="F17" s="516">
        <f>F12*0.03</f>
        <v>11606.91</v>
      </c>
      <c r="G17" s="517">
        <f>G12*0.03</f>
        <v>21165.18</v>
      </c>
      <c r="H17" s="13"/>
      <c r="I17" s="13"/>
      <c r="J17" s="13"/>
      <c r="K17" s="13"/>
      <c r="L17" s="13"/>
      <c r="M17" s="13"/>
      <c r="N17" s="13"/>
      <c r="O17" s="13"/>
      <c r="P17" s="13"/>
      <c r="Q17" s="13"/>
      <c r="R17" s="13"/>
      <c r="S17" s="13"/>
      <c r="T17" s="13"/>
      <c r="U17" s="13"/>
      <c r="V17" s="13"/>
      <c r="W17" s="13"/>
      <c r="X17" s="13"/>
      <c r="Y17" s="13"/>
      <c r="Z17" s="13"/>
    </row>
    <row r="18" spans="1:26" ht="24.75" customHeight="1">
      <c r="A18" s="13"/>
      <c r="B18" s="13"/>
      <c r="C18" s="13"/>
      <c r="D18" s="13"/>
      <c r="E18" s="13"/>
      <c r="F18" s="13"/>
      <c r="G18" s="13"/>
      <c r="H18" s="13"/>
      <c r="I18" s="13"/>
      <c r="J18" s="12" t="s">
        <v>355</v>
      </c>
      <c r="K18" s="12"/>
      <c r="L18" s="12"/>
      <c r="M18" s="12"/>
      <c r="N18" s="13"/>
      <c r="O18" s="13"/>
      <c r="P18" s="13"/>
      <c r="Q18" s="13"/>
      <c r="R18" s="13"/>
      <c r="S18" s="13"/>
      <c r="T18" s="13"/>
      <c r="U18" s="13"/>
      <c r="V18" s="13"/>
      <c r="W18" s="13"/>
      <c r="X18" s="13"/>
      <c r="Y18" s="13"/>
      <c r="Z18" s="13"/>
    </row>
    <row r="19" spans="1:26" ht="15" customHeight="1">
      <c r="A19" s="13"/>
      <c r="B19" s="518" t="s">
        <v>392</v>
      </c>
      <c r="C19" s="518"/>
      <c r="D19" s="519" t="s">
        <v>388</v>
      </c>
      <c r="E19" s="520">
        <v>0</v>
      </c>
      <c r="F19" s="520">
        <f>MAX(0,$L$23)*0.35</f>
        <v>0</v>
      </c>
      <c r="G19" s="521">
        <f>MAX(0,$M$23)*0.35</f>
        <v>58471.33483333332</v>
      </c>
      <c r="H19" s="13"/>
      <c r="I19" s="13"/>
      <c r="J19" s="418" t="s">
        <v>356</v>
      </c>
      <c r="K19" s="80">
        <v>2026</v>
      </c>
      <c r="L19" s="80">
        <v>2027</v>
      </c>
      <c r="M19" s="81">
        <v>2028</v>
      </c>
      <c r="N19" s="13"/>
      <c r="O19" s="13"/>
      <c r="P19" s="13"/>
      <c r="Q19" s="13"/>
      <c r="R19" s="13"/>
      <c r="S19" s="13"/>
      <c r="T19" s="13"/>
      <c r="U19" s="13"/>
      <c r="V19" s="13"/>
      <c r="W19" s="13"/>
      <c r="X19" s="13"/>
      <c r="Y19" s="13"/>
      <c r="Z19" s="13"/>
    </row>
    <row r="20" spans="1:26" ht="15" customHeight="1">
      <c r="A20" s="13"/>
      <c r="B20" s="511" t="s">
        <v>393</v>
      </c>
      <c r="C20" s="511"/>
      <c r="D20" s="512" t="s">
        <v>388</v>
      </c>
      <c r="E20" s="513">
        <f>E16-E17-E19</f>
        <v>-37749.950000000012</v>
      </c>
      <c r="F20" s="513">
        <f>F16-F17-F19</f>
        <v>170796.28999999998</v>
      </c>
      <c r="G20" s="514">
        <f>G16-G17-G19</f>
        <v>366344.28516666667</v>
      </c>
      <c r="H20" s="13"/>
      <c r="I20" s="13"/>
      <c r="J20" s="419">
        <f>'Mod. inversión'!$G$5</f>
        <v>67705</v>
      </c>
      <c r="K20" s="420">
        <f>'Mod. inversión'!$H$5</f>
        <v>10098</v>
      </c>
      <c r="L20" s="420">
        <f>'Mod. inversión'!$I$5</f>
        <v>11900</v>
      </c>
      <c r="M20" s="421">
        <f>'Mod. inversión'!$J$5</f>
        <v>18132</v>
      </c>
      <c r="N20" s="13"/>
      <c r="O20" s="13"/>
      <c r="P20" s="13"/>
      <c r="Q20" s="13"/>
      <c r="R20" s="13"/>
      <c r="S20" s="13"/>
      <c r="T20" s="13"/>
      <c r="U20" s="13"/>
      <c r="V20" s="13"/>
      <c r="W20" s="13"/>
      <c r="X20" s="13"/>
      <c r="Y20" s="13"/>
      <c r="Z20" s="13"/>
    </row>
    <row r="21" spans="1:26" ht="15" customHeight="1">
      <c r="A21" s="13"/>
      <c r="B21" s="522" t="s">
        <v>394</v>
      </c>
      <c r="C21" s="522"/>
      <c r="D21" s="523">
        <f>-J20</f>
        <v>-67705</v>
      </c>
      <c r="E21" s="524">
        <f>-K20</f>
        <v>-10098</v>
      </c>
      <c r="F21" s="524">
        <f>-L20</f>
        <v>-11900</v>
      </c>
      <c r="G21" s="525">
        <f>-M20</f>
        <v>-18132</v>
      </c>
      <c r="H21" s="13"/>
      <c r="I21" s="13"/>
      <c r="J21" s="13"/>
      <c r="K21" s="13"/>
      <c r="L21" s="13"/>
      <c r="M21" s="13"/>
      <c r="N21" s="13"/>
      <c r="O21" s="13"/>
      <c r="P21" s="13"/>
      <c r="Q21" s="13"/>
      <c r="R21" s="13"/>
      <c r="S21" s="13"/>
      <c r="T21" s="13"/>
      <c r="U21" s="13"/>
      <c r="V21" s="13"/>
      <c r="W21" s="13"/>
      <c r="X21" s="13"/>
      <c r="Y21" s="13"/>
      <c r="Z21" s="13"/>
    </row>
    <row r="22" spans="1:26" ht="15" customHeight="1">
      <c r="A22" s="13"/>
      <c r="B22" s="526" t="s">
        <v>395</v>
      </c>
      <c r="C22" s="526"/>
      <c r="D22" s="527">
        <f>D21</f>
        <v>-67705</v>
      </c>
      <c r="E22" s="528">
        <f>E20+E21</f>
        <v>-47847.950000000012</v>
      </c>
      <c r="F22" s="528">
        <f>F20+F21</f>
        <v>158896.28999999998</v>
      </c>
      <c r="G22" s="529">
        <f>G20+G21</f>
        <v>348212.28516666667</v>
      </c>
      <c r="H22" s="13"/>
      <c r="I22" s="13"/>
      <c r="J22" s="13"/>
      <c r="K22" s="80">
        <v>2025</v>
      </c>
      <c r="L22" s="80">
        <v>2026</v>
      </c>
      <c r="M22" s="80">
        <v>2027</v>
      </c>
      <c r="N22" s="80">
        <v>2028</v>
      </c>
      <c r="O22" s="13"/>
      <c r="P22" s="13"/>
      <c r="Q22" s="13"/>
      <c r="R22" s="13"/>
      <c r="S22" s="13"/>
      <c r="T22" s="13"/>
      <c r="U22" s="13"/>
      <c r="V22" s="13"/>
      <c r="W22" s="13"/>
      <c r="X22" s="13"/>
      <c r="Y22" s="13"/>
      <c r="Z22" s="13"/>
    </row>
    <row r="23" spans="1:26" ht="15" customHeight="1">
      <c r="A23" s="13"/>
      <c r="B23" s="13"/>
      <c r="C23" s="13"/>
      <c r="D23" s="13"/>
      <c r="E23" s="13"/>
      <c r="F23" s="13"/>
      <c r="G23" s="13"/>
      <c r="H23" s="13"/>
      <c r="I23" s="717" t="s">
        <v>396</v>
      </c>
      <c r="J23" s="717"/>
      <c r="K23" s="530"/>
      <c r="L23" s="531">
        <f>E16-E17-K16</f>
        <v>-39898.616666666676</v>
      </c>
      <c r="M23" s="531">
        <f>F16-F17-L16</f>
        <v>167060.95666666664</v>
      </c>
      <c r="N23" s="532">
        <f>G16-G17-M16</f>
        <v>419523.42</v>
      </c>
      <c r="O23" s="13"/>
      <c r="P23" s="13"/>
      <c r="Q23" s="13"/>
      <c r="R23" s="13"/>
      <c r="S23" s="13"/>
      <c r="T23" s="13"/>
      <c r="U23" s="13"/>
      <c r="V23" s="13"/>
      <c r="W23" s="13"/>
      <c r="X23" s="13"/>
      <c r="Y23" s="13"/>
      <c r="Z23" s="13"/>
    </row>
    <row r="24" spans="1:26" ht="15" customHeight="1">
      <c r="A24" s="13"/>
      <c r="B24" s="533" t="s">
        <v>397</v>
      </c>
      <c r="C24" s="533"/>
      <c r="D24" s="450" t="s">
        <v>388</v>
      </c>
      <c r="E24" s="451">
        <f>'Costos variables'!H10 + 'Costos fijos'!G9</f>
        <v>13665</v>
      </c>
      <c r="F24" s="451">
        <f>'Costos variables'!I10 + 'Costos fijos'!H9</f>
        <v>46636</v>
      </c>
      <c r="G24" s="451">
        <f>'Costos variables'!J10 + 'Costos fijos'!I9</f>
        <v>70444</v>
      </c>
      <c r="H24" s="13"/>
      <c r="I24" s="13"/>
      <c r="J24" s="13"/>
      <c r="K24" s="13"/>
      <c r="L24" s="13"/>
      <c r="M24" s="13"/>
      <c r="N24" s="13"/>
      <c r="O24" s="13"/>
      <c r="P24" s="13"/>
      <c r="Q24" s="13"/>
      <c r="R24" s="13"/>
      <c r="S24" s="13"/>
      <c r="T24" s="13"/>
      <c r="U24" s="13"/>
      <c r="V24" s="13"/>
      <c r="W24" s="13"/>
      <c r="X24" s="13"/>
      <c r="Y24" s="13"/>
      <c r="Z24" s="13"/>
    </row>
    <row r="25" spans="1:26" ht="15" customHeight="1">
      <c r="A25" s="13"/>
      <c r="B25" s="534" t="s">
        <v>398</v>
      </c>
      <c r="C25" s="533"/>
      <c r="D25" s="259"/>
      <c r="E25" s="535">
        <f>E24/E$12</f>
        <v>0.12907948802720445</v>
      </c>
      <c r="F25" s="535">
        <f>F24/F12</f>
        <v>0.12053854126550477</v>
      </c>
      <c r="G25" s="535">
        <f>G24/G12</f>
        <v>9.9848902773328641E-2</v>
      </c>
      <c r="H25" s="13"/>
      <c r="I25" s="13"/>
      <c r="J25" s="13"/>
      <c r="K25" s="13"/>
      <c r="L25" s="13"/>
      <c r="M25" s="13"/>
      <c r="N25" s="13"/>
      <c r="O25" s="13"/>
      <c r="P25" s="13"/>
      <c r="Q25" s="13"/>
      <c r="R25" s="13"/>
      <c r="S25" s="13"/>
      <c r="T25" s="13"/>
      <c r="U25" s="13"/>
      <c r="V25" s="13"/>
      <c r="W25" s="13"/>
      <c r="X25" s="13"/>
      <c r="Y25" s="13"/>
      <c r="Z25" s="13"/>
    </row>
    <row r="26" spans="1:26" ht="1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 customHeight="1">
      <c r="A27" s="13"/>
      <c r="B27" s="536" t="s">
        <v>399</v>
      </c>
      <c r="C27" s="536"/>
      <c r="D27" s="279"/>
      <c r="E27" s="537">
        <f t="shared" ref="E27:G29" si="0">E13/E$12</f>
        <v>0.3083171964294148</v>
      </c>
      <c r="F27" s="537">
        <f t="shared" si="0"/>
        <v>0.20082864431618752</v>
      </c>
      <c r="G27" s="538">
        <f t="shared" si="0"/>
        <v>0.15146575649250324</v>
      </c>
      <c r="H27" s="13"/>
      <c r="I27" s="13"/>
      <c r="J27" s="13"/>
      <c r="K27" s="13"/>
      <c r="L27" s="13"/>
      <c r="M27" s="13"/>
      <c r="N27" s="13"/>
      <c r="O27" s="13"/>
      <c r="P27" s="13"/>
      <c r="Q27" s="13"/>
      <c r="R27" s="13"/>
      <c r="S27" s="13"/>
      <c r="T27" s="13"/>
      <c r="U27" s="13"/>
      <c r="V27" s="13"/>
      <c r="W27" s="13"/>
      <c r="X27" s="13"/>
      <c r="Y27" s="13"/>
      <c r="Z27" s="13"/>
    </row>
    <row r="28" spans="1:26" ht="15" customHeight="1">
      <c r="A28" s="13"/>
      <c r="B28" s="539" t="s">
        <v>400</v>
      </c>
      <c r="C28" s="539"/>
      <c r="D28" s="214"/>
      <c r="E28" s="540">
        <f t="shared" si="0"/>
        <v>0.38237188872620792</v>
      </c>
      <c r="F28" s="540">
        <f t="shared" si="0"/>
        <v>0.15372205005466572</v>
      </c>
      <c r="G28" s="541">
        <f t="shared" si="0"/>
        <v>0.12097133121475934</v>
      </c>
      <c r="H28" s="13"/>
      <c r="I28" s="13"/>
      <c r="J28" s="13"/>
      <c r="K28" s="13"/>
      <c r="L28" s="13"/>
      <c r="M28" s="13"/>
      <c r="N28" s="13"/>
      <c r="O28" s="13"/>
      <c r="P28" s="13"/>
      <c r="Q28" s="13"/>
      <c r="R28" s="13"/>
      <c r="S28" s="13"/>
      <c r="T28" s="13"/>
      <c r="U28" s="13"/>
      <c r="V28" s="13"/>
      <c r="W28" s="13"/>
      <c r="X28" s="13"/>
      <c r="Y28" s="13"/>
      <c r="Z28" s="13"/>
    </row>
    <row r="29" spans="1:26" ht="14.25" customHeight="1">
      <c r="A29" s="13"/>
      <c r="B29" s="534" t="s">
        <v>401</v>
      </c>
      <c r="C29" s="534"/>
      <c r="D29" s="259"/>
      <c r="E29" s="535">
        <f t="shared" si="0"/>
        <v>0.6358966608416381</v>
      </c>
      <c r="F29" s="535">
        <f t="shared" si="0"/>
        <v>0.17399773066216592</v>
      </c>
      <c r="G29" s="542">
        <f t="shared" si="0"/>
        <v>9.5419741292065569E-2</v>
      </c>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543" t="s">
        <v>402</v>
      </c>
      <c r="G33" s="544">
        <v>0.3</v>
      </c>
      <c r="H33" s="13"/>
      <c r="I33" s="13"/>
      <c r="J33" s="13"/>
      <c r="K33" s="13"/>
      <c r="L33" s="545"/>
      <c r="M33" s="13"/>
      <c r="N33" s="13"/>
      <c r="O33" s="13"/>
      <c r="P33" s="13"/>
      <c r="Q33" s="13"/>
      <c r="R33" s="13"/>
      <c r="S33" s="13"/>
      <c r="T33" s="13"/>
      <c r="U33" s="13"/>
      <c r="V33" s="13"/>
      <c r="W33" s="13"/>
      <c r="X33" s="13"/>
      <c r="Y33" s="13"/>
      <c r="Z33" s="13"/>
    </row>
    <row r="34" spans="1:26" ht="14.25" customHeight="1">
      <c r="A34" s="13"/>
      <c r="B34" s="13"/>
      <c r="C34" s="13"/>
      <c r="D34" s="13"/>
      <c r="E34" s="13"/>
      <c r="F34" s="546" t="s">
        <v>403</v>
      </c>
      <c r="G34" s="547">
        <f>NPV($G$33,E22:G22)+D22</f>
        <v>148004.79820967984</v>
      </c>
      <c r="H34" s="548"/>
      <c r="I34" s="13" t="s">
        <v>404</v>
      </c>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549" t="s">
        <v>405</v>
      </c>
      <c r="G35" s="550">
        <f>IRR(D22:G22,$G$33)</f>
        <v>0.91701938080856849</v>
      </c>
      <c r="H35" s="545"/>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545"/>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545"/>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551"/>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548"/>
      <c r="H39" s="13"/>
      <c r="I39" s="551"/>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545"/>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70"/>
      <c r="E43" s="170"/>
      <c r="F43" s="170"/>
      <c r="G43" s="170"/>
      <c r="H43" s="13"/>
      <c r="I43" s="142"/>
      <c r="J43" s="13"/>
      <c r="K43" s="13"/>
      <c r="L43" s="13"/>
      <c r="M43" s="13"/>
      <c r="N43" s="13"/>
      <c r="O43" s="13"/>
      <c r="P43" s="13"/>
      <c r="Q43" s="13"/>
      <c r="R43" s="13"/>
      <c r="S43" s="13"/>
      <c r="T43" s="13"/>
      <c r="U43" s="13"/>
      <c r="V43" s="13"/>
      <c r="W43" s="13"/>
      <c r="X43" s="13"/>
      <c r="Y43" s="13"/>
      <c r="Z43" s="13"/>
    </row>
    <row r="44" spans="1:26" ht="14.25" customHeight="1">
      <c r="A44" s="13"/>
      <c r="B44" s="13"/>
      <c r="D44" s="13"/>
      <c r="E44" s="13"/>
      <c r="F44" s="13"/>
      <c r="G44" s="13"/>
      <c r="H44" s="13"/>
      <c r="I44" s="142"/>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548"/>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sheetData>
  <mergeCells count="11">
    <mergeCell ref="I23:J23"/>
    <mergeCell ref="B13:B15"/>
    <mergeCell ref="K14:M14"/>
    <mergeCell ref="B16:C16"/>
    <mergeCell ref="B17:C17"/>
    <mergeCell ref="J18:M18"/>
    <mergeCell ref="K3:M3"/>
    <mergeCell ref="K8:M8"/>
    <mergeCell ref="B10:G10"/>
    <mergeCell ref="B11:C11"/>
    <mergeCell ref="B12:C12"/>
  </mergeCells>
  <pageMargins left="0.75" right="0.75" top="1" bottom="1"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000"/>
  <sheetViews>
    <sheetView zoomScaleNormal="100" workbookViewId="0"/>
  </sheetViews>
  <sheetFormatPr baseColWidth="10" defaultColWidth="12.6640625" defaultRowHeight="15" customHeight="1"/>
  <cols>
    <col min="1" max="1" width="7.83203125" customWidth="1"/>
    <col min="2" max="2" width="86.33203125" customWidth="1"/>
    <col min="3" max="3" width="4.6640625" customWidth="1"/>
    <col min="4" max="4" width="5" customWidth="1"/>
    <col min="6" max="6" width="12.5" customWidth="1"/>
    <col min="7" max="7" width="11.6640625" customWidth="1"/>
    <col min="8" max="8" width="10.33203125" customWidth="1"/>
    <col min="9" max="9" width="9.1640625" customWidth="1"/>
    <col min="10" max="10" width="10.5" customWidth="1"/>
    <col min="11" max="26" width="7.83203125" customWidth="1"/>
  </cols>
  <sheetData>
    <row r="1" spans="2:3" ht="14.25" customHeight="1"/>
    <row r="2" spans="2:3" ht="33" customHeight="1">
      <c r="B2" s="718"/>
      <c r="C2" s="718"/>
    </row>
    <row r="3" spans="2:3" ht="14.25" customHeight="1">
      <c r="B3" s="552"/>
    </row>
    <row r="4" spans="2:3" ht="14.25" customHeight="1">
      <c r="B4" s="553"/>
    </row>
    <row r="5" spans="2:3" ht="14.25" customHeight="1">
      <c r="B5" s="554"/>
    </row>
    <row r="6" spans="2:3" ht="14.25" customHeight="1">
      <c r="B6" s="554"/>
    </row>
    <row r="7" spans="2:3" ht="14.25" customHeight="1">
      <c r="B7" s="554"/>
    </row>
    <row r="8" spans="2:3" ht="14.25" customHeight="1">
      <c r="B8" s="554"/>
    </row>
    <row r="9" spans="2:3" ht="14.25" customHeight="1">
      <c r="B9" s="554"/>
    </row>
    <row r="10" spans="2:3" ht="14.25" customHeight="1">
      <c r="B10" s="553"/>
    </row>
    <row r="11" spans="2:3" ht="14.25" customHeight="1">
      <c r="B11" s="554"/>
    </row>
    <row r="12" spans="2:3" ht="14.25" customHeight="1">
      <c r="B12" s="554"/>
    </row>
    <row r="13" spans="2:3" ht="14.25" customHeight="1">
      <c r="B13" s="554"/>
    </row>
    <row r="14" spans="2:3" ht="14.25" customHeight="1">
      <c r="B14" s="554"/>
    </row>
    <row r="15" spans="2:3" ht="14.25" customHeight="1">
      <c r="B15" s="554"/>
    </row>
    <row r="16" spans="2:3" ht="14.25" customHeight="1"/>
    <row r="17" spans="2:10" ht="30" customHeight="1">
      <c r="B17" s="719"/>
      <c r="C17" s="719"/>
    </row>
    <row r="18" spans="2:10" ht="14.25" customHeight="1">
      <c r="B18" s="555"/>
    </row>
    <row r="19" spans="2:10" ht="14.25" customHeight="1">
      <c r="B19" s="556"/>
    </row>
    <row r="20" spans="2:10" ht="14.25" customHeight="1">
      <c r="B20" s="557"/>
    </row>
    <row r="21" spans="2:10" ht="14.25" customHeight="1">
      <c r="B21" s="556"/>
    </row>
    <row r="22" spans="2:10" ht="14.25" customHeight="1">
      <c r="B22" s="555"/>
    </row>
    <row r="23" spans="2:10" ht="27.75" customHeight="1">
      <c r="B23" s="718"/>
      <c r="C23" s="718"/>
      <c r="E23" s="558"/>
      <c r="F23" s="559"/>
      <c r="G23" s="560"/>
      <c r="H23" s="561"/>
      <c r="I23" s="562"/>
      <c r="J23" s="559"/>
    </row>
    <row r="24" spans="2:10" ht="19.5" customHeight="1">
      <c r="B24" s="552"/>
      <c r="E24" s="563"/>
      <c r="F24" s="564"/>
      <c r="G24" s="565"/>
      <c r="H24" s="566"/>
      <c r="I24" s="567"/>
      <c r="J24" s="568"/>
    </row>
    <row r="25" spans="2:10" ht="14.25" customHeight="1">
      <c r="B25" s="569"/>
      <c r="C25" s="570"/>
      <c r="E25" s="563"/>
      <c r="F25" s="571"/>
      <c r="G25" s="565"/>
      <c r="H25" s="565"/>
      <c r="I25" s="567"/>
      <c r="J25" s="567"/>
    </row>
    <row r="26" spans="2:10" ht="14.25" customHeight="1">
      <c r="B26" s="569"/>
      <c r="C26" s="572"/>
      <c r="E26" s="563"/>
      <c r="F26" s="571"/>
      <c r="G26" s="571"/>
      <c r="H26" s="565"/>
      <c r="I26" s="565"/>
      <c r="J26" s="567"/>
    </row>
    <row r="27" spans="2:10" ht="20.25" customHeight="1">
      <c r="B27" s="569"/>
      <c r="C27" s="573"/>
      <c r="E27" s="563"/>
      <c r="F27" s="571"/>
      <c r="G27" s="571"/>
      <c r="H27" s="571"/>
      <c r="I27" s="565"/>
      <c r="J27" s="565"/>
    </row>
    <row r="28" spans="2:10" ht="37.5" customHeight="1">
      <c r="B28" s="569"/>
      <c r="C28" s="574"/>
      <c r="E28" s="563"/>
      <c r="F28" s="571"/>
      <c r="G28" s="571"/>
      <c r="H28" s="571"/>
      <c r="I28" s="571"/>
      <c r="J28" s="571"/>
    </row>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C2"/>
    <mergeCell ref="B17:C17"/>
    <mergeCell ref="B23:C23"/>
  </mergeCells>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B999"/>
  <sheetViews>
    <sheetView zoomScale="85" zoomScaleNormal="85" workbookViewId="0"/>
  </sheetViews>
  <sheetFormatPr baseColWidth="10" defaultColWidth="12.6640625" defaultRowHeight="15" customHeight="1"/>
  <cols>
    <col min="1" max="1" width="9.33203125" customWidth="1"/>
    <col min="2" max="2" width="60" customWidth="1"/>
    <col min="3" max="26" width="9.33203125" customWidth="1"/>
  </cols>
  <sheetData>
    <row r="1" spans="2:2" ht="57.75" customHeight="1">
      <c r="B1" s="344" t="s">
        <v>406</v>
      </c>
    </row>
    <row r="2" spans="2:2" ht="30.75" customHeight="1">
      <c r="B2" s="575"/>
    </row>
    <row r="3" spans="2:2" ht="31.5" customHeight="1">
      <c r="B3" s="576" t="s">
        <v>407</v>
      </c>
    </row>
    <row r="4" spans="2:2" ht="29.25" customHeight="1">
      <c r="B4" s="577"/>
    </row>
    <row r="5" spans="2:2" ht="30" customHeight="1">
      <c r="B5" s="578" t="s">
        <v>408</v>
      </c>
    </row>
    <row r="6" spans="2:2" ht="30" customHeight="1">
      <c r="B6" s="578" t="s">
        <v>409</v>
      </c>
    </row>
    <row r="7" spans="2:2" ht="30" customHeight="1">
      <c r="B7" s="578" t="s">
        <v>410</v>
      </c>
    </row>
    <row r="8" spans="2:2" ht="30" customHeight="1">
      <c r="B8" s="578" t="s">
        <v>411</v>
      </c>
    </row>
    <row r="9" spans="2:2" ht="30" customHeight="1">
      <c r="B9" s="578" t="s">
        <v>412</v>
      </c>
    </row>
    <row r="10" spans="2:2" ht="30" customHeight="1">
      <c r="B10" s="578" t="s">
        <v>413</v>
      </c>
    </row>
    <row r="11" spans="2:2" ht="30" customHeight="1">
      <c r="B11" s="578" t="s">
        <v>414</v>
      </c>
    </row>
    <row r="12" spans="2:2" ht="30" customHeight="1">
      <c r="B12" s="578" t="s">
        <v>415</v>
      </c>
    </row>
    <row r="13" spans="2:2" ht="30" customHeight="1">
      <c r="B13" s="578" t="s">
        <v>416</v>
      </c>
    </row>
    <row r="14" spans="2:2" ht="30" customHeight="1">
      <c r="B14" s="578" t="s">
        <v>417</v>
      </c>
    </row>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511811023622047" footer="0.511811023622047"/>
  <pageSetup paperSize="9" orientation="landscape"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7"/>
  <sheetViews>
    <sheetView zoomScale="85" zoomScaleNormal="85" workbookViewId="0"/>
  </sheetViews>
  <sheetFormatPr baseColWidth="10" defaultColWidth="12.6640625" defaultRowHeight="15" customHeight="1"/>
  <cols>
    <col min="1" max="1" width="6.33203125" customWidth="1"/>
    <col min="2" max="2" width="7" customWidth="1"/>
    <col min="3" max="3" width="26" customWidth="1"/>
    <col min="4" max="4" width="28" customWidth="1"/>
    <col min="5" max="6" width="26" customWidth="1"/>
    <col min="7" max="7" width="12" customWidth="1"/>
    <col min="8" max="8" width="10" customWidth="1"/>
    <col min="9" max="9" width="12" customWidth="1"/>
    <col min="10" max="11" width="9.33203125" customWidth="1"/>
    <col min="12" max="12" width="21.6640625" customWidth="1"/>
    <col min="13" max="13" width="25.1640625" customWidth="1"/>
    <col min="14" max="26" width="9.33203125" customWidth="1"/>
  </cols>
  <sheetData>
    <row r="1" spans="1:26" ht="14.25" customHeight="1"/>
    <row r="2" spans="1:26" ht="42" customHeight="1">
      <c r="A2" s="579"/>
      <c r="B2" s="44" t="s">
        <v>418</v>
      </c>
      <c r="C2" s="44" t="s">
        <v>171</v>
      </c>
      <c r="D2" s="44" t="s">
        <v>419</v>
      </c>
      <c r="E2" s="44" t="s">
        <v>420</v>
      </c>
      <c r="F2" s="44" t="s">
        <v>421</v>
      </c>
      <c r="G2" s="44" t="s">
        <v>422</v>
      </c>
      <c r="H2" s="44" t="s">
        <v>423</v>
      </c>
      <c r="I2" s="44" t="s">
        <v>424</v>
      </c>
      <c r="J2" s="579"/>
      <c r="K2" s="579"/>
      <c r="L2" s="576" t="s">
        <v>425</v>
      </c>
      <c r="M2" s="579"/>
      <c r="N2" s="579"/>
      <c r="O2" s="579"/>
      <c r="P2" s="579"/>
      <c r="Q2" s="579"/>
      <c r="R2" s="579"/>
      <c r="S2" s="579"/>
      <c r="T2" s="579"/>
      <c r="U2" s="579"/>
      <c r="V2" s="579"/>
      <c r="W2" s="579"/>
      <c r="X2" s="579"/>
      <c r="Y2" s="579"/>
      <c r="Z2" s="579"/>
    </row>
    <row r="3" spans="1:26" ht="55.5" customHeight="1">
      <c r="B3" s="720" t="s">
        <v>426</v>
      </c>
      <c r="C3" s="721" t="s">
        <v>427</v>
      </c>
      <c r="D3" s="580" t="s">
        <v>428</v>
      </c>
      <c r="E3" s="721" t="s">
        <v>429</v>
      </c>
      <c r="F3" s="721" t="s">
        <v>430</v>
      </c>
      <c r="G3" s="720">
        <v>4</v>
      </c>
      <c r="H3" s="720">
        <v>5</v>
      </c>
      <c r="I3" s="722">
        <f>G3*H3</f>
        <v>20</v>
      </c>
      <c r="L3" s="44" t="s">
        <v>431</v>
      </c>
      <c r="M3" s="44" t="s">
        <v>432</v>
      </c>
      <c r="N3" s="44" t="s">
        <v>433</v>
      </c>
      <c r="O3" s="44" t="s">
        <v>434</v>
      </c>
      <c r="P3" s="44" t="s">
        <v>435</v>
      </c>
      <c r="Q3" s="44" t="s">
        <v>436</v>
      </c>
      <c r="R3" s="44" t="s">
        <v>437</v>
      </c>
      <c r="S3" s="44" t="s">
        <v>438</v>
      </c>
    </row>
    <row r="4" spans="1:26" ht="55.5" customHeight="1">
      <c r="B4" s="720"/>
      <c r="C4" s="720"/>
      <c r="D4" s="580" t="s">
        <v>439</v>
      </c>
      <c r="E4" s="721"/>
      <c r="F4" s="721"/>
      <c r="G4" s="721"/>
      <c r="H4" s="721"/>
      <c r="I4" s="721"/>
      <c r="L4" s="578" t="s">
        <v>440</v>
      </c>
      <c r="M4" s="578" t="s">
        <v>441</v>
      </c>
      <c r="N4" s="44" t="s">
        <v>442</v>
      </c>
      <c r="O4" s="582"/>
      <c r="P4" s="583" t="s">
        <v>443</v>
      </c>
      <c r="Q4" s="581"/>
      <c r="R4" s="581" t="s">
        <v>444</v>
      </c>
      <c r="S4" s="584"/>
    </row>
    <row r="5" spans="1:26" ht="55.5" customHeight="1">
      <c r="B5" s="720"/>
      <c r="C5" s="720"/>
      <c r="D5" s="580" t="s">
        <v>445</v>
      </c>
      <c r="E5" s="721"/>
      <c r="F5" s="721"/>
      <c r="G5" s="721"/>
      <c r="H5" s="721"/>
      <c r="I5" s="721"/>
      <c r="L5" s="578" t="s">
        <v>446</v>
      </c>
      <c r="M5" s="578" t="s">
        <v>447</v>
      </c>
      <c r="N5" s="44" t="s">
        <v>448</v>
      </c>
      <c r="O5" s="582"/>
      <c r="P5" s="583" t="s">
        <v>449</v>
      </c>
      <c r="Q5" s="583" t="s">
        <v>450</v>
      </c>
      <c r="R5" s="581" t="s">
        <v>451</v>
      </c>
      <c r="S5" s="581"/>
    </row>
    <row r="6" spans="1:26" ht="55.5" customHeight="1">
      <c r="B6" s="720" t="s">
        <v>452</v>
      </c>
      <c r="C6" s="721" t="s">
        <v>453</v>
      </c>
      <c r="D6" s="580" t="s">
        <v>454</v>
      </c>
      <c r="E6" s="721" t="s">
        <v>455</v>
      </c>
      <c r="F6" s="721" t="s">
        <v>456</v>
      </c>
      <c r="G6" s="720">
        <v>4</v>
      </c>
      <c r="H6" s="720">
        <v>4</v>
      </c>
      <c r="I6" s="722">
        <f>G6*H6</f>
        <v>16</v>
      </c>
      <c r="L6" s="578" t="s">
        <v>457</v>
      </c>
      <c r="M6" s="578" t="s">
        <v>458</v>
      </c>
      <c r="N6" s="44" t="s">
        <v>459</v>
      </c>
      <c r="O6" s="582"/>
      <c r="P6" s="582"/>
      <c r="Q6" s="583" t="s">
        <v>460</v>
      </c>
      <c r="R6" s="583"/>
      <c r="S6" s="581"/>
    </row>
    <row r="7" spans="1:26" ht="55.5" customHeight="1">
      <c r="B7" s="720"/>
      <c r="C7" s="720"/>
      <c r="D7" s="580" t="s">
        <v>461</v>
      </c>
      <c r="E7" s="721"/>
      <c r="F7" s="721"/>
      <c r="G7" s="721"/>
      <c r="H7" s="721"/>
      <c r="I7" s="721"/>
      <c r="L7" s="578" t="s">
        <v>462</v>
      </c>
      <c r="M7" s="578" t="s">
        <v>463</v>
      </c>
      <c r="N7" s="44" t="s">
        <v>464</v>
      </c>
      <c r="O7" s="582"/>
      <c r="P7" s="582"/>
      <c r="Q7" s="582"/>
      <c r="R7" s="583"/>
      <c r="S7" s="583"/>
    </row>
    <row r="8" spans="1:26" ht="55.5" customHeight="1">
      <c r="B8" s="720"/>
      <c r="C8" s="720"/>
      <c r="D8" s="580" t="s">
        <v>465</v>
      </c>
      <c r="E8" s="721"/>
      <c r="F8" s="721"/>
      <c r="G8" s="721"/>
      <c r="H8" s="721"/>
      <c r="I8" s="721"/>
      <c r="L8" s="578" t="s">
        <v>466</v>
      </c>
      <c r="M8" s="578" t="s">
        <v>467</v>
      </c>
      <c r="N8" s="44" t="s">
        <v>468</v>
      </c>
      <c r="O8" s="582"/>
      <c r="P8" s="582"/>
      <c r="Q8" s="582"/>
      <c r="R8" s="582"/>
      <c r="S8" s="582"/>
    </row>
    <row r="9" spans="1:26" ht="55.5" customHeight="1">
      <c r="B9" s="720" t="s">
        <v>469</v>
      </c>
      <c r="C9" s="721" t="s">
        <v>470</v>
      </c>
      <c r="D9" s="580" t="s">
        <v>471</v>
      </c>
      <c r="E9" s="721" t="s">
        <v>472</v>
      </c>
      <c r="F9" s="721" t="s">
        <v>473</v>
      </c>
      <c r="G9" s="720">
        <v>4</v>
      </c>
      <c r="H9" s="720">
        <v>4</v>
      </c>
      <c r="I9" s="722">
        <f>G9*H9</f>
        <v>16</v>
      </c>
      <c r="L9" s="554"/>
      <c r="M9" s="554"/>
      <c r="N9" s="570"/>
      <c r="O9" s="723" t="s">
        <v>474</v>
      </c>
      <c r="P9" s="723"/>
      <c r="Q9" s="723"/>
      <c r="R9" s="723"/>
      <c r="S9" s="723"/>
    </row>
    <row r="10" spans="1:26" ht="55.5" customHeight="1">
      <c r="B10" s="720"/>
      <c r="C10" s="720"/>
      <c r="D10" s="580" t="s">
        <v>475</v>
      </c>
      <c r="E10" s="721"/>
      <c r="F10" s="721"/>
      <c r="G10" s="721"/>
      <c r="H10" s="721"/>
      <c r="I10" s="721"/>
      <c r="N10" s="572"/>
      <c r="O10" s="724" t="s">
        <v>476</v>
      </c>
      <c r="P10" s="724"/>
      <c r="Q10" s="724"/>
      <c r="R10" s="724"/>
      <c r="S10" s="724"/>
    </row>
    <row r="11" spans="1:26" ht="55.5" customHeight="1">
      <c r="B11" s="720"/>
      <c r="C11" s="720"/>
      <c r="D11" s="580" t="s">
        <v>477</v>
      </c>
      <c r="E11" s="721"/>
      <c r="F11" s="721"/>
      <c r="G11" s="721"/>
      <c r="H11" s="721"/>
      <c r="I11" s="721"/>
      <c r="L11" s="554"/>
      <c r="M11" s="554"/>
      <c r="N11" s="573"/>
      <c r="O11" s="725" t="s">
        <v>478</v>
      </c>
      <c r="P11" s="725"/>
      <c r="Q11" s="725"/>
      <c r="R11" s="725"/>
      <c r="S11" s="725"/>
    </row>
    <row r="12" spans="1:26" ht="55.5" customHeight="1">
      <c r="B12" s="720" t="s">
        <v>479</v>
      </c>
      <c r="C12" s="721" t="s">
        <v>480</v>
      </c>
      <c r="D12" s="580" t="s">
        <v>481</v>
      </c>
      <c r="E12" s="721" t="s">
        <v>482</v>
      </c>
      <c r="F12" s="721" t="s">
        <v>483</v>
      </c>
      <c r="G12" s="720">
        <v>4</v>
      </c>
      <c r="H12" s="720">
        <v>5</v>
      </c>
      <c r="I12" s="722">
        <f>G12*H12</f>
        <v>20</v>
      </c>
      <c r="L12" s="554"/>
      <c r="M12" s="554"/>
      <c r="N12" s="574"/>
      <c r="O12" s="726" t="s">
        <v>484</v>
      </c>
      <c r="P12" s="726"/>
      <c r="Q12" s="726"/>
      <c r="R12" s="726"/>
      <c r="S12" s="726"/>
    </row>
    <row r="13" spans="1:26" ht="55.5" customHeight="1">
      <c r="B13" s="720"/>
      <c r="C13" s="720"/>
      <c r="D13" s="580" t="s">
        <v>485</v>
      </c>
      <c r="E13" s="721"/>
      <c r="F13" s="721"/>
      <c r="G13" s="721"/>
      <c r="H13" s="721"/>
      <c r="I13" s="721"/>
      <c r="L13" s="554"/>
      <c r="M13" s="554"/>
      <c r="N13" s="563"/>
      <c r="O13" s="571"/>
      <c r="P13" s="571"/>
      <c r="Q13" s="571"/>
      <c r="R13" s="571"/>
      <c r="S13" s="571"/>
    </row>
    <row r="14" spans="1:26" ht="55.5" customHeight="1">
      <c r="B14" s="720"/>
      <c r="C14" s="720"/>
      <c r="D14" s="580" t="s">
        <v>486</v>
      </c>
      <c r="E14" s="721"/>
      <c r="F14" s="721"/>
      <c r="G14" s="721"/>
      <c r="H14" s="721"/>
      <c r="I14" s="721"/>
    </row>
    <row r="15" spans="1:26" ht="55.5" customHeight="1">
      <c r="B15" s="720" t="s">
        <v>487</v>
      </c>
      <c r="C15" s="721" t="s">
        <v>488</v>
      </c>
      <c r="D15" s="580" t="s">
        <v>489</v>
      </c>
      <c r="E15" s="721" t="s">
        <v>490</v>
      </c>
      <c r="F15" s="721" t="s">
        <v>491</v>
      </c>
      <c r="G15" s="720">
        <v>3</v>
      </c>
      <c r="H15" s="720">
        <v>4</v>
      </c>
      <c r="I15" s="727">
        <f>G15*H15</f>
        <v>12</v>
      </c>
    </row>
    <row r="16" spans="1:26" ht="55.5" customHeight="1">
      <c r="B16" s="720"/>
      <c r="C16" s="720"/>
      <c r="D16" s="580" t="s">
        <v>492</v>
      </c>
      <c r="E16" s="721"/>
      <c r="F16" s="721"/>
      <c r="G16" s="721"/>
      <c r="H16" s="721"/>
      <c r="I16" s="721"/>
    </row>
    <row r="17" spans="2:9" ht="55.5" customHeight="1">
      <c r="B17" s="720"/>
      <c r="C17" s="720"/>
      <c r="D17" s="580" t="s">
        <v>493</v>
      </c>
      <c r="E17" s="721"/>
      <c r="F17" s="721"/>
      <c r="G17" s="721"/>
      <c r="H17" s="721"/>
      <c r="I17" s="721"/>
    </row>
    <row r="18" spans="2:9" ht="55.5" customHeight="1">
      <c r="B18" s="720" t="s">
        <v>494</v>
      </c>
      <c r="C18" s="721" t="s">
        <v>495</v>
      </c>
      <c r="D18" s="580" t="s">
        <v>496</v>
      </c>
      <c r="E18" s="721" t="s">
        <v>497</v>
      </c>
      <c r="F18" s="721" t="s">
        <v>498</v>
      </c>
      <c r="G18" s="720">
        <v>3</v>
      </c>
      <c r="H18" s="720">
        <v>4</v>
      </c>
      <c r="I18" s="727">
        <f>G18*H18</f>
        <v>12</v>
      </c>
    </row>
    <row r="19" spans="2:9" ht="55.5" customHeight="1">
      <c r="B19" s="720"/>
      <c r="C19" s="720"/>
      <c r="D19" s="580" t="s">
        <v>499</v>
      </c>
      <c r="E19" s="721"/>
      <c r="F19" s="721"/>
      <c r="G19" s="721"/>
      <c r="H19" s="721"/>
      <c r="I19" s="721"/>
    </row>
    <row r="20" spans="2:9" ht="55.5" customHeight="1">
      <c r="B20" s="720"/>
      <c r="C20" s="720"/>
      <c r="D20" s="580" t="s">
        <v>500</v>
      </c>
      <c r="E20" s="721"/>
      <c r="F20" s="721"/>
      <c r="G20" s="721"/>
      <c r="H20" s="721"/>
      <c r="I20" s="721"/>
    </row>
    <row r="21" spans="2:9" ht="55.5" customHeight="1">
      <c r="B21" s="720" t="s">
        <v>443</v>
      </c>
      <c r="C21" s="721" t="s">
        <v>501</v>
      </c>
      <c r="D21" s="580" t="s">
        <v>502</v>
      </c>
      <c r="E21" s="721" t="s">
        <v>503</v>
      </c>
      <c r="F21" s="721" t="s">
        <v>504</v>
      </c>
      <c r="G21" s="720">
        <v>2</v>
      </c>
      <c r="H21" s="720">
        <v>5</v>
      </c>
      <c r="I21" s="727">
        <f>G21*H21</f>
        <v>10</v>
      </c>
    </row>
    <row r="22" spans="2:9" ht="55.5" customHeight="1">
      <c r="B22" s="720"/>
      <c r="C22" s="720"/>
      <c r="D22" s="580" t="s">
        <v>505</v>
      </c>
      <c r="E22" s="721"/>
      <c r="F22" s="721"/>
      <c r="G22" s="721"/>
      <c r="H22" s="721"/>
      <c r="I22" s="721"/>
    </row>
    <row r="23" spans="2:9" ht="55.5" customHeight="1">
      <c r="B23" s="720"/>
      <c r="C23" s="720"/>
      <c r="D23" s="580" t="s">
        <v>506</v>
      </c>
      <c r="E23" s="721"/>
      <c r="F23" s="721"/>
      <c r="G23" s="721"/>
      <c r="H23" s="721"/>
      <c r="I23" s="721"/>
    </row>
    <row r="24" spans="2:9" ht="55.5" customHeight="1">
      <c r="B24" s="720" t="s">
        <v>460</v>
      </c>
      <c r="C24" s="721" t="s">
        <v>507</v>
      </c>
      <c r="D24" s="580" t="s">
        <v>508</v>
      </c>
      <c r="E24" s="721" t="s">
        <v>509</v>
      </c>
      <c r="F24" s="721" t="s">
        <v>510</v>
      </c>
      <c r="G24" s="720">
        <v>3</v>
      </c>
      <c r="H24" s="720">
        <v>3</v>
      </c>
      <c r="I24" s="727">
        <f>G24*H24</f>
        <v>9</v>
      </c>
    </row>
    <row r="25" spans="2:9" ht="55.5" customHeight="1">
      <c r="B25" s="720"/>
      <c r="C25" s="720"/>
      <c r="D25" s="580" t="s">
        <v>511</v>
      </c>
      <c r="E25" s="721"/>
      <c r="F25" s="721"/>
      <c r="G25" s="721"/>
      <c r="H25" s="721"/>
      <c r="I25" s="721"/>
    </row>
    <row r="26" spans="2:9" ht="55.5" customHeight="1">
      <c r="B26" s="720"/>
      <c r="C26" s="720"/>
      <c r="D26" s="580" t="s">
        <v>512</v>
      </c>
      <c r="E26" s="721"/>
      <c r="F26" s="721"/>
      <c r="G26" s="721"/>
      <c r="H26" s="721"/>
      <c r="I26" s="721"/>
    </row>
    <row r="27" spans="2:9" ht="55.5" customHeight="1">
      <c r="B27" s="720" t="s">
        <v>513</v>
      </c>
      <c r="C27" s="721" t="s">
        <v>514</v>
      </c>
      <c r="D27" s="580" t="s">
        <v>515</v>
      </c>
      <c r="E27" s="721" t="s">
        <v>516</v>
      </c>
      <c r="F27" s="721" t="s">
        <v>517</v>
      </c>
      <c r="G27" s="720">
        <v>3</v>
      </c>
      <c r="H27" s="720">
        <v>4</v>
      </c>
      <c r="I27" s="727">
        <f>G27*H27</f>
        <v>12</v>
      </c>
    </row>
    <row r="28" spans="2:9" ht="55.5" customHeight="1">
      <c r="B28" s="720"/>
      <c r="C28" s="720"/>
      <c r="D28" s="580" t="s">
        <v>518</v>
      </c>
      <c r="E28" s="721"/>
      <c r="F28" s="721"/>
      <c r="G28" s="721"/>
      <c r="H28" s="721"/>
      <c r="I28" s="721"/>
    </row>
    <row r="29" spans="2:9" ht="55.5" customHeight="1">
      <c r="B29" s="720"/>
      <c r="C29" s="720"/>
      <c r="D29" s="580" t="s">
        <v>519</v>
      </c>
      <c r="E29" s="721"/>
      <c r="F29" s="721"/>
      <c r="G29" s="721"/>
      <c r="H29" s="721"/>
      <c r="I29" s="721"/>
    </row>
    <row r="30" spans="2:9" ht="55.5" customHeight="1">
      <c r="B30" s="720" t="s">
        <v>449</v>
      </c>
      <c r="C30" s="721" t="s">
        <v>520</v>
      </c>
      <c r="D30" s="580" t="s">
        <v>521</v>
      </c>
      <c r="E30" s="721" t="s">
        <v>522</v>
      </c>
      <c r="F30" s="721" t="s">
        <v>523</v>
      </c>
      <c r="G30" s="720">
        <v>2</v>
      </c>
      <c r="H30" s="720">
        <v>4</v>
      </c>
      <c r="I30" s="727">
        <f>G30*H30</f>
        <v>8</v>
      </c>
    </row>
    <row r="31" spans="2:9" ht="55.5" customHeight="1">
      <c r="B31" s="720"/>
      <c r="C31" s="720"/>
      <c r="D31" s="580" t="s">
        <v>524</v>
      </c>
      <c r="E31" s="721"/>
      <c r="F31" s="721"/>
      <c r="G31" s="721"/>
      <c r="H31" s="721"/>
      <c r="I31" s="721"/>
    </row>
    <row r="32" spans="2:9" ht="55.5" customHeight="1">
      <c r="B32" s="720"/>
      <c r="C32" s="720"/>
      <c r="D32" s="580" t="s">
        <v>525</v>
      </c>
      <c r="E32" s="721"/>
      <c r="F32" s="721"/>
      <c r="G32" s="721"/>
      <c r="H32" s="721"/>
      <c r="I32" s="721"/>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74">
    <mergeCell ref="H30:H32"/>
    <mergeCell ref="I30:I32"/>
    <mergeCell ref="B30:B32"/>
    <mergeCell ref="C30:C32"/>
    <mergeCell ref="E30:E32"/>
    <mergeCell ref="F30:F32"/>
    <mergeCell ref="G30:G32"/>
    <mergeCell ref="H24:H26"/>
    <mergeCell ref="I24:I26"/>
    <mergeCell ref="B27:B29"/>
    <mergeCell ref="C27:C29"/>
    <mergeCell ref="E27:E29"/>
    <mergeCell ref="F27:F29"/>
    <mergeCell ref="G27:G29"/>
    <mergeCell ref="H27:H29"/>
    <mergeCell ref="I27:I29"/>
    <mergeCell ref="B24:B26"/>
    <mergeCell ref="C24:C26"/>
    <mergeCell ref="E24:E26"/>
    <mergeCell ref="F24:F26"/>
    <mergeCell ref="G24:G26"/>
    <mergeCell ref="H18:H20"/>
    <mergeCell ref="I18:I20"/>
    <mergeCell ref="B21:B23"/>
    <mergeCell ref="C21:C23"/>
    <mergeCell ref="E21:E23"/>
    <mergeCell ref="F21:F23"/>
    <mergeCell ref="G21:G23"/>
    <mergeCell ref="H21:H23"/>
    <mergeCell ref="I21:I23"/>
    <mergeCell ref="B18:B20"/>
    <mergeCell ref="C18:C20"/>
    <mergeCell ref="E18:E20"/>
    <mergeCell ref="F18:F20"/>
    <mergeCell ref="G18:G20"/>
    <mergeCell ref="H12:H14"/>
    <mergeCell ref="I12:I14"/>
    <mergeCell ref="O12:S12"/>
    <mergeCell ref="B15:B17"/>
    <mergeCell ref="C15:C17"/>
    <mergeCell ref="E15:E17"/>
    <mergeCell ref="F15:F17"/>
    <mergeCell ref="G15:G17"/>
    <mergeCell ref="H15:H17"/>
    <mergeCell ref="I15:I17"/>
    <mergeCell ref="B12:B14"/>
    <mergeCell ref="C12:C14"/>
    <mergeCell ref="E12:E14"/>
    <mergeCell ref="F12:F14"/>
    <mergeCell ref="G12:G14"/>
    <mergeCell ref="H9:H11"/>
    <mergeCell ref="I9:I11"/>
    <mergeCell ref="O9:S9"/>
    <mergeCell ref="O10:S10"/>
    <mergeCell ref="O11:S11"/>
    <mergeCell ref="B9:B11"/>
    <mergeCell ref="C9:C11"/>
    <mergeCell ref="E9:E11"/>
    <mergeCell ref="F9:F11"/>
    <mergeCell ref="G9:G11"/>
    <mergeCell ref="H3:H5"/>
    <mergeCell ref="I3:I5"/>
    <mergeCell ref="B6:B8"/>
    <mergeCell ref="C6:C8"/>
    <mergeCell ref="E6:E8"/>
    <mergeCell ref="F6:F8"/>
    <mergeCell ref="G6:G8"/>
    <mergeCell ref="H6:H8"/>
    <mergeCell ref="I6:I8"/>
    <mergeCell ref="B3:B5"/>
    <mergeCell ref="C3:C5"/>
    <mergeCell ref="E3:E5"/>
    <mergeCell ref="F3:F5"/>
    <mergeCell ref="G3:G5"/>
  </mergeCells>
  <pageMargins left="0.7" right="0.7" top="0.75" bottom="0.75" header="0.511811023622047" footer="0.511811023622047"/>
  <pageSetup paperSize="9" orientation="landscape"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K1000"/>
  <sheetViews>
    <sheetView zoomScale="85" zoomScaleNormal="85" workbookViewId="0"/>
  </sheetViews>
  <sheetFormatPr baseColWidth="10" defaultColWidth="12.6640625" defaultRowHeight="15" customHeight="1"/>
  <cols>
    <col min="1" max="1" width="9.33203125" customWidth="1"/>
    <col min="2" max="2" width="3.1640625" customWidth="1"/>
    <col min="3" max="3" width="16.33203125" customWidth="1"/>
    <col min="4" max="4" width="15.1640625" customWidth="1"/>
    <col min="5" max="5" width="16" customWidth="1"/>
    <col min="6" max="6" width="15.33203125" customWidth="1"/>
    <col min="7" max="7" width="16.6640625" customWidth="1"/>
    <col min="8" max="8" width="16.83203125" customWidth="1"/>
    <col min="9" max="9" width="5.33203125" customWidth="1"/>
    <col min="10" max="10" width="3.83203125" customWidth="1"/>
    <col min="11" max="11" width="49.5" customWidth="1"/>
    <col min="12" max="26" width="9.33203125" customWidth="1"/>
  </cols>
  <sheetData>
    <row r="1" spans="3:11" ht="48" customHeight="1">
      <c r="C1" s="344" t="s">
        <v>526</v>
      </c>
    </row>
    <row r="2" spans="3:11" ht="14.25" customHeight="1"/>
    <row r="3" spans="3:11" ht="33.75" customHeight="1">
      <c r="C3" s="589" t="s">
        <v>433</v>
      </c>
      <c r="D3" s="589" t="s">
        <v>434</v>
      </c>
      <c r="E3" s="589" t="s">
        <v>435</v>
      </c>
      <c r="F3" s="589" t="s">
        <v>436</v>
      </c>
      <c r="G3" s="589" t="s">
        <v>437</v>
      </c>
      <c r="H3" s="589" t="s">
        <v>438</v>
      </c>
    </row>
    <row r="4" spans="3:11" ht="33.75" customHeight="1">
      <c r="C4" s="589" t="s">
        <v>442</v>
      </c>
      <c r="D4" s="590"/>
      <c r="E4" s="591" t="s">
        <v>443</v>
      </c>
      <c r="F4" s="592"/>
      <c r="G4" s="592" t="s">
        <v>444</v>
      </c>
      <c r="H4" s="593"/>
      <c r="J4" s="570"/>
      <c r="K4" s="585" t="s">
        <v>474</v>
      </c>
    </row>
    <row r="5" spans="3:11" ht="33.75" customHeight="1">
      <c r="C5" s="589" t="s">
        <v>448</v>
      </c>
      <c r="D5" s="590"/>
      <c r="E5" s="591" t="s">
        <v>449</v>
      </c>
      <c r="F5" s="591" t="s">
        <v>450</v>
      </c>
      <c r="G5" s="592" t="s">
        <v>451</v>
      </c>
      <c r="H5" s="592"/>
      <c r="J5" s="572"/>
      <c r="K5" s="586" t="s">
        <v>476</v>
      </c>
    </row>
    <row r="6" spans="3:11" ht="33.75" customHeight="1">
      <c r="C6" s="589" t="s">
        <v>459</v>
      </c>
      <c r="D6" s="590"/>
      <c r="E6" s="590"/>
      <c r="F6" s="591" t="s">
        <v>460</v>
      </c>
      <c r="G6" s="591"/>
      <c r="H6" s="592"/>
      <c r="J6" s="573"/>
      <c r="K6" s="587" t="s">
        <v>478</v>
      </c>
    </row>
    <row r="7" spans="3:11" ht="33.75" customHeight="1">
      <c r="C7" s="589" t="s">
        <v>464</v>
      </c>
      <c r="D7" s="590"/>
      <c r="E7" s="590"/>
      <c r="F7" s="590"/>
      <c r="G7" s="591"/>
      <c r="H7" s="591"/>
      <c r="J7" s="574"/>
      <c r="K7" s="588" t="s">
        <v>484</v>
      </c>
    </row>
    <row r="8" spans="3:11" ht="33.75" customHeight="1">
      <c r="C8" s="589" t="s">
        <v>468</v>
      </c>
      <c r="D8" s="590"/>
      <c r="E8" s="590"/>
      <c r="F8" s="590"/>
      <c r="G8" s="590"/>
      <c r="H8" s="590"/>
    </row>
    <row r="9" spans="3:11" ht="14.25" customHeight="1">
      <c r="C9" s="555"/>
    </row>
    <row r="10" spans="3:11" ht="14.25" customHeight="1"/>
    <row r="11" spans="3:11" ht="14.25" customHeight="1"/>
    <row r="12" spans="3:11" ht="14.25" customHeight="1"/>
    <row r="13" spans="3:11" ht="14.25" customHeight="1"/>
    <row r="14" spans="3:11" ht="14.25" customHeight="1"/>
    <row r="15" spans="3:11" ht="14.25" customHeight="1"/>
    <row r="16" spans="3: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paperSize="9" orientation="landscape"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baseColWidth="10" defaultColWidth="12.6640625" defaultRowHeight="15" customHeight="1"/>
  <cols>
    <col min="1" max="1" width="9.33203125" customWidth="1"/>
    <col min="2" max="2" width="33" customWidth="1"/>
    <col min="3" max="3" width="13.1640625" customWidth="1"/>
    <col min="4" max="4" width="13.6640625" customWidth="1"/>
    <col min="5" max="7" width="13.83203125" customWidth="1"/>
    <col min="8" max="8" width="4.1640625" customWidth="1"/>
    <col min="9" max="9" width="36.1640625" customWidth="1"/>
    <col min="10" max="10" width="13.83203125" customWidth="1"/>
    <col min="11" max="11" width="14.1640625" customWidth="1"/>
    <col min="12" max="12" width="16" customWidth="1"/>
    <col min="13" max="26" width="9.33203125" customWidth="1"/>
  </cols>
  <sheetData>
    <row r="1" spans="1:26"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3"/>
      <c r="B2" s="1"/>
      <c r="C2" s="1"/>
      <c r="D2" s="1"/>
      <c r="E2" s="1"/>
      <c r="F2" s="1"/>
      <c r="G2" s="1"/>
      <c r="H2" s="13"/>
      <c r="I2" s="13"/>
      <c r="J2" s="13"/>
      <c r="K2" s="13"/>
      <c r="L2" s="13"/>
      <c r="M2" s="13"/>
      <c r="N2" s="13"/>
      <c r="O2" s="13"/>
      <c r="P2" s="13"/>
      <c r="Q2" s="13"/>
      <c r="R2" s="13"/>
      <c r="S2" s="13"/>
      <c r="T2" s="13"/>
      <c r="U2" s="13"/>
      <c r="V2" s="13"/>
      <c r="W2" s="13"/>
      <c r="X2" s="13"/>
      <c r="Y2" s="13"/>
      <c r="Z2" s="13"/>
    </row>
    <row r="3" spans="1:26" ht="14.25" customHeight="1">
      <c r="A3" s="13"/>
      <c r="B3" s="712"/>
      <c r="C3" s="712"/>
      <c r="D3" s="498"/>
      <c r="E3" s="499"/>
      <c r="F3" s="499"/>
      <c r="G3" s="500"/>
      <c r="H3" s="13"/>
      <c r="I3" s="728"/>
      <c r="J3" s="728"/>
      <c r="K3" s="728"/>
      <c r="L3" s="728"/>
      <c r="M3" s="13"/>
      <c r="N3" s="13"/>
      <c r="O3" s="13"/>
      <c r="P3" s="13"/>
      <c r="Q3" s="13"/>
      <c r="R3" s="13"/>
      <c r="S3" s="13"/>
      <c r="T3" s="13"/>
      <c r="U3" s="13"/>
      <c r="V3" s="13"/>
      <c r="W3" s="13"/>
      <c r="X3" s="13"/>
      <c r="Y3" s="13"/>
      <c r="Z3" s="13"/>
    </row>
    <row r="4" spans="1:26" ht="43.5" customHeight="1">
      <c r="A4" s="13"/>
      <c r="B4" s="729"/>
      <c r="C4" s="729"/>
      <c r="D4" s="594"/>
      <c r="E4" s="313"/>
      <c r="F4" s="313"/>
      <c r="G4" s="595"/>
      <c r="H4" s="13"/>
      <c r="I4" s="730"/>
      <c r="J4" s="731"/>
      <c r="K4" s="731"/>
      <c r="L4" s="731"/>
      <c r="M4" s="13"/>
      <c r="N4" s="13"/>
      <c r="O4" s="13"/>
      <c r="P4" s="13"/>
      <c r="Q4" s="13"/>
      <c r="R4" s="13"/>
      <c r="S4" s="13"/>
      <c r="T4" s="13"/>
      <c r="U4" s="13"/>
      <c r="V4" s="13"/>
      <c r="W4" s="13"/>
      <c r="X4" s="13"/>
      <c r="Y4" s="13"/>
      <c r="Z4" s="13"/>
    </row>
    <row r="5" spans="1:26" ht="14.25" customHeight="1">
      <c r="A5" s="13"/>
      <c r="B5" s="714"/>
      <c r="C5" s="507"/>
      <c r="D5" s="508"/>
      <c r="E5" s="313"/>
      <c r="F5" s="313"/>
      <c r="G5" s="313"/>
      <c r="H5" s="13"/>
      <c r="I5" s="730"/>
      <c r="J5" s="730"/>
      <c r="K5" s="730"/>
      <c r="L5" s="730"/>
      <c r="M5" s="13"/>
      <c r="N5" s="13"/>
      <c r="O5" s="13"/>
      <c r="P5" s="13"/>
      <c r="Q5" s="13"/>
      <c r="R5" s="13"/>
      <c r="S5" s="13"/>
      <c r="T5" s="13"/>
      <c r="U5" s="13"/>
      <c r="V5" s="13"/>
      <c r="W5" s="13"/>
      <c r="X5" s="13"/>
      <c r="Y5" s="13"/>
      <c r="Z5" s="13"/>
    </row>
    <row r="6" spans="1:26" ht="14.25" customHeight="1">
      <c r="A6" s="13"/>
      <c r="B6" s="714"/>
      <c r="C6" s="507"/>
      <c r="D6" s="508"/>
      <c r="E6" s="313"/>
      <c r="F6" s="595"/>
      <c r="G6" s="313"/>
      <c r="H6" s="13"/>
      <c r="I6" s="730"/>
      <c r="J6" s="730"/>
      <c r="K6" s="730"/>
      <c r="L6" s="730"/>
      <c r="M6" s="13"/>
      <c r="N6" s="13"/>
      <c r="O6" s="13"/>
      <c r="P6" s="13"/>
      <c r="Q6" s="13"/>
      <c r="R6" s="13"/>
      <c r="S6" s="13"/>
      <c r="T6" s="13"/>
      <c r="U6" s="13"/>
      <c r="V6" s="13"/>
      <c r="W6" s="13"/>
      <c r="X6" s="13"/>
      <c r="Y6" s="13"/>
      <c r="Z6" s="13"/>
    </row>
    <row r="7" spans="1:26" ht="14.25" customHeight="1">
      <c r="A7" s="13"/>
      <c r="B7" s="714"/>
      <c r="C7" s="509"/>
      <c r="D7" s="510"/>
      <c r="E7" s="313"/>
      <c r="F7" s="313"/>
      <c r="G7" s="313"/>
      <c r="H7" s="13"/>
      <c r="I7" s="596"/>
      <c r="K7" s="429"/>
      <c r="L7" s="429"/>
      <c r="M7" s="13"/>
      <c r="N7" s="13"/>
      <c r="O7" s="13"/>
      <c r="P7" s="13"/>
      <c r="Q7" s="13"/>
      <c r="R7" s="13"/>
      <c r="S7" s="13"/>
      <c r="T7" s="13"/>
      <c r="U7" s="13"/>
      <c r="V7" s="13"/>
      <c r="W7" s="13"/>
      <c r="X7" s="13"/>
      <c r="Y7" s="13"/>
      <c r="Z7" s="13"/>
    </row>
    <row r="8" spans="1:26" ht="14.25" customHeight="1">
      <c r="A8" s="13"/>
      <c r="B8" s="732"/>
      <c r="C8" s="732"/>
      <c r="D8" s="597"/>
      <c r="E8" s="598"/>
      <c r="F8" s="598"/>
      <c r="G8" s="598"/>
      <c r="H8" s="13"/>
      <c r="I8" s="13"/>
      <c r="J8" s="13"/>
      <c r="K8" s="13"/>
      <c r="L8" s="13"/>
      <c r="M8" s="13"/>
      <c r="N8" s="13"/>
      <c r="O8" s="13"/>
      <c r="P8" s="13"/>
      <c r="Q8" s="13"/>
      <c r="R8" s="13"/>
      <c r="S8" s="13"/>
      <c r="T8" s="13"/>
      <c r="U8" s="13"/>
      <c r="V8" s="13"/>
      <c r="W8" s="13"/>
      <c r="X8" s="13"/>
      <c r="Y8" s="13"/>
      <c r="Z8" s="13"/>
    </row>
    <row r="9" spans="1:26" ht="14.25" customHeight="1">
      <c r="A9" s="13"/>
      <c r="B9" s="599"/>
      <c r="C9" s="600"/>
      <c r="D9" s="594"/>
      <c r="E9" s="601"/>
      <c r="F9" s="601"/>
      <c r="G9" s="602"/>
      <c r="H9" s="13"/>
      <c r="I9" s="13"/>
      <c r="J9" s="13"/>
      <c r="K9" s="13"/>
      <c r="L9" s="13"/>
      <c r="M9" s="13"/>
      <c r="N9" s="13"/>
      <c r="O9" s="13"/>
      <c r="P9" s="13"/>
      <c r="Q9" s="13"/>
      <c r="R9" s="13"/>
      <c r="S9" s="13"/>
      <c r="T9" s="13"/>
      <c r="U9" s="13"/>
      <c r="V9" s="13"/>
      <c r="W9" s="13"/>
      <c r="X9" s="13"/>
      <c r="Y9" s="13"/>
      <c r="Z9" s="13"/>
    </row>
    <row r="10" spans="1:26" ht="14.25" customHeight="1">
      <c r="A10" s="13"/>
      <c r="B10" s="733"/>
      <c r="C10" s="733"/>
      <c r="D10" s="508"/>
      <c r="E10" s="425"/>
      <c r="F10" s="425"/>
      <c r="G10" s="425"/>
      <c r="H10" s="13"/>
      <c r="I10" s="13"/>
      <c r="J10" s="13"/>
      <c r="K10" s="13"/>
      <c r="L10" s="13"/>
      <c r="M10" s="13"/>
      <c r="N10" s="13"/>
      <c r="O10" s="13"/>
      <c r="P10" s="13"/>
      <c r="Q10" s="13"/>
      <c r="R10" s="13"/>
      <c r="S10" s="13"/>
      <c r="T10" s="13"/>
      <c r="U10" s="13"/>
      <c r="V10" s="13"/>
      <c r="W10" s="13"/>
      <c r="X10" s="13"/>
      <c r="Y10" s="13"/>
      <c r="Z10" s="13"/>
    </row>
    <row r="11" spans="1:26" ht="14.25" customHeight="1">
      <c r="A11" s="13"/>
      <c r="B11" s="734"/>
      <c r="C11" s="734"/>
      <c r="D11" s="510"/>
      <c r="E11" s="603"/>
      <c r="F11" s="603"/>
      <c r="G11" s="444"/>
      <c r="H11" s="13"/>
      <c r="I11" s="13"/>
      <c r="J11" s="13"/>
      <c r="K11" s="13"/>
      <c r="L11" s="13"/>
      <c r="M11" s="13"/>
      <c r="N11" s="13"/>
      <c r="O11" s="13"/>
      <c r="P11" s="13"/>
      <c r="Q11" s="13"/>
      <c r="R11" s="13"/>
      <c r="S11" s="13"/>
      <c r="T11" s="13"/>
      <c r="U11" s="13"/>
      <c r="V11" s="13"/>
      <c r="W11" s="13"/>
      <c r="X11" s="13"/>
      <c r="Y11" s="13"/>
      <c r="Z11" s="13"/>
    </row>
    <row r="12" spans="1:26" ht="14.25" customHeight="1">
      <c r="A12" s="13"/>
      <c r="B12" s="732"/>
      <c r="C12" s="732"/>
      <c r="D12" s="597"/>
      <c r="E12" s="598"/>
      <c r="F12" s="598"/>
      <c r="G12" s="598"/>
      <c r="H12" s="13"/>
      <c r="I12" s="13"/>
      <c r="J12" s="13"/>
      <c r="K12" s="13"/>
      <c r="L12" s="13"/>
      <c r="M12" s="13"/>
      <c r="N12" s="13"/>
      <c r="O12" s="13"/>
      <c r="P12" s="13"/>
      <c r="Q12" s="13"/>
      <c r="R12" s="13"/>
      <c r="S12" s="13"/>
      <c r="T12" s="13"/>
      <c r="U12" s="13"/>
      <c r="V12" s="13"/>
      <c r="W12" s="13"/>
      <c r="X12" s="13"/>
      <c r="Y12" s="13"/>
      <c r="Z12" s="13"/>
    </row>
    <row r="13" spans="1:26" ht="14.25" customHeight="1">
      <c r="A13" s="13"/>
      <c r="B13" s="735"/>
      <c r="C13" s="735"/>
      <c r="D13" s="523"/>
      <c r="E13" s="524"/>
      <c r="F13" s="604"/>
      <c r="G13" s="525"/>
      <c r="H13" s="13"/>
      <c r="I13" s="13"/>
      <c r="J13" s="13"/>
      <c r="K13" s="13"/>
      <c r="L13" s="13"/>
      <c r="M13" s="13"/>
      <c r="N13" s="13"/>
      <c r="O13" s="13"/>
      <c r="P13" s="13"/>
      <c r="Q13" s="13"/>
      <c r="R13" s="13"/>
      <c r="S13" s="13"/>
      <c r="T13" s="13"/>
      <c r="U13" s="13"/>
      <c r="V13" s="13"/>
      <c r="W13" s="13"/>
      <c r="X13" s="13"/>
      <c r="Y13" s="13"/>
      <c r="Z13" s="13"/>
    </row>
    <row r="14" spans="1:26" ht="14.25" customHeight="1">
      <c r="A14" s="13"/>
      <c r="B14" s="736"/>
      <c r="C14" s="736"/>
      <c r="D14" s="605"/>
      <c r="E14" s="606"/>
      <c r="F14" s="606"/>
      <c r="G14" s="606"/>
      <c r="H14" s="13"/>
      <c r="I14" s="13"/>
      <c r="J14" s="13"/>
      <c r="K14" s="13"/>
      <c r="L14" s="13"/>
      <c r="M14" s="13"/>
      <c r="N14" s="13"/>
      <c r="O14" s="13"/>
      <c r="P14" s="13"/>
      <c r="Q14" s="13"/>
      <c r="R14" s="13"/>
      <c r="S14" s="13"/>
      <c r="T14" s="13"/>
      <c r="U14" s="13"/>
      <c r="V14" s="13"/>
      <c r="W14" s="13"/>
      <c r="X14" s="13"/>
      <c r="Y14" s="13"/>
      <c r="Z14" s="13"/>
    </row>
    <row r="15" spans="1:26" ht="14.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4.2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4.2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4.25" customHeight="1">
      <c r="A18" s="13"/>
      <c r="B18" s="13"/>
      <c r="C18" s="13"/>
      <c r="D18" s="13"/>
      <c r="E18" s="543"/>
      <c r="F18" s="607"/>
      <c r="G18" s="13"/>
      <c r="H18" s="13"/>
      <c r="I18" s="13"/>
      <c r="J18" s="13"/>
      <c r="K18" s="13"/>
      <c r="L18" s="13"/>
      <c r="M18" s="13"/>
      <c r="N18" s="13"/>
      <c r="O18" s="13"/>
      <c r="P18" s="13"/>
      <c r="Q18" s="13"/>
      <c r="R18" s="13"/>
      <c r="S18" s="13"/>
      <c r="T18" s="13"/>
      <c r="U18" s="13"/>
      <c r="V18" s="13"/>
      <c r="W18" s="13"/>
      <c r="X18" s="13"/>
      <c r="Y18" s="13"/>
      <c r="Z18" s="13"/>
    </row>
    <row r="19" spans="1:26" ht="14.25" customHeight="1">
      <c r="A19" s="13"/>
      <c r="B19" s="13"/>
      <c r="C19" s="13"/>
      <c r="D19" s="13"/>
      <c r="E19" s="546"/>
      <c r="F19" s="547"/>
      <c r="G19" s="13"/>
      <c r="H19" s="13"/>
      <c r="I19" s="13"/>
      <c r="J19" s="13"/>
      <c r="K19" s="13"/>
      <c r="L19" s="13"/>
      <c r="M19" s="13"/>
      <c r="N19" s="13"/>
      <c r="O19" s="13"/>
      <c r="P19" s="13"/>
      <c r="Q19" s="13"/>
      <c r="R19" s="13"/>
      <c r="S19" s="13"/>
      <c r="T19" s="13"/>
      <c r="U19" s="13"/>
      <c r="V19" s="13"/>
      <c r="W19" s="13"/>
      <c r="X19" s="13"/>
      <c r="Y19" s="13"/>
      <c r="Z19" s="13"/>
    </row>
    <row r="20" spans="1:26" ht="14.25" customHeight="1">
      <c r="A20" s="13"/>
      <c r="B20" s="13"/>
      <c r="C20" s="13"/>
      <c r="D20" s="13"/>
      <c r="E20" s="549"/>
      <c r="F20" s="608"/>
      <c r="G20" s="13"/>
      <c r="H20" s="13"/>
      <c r="I20" s="13"/>
      <c r="J20" s="13"/>
      <c r="K20" s="13"/>
      <c r="L20" s="13"/>
      <c r="M20" s="13"/>
      <c r="N20" s="13"/>
      <c r="O20" s="13"/>
      <c r="P20" s="13"/>
      <c r="Q20" s="13"/>
      <c r="R20" s="13"/>
      <c r="S20" s="13"/>
      <c r="T20" s="13"/>
      <c r="U20" s="13"/>
      <c r="V20" s="13"/>
      <c r="W20" s="13"/>
      <c r="X20" s="13"/>
      <c r="Y20" s="13"/>
      <c r="Z20" s="13"/>
    </row>
    <row r="21" spans="1:26" ht="14.2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4.2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4.2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4.2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4.2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5">
    <mergeCell ref="B14:C14"/>
    <mergeCell ref="B8:C8"/>
    <mergeCell ref="B10:C10"/>
    <mergeCell ref="B11:C11"/>
    <mergeCell ref="B12:C12"/>
    <mergeCell ref="B13:C13"/>
    <mergeCell ref="B2:G2"/>
    <mergeCell ref="B3:C3"/>
    <mergeCell ref="I3:L3"/>
    <mergeCell ref="B4:C4"/>
    <mergeCell ref="I4:I6"/>
    <mergeCell ref="J4:J6"/>
    <mergeCell ref="K4:K6"/>
    <mergeCell ref="L4:L6"/>
    <mergeCell ref="B5:B7"/>
  </mergeCells>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baseColWidth="10" defaultColWidth="12.6640625" defaultRowHeight="15" customHeight="1"/>
  <cols>
    <col min="1" max="1" width="9.33203125" customWidth="1"/>
    <col min="2" max="2" width="33" customWidth="1"/>
    <col min="3" max="3" width="13.1640625" customWidth="1"/>
    <col min="4" max="4" width="13.6640625" customWidth="1"/>
    <col min="5" max="7" width="13.83203125" customWidth="1"/>
    <col min="8" max="8" width="4.1640625" customWidth="1"/>
    <col min="9" max="9" width="36.1640625" customWidth="1"/>
    <col min="10" max="10" width="9.5" customWidth="1"/>
    <col min="11" max="11" width="13" customWidth="1"/>
    <col min="12" max="12" width="14.83203125" customWidth="1"/>
    <col min="13" max="26" width="9.33203125" customWidth="1"/>
  </cols>
  <sheetData>
    <row r="1" spans="1:26"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3"/>
      <c r="B2" s="1"/>
      <c r="C2" s="1"/>
      <c r="D2" s="1"/>
      <c r="E2" s="1"/>
      <c r="F2" s="1"/>
      <c r="G2" s="1"/>
      <c r="H2" s="13"/>
      <c r="I2" s="13"/>
      <c r="J2" s="13"/>
      <c r="K2" s="13"/>
      <c r="L2" s="13"/>
      <c r="M2" s="13"/>
      <c r="N2" s="13"/>
      <c r="O2" s="13"/>
      <c r="P2" s="13"/>
      <c r="Q2" s="13"/>
      <c r="R2" s="13"/>
      <c r="S2" s="13"/>
      <c r="T2" s="13"/>
      <c r="U2" s="13"/>
      <c r="V2" s="13"/>
      <c r="W2" s="13"/>
      <c r="X2" s="13"/>
      <c r="Y2" s="13"/>
      <c r="Z2" s="13"/>
    </row>
    <row r="3" spans="1:26" ht="14.25" customHeight="1">
      <c r="A3" s="13"/>
      <c r="B3" s="712"/>
      <c r="C3" s="712"/>
      <c r="D3" s="498"/>
      <c r="E3" s="499"/>
      <c r="F3" s="499"/>
      <c r="G3" s="500"/>
      <c r="H3" s="13"/>
      <c r="I3" s="728"/>
      <c r="J3" s="728"/>
      <c r="K3" s="728"/>
      <c r="L3" s="728"/>
      <c r="M3" s="13"/>
      <c r="N3" s="13"/>
      <c r="O3" s="13"/>
      <c r="P3" s="13"/>
      <c r="Q3" s="13"/>
      <c r="R3" s="13"/>
      <c r="S3" s="13"/>
      <c r="T3" s="13"/>
      <c r="U3" s="13"/>
      <c r="V3" s="13"/>
      <c r="W3" s="13"/>
      <c r="X3" s="13"/>
      <c r="Y3" s="13"/>
      <c r="Z3" s="13"/>
    </row>
    <row r="4" spans="1:26" ht="54.75" customHeight="1">
      <c r="A4" s="13"/>
      <c r="B4" s="729"/>
      <c r="C4" s="729"/>
      <c r="D4" s="594"/>
      <c r="E4" s="313"/>
      <c r="F4" s="313"/>
      <c r="G4" s="313"/>
      <c r="H4" s="13"/>
      <c r="I4" s="730"/>
      <c r="J4" s="731"/>
      <c r="K4" s="731"/>
      <c r="L4" s="731"/>
      <c r="M4" s="13"/>
      <c r="N4" s="13"/>
      <c r="O4" s="13"/>
      <c r="P4" s="13"/>
      <c r="Q4" s="13"/>
      <c r="R4" s="13"/>
      <c r="S4" s="13"/>
      <c r="T4" s="13"/>
      <c r="U4" s="13"/>
      <c r="V4" s="13"/>
      <c r="W4" s="13"/>
      <c r="X4" s="13"/>
      <c r="Y4" s="13"/>
      <c r="Z4" s="13"/>
    </row>
    <row r="5" spans="1:26" ht="14.25" customHeight="1">
      <c r="A5" s="13"/>
      <c r="B5" s="714"/>
      <c r="C5" s="507"/>
      <c r="D5" s="508"/>
      <c r="E5" s="313"/>
      <c r="F5" s="313"/>
      <c r="G5" s="313"/>
      <c r="H5" s="13"/>
      <c r="I5" s="730"/>
      <c r="J5" s="730"/>
      <c r="K5" s="730"/>
      <c r="L5" s="730"/>
      <c r="M5" s="13"/>
      <c r="N5" s="13"/>
      <c r="O5" s="13"/>
      <c r="P5" s="13"/>
      <c r="Q5" s="13"/>
      <c r="R5" s="13"/>
      <c r="S5" s="13"/>
      <c r="T5" s="13"/>
      <c r="U5" s="13"/>
      <c r="V5" s="13"/>
      <c r="W5" s="13"/>
      <c r="X5" s="13"/>
      <c r="Y5" s="13"/>
      <c r="Z5" s="13"/>
    </row>
    <row r="6" spans="1:26" ht="14.25" customHeight="1">
      <c r="A6" s="13"/>
      <c r="B6" s="714"/>
      <c r="C6" s="507"/>
      <c r="D6" s="508"/>
      <c r="E6" s="595"/>
      <c r="F6" s="313"/>
      <c r="G6" s="313"/>
      <c r="H6" s="13"/>
      <c r="I6" s="730"/>
      <c r="J6" s="730"/>
      <c r="K6" s="730"/>
      <c r="L6" s="730"/>
      <c r="M6" s="13"/>
      <c r="N6" s="13"/>
      <c r="O6" s="13"/>
      <c r="P6" s="13"/>
      <c r="Q6" s="13"/>
      <c r="R6" s="13"/>
      <c r="S6" s="13"/>
      <c r="T6" s="13"/>
      <c r="U6" s="13"/>
      <c r="V6" s="13"/>
      <c r="W6" s="13"/>
      <c r="X6" s="13"/>
      <c r="Y6" s="13"/>
      <c r="Z6" s="13"/>
    </row>
    <row r="7" spans="1:26" ht="14.25" customHeight="1">
      <c r="A7" s="13"/>
      <c r="B7" s="714"/>
      <c r="C7" s="509"/>
      <c r="D7" s="510"/>
      <c r="E7" s="313"/>
      <c r="F7" s="313"/>
      <c r="G7" s="313"/>
      <c r="H7" s="13"/>
      <c r="I7" s="13"/>
      <c r="J7" s="13"/>
      <c r="K7" s="429"/>
      <c r="L7" s="429"/>
      <c r="M7" s="13"/>
      <c r="N7" s="13"/>
      <c r="O7" s="13"/>
      <c r="P7" s="13"/>
      <c r="Q7" s="13"/>
      <c r="R7" s="13"/>
      <c r="S7" s="13"/>
      <c r="T7" s="13"/>
      <c r="U7" s="13"/>
      <c r="V7" s="13"/>
      <c r="W7" s="13"/>
      <c r="X7" s="13"/>
      <c r="Y7" s="13"/>
      <c r="Z7" s="13"/>
    </row>
    <row r="8" spans="1:26" ht="14.25" customHeight="1">
      <c r="A8" s="13"/>
      <c r="B8" s="732"/>
      <c r="C8" s="732"/>
      <c r="D8" s="597"/>
      <c r="E8" s="598"/>
      <c r="F8" s="598"/>
      <c r="G8" s="598"/>
      <c r="H8" s="13"/>
      <c r="I8" s="13"/>
      <c r="J8" s="13"/>
      <c r="K8" s="13"/>
      <c r="L8" s="13"/>
      <c r="M8" s="13"/>
      <c r="N8" s="13"/>
      <c r="O8" s="13"/>
      <c r="P8" s="13"/>
      <c r="Q8" s="13"/>
      <c r="R8" s="13"/>
      <c r="S8" s="13"/>
      <c r="T8" s="13"/>
      <c r="U8" s="13"/>
      <c r="V8" s="13"/>
      <c r="W8" s="13"/>
      <c r="X8" s="13"/>
      <c r="Y8" s="13"/>
      <c r="Z8" s="13"/>
    </row>
    <row r="9" spans="1:26" ht="14.25" customHeight="1">
      <c r="A9" s="13"/>
      <c r="B9" s="599"/>
      <c r="C9" s="600"/>
      <c r="D9" s="594"/>
      <c r="E9" s="601"/>
      <c r="F9" s="601"/>
      <c r="G9" s="602"/>
      <c r="H9" s="13"/>
      <c r="I9" s="13"/>
      <c r="J9" s="13"/>
      <c r="K9" s="13"/>
      <c r="L9" s="13"/>
      <c r="M9" s="13"/>
      <c r="N9" s="13"/>
      <c r="O9" s="13"/>
      <c r="P9" s="13"/>
      <c r="Q9" s="13"/>
      <c r="R9" s="13"/>
      <c r="S9" s="13"/>
      <c r="T9" s="13"/>
      <c r="U9" s="13"/>
      <c r="V9" s="13"/>
      <c r="W9" s="13"/>
      <c r="X9" s="13"/>
      <c r="Y9" s="13"/>
      <c r="Z9" s="13"/>
    </row>
    <row r="10" spans="1:26" ht="14.25" customHeight="1">
      <c r="A10" s="13"/>
      <c r="B10" s="733"/>
      <c r="C10" s="733"/>
      <c r="D10" s="508"/>
      <c r="E10" s="425"/>
      <c r="F10" s="425"/>
      <c r="G10" s="425"/>
      <c r="H10" s="13"/>
      <c r="I10" s="13"/>
      <c r="J10" s="13"/>
      <c r="K10" s="13"/>
      <c r="L10" s="13"/>
      <c r="M10" s="13"/>
      <c r="N10" s="13"/>
      <c r="O10" s="13"/>
      <c r="P10" s="13"/>
      <c r="Q10" s="13"/>
      <c r="R10" s="13"/>
      <c r="S10" s="13"/>
      <c r="T10" s="13"/>
      <c r="U10" s="13"/>
      <c r="V10" s="13"/>
      <c r="W10" s="13"/>
      <c r="X10" s="13"/>
      <c r="Y10" s="13"/>
      <c r="Z10" s="13"/>
    </row>
    <row r="11" spans="1:26" ht="14.25" customHeight="1">
      <c r="A11" s="13"/>
      <c r="B11" s="734"/>
      <c r="C11" s="734"/>
      <c r="D11" s="510"/>
      <c r="E11" s="603"/>
      <c r="F11" s="603"/>
      <c r="G11" s="444"/>
      <c r="H11" s="13"/>
      <c r="I11" s="13"/>
      <c r="J11" s="13"/>
      <c r="K11" s="13"/>
      <c r="L11" s="13"/>
      <c r="M11" s="13"/>
      <c r="N11" s="13"/>
      <c r="O11" s="13"/>
      <c r="P11" s="13"/>
      <c r="Q11" s="13"/>
      <c r="R11" s="13"/>
      <c r="S11" s="13"/>
      <c r="T11" s="13"/>
      <c r="U11" s="13"/>
      <c r="V11" s="13"/>
      <c r="W11" s="13"/>
      <c r="X11" s="13"/>
      <c r="Y11" s="13"/>
      <c r="Z11" s="13"/>
    </row>
    <row r="12" spans="1:26" ht="14.25" customHeight="1">
      <c r="A12" s="13"/>
      <c r="B12" s="732"/>
      <c r="C12" s="732"/>
      <c r="D12" s="597"/>
      <c r="E12" s="598"/>
      <c r="F12" s="598"/>
      <c r="G12" s="598"/>
      <c r="H12" s="13"/>
      <c r="I12" s="13"/>
      <c r="J12" s="13"/>
      <c r="K12" s="13"/>
      <c r="L12" s="13"/>
      <c r="M12" s="13"/>
      <c r="N12" s="13"/>
      <c r="O12" s="13"/>
      <c r="P12" s="13"/>
      <c r="Q12" s="13"/>
      <c r="R12" s="13"/>
      <c r="S12" s="13"/>
      <c r="T12" s="13"/>
      <c r="U12" s="13"/>
      <c r="V12" s="13"/>
      <c r="W12" s="13"/>
      <c r="X12" s="13"/>
      <c r="Y12" s="13"/>
      <c r="Z12" s="13"/>
    </row>
    <row r="13" spans="1:26" ht="14.25" customHeight="1">
      <c r="A13" s="13"/>
      <c r="B13" s="735"/>
      <c r="C13" s="735"/>
      <c r="D13" s="523"/>
      <c r="E13" s="524"/>
      <c r="F13" s="604"/>
      <c r="G13" s="525"/>
      <c r="H13" s="13"/>
      <c r="I13" s="13"/>
      <c r="J13" s="13"/>
      <c r="K13" s="13"/>
      <c r="L13" s="13"/>
      <c r="M13" s="13"/>
      <c r="N13" s="13"/>
      <c r="O13" s="13"/>
      <c r="P13" s="13"/>
      <c r="Q13" s="13"/>
      <c r="R13" s="13"/>
      <c r="S13" s="13"/>
      <c r="T13" s="13"/>
      <c r="U13" s="13"/>
      <c r="V13" s="13"/>
      <c r="W13" s="13"/>
      <c r="X13" s="13"/>
      <c r="Y13" s="13"/>
      <c r="Z13" s="13"/>
    </row>
    <row r="14" spans="1:26" ht="14.25" customHeight="1">
      <c r="A14" s="13"/>
      <c r="B14" s="736"/>
      <c r="C14" s="736"/>
      <c r="D14" s="605"/>
      <c r="E14" s="606"/>
      <c r="F14" s="606"/>
      <c r="G14" s="606"/>
      <c r="H14" s="13"/>
      <c r="I14" s="13"/>
      <c r="J14" s="13"/>
      <c r="K14" s="13"/>
      <c r="L14" s="13"/>
      <c r="M14" s="13"/>
      <c r="N14" s="13"/>
      <c r="O14" s="13"/>
      <c r="P14" s="13"/>
      <c r="Q14" s="13"/>
      <c r="R14" s="13"/>
      <c r="S14" s="13"/>
      <c r="T14" s="13"/>
      <c r="U14" s="13"/>
      <c r="V14" s="13"/>
      <c r="W14" s="13"/>
      <c r="X14" s="13"/>
      <c r="Y14" s="13"/>
      <c r="Z14" s="13"/>
    </row>
    <row r="15" spans="1:26" ht="14.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4.2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4.2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4.25" customHeight="1">
      <c r="A18" s="13"/>
      <c r="B18" s="13"/>
      <c r="C18" s="13"/>
      <c r="D18" s="13"/>
      <c r="E18" s="543"/>
      <c r="F18" s="607"/>
      <c r="G18" s="13"/>
      <c r="H18" s="13"/>
      <c r="I18" s="13"/>
      <c r="J18" s="13"/>
      <c r="K18" s="13"/>
      <c r="L18" s="13"/>
      <c r="M18" s="13"/>
      <c r="N18" s="13"/>
      <c r="O18" s="13"/>
      <c r="P18" s="13"/>
      <c r="Q18" s="13"/>
      <c r="R18" s="13"/>
      <c r="S18" s="13"/>
      <c r="T18" s="13"/>
      <c r="U18" s="13"/>
      <c r="V18" s="13"/>
      <c r="W18" s="13"/>
      <c r="X18" s="13"/>
      <c r="Y18" s="13"/>
      <c r="Z18" s="13"/>
    </row>
    <row r="19" spans="1:26" ht="14.25" customHeight="1">
      <c r="A19" s="13"/>
      <c r="B19" s="13"/>
      <c r="C19" s="13"/>
      <c r="D19" s="13"/>
      <c r="E19" s="546"/>
      <c r="F19" s="547"/>
      <c r="G19" s="13"/>
      <c r="H19" s="13"/>
      <c r="I19" s="13"/>
      <c r="J19" s="13"/>
      <c r="K19" s="13"/>
      <c r="L19" s="13"/>
      <c r="M19" s="13"/>
      <c r="N19" s="13"/>
      <c r="O19" s="13"/>
      <c r="P19" s="13"/>
      <c r="Q19" s="13"/>
      <c r="R19" s="13"/>
      <c r="S19" s="13"/>
      <c r="T19" s="13"/>
      <c r="U19" s="13"/>
      <c r="V19" s="13"/>
      <c r="W19" s="13"/>
      <c r="X19" s="13"/>
      <c r="Y19" s="13"/>
      <c r="Z19" s="13"/>
    </row>
    <row r="20" spans="1:26" ht="14.25" customHeight="1">
      <c r="A20" s="13"/>
      <c r="B20" s="13"/>
      <c r="C20" s="13"/>
      <c r="D20" s="13"/>
      <c r="E20" s="549"/>
      <c r="F20" s="608"/>
      <c r="G20" s="13"/>
      <c r="H20" s="13"/>
      <c r="I20" s="13"/>
      <c r="J20" s="13"/>
      <c r="K20" s="13"/>
      <c r="L20" s="13"/>
      <c r="M20" s="13"/>
      <c r="N20" s="13"/>
      <c r="O20" s="13"/>
      <c r="P20" s="13"/>
      <c r="Q20" s="13"/>
      <c r="R20" s="13"/>
      <c r="S20" s="13"/>
      <c r="T20" s="13"/>
      <c r="U20" s="13"/>
      <c r="V20" s="13"/>
      <c r="W20" s="13"/>
      <c r="X20" s="13"/>
      <c r="Y20" s="13"/>
      <c r="Z20" s="13"/>
    </row>
    <row r="21" spans="1:26" ht="14.2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4.2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4.2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4.2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4.2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5">
    <mergeCell ref="B14:C14"/>
    <mergeCell ref="B8:C8"/>
    <mergeCell ref="B10:C10"/>
    <mergeCell ref="B11:C11"/>
    <mergeCell ref="B12:C12"/>
    <mergeCell ref="B13:C13"/>
    <mergeCell ref="B2:G2"/>
    <mergeCell ref="B3:C3"/>
    <mergeCell ref="I3:L3"/>
    <mergeCell ref="B4:C4"/>
    <mergeCell ref="I4:I6"/>
    <mergeCell ref="J4:J6"/>
    <mergeCell ref="K4:K6"/>
    <mergeCell ref="L4:L6"/>
    <mergeCell ref="B5:B7"/>
  </mergeCells>
  <pageMargins left="0.7" right="0.7" top="0.75" bottom="0.75" header="0.511811023622047" footer="0.511811023622047"/>
  <pageSetup paperSize="9" orientation="landscape"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zoomScaleNormal="100" workbookViewId="0"/>
  </sheetViews>
  <sheetFormatPr baseColWidth="10" defaultColWidth="12.6640625" defaultRowHeight="15" customHeight="1"/>
  <cols>
    <col min="1" max="1" width="9.33203125" customWidth="1"/>
    <col min="2" max="2" width="33" customWidth="1"/>
    <col min="3" max="3" width="13.1640625" customWidth="1"/>
    <col min="4" max="4" width="13.6640625" customWidth="1"/>
    <col min="5" max="7" width="13.83203125" customWidth="1"/>
    <col min="8" max="8" width="4.1640625" customWidth="1"/>
    <col min="9" max="9" width="31.6640625" customWidth="1"/>
    <col min="10" max="10" width="14.6640625" customWidth="1"/>
    <col min="11" max="11" width="16.33203125" customWidth="1"/>
    <col min="12" max="12" width="15.6640625" customWidth="1"/>
    <col min="13" max="26" width="9.33203125" customWidth="1"/>
  </cols>
  <sheetData>
    <row r="1" spans="1:26"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3"/>
      <c r="B2" s="1"/>
      <c r="C2" s="1"/>
      <c r="D2" s="1"/>
      <c r="E2" s="1"/>
      <c r="F2" s="1"/>
      <c r="G2" s="1"/>
      <c r="H2" s="13"/>
      <c r="I2" s="13"/>
      <c r="J2" s="13"/>
      <c r="K2" s="13"/>
      <c r="L2" s="13"/>
      <c r="M2" s="13"/>
      <c r="N2" s="13"/>
      <c r="O2" s="13"/>
      <c r="P2" s="13"/>
      <c r="Q2" s="13"/>
      <c r="R2" s="13"/>
      <c r="S2" s="13"/>
      <c r="T2" s="13"/>
      <c r="U2" s="13"/>
      <c r="V2" s="13"/>
      <c r="W2" s="13"/>
      <c r="X2" s="13"/>
      <c r="Y2" s="13"/>
      <c r="Z2" s="13"/>
    </row>
    <row r="3" spans="1:26" ht="14.25" customHeight="1">
      <c r="A3" s="13"/>
      <c r="B3" s="712"/>
      <c r="C3" s="712"/>
      <c r="D3" s="498"/>
      <c r="E3" s="499"/>
      <c r="F3" s="499"/>
      <c r="G3" s="500"/>
      <c r="H3" s="13"/>
      <c r="I3" s="728"/>
      <c r="J3" s="728"/>
      <c r="K3" s="728"/>
      <c r="L3" s="728"/>
      <c r="M3" s="13"/>
      <c r="N3" s="13"/>
      <c r="O3" s="13"/>
      <c r="P3" s="13"/>
      <c r="Q3" s="13"/>
      <c r="R3" s="13"/>
      <c r="S3" s="13"/>
      <c r="T3" s="13"/>
      <c r="U3" s="13"/>
      <c r="V3" s="13"/>
      <c r="W3" s="13"/>
      <c r="X3" s="13"/>
      <c r="Y3" s="13"/>
      <c r="Z3" s="13"/>
    </row>
    <row r="4" spans="1:26" ht="54" customHeight="1">
      <c r="A4" s="13"/>
      <c r="B4" s="729"/>
      <c r="C4" s="729"/>
      <c r="D4" s="594"/>
      <c r="E4" s="595"/>
      <c r="F4" s="313"/>
      <c r="G4" s="313"/>
      <c r="H4" s="13"/>
      <c r="I4" s="730"/>
      <c r="J4" s="731"/>
      <c r="K4" s="731"/>
      <c r="L4" s="731"/>
      <c r="M4" s="13"/>
      <c r="N4" s="13"/>
      <c r="O4" s="13"/>
      <c r="P4" s="13"/>
      <c r="Q4" s="13"/>
      <c r="R4" s="13"/>
      <c r="S4" s="13"/>
      <c r="T4" s="13"/>
      <c r="U4" s="13"/>
      <c r="V4" s="13"/>
      <c r="W4" s="13"/>
      <c r="X4" s="13"/>
      <c r="Y4" s="13"/>
      <c r="Z4" s="13"/>
    </row>
    <row r="5" spans="1:26" ht="14.25" customHeight="1">
      <c r="A5" s="13"/>
      <c r="B5" s="714"/>
      <c r="C5" s="507"/>
      <c r="D5" s="508"/>
      <c r="E5" s="313"/>
      <c r="F5" s="313"/>
      <c r="G5" s="313"/>
      <c r="H5" s="13"/>
      <c r="I5" s="730"/>
      <c r="J5" s="730"/>
      <c r="K5" s="730"/>
      <c r="L5" s="730"/>
      <c r="M5" s="13"/>
      <c r="N5" s="13"/>
      <c r="O5" s="13"/>
      <c r="P5" s="13"/>
      <c r="Q5" s="13"/>
      <c r="R5" s="13"/>
      <c r="S5" s="13"/>
      <c r="T5" s="13"/>
      <c r="U5" s="13"/>
      <c r="V5" s="13"/>
      <c r="W5" s="13"/>
      <c r="X5" s="13"/>
      <c r="Y5" s="13"/>
      <c r="Z5" s="13"/>
    </row>
    <row r="6" spans="1:26" ht="14.25" customHeight="1">
      <c r="A6" s="13"/>
      <c r="B6" s="714"/>
      <c r="C6" s="507"/>
      <c r="D6" s="508"/>
      <c r="E6" s="595"/>
      <c r="F6" s="313"/>
      <c r="G6" s="313"/>
      <c r="H6" s="13"/>
      <c r="I6" s="730"/>
      <c r="J6" s="730"/>
      <c r="K6" s="730"/>
      <c r="L6" s="730"/>
      <c r="M6" s="13"/>
      <c r="N6" s="13"/>
      <c r="O6" s="13"/>
      <c r="P6" s="13"/>
      <c r="Q6" s="13"/>
      <c r="R6" s="13"/>
      <c r="S6" s="13"/>
      <c r="T6" s="13"/>
      <c r="U6" s="13"/>
      <c r="V6" s="13"/>
      <c r="W6" s="13"/>
      <c r="X6" s="13"/>
      <c r="Y6" s="13"/>
      <c r="Z6" s="13"/>
    </row>
    <row r="7" spans="1:26" ht="14.25" customHeight="1">
      <c r="A7" s="13"/>
      <c r="B7" s="714"/>
      <c r="C7" s="509"/>
      <c r="D7" s="510"/>
      <c r="E7" s="313"/>
      <c r="F7" s="313"/>
      <c r="G7" s="313"/>
      <c r="H7" s="13"/>
      <c r="I7" s="13"/>
      <c r="J7" s="13"/>
      <c r="K7" s="429"/>
      <c r="L7" s="429"/>
      <c r="M7" s="13"/>
      <c r="N7" s="13"/>
      <c r="O7" s="13"/>
      <c r="P7" s="13"/>
      <c r="Q7" s="13"/>
      <c r="R7" s="13"/>
      <c r="S7" s="13"/>
      <c r="T7" s="13"/>
      <c r="U7" s="13"/>
      <c r="V7" s="13"/>
      <c r="W7" s="13"/>
      <c r="X7" s="13"/>
      <c r="Y7" s="13"/>
      <c r="Z7" s="13"/>
    </row>
    <row r="8" spans="1:26" ht="14.25" customHeight="1">
      <c r="A8" s="13"/>
      <c r="B8" s="732"/>
      <c r="C8" s="732"/>
      <c r="D8" s="597"/>
      <c r="E8" s="598"/>
      <c r="F8" s="598"/>
      <c r="G8" s="598"/>
      <c r="H8" s="13"/>
      <c r="I8" s="13"/>
      <c r="J8" s="13"/>
      <c r="K8" s="13"/>
      <c r="L8" s="13"/>
      <c r="M8" s="13"/>
      <c r="N8" s="13"/>
      <c r="O8" s="13"/>
      <c r="P8" s="13"/>
      <c r="Q8" s="13"/>
      <c r="R8" s="13"/>
      <c r="S8" s="13"/>
      <c r="T8" s="13"/>
      <c r="U8" s="13"/>
      <c r="V8" s="13"/>
      <c r="W8" s="13"/>
      <c r="X8" s="13"/>
      <c r="Y8" s="13"/>
      <c r="Z8" s="13"/>
    </row>
    <row r="9" spans="1:26" ht="14.25" customHeight="1">
      <c r="A9" s="13"/>
      <c r="B9" s="599"/>
      <c r="C9" s="600"/>
      <c r="D9" s="594"/>
      <c r="E9" s="601"/>
      <c r="F9" s="601"/>
      <c r="G9" s="602"/>
      <c r="H9" s="13"/>
      <c r="I9" s="13"/>
      <c r="J9" s="13"/>
      <c r="K9" s="13"/>
      <c r="L9" s="13"/>
      <c r="M9" s="13"/>
      <c r="N9" s="13"/>
      <c r="O9" s="13"/>
      <c r="P9" s="13"/>
      <c r="Q9" s="13"/>
      <c r="R9" s="13"/>
      <c r="S9" s="13"/>
      <c r="T9" s="13"/>
      <c r="U9" s="13"/>
      <c r="V9" s="13"/>
      <c r="W9" s="13"/>
      <c r="X9" s="13"/>
      <c r="Y9" s="13"/>
      <c r="Z9" s="13"/>
    </row>
    <row r="10" spans="1:26" ht="14.25" customHeight="1">
      <c r="A10" s="13"/>
      <c r="B10" s="733"/>
      <c r="C10" s="733"/>
      <c r="D10" s="508"/>
      <c r="E10" s="425"/>
      <c r="F10" s="425"/>
      <c r="G10" s="425"/>
      <c r="H10" s="13"/>
      <c r="I10" s="13"/>
      <c r="J10" s="13"/>
      <c r="K10" s="13"/>
      <c r="L10" s="13"/>
      <c r="M10" s="13"/>
      <c r="N10" s="13"/>
      <c r="O10" s="13"/>
      <c r="P10" s="13"/>
      <c r="Q10" s="13"/>
      <c r="R10" s="13"/>
      <c r="S10" s="13"/>
      <c r="T10" s="13"/>
      <c r="U10" s="13"/>
      <c r="V10" s="13"/>
      <c r="W10" s="13"/>
      <c r="X10" s="13"/>
      <c r="Y10" s="13"/>
      <c r="Z10" s="13"/>
    </row>
    <row r="11" spans="1:26" ht="14.25" customHeight="1">
      <c r="A11" s="13"/>
      <c r="B11" s="734"/>
      <c r="C11" s="734"/>
      <c r="D11" s="510"/>
      <c r="E11" s="603"/>
      <c r="F11" s="603"/>
      <c r="G11" s="444"/>
      <c r="H11" s="13"/>
      <c r="I11" s="13"/>
      <c r="J11" s="13"/>
      <c r="K11" s="13"/>
      <c r="L11" s="13"/>
      <c r="M11" s="13"/>
      <c r="N11" s="13"/>
      <c r="O11" s="13"/>
      <c r="P11" s="13"/>
      <c r="Q11" s="13"/>
      <c r="R11" s="13"/>
      <c r="S11" s="13"/>
      <c r="T11" s="13"/>
      <c r="U11" s="13"/>
      <c r="V11" s="13"/>
      <c r="W11" s="13"/>
      <c r="X11" s="13"/>
      <c r="Y11" s="13"/>
      <c r="Z11" s="13"/>
    </row>
    <row r="12" spans="1:26" ht="14.25" customHeight="1">
      <c r="A12" s="13"/>
      <c r="B12" s="732"/>
      <c r="C12" s="732"/>
      <c r="D12" s="597"/>
      <c r="E12" s="598"/>
      <c r="F12" s="598"/>
      <c r="G12" s="598"/>
      <c r="H12" s="13"/>
      <c r="I12" s="13"/>
      <c r="J12" s="13"/>
      <c r="K12" s="13"/>
      <c r="L12" s="13"/>
      <c r="M12" s="13"/>
      <c r="N12" s="13"/>
      <c r="O12" s="13"/>
      <c r="P12" s="13"/>
      <c r="Q12" s="13"/>
      <c r="R12" s="13"/>
      <c r="S12" s="13"/>
      <c r="T12" s="13"/>
      <c r="U12" s="13"/>
      <c r="V12" s="13"/>
      <c r="W12" s="13"/>
      <c r="X12" s="13"/>
      <c r="Y12" s="13"/>
      <c r="Z12" s="13"/>
    </row>
    <row r="13" spans="1:26" ht="14.25" customHeight="1">
      <c r="A13" s="13"/>
      <c r="B13" s="735"/>
      <c r="C13" s="735"/>
      <c r="D13" s="523"/>
      <c r="E13" s="524"/>
      <c r="F13" s="604"/>
      <c r="G13" s="525"/>
      <c r="H13" s="13"/>
      <c r="I13" s="13"/>
      <c r="J13" s="13"/>
      <c r="K13" s="13"/>
      <c r="L13" s="13"/>
      <c r="M13" s="13"/>
      <c r="N13" s="13"/>
      <c r="O13" s="13"/>
      <c r="P13" s="13"/>
      <c r="Q13" s="13"/>
      <c r="R13" s="13"/>
      <c r="S13" s="13"/>
      <c r="T13" s="13"/>
      <c r="U13" s="13"/>
      <c r="V13" s="13"/>
      <c r="W13" s="13"/>
      <c r="X13" s="13"/>
      <c r="Y13" s="13"/>
      <c r="Z13" s="13"/>
    </row>
    <row r="14" spans="1:26" ht="14.25" customHeight="1">
      <c r="A14" s="13"/>
      <c r="B14" s="736"/>
      <c r="C14" s="736"/>
      <c r="D14" s="605"/>
      <c r="E14" s="606"/>
      <c r="F14" s="606"/>
      <c r="G14" s="606"/>
      <c r="H14" s="13"/>
      <c r="I14" s="13"/>
      <c r="J14" s="13"/>
      <c r="K14" s="13"/>
      <c r="L14" s="13"/>
      <c r="M14" s="13"/>
      <c r="N14" s="13"/>
      <c r="O14" s="13"/>
      <c r="P14" s="13"/>
      <c r="Q14" s="13"/>
      <c r="R14" s="13"/>
      <c r="S14" s="13"/>
      <c r="T14" s="13"/>
      <c r="U14" s="13"/>
      <c r="V14" s="13"/>
      <c r="W14" s="13"/>
      <c r="X14" s="13"/>
      <c r="Y14" s="13"/>
      <c r="Z14" s="13"/>
    </row>
    <row r="15" spans="1:26" ht="14.2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4.2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4.2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4.25" customHeight="1">
      <c r="A18" s="13"/>
      <c r="B18" s="13"/>
      <c r="C18" s="13"/>
      <c r="D18" s="13"/>
      <c r="E18" s="543"/>
      <c r="F18" s="607"/>
      <c r="G18" s="13"/>
      <c r="H18" s="13"/>
      <c r="I18" s="13"/>
      <c r="J18" s="13"/>
      <c r="K18" s="13"/>
      <c r="L18" s="13"/>
      <c r="M18" s="13"/>
      <c r="N18" s="13"/>
      <c r="O18" s="13"/>
      <c r="P18" s="13"/>
      <c r="Q18" s="13"/>
      <c r="R18" s="13"/>
      <c r="S18" s="13"/>
      <c r="T18" s="13"/>
      <c r="U18" s="13"/>
      <c r="V18" s="13"/>
      <c r="W18" s="13"/>
      <c r="X18" s="13"/>
      <c r="Y18" s="13"/>
      <c r="Z18" s="13"/>
    </row>
    <row r="19" spans="1:26" ht="14.25" customHeight="1">
      <c r="A19" s="13"/>
      <c r="B19" s="13"/>
      <c r="C19" s="13"/>
      <c r="D19" s="13"/>
      <c r="E19" s="546"/>
      <c r="F19" s="547"/>
      <c r="G19" s="13"/>
      <c r="H19" s="13"/>
      <c r="I19" s="13"/>
      <c r="J19" s="13"/>
      <c r="K19" s="13"/>
      <c r="L19" s="13"/>
      <c r="M19" s="13"/>
      <c r="N19" s="13"/>
      <c r="O19" s="13"/>
      <c r="P19" s="13"/>
      <c r="Q19" s="13"/>
      <c r="R19" s="13"/>
      <c r="S19" s="13"/>
      <c r="T19" s="13"/>
      <c r="U19" s="13"/>
      <c r="V19" s="13"/>
      <c r="W19" s="13"/>
      <c r="X19" s="13"/>
      <c r="Y19" s="13"/>
      <c r="Z19" s="13"/>
    </row>
    <row r="20" spans="1:26" ht="14.25" customHeight="1">
      <c r="A20" s="13"/>
      <c r="B20" s="13"/>
      <c r="C20" s="13"/>
      <c r="D20" s="13"/>
      <c r="E20" s="549"/>
      <c r="F20" s="608"/>
      <c r="G20" s="13"/>
      <c r="H20" s="13"/>
      <c r="I20" s="13"/>
      <c r="J20" s="13"/>
      <c r="K20" s="13"/>
      <c r="L20" s="13"/>
      <c r="M20" s="13"/>
      <c r="N20" s="13"/>
      <c r="O20" s="13"/>
      <c r="P20" s="13"/>
      <c r="Q20" s="13"/>
      <c r="R20" s="13"/>
      <c r="S20" s="13"/>
      <c r="T20" s="13"/>
      <c r="U20" s="13"/>
      <c r="V20" s="13"/>
      <c r="W20" s="13"/>
      <c r="X20" s="13"/>
      <c r="Y20" s="13"/>
      <c r="Z20" s="13"/>
    </row>
    <row r="21" spans="1:26" ht="14.2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4.2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4.2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4.2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4.2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5">
    <mergeCell ref="B14:C14"/>
    <mergeCell ref="B8:C8"/>
    <mergeCell ref="B10:C10"/>
    <mergeCell ref="B11:C11"/>
    <mergeCell ref="B12:C12"/>
    <mergeCell ref="B13:C13"/>
    <mergeCell ref="B2:G2"/>
    <mergeCell ref="B3:C3"/>
    <mergeCell ref="I3:L3"/>
    <mergeCell ref="B4:C4"/>
    <mergeCell ref="I4:I6"/>
    <mergeCell ref="J4:J6"/>
    <mergeCell ref="K4:K6"/>
    <mergeCell ref="L4:L6"/>
    <mergeCell ref="B5:B7"/>
  </mergeCells>
  <pageMargins left="0.7" right="0.7" top="0.75" bottom="0.75" header="0.511811023622047" footer="0.511811023622047"/>
  <pageSetup paperSize="9"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77"/>
  <sheetViews>
    <sheetView zoomScaleNormal="100" workbookViewId="0"/>
  </sheetViews>
  <sheetFormatPr baseColWidth="10" defaultColWidth="12.6640625" defaultRowHeight="15" customHeight="1"/>
  <cols>
    <col min="1" max="1" width="9.33203125" customWidth="1"/>
    <col min="2" max="2" width="22.5" customWidth="1"/>
    <col min="3" max="3" width="24.83203125" customWidth="1"/>
    <col min="4" max="4" width="12.83203125" customWidth="1"/>
    <col min="5" max="5" width="13.83203125" customWidth="1"/>
    <col min="6" max="6" width="15.33203125" customWidth="1"/>
    <col min="7" max="7" width="17.83203125" customWidth="1"/>
    <col min="8" max="9" width="5.33203125" customWidth="1"/>
    <col min="10" max="10" width="17.83203125" customWidth="1"/>
    <col min="11" max="11" width="17" customWidth="1"/>
    <col min="12" max="12" width="18.1640625" customWidth="1"/>
    <col min="13" max="26" width="9.33203125" customWidth="1"/>
  </cols>
  <sheetData>
    <row r="1" spans="1:26" ht="14.2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4.25" customHeight="1">
      <c r="A2" s="13"/>
      <c r="B2" s="737"/>
      <c r="C2" s="737"/>
      <c r="D2" s="737"/>
      <c r="E2" s="737"/>
      <c r="F2" s="737"/>
      <c r="G2" s="737"/>
      <c r="H2" s="737"/>
      <c r="I2" s="737"/>
      <c r="J2" s="737"/>
      <c r="K2" s="737"/>
      <c r="L2" s="737"/>
      <c r="M2" s="13"/>
      <c r="N2" s="13"/>
      <c r="O2" s="13"/>
      <c r="P2" s="13"/>
      <c r="Q2" s="13"/>
      <c r="R2" s="13"/>
      <c r="S2" s="13"/>
      <c r="T2" s="13"/>
      <c r="U2" s="13"/>
      <c r="V2" s="13"/>
      <c r="W2" s="13"/>
      <c r="X2" s="13"/>
      <c r="Y2" s="13"/>
      <c r="Z2" s="13"/>
    </row>
    <row r="3" spans="1:26" ht="14.2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4.25" customHeight="1">
      <c r="A4" s="13"/>
      <c r="B4" s="738"/>
      <c r="C4" s="738"/>
      <c r="D4" s="738"/>
      <c r="E4" s="13"/>
      <c r="F4" s="13"/>
      <c r="G4" s="13"/>
      <c r="H4" s="13"/>
      <c r="I4" s="13"/>
      <c r="J4" s="13"/>
      <c r="K4" s="13"/>
      <c r="L4" s="13"/>
      <c r="M4" s="13"/>
      <c r="N4" s="13"/>
      <c r="O4" s="13"/>
      <c r="P4" s="13"/>
      <c r="Q4" s="13"/>
      <c r="R4" s="13"/>
      <c r="S4" s="13"/>
      <c r="T4" s="13"/>
      <c r="U4" s="13"/>
      <c r="V4" s="13"/>
      <c r="W4" s="13"/>
      <c r="X4" s="13"/>
      <c r="Y4" s="13"/>
      <c r="Z4" s="13"/>
    </row>
    <row r="5" spans="1:26" ht="14.25" customHeight="1">
      <c r="A5" s="13"/>
      <c r="B5" s="739"/>
      <c r="C5" s="739"/>
      <c r="D5" s="739"/>
      <c r="E5" s="13"/>
      <c r="F5" s="13"/>
      <c r="G5" s="13"/>
      <c r="H5" s="13"/>
      <c r="I5" s="13"/>
      <c r="J5" s="13"/>
      <c r="K5" s="13"/>
      <c r="L5" s="13"/>
      <c r="M5" s="13"/>
      <c r="N5" s="13"/>
      <c r="O5" s="13"/>
      <c r="P5" s="13"/>
      <c r="Q5" s="13"/>
      <c r="R5" s="13"/>
      <c r="S5" s="13"/>
      <c r="T5" s="13"/>
      <c r="U5" s="13"/>
      <c r="V5" s="13"/>
      <c r="W5" s="13"/>
      <c r="X5" s="13"/>
      <c r="Y5" s="13"/>
      <c r="Z5" s="13"/>
    </row>
    <row r="6" spans="1:26" ht="14.25" customHeight="1">
      <c r="A6" s="13"/>
      <c r="B6" s="739"/>
      <c r="C6" s="739"/>
      <c r="D6" s="739"/>
      <c r="E6" s="13"/>
      <c r="F6" s="13"/>
      <c r="G6" s="13"/>
      <c r="H6" s="13"/>
      <c r="I6" s="13"/>
      <c r="J6" s="13"/>
      <c r="K6" s="13"/>
      <c r="L6" s="13"/>
      <c r="M6" s="13"/>
      <c r="N6" s="13"/>
      <c r="O6" s="13"/>
      <c r="P6" s="13"/>
      <c r="Q6" s="13"/>
      <c r="R6" s="13"/>
      <c r="S6" s="13"/>
      <c r="T6" s="13"/>
      <c r="U6" s="13"/>
      <c r="V6" s="13"/>
      <c r="W6" s="13"/>
      <c r="X6" s="13"/>
      <c r="Y6" s="13"/>
      <c r="Z6" s="13"/>
    </row>
    <row r="7" spans="1:26" ht="14.25" customHeight="1">
      <c r="A7" s="13"/>
      <c r="B7" s="739"/>
      <c r="C7" s="739"/>
      <c r="D7" s="739"/>
      <c r="E7" s="13"/>
      <c r="F7" s="13"/>
      <c r="G7" s="13"/>
      <c r="H7" s="13"/>
      <c r="I7" s="13"/>
      <c r="J7" s="13"/>
      <c r="K7" s="13"/>
      <c r="L7" s="13"/>
      <c r="M7" s="13"/>
      <c r="N7" s="13"/>
      <c r="O7" s="13"/>
      <c r="P7" s="13"/>
      <c r="Q7" s="13"/>
      <c r="R7" s="13"/>
      <c r="S7" s="13"/>
      <c r="T7" s="13"/>
      <c r="U7" s="13"/>
      <c r="V7" s="13"/>
      <c r="W7" s="13"/>
      <c r="X7" s="13"/>
      <c r="Y7" s="13"/>
      <c r="Z7" s="13"/>
    </row>
    <row r="8" spans="1:26" ht="14.25" customHeight="1">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14.25" customHeight="1">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4.25" customHeight="1">
      <c r="A10" s="13"/>
      <c r="B10" s="1"/>
      <c r="C10" s="1"/>
      <c r="D10" s="1"/>
      <c r="E10" s="1"/>
      <c r="F10" s="1"/>
      <c r="G10" s="1"/>
      <c r="H10" s="13"/>
      <c r="J10" s="13"/>
      <c r="K10" s="13"/>
      <c r="L10" s="13"/>
      <c r="M10" s="13"/>
      <c r="N10" s="13"/>
      <c r="O10" s="13"/>
      <c r="P10" s="13"/>
      <c r="Q10" s="13"/>
      <c r="R10" s="13"/>
      <c r="S10" s="13"/>
      <c r="T10" s="13"/>
      <c r="U10" s="13"/>
      <c r="V10" s="13"/>
      <c r="W10" s="13"/>
      <c r="X10" s="13"/>
      <c r="Y10" s="13"/>
      <c r="Z10" s="13"/>
    </row>
    <row r="11" spans="1:26" ht="14.25" customHeight="1">
      <c r="A11" s="13"/>
      <c r="B11" s="712"/>
      <c r="C11" s="712"/>
      <c r="D11" s="498"/>
      <c r="E11" s="499"/>
      <c r="F11" s="499"/>
      <c r="G11" s="500"/>
      <c r="H11" s="13"/>
      <c r="I11" s="728"/>
      <c r="J11" s="728"/>
      <c r="K11" s="728"/>
      <c r="L11" s="728"/>
      <c r="M11" s="13"/>
      <c r="N11" s="13"/>
      <c r="O11" s="13"/>
      <c r="P11" s="13"/>
      <c r="Q11" s="13"/>
      <c r="R11" s="13"/>
      <c r="S11" s="13"/>
      <c r="T11" s="13"/>
      <c r="U11" s="13"/>
      <c r="V11" s="13"/>
      <c r="W11" s="13"/>
      <c r="X11" s="13"/>
      <c r="Y11" s="13"/>
      <c r="Z11" s="13"/>
    </row>
    <row r="12" spans="1:26" ht="14.25" customHeight="1">
      <c r="A12" s="13"/>
      <c r="B12" s="729"/>
      <c r="C12" s="729"/>
      <c r="D12" s="594"/>
      <c r="E12" s="313"/>
      <c r="F12" s="609"/>
      <c r="G12" s="595"/>
      <c r="H12" s="13"/>
      <c r="I12" s="730"/>
      <c r="J12" s="731"/>
      <c r="K12" s="731"/>
      <c r="L12" s="731"/>
      <c r="M12" s="13"/>
      <c r="N12" s="13"/>
      <c r="O12" s="13"/>
      <c r="P12" s="13"/>
      <c r="Q12" s="13"/>
      <c r="R12" s="13"/>
      <c r="S12" s="13"/>
      <c r="T12" s="13"/>
      <c r="U12" s="13"/>
      <c r="V12" s="13"/>
      <c r="W12" s="13"/>
      <c r="X12" s="13"/>
      <c r="Y12" s="13"/>
      <c r="Z12" s="13"/>
    </row>
    <row r="13" spans="1:26" ht="14.25" customHeight="1">
      <c r="A13" s="13"/>
      <c r="B13" s="714"/>
      <c r="C13" s="507"/>
      <c r="D13" s="508"/>
      <c r="E13" s="313"/>
      <c r="F13" s="313"/>
      <c r="G13" s="313"/>
      <c r="H13" s="13"/>
      <c r="I13" s="730"/>
      <c r="J13" s="730"/>
      <c r="K13" s="730"/>
      <c r="L13" s="730"/>
      <c r="M13" s="13"/>
      <c r="N13" s="13"/>
      <c r="O13" s="13"/>
      <c r="P13" s="13"/>
      <c r="Q13" s="13"/>
      <c r="R13" s="13"/>
      <c r="S13" s="13"/>
      <c r="T13" s="13"/>
      <c r="U13" s="13"/>
      <c r="V13" s="13"/>
      <c r="W13" s="13"/>
      <c r="X13" s="13"/>
      <c r="Y13" s="13"/>
      <c r="Z13" s="13"/>
    </row>
    <row r="14" spans="1:26" ht="14.25" customHeight="1">
      <c r="A14" s="13"/>
      <c r="B14" s="714"/>
      <c r="C14" s="507"/>
      <c r="D14" s="508"/>
      <c r="E14" s="313"/>
      <c r="F14" s="595"/>
      <c r="G14" s="609"/>
      <c r="H14" s="13"/>
      <c r="I14" s="730"/>
      <c r="J14" s="730"/>
      <c r="K14" s="730"/>
      <c r="L14" s="730"/>
      <c r="M14" s="13"/>
      <c r="N14" s="13"/>
      <c r="O14" s="13"/>
      <c r="P14" s="13"/>
      <c r="Q14" s="13"/>
      <c r="R14" s="13"/>
      <c r="S14" s="13"/>
      <c r="T14" s="13"/>
      <c r="U14" s="13"/>
      <c r="V14" s="13"/>
      <c r="W14" s="13"/>
      <c r="X14" s="13"/>
      <c r="Y14" s="13"/>
      <c r="Z14" s="13"/>
    </row>
    <row r="15" spans="1:26" ht="14.25" customHeight="1">
      <c r="A15" s="13"/>
      <c r="B15" s="714"/>
      <c r="C15" s="509"/>
      <c r="D15" s="510"/>
      <c r="E15" s="313"/>
      <c r="F15" s="313"/>
      <c r="G15" s="313"/>
      <c r="H15" s="13"/>
      <c r="I15" s="13"/>
      <c r="J15" s="13"/>
      <c r="K15" s="429"/>
      <c r="L15" s="429"/>
      <c r="M15" s="13"/>
      <c r="N15" s="13"/>
      <c r="O15" s="13"/>
      <c r="P15" s="13"/>
      <c r="Q15" s="13"/>
      <c r="R15" s="13"/>
      <c r="S15" s="13"/>
      <c r="T15" s="13"/>
      <c r="U15" s="13"/>
      <c r="V15" s="13"/>
      <c r="W15" s="13"/>
      <c r="X15" s="13"/>
      <c r="Y15" s="13"/>
      <c r="Z15" s="13"/>
    </row>
    <row r="16" spans="1:26" ht="14.25" customHeight="1">
      <c r="A16" s="13"/>
      <c r="B16" s="732"/>
      <c r="C16" s="732"/>
      <c r="D16" s="597"/>
      <c r="E16" s="598"/>
      <c r="F16" s="598"/>
      <c r="G16" s="598"/>
      <c r="H16" s="13"/>
      <c r="I16" s="13"/>
      <c r="J16" s="13"/>
      <c r="K16" s="13"/>
      <c r="L16" s="13"/>
      <c r="M16" s="13"/>
      <c r="N16" s="13"/>
      <c r="O16" s="13"/>
      <c r="P16" s="13"/>
      <c r="Q16" s="13"/>
      <c r="R16" s="13"/>
      <c r="S16" s="13"/>
      <c r="T16" s="13"/>
      <c r="U16" s="13"/>
      <c r="V16" s="13"/>
      <c r="W16" s="13"/>
      <c r="X16" s="13"/>
      <c r="Y16" s="13"/>
      <c r="Z16" s="13"/>
    </row>
    <row r="17" spans="1:26" ht="14.25" customHeight="1">
      <c r="A17" s="13"/>
      <c r="B17" s="599"/>
      <c r="C17" s="600"/>
      <c r="D17" s="594"/>
      <c r="E17" s="601"/>
      <c r="F17" s="601"/>
      <c r="G17" s="602"/>
      <c r="H17" s="13"/>
      <c r="I17" s="740"/>
      <c r="J17" s="740"/>
      <c r="K17" s="740"/>
      <c r="L17" s="740"/>
      <c r="M17" s="13"/>
      <c r="N17" s="13"/>
      <c r="O17" s="13"/>
      <c r="P17" s="13"/>
      <c r="Q17" s="13"/>
      <c r="R17" s="13"/>
      <c r="S17" s="13"/>
      <c r="T17" s="13"/>
      <c r="U17" s="13"/>
      <c r="V17" s="13"/>
      <c r="W17" s="13"/>
      <c r="X17" s="13"/>
      <c r="Y17" s="13"/>
      <c r="Z17" s="13"/>
    </row>
    <row r="18" spans="1:26" ht="14.25" customHeight="1">
      <c r="A18" s="13"/>
      <c r="B18" s="733"/>
      <c r="C18" s="733"/>
      <c r="D18" s="508"/>
      <c r="E18" s="425"/>
      <c r="F18" s="425"/>
      <c r="G18" s="425"/>
      <c r="H18" s="13"/>
      <c r="I18" s="741"/>
      <c r="J18" s="741"/>
      <c r="K18" s="741"/>
      <c r="L18" s="741"/>
      <c r="M18" s="13"/>
      <c r="N18" s="13"/>
      <c r="O18" s="13"/>
      <c r="P18" s="13"/>
      <c r="Q18" s="13"/>
      <c r="R18" s="13"/>
      <c r="S18" s="13"/>
      <c r="T18" s="13"/>
      <c r="U18" s="13"/>
      <c r="V18" s="13"/>
      <c r="W18" s="13"/>
      <c r="X18" s="13"/>
      <c r="Y18" s="13"/>
      <c r="Z18" s="13"/>
    </row>
    <row r="19" spans="1:26" ht="14.25" customHeight="1">
      <c r="A19" s="13"/>
      <c r="B19" s="734"/>
      <c r="C19" s="734"/>
      <c r="D19" s="510"/>
      <c r="E19" s="603"/>
      <c r="F19" s="603"/>
      <c r="G19" s="444"/>
      <c r="H19" s="13"/>
      <c r="I19" s="741"/>
      <c r="J19" s="741"/>
      <c r="K19" s="741"/>
      <c r="L19" s="741"/>
      <c r="M19" s="13"/>
      <c r="N19" s="13"/>
      <c r="O19" s="13"/>
      <c r="P19" s="13"/>
      <c r="Q19" s="13"/>
      <c r="R19" s="13"/>
      <c r="S19" s="13"/>
      <c r="T19" s="13"/>
      <c r="U19" s="13"/>
      <c r="V19" s="13"/>
      <c r="W19" s="13"/>
      <c r="X19" s="13"/>
      <c r="Y19" s="13"/>
      <c r="Z19" s="13"/>
    </row>
    <row r="20" spans="1:26" ht="14.25" customHeight="1">
      <c r="A20" s="13"/>
      <c r="B20" s="732"/>
      <c r="C20" s="732"/>
      <c r="D20" s="597"/>
      <c r="E20" s="598"/>
      <c r="F20" s="598"/>
      <c r="G20" s="598"/>
      <c r="H20" s="13"/>
      <c r="I20" s="741"/>
      <c r="J20" s="741"/>
      <c r="K20" s="741"/>
      <c r="L20" s="741"/>
      <c r="M20" s="13"/>
      <c r="N20" s="13"/>
      <c r="O20" s="13"/>
      <c r="P20" s="13"/>
      <c r="Q20" s="13"/>
      <c r="R20" s="13"/>
      <c r="S20" s="13"/>
      <c r="T20" s="13"/>
      <c r="U20" s="13"/>
      <c r="V20" s="13"/>
      <c r="W20" s="13"/>
      <c r="X20" s="13"/>
      <c r="Y20" s="13"/>
      <c r="Z20" s="13"/>
    </row>
    <row r="21" spans="1:26" ht="14.25" customHeight="1">
      <c r="A21" s="13"/>
      <c r="B21" s="735"/>
      <c r="C21" s="735"/>
      <c r="D21" s="523"/>
      <c r="E21" s="524"/>
      <c r="F21" s="604"/>
      <c r="G21" s="525"/>
      <c r="H21" s="13"/>
      <c r="I21" s="741"/>
      <c r="J21" s="741"/>
      <c r="K21" s="741"/>
      <c r="L21" s="741"/>
      <c r="M21" s="13"/>
      <c r="N21" s="13"/>
      <c r="O21" s="13"/>
      <c r="P21" s="13"/>
      <c r="Q21" s="13"/>
      <c r="R21" s="13"/>
      <c r="S21" s="13"/>
      <c r="T21" s="13"/>
      <c r="U21" s="13"/>
      <c r="V21" s="13"/>
      <c r="W21" s="13"/>
      <c r="X21" s="13"/>
      <c r="Y21" s="13"/>
      <c r="Z21" s="13"/>
    </row>
    <row r="22" spans="1:26" ht="14.25" customHeight="1">
      <c r="A22" s="13"/>
      <c r="B22" s="736"/>
      <c r="C22" s="736"/>
      <c r="D22" s="605"/>
      <c r="E22" s="606"/>
      <c r="F22" s="606"/>
      <c r="G22" s="606"/>
      <c r="H22" s="13"/>
      <c r="I22" s="741"/>
      <c r="J22" s="741"/>
      <c r="K22" s="741"/>
      <c r="L22" s="741"/>
      <c r="M22" s="13"/>
      <c r="N22" s="13"/>
      <c r="O22" s="13"/>
      <c r="P22" s="13"/>
      <c r="Q22" s="13"/>
      <c r="R22" s="13"/>
      <c r="S22" s="13"/>
      <c r="T22" s="13"/>
      <c r="U22" s="13"/>
      <c r="V22" s="13"/>
      <c r="W22" s="13"/>
      <c r="X22" s="13"/>
      <c r="Y22" s="13"/>
      <c r="Z22" s="13"/>
    </row>
    <row r="23" spans="1:26" ht="14.25" customHeight="1">
      <c r="A23" s="13"/>
      <c r="B23" s="13"/>
      <c r="C23" s="13"/>
      <c r="D23" s="13"/>
      <c r="E23" s="13"/>
      <c r="F23" s="13"/>
      <c r="G23" s="13"/>
      <c r="H23" s="13"/>
      <c r="I23" s="741"/>
      <c r="J23" s="741"/>
      <c r="K23" s="741"/>
      <c r="L23" s="741"/>
      <c r="M23" s="13"/>
      <c r="N23" s="13"/>
      <c r="O23" s="13"/>
      <c r="P23" s="13"/>
      <c r="Q23" s="13"/>
      <c r="R23" s="13"/>
      <c r="S23" s="13"/>
      <c r="T23" s="13"/>
      <c r="U23" s="13"/>
      <c r="V23" s="13"/>
      <c r="W23" s="13"/>
      <c r="X23" s="13"/>
      <c r="Y23" s="13"/>
      <c r="Z23" s="13"/>
    </row>
    <row r="24" spans="1:26" ht="14.25" customHeight="1">
      <c r="A24" s="13"/>
      <c r="B24" s="13"/>
      <c r="C24" s="13"/>
      <c r="D24" s="13"/>
      <c r="E24" s="13"/>
      <c r="F24" s="13"/>
      <c r="G24" s="13"/>
      <c r="H24" s="13"/>
      <c r="I24" s="741"/>
      <c r="J24" s="741"/>
      <c r="K24" s="741"/>
      <c r="L24" s="741"/>
      <c r="M24" s="13"/>
      <c r="N24" s="13"/>
      <c r="O24" s="13"/>
      <c r="P24" s="13"/>
      <c r="Q24" s="13"/>
      <c r="R24" s="13"/>
      <c r="S24" s="13"/>
      <c r="T24" s="13"/>
      <c r="U24" s="13"/>
      <c r="V24" s="13"/>
      <c r="W24" s="13"/>
      <c r="X24" s="13"/>
      <c r="Y24" s="13"/>
      <c r="Z24" s="13"/>
    </row>
    <row r="25" spans="1:26" ht="14.25" customHeight="1">
      <c r="A25" s="13"/>
      <c r="B25" s="13"/>
      <c r="C25" s="13"/>
      <c r="D25" s="13"/>
      <c r="E25" s="13"/>
      <c r="F25" s="13"/>
      <c r="G25" s="13"/>
      <c r="H25" s="13"/>
      <c r="I25" s="741"/>
      <c r="J25" s="741"/>
      <c r="K25" s="741"/>
      <c r="L25" s="741"/>
      <c r="M25" s="13"/>
      <c r="N25" s="13"/>
      <c r="O25" s="13"/>
      <c r="P25" s="13"/>
      <c r="Q25" s="13"/>
      <c r="R25" s="13"/>
      <c r="S25" s="13"/>
      <c r="T25" s="13"/>
      <c r="U25" s="13"/>
      <c r="V25" s="13"/>
      <c r="W25" s="13"/>
      <c r="X25" s="13"/>
      <c r="Y25" s="13"/>
      <c r="Z25" s="13"/>
    </row>
    <row r="26" spans="1:26" ht="14.25" customHeight="1">
      <c r="A26" s="13"/>
      <c r="B26" s="13"/>
      <c r="C26" s="13"/>
      <c r="D26" s="13"/>
      <c r="E26" s="543"/>
      <c r="F26" s="607"/>
      <c r="G26" s="13"/>
      <c r="H26" s="13"/>
      <c r="I26" s="741"/>
      <c r="J26" s="741"/>
      <c r="K26" s="741"/>
      <c r="L26" s="741"/>
      <c r="M26" s="13"/>
      <c r="N26" s="13"/>
      <c r="O26" s="13"/>
      <c r="P26" s="13"/>
      <c r="Q26" s="13"/>
      <c r="R26" s="13"/>
      <c r="S26" s="13"/>
      <c r="T26" s="13"/>
      <c r="U26" s="13"/>
      <c r="V26" s="13"/>
      <c r="W26" s="13"/>
      <c r="X26" s="13"/>
      <c r="Y26" s="13"/>
      <c r="Z26" s="13"/>
    </row>
    <row r="27" spans="1:26" ht="14.25" customHeight="1">
      <c r="A27" s="13"/>
      <c r="B27" s="13"/>
      <c r="C27" s="13"/>
      <c r="D27" s="13"/>
      <c r="E27" s="546"/>
      <c r="F27" s="547"/>
      <c r="G27" s="13"/>
      <c r="H27" s="13"/>
      <c r="I27" s="741"/>
      <c r="J27" s="741"/>
      <c r="K27" s="741"/>
      <c r="L27" s="741"/>
      <c r="M27" s="13"/>
      <c r="N27" s="13"/>
      <c r="O27" s="13"/>
      <c r="P27" s="13"/>
      <c r="Q27" s="13"/>
      <c r="R27" s="13"/>
      <c r="S27" s="13"/>
      <c r="T27" s="13"/>
      <c r="U27" s="13"/>
      <c r="V27" s="13"/>
      <c r="W27" s="13"/>
      <c r="X27" s="13"/>
      <c r="Y27" s="13"/>
      <c r="Z27" s="13"/>
    </row>
    <row r="28" spans="1:26" ht="14.25" customHeight="1">
      <c r="A28" s="13"/>
      <c r="B28" s="13"/>
      <c r="C28" s="13"/>
      <c r="D28" s="13"/>
      <c r="E28" s="549"/>
      <c r="F28" s="608"/>
      <c r="G28" s="13"/>
      <c r="H28" s="13"/>
      <c r="I28" s="741"/>
      <c r="J28" s="741"/>
      <c r="K28" s="741"/>
      <c r="L28" s="741"/>
      <c r="M28" s="13"/>
      <c r="N28" s="13"/>
      <c r="O28" s="13"/>
      <c r="P28" s="13"/>
      <c r="Q28" s="13"/>
      <c r="R28" s="13"/>
      <c r="S28" s="13"/>
      <c r="T28" s="13"/>
      <c r="U28" s="13"/>
      <c r="V28" s="13"/>
      <c r="W28" s="13"/>
      <c r="X28" s="13"/>
      <c r="Y28" s="13"/>
      <c r="Z28" s="13"/>
    </row>
    <row r="29" spans="1:26" ht="50.25" customHeight="1">
      <c r="A29" s="13"/>
      <c r="B29" s="13"/>
      <c r="C29" s="13"/>
      <c r="D29" s="13"/>
      <c r="E29" s="13"/>
      <c r="F29" s="13"/>
      <c r="G29" s="13"/>
      <c r="H29" s="13"/>
      <c r="I29" s="741"/>
      <c r="J29" s="741"/>
      <c r="K29" s="741"/>
      <c r="L29" s="741"/>
      <c r="M29" s="13"/>
      <c r="N29" s="13"/>
      <c r="O29" s="13"/>
      <c r="P29" s="13"/>
      <c r="Q29" s="13"/>
      <c r="R29" s="13"/>
      <c r="S29" s="13"/>
      <c r="T29" s="13"/>
      <c r="U29" s="13"/>
      <c r="V29" s="13"/>
      <c r="W29" s="13"/>
      <c r="X29" s="13"/>
      <c r="Y29" s="13"/>
      <c r="Z29" s="13"/>
    </row>
    <row r="30" spans="1:26"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sheetData>
  <mergeCells count="22">
    <mergeCell ref="B16:C16"/>
    <mergeCell ref="I17:L17"/>
    <mergeCell ref="B18:C18"/>
    <mergeCell ref="I18:L29"/>
    <mergeCell ref="B19:C19"/>
    <mergeCell ref="B20:C20"/>
    <mergeCell ref="B21:C21"/>
    <mergeCell ref="B22:C22"/>
    <mergeCell ref="B10:G10"/>
    <mergeCell ref="B11:C11"/>
    <mergeCell ref="I11:L11"/>
    <mergeCell ref="B12:C12"/>
    <mergeCell ref="I12:I14"/>
    <mergeCell ref="J12:J14"/>
    <mergeCell ref="K12:K14"/>
    <mergeCell ref="L12:L14"/>
    <mergeCell ref="B13:B15"/>
    <mergeCell ref="B2:L2"/>
    <mergeCell ref="B4:D4"/>
    <mergeCell ref="B5:D5"/>
    <mergeCell ref="B6:D6"/>
    <mergeCell ref="B7:D7"/>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Portada</vt:lpstr>
      <vt:lpstr>Indice</vt:lpstr>
      <vt:lpstr>Hipótesis</vt:lpstr>
      <vt:lpstr>Proy. ventas</vt:lpstr>
      <vt:lpstr>Anexo capacidad operativa</vt:lpstr>
      <vt:lpstr>Mod. ingresos</vt:lpstr>
      <vt:lpstr>Costos fijos</vt:lpstr>
      <vt:lpstr>Costos variables</vt:lpstr>
      <vt:lpstr>Costos RRHH</vt:lpstr>
      <vt:lpstr>Mod. egresos</vt:lpstr>
      <vt:lpstr>Mod. inversión</vt:lpstr>
      <vt:lpstr>Amortizaciones</vt:lpstr>
      <vt:lpstr>Presupuesto financiero</vt:lpstr>
      <vt:lpstr>Estructura</vt:lpstr>
      <vt:lpstr>Riesgos</vt:lpstr>
      <vt:lpstr>Matriz de riesgos</vt:lpstr>
      <vt:lpstr>Cuadro de evaluación de riesgos</vt:lpstr>
      <vt:lpstr>Escenario 1</vt:lpstr>
      <vt:lpstr>Escenario 2</vt:lpstr>
      <vt:lpstr>Escenario 3</vt:lpstr>
      <vt:lpstr>Plan de Contingencia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dc:creator>
  <dc:description/>
  <cp:lastModifiedBy>Gomez Avellaneda, Javier Alejandro</cp:lastModifiedBy>
  <cp:revision>27</cp:revision>
  <dcterms:created xsi:type="dcterms:W3CDTF">2026-08-25T21:11:59Z</dcterms:created>
  <dcterms:modified xsi:type="dcterms:W3CDTF">2026-10-01T01:33:53Z</dcterms:modified>
  <dc:language>en-US</dc:language>
</cp:coreProperties>
</file>