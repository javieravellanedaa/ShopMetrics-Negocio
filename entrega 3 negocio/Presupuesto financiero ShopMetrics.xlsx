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9.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2.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8.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drawings/drawing1.xml" ContentType="application/vnd.openxmlformats-officedocument.drawing+xml"/>
  <Override PartName="/xl/drawings/drawing3.xml" ContentType="application/vnd.openxmlformats-officedocument.drawing+xml"/>
  <Override PartName="/xl/drawings/drawing2.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8.xml" ContentType="application/vnd.openxmlformats-officedocument.drawing+xml"/>
  <Override PartName="/xl/drawings/drawing11.xml" ContentType="application/vnd.openxmlformats-officedocument.drawing+xml"/>
  <Override PartName="/xl/drawings/drawing10.xml" ContentType="application/vnd.openxmlformats-officedocument.drawing+xml"/>
  <Override PartName="/xl/drawings/drawing12.xml" ContentType="application/vnd.openxmlformats-officedocument.drawing+xml"/>
  <Override PartName="/xl/charts/chart5.xml" ContentType="application/vnd.openxmlformats-officedocument.drawingml.chart+xml"/>
  <Override PartName="/xl/charts/chart4.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3.xml" ContentType="application/vnd.openxmlformats-officedocument.drawingml.chart+xml"/>
  <Override PartName="/xl/charts/chart2.xml" ContentType="application/vnd.openxmlformats-officedocument.drawingml.chart+xml"/>
  <Override PartName="/xl/charts/chart1.xml" ContentType="application/vnd.openxmlformats-officedocument.drawingml.chart+xml"/>
  <Override PartName="/xl/charts/chart12.xml" ContentType="application/vnd.openxmlformats-officedocument.drawingml.chart+xml"/>
  <Override PartName="/xl/charts/chart11.xml" ContentType="application/vnd.openxmlformats-officedocument.drawingml.chart+xml"/>
  <Override PartName="/xl/charts/chart10.xml" ContentType="application/vnd.openxmlformats-officedocument.drawingml.chart+xml"/>
  <Override PartName="/xl/charts/chart9.xml" ContentType="application/vnd.openxmlformats-officedocument.drawingml.chart+xml"/>
  <Override PartName="/xl/charts/chart8.xml" ContentType="application/vnd.openxmlformats-officedocument.drawingml.chart+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Portada" sheetId="1" state="visible" r:id="rId3"/>
    <sheet name="Indice" sheetId="2" state="visible" r:id="rId4"/>
    <sheet name="Hipótesis" sheetId="3" state="visible" r:id="rId5"/>
    <sheet name="Proy. ventas" sheetId="4" state="visible" r:id="rId6"/>
    <sheet name="Anexo capacidad operativa" sheetId="5" state="visible" r:id="rId7"/>
    <sheet name="Mod. ingresos" sheetId="6" state="visible" r:id="rId8"/>
    <sheet name="Costos fijos" sheetId="7" state="visible" r:id="rId9"/>
    <sheet name="Costos variables" sheetId="8" state="visible" r:id="rId10"/>
    <sheet name="Costos RRHH" sheetId="9" state="visible" r:id="rId11"/>
    <sheet name="Mod. egresos" sheetId="10" state="visible" r:id="rId12"/>
    <sheet name="Mod. inversión" sheetId="11" state="visible" r:id="rId13"/>
    <sheet name="Amortizaciones" sheetId="12" state="visible" r:id="rId14"/>
    <sheet name="Presupuesto financiero" sheetId="13" state="visible" r:id="rId15"/>
    <sheet name="Estructura" sheetId="14" state="visible" r:id="rId16"/>
    <sheet name="Riesgos" sheetId="15" state="visible" r:id="rId17"/>
    <sheet name="Matriz de riesgos" sheetId="16" state="visible" r:id="rId18"/>
    <sheet name="Cuadro de evaluación de riesgos" sheetId="17" state="visible" r:id="rId19"/>
    <sheet name="Escenario 1" sheetId="18" state="visible" r:id="rId20"/>
    <sheet name="Escenario 2" sheetId="19" state="visible" r:id="rId21"/>
    <sheet name="Escenario 3" sheetId="20" state="visible" r:id="rId22"/>
    <sheet name="Plan de Contingencia" sheetId="21" state="visible" r:id="rId2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<sst xmlns="http://schemas.openxmlformats.org/spreadsheetml/2006/main" count="2168" uniqueCount="562">
  <si>
    <t xml:space="preserve">TRABAJO FINAL DE INGENIERÍA</t>
  </si>
  <si>
    <t xml:space="preserve">Alumno: Gómez Avellaneda, Javier</t>
  </si>
  <si>
    <t xml:space="preserve">Legajo: B00074234-T1</t>
  </si>
  <si>
    <t xml:space="preserve">Docentes: Scali, Jorge — Vilaboa, Pablo</t>
  </si>
  <si>
    <t xml:space="preserve">Comisión: 5° A - Turno Noche</t>
  </si>
  <si>
    <t xml:space="preserve">Localización: Sede Centro</t>
  </si>
  <si>
    <t xml:space="preserve">Email: javieralejandro.gomezavellaneda@alumnos.uai.edu.ar</t>
  </si>
  <si>
    <t xml:space="preserve">Índice</t>
  </si>
  <si>
    <t xml:space="preserve">Hipótesis</t>
  </si>
  <si>
    <t xml:space="preserve">Proyección de ventas</t>
  </si>
  <si>
    <t xml:space="preserve">Anexo de capacidad operativa</t>
  </si>
  <si>
    <t xml:space="preserve">Modelo de ingresos</t>
  </si>
  <si>
    <t xml:space="preserve">Estructura de costos fijos</t>
  </si>
  <si>
    <t xml:space="preserve">Estructura de costos variables</t>
  </si>
  <si>
    <t xml:space="preserve">Estructura de costos de RRHH</t>
  </si>
  <si>
    <t xml:space="preserve">Modelo de egresos</t>
  </si>
  <si>
    <t xml:space="preserve">Modelo de inversión</t>
  </si>
  <si>
    <t xml:space="preserve">Amortizaciones</t>
  </si>
  <si>
    <t xml:space="preserve">Presupuesto financiero</t>
  </si>
  <si>
    <t xml:space="preserve">Matriz de riesgos</t>
  </si>
  <si>
    <t xml:space="preserve">Escenario 1</t>
  </si>
  <si>
    <t xml:space="preserve">Escenario 2</t>
  </si>
  <si>
    <t xml:space="preserve">Escenario 3</t>
  </si>
  <si>
    <t xml:space="preserve">Plan de contingencia</t>
  </si>
  <si>
    <t xml:space="preserve">1 - Descripción del negocio</t>
  </si>
  <si>
    <t xml:space="preserve">ShopMetrics es una Empresa de Base Tecnológica (EBT) que desarrolla y explota software propio bajo modalidad SaaS para el comercio minorista. El negocio no consiste en la venta de dispositivos de conteo, sino en la provisión de un ecosistema de medición del embudo comercial del local: cuántas personas pasan por delante, cuántas se detienen frente a la vidriera, cuántas entran y cuántas compran. Los datos se capturan con infraestructura propia instalada en el local (sensores de vidriera y contadores de puerta que publican únicamente cantidades, nunca imágenes) y se integran de forma automática con el sistema de punto de venta que el comercio ya utiliza; sobre esa base, modelos propios de Machine Learning convierten la medición en decisiones de exhibición, dotación de personal y horario de atención. El servicio se contrata con un abono mensual y un cargo de alta e instalación por única vez, y los equipos se entregan en comodato, de modo que el comercio no afronta inversión inicial. Todos los importes de este presupuesto están expresados en dólares.</t>
  </si>
  <si>
    <t xml:space="preserve">2 - Mercado meta</t>
  </si>
  <si>
    <t xml:space="preserve">Comercios minoristas con local a la calle y vidriera a la vereda, de entre uno y cinco locales y hasta nueve ocupados, ubicados en los ejes comerciales de mayor densidad del AMBA, que ya operan con alguno de los siete sistemas de punto de venta cubiertos por los conectores propios. El rubro de arranque es indumentaria, textiles y calzado</t>
  </si>
  <si>
    <t xml:space="preserve">Segmentación del mercado meta. El universo se segmenta por rubro sobre los 14.083 locales ocupados que el Instituto de Estadística y Censos de la Ciudad de Buenos Aires releva en los 53 ejes comerciales de mayor densidad (tercer cuatrimestre de 2025), redondeados a 14.000. Los tres segmentos comparten el mismo tramo de tamaño —de uno a cinco locales y hasta nueve ocupados— y por eso el gasto anual de referencia en herramientas de gestión, facturación electrónica y analítica es común, USD 960 por comercio; lo que los diferencia es la densidad de pares por eje y la prioridad comercial de ingreso.
Segmento A — Indumentaria, textiles y calzado: compuesto por 3.400 comercios, el 24,3% de los locales ocupados relevados; es el rubro de mayor concentración del relevamiento y la cabecera de entrada por el eje Avellaneda, que reúne 1.073 locales con la ocupación más alta del operativo, 96,6%. Con un gasto anual de USD 960 por comercio consolida un mercado direccionable de USD 3.264.000.
Segmento B — Alojamiento y comida: compuesto por 1.600 comercios, el 11,3% de los locales ocupados relevados; gastronomía con vidriera a la vereda, que comparte el mismo embudo de paso, detención e ingreso y la misma infraestructura de medición. Con un gasto anual de USD 960 por comercio consolida un mercado direccionable de USD 1.536.000.
Segmento C — Resto de rubros con vidriera: compuesto por 9.000 comercios, el 64,4% de los locales ocupados relevados; alimentos y bebidas, perfumería, calzado deportivo y servicios con local a la calle, que comparten la infraestructura de medición con menor densidad de pares por rubro. Con un gasto anual de USD 960 por comercio consolida un mercado direccionable de USD 8.640.000.
Total consolidado: los tres segmentos suman 14.000 comercios y un mercado direccionable de USD 13.440.000 anuales, que es el total que toma el cuadro siguiente. El universo del Gran Buenos Aires amplía esta cifra, pero no existe un operativo equivalente que lo mida con la misma fuente, de modo que queda fuera del dimensionamiento y dentro del plan de expansión.</t>
  </si>
  <si>
    <t xml:space="preserve">Comercios</t>
  </si>
  <si>
    <t xml:space="preserve">Gasto promedio anual (USD)</t>
  </si>
  <si>
    <t xml:space="preserve">Total mercado (USD)</t>
  </si>
  <si>
    <t xml:space="preserve">Los 14.000 comercios son los locales ocupados que el IDECBA releva en los 53 ejes comerciales de mayor densidad (tercer cuatrimestre de 2025). Todos tienen local a la calle y vidriera, que es la condición para instalar el servicio. El detalle por rubro y la ampliación al Gran Buenos Aires están en el punto 4 del informe.</t>
  </si>
  <si>
    <t xml:space="preserve">3 - Participación del mercado</t>
  </si>
  <si>
    <t xml:space="preserve">Participación del 5,2% del universo al cierre del tercer año, con una progresión del 0,8% el primer año, 2,9% el segundo y 5,2% el tercero. Es una progresión moderada: el rubro de arranque concentra el esfuerzo comercial del primer año y la ampliación a los otros rubros con vidriera de los mismos ejes recién se aborda una vez validado ese rubro, de modo que el universo crece más rápido que la captación.</t>
  </si>
  <si>
    <t xml:space="preserve">Evolución de la participación en el mercado</t>
  </si>
  <si>
    <t xml:space="preserve">Año</t>
  </si>
  <si>
    <t xml:space="preserve">Cantidad</t>
  </si>
  <si>
    <t xml:space="preserve">Porcentaje</t>
  </si>
  <si>
    <t xml:space="preserve">Valor del mercado captado (USD)</t>
  </si>
  <si>
    <t xml:space="preserve">Facturación proyectada (USD)</t>
  </si>
  <si>
    <t xml:space="preserve">2026</t>
  </si>
  <si>
    <t xml:space="preserve">2027</t>
  </si>
  <si>
    <t xml:space="preserve">2028</t>
  </si>
  <si>
    <t xml:space="preserve">El valor del mercado captado es el objetivo de facturación de cada año: participación por mercado total. La proyección de ventas se arma para alcanzarlo, y de ahí se obtiene la cantidad de comercios abonados que hace falta al cierre de cada año. La cantidad es mayor que la que resultaría de dividir el mercado captado por el gasto de referencia, porque el ticket promedio de la lista de precios es menor que ese gasto.</t>
  </si>
  <si>
    <t xml:space="preserve">Detalle: el gasto promedio anual de referencia son USD 960 (USD 80 mensuales), lo que un comercio minorista destina a software de gestión, facturación electrónica y analítica. Referencias 2026: planes de punto de venta con facturación electrónica y stock multi-tienda en el orden de USD 79 mensuales, y el plan de entrada de Fudo, uno de los sistemas con los que la plataforma se integra, en USD 40 mensuales por sucursal.</t>
  </si>
  <si>
    <t xml:space="preserve">4 - Otros datos</t>
  </si>
  <si>
    <t xml:space="preserve">Líneas de servicios</t>
  </si>
  <si>
    <t xml:space="preserve">VERSIONES DEL SERVICIO</t>
  </si>
  <si>
    <t xml:space="preserve">Alta e instalación</t>
  </si>
  <si>
    <t xml:space="preserve">Abono mensual</t>
  </si>
  <si>
    <t xml:space="preserve">PROFUNDIDAD DE LAS LÍNEAS DE SERVICIOS</t>
  </si>
  <si>
    <t xml:space="preserve">Plan Básico</t>
  </si>
  <si>
    <t xml:space="preserve">Plan Vidriera</t>
  </si>
  <si>
    <t xml:space="preserve">Plan Cadena</t>
  </si>
  <si>
    <t xml:space="preserve">Lista de precios (USD)</t>
  </si>
  <si>
    <t xml:space="preserve">Servicio</t>
  </si>
  <si>
    <t xml:space="preserve">Precio</t>
  </si>
  <si>
    <t xml:space="preserve">Detalle</t>
  </si>
  <si>
    <t xml:space="preserve">Modalidad de cobro</t>
  </si>
  <si>
    <t xml:space="preserve">Alta e instalación Plan Básico</t>
  </si>
  <si>
    <t xml:space="preserve">Por única vez. Alta remota: conexión con el sistema de punto de venta y verificación de datos. No requiere visita al local.</t>
  </si>
  <si>
    <t xml:space="preserve">Cobro por única vez</t>
  </si>
  <si>
    <t xml:space="preserve">Alta e instalación Plan Vidriera</t>
  </si>
  <si>
    <t xml:space="preserve">Por única vez. Visita al local: montaje del sensor de vidriera y del contador de puerta, conexión del punto de venta y prueba del embudo.</t>
  </si>
  <si>
    <t xml:space="preserve">Alta e instalación Plan Cadena</t>
  </si>
  <si>
    <t xml:space="preserve">Por única vez. Instalación en hasta cinco locales de una misma cadena.</t>
  </si>
  <si>
    <t xml:space="preserve">Abono Plan Básico</t>
  </si>
  <si>
    <t xml:space="preserve">Analítica de ventas por hora, ticket promedio y rotación, a partir del punto de venta. Sin dispositivos de conteo. Es la puerta de entrada comercial.</t>
  </si>
  <si>
    <t xml:space="preserve">Cobro mensual</t>
  </si>
  <si>
    <t xml:space="preserve">Abono Plan Vidriera</t>
  </si>
  <si>
    <t xml:space="preserve">Embudo completo del local: pasan, se detienen, entran y compran, más comparación anónima contra el rubro y alertas automáticas. Es el plan principal.</t>
  </si>
  <si>
    <t xml:space="preserve">Abono Plan Cadena</t>
  </si>
  <si>
    <t xml:space="preserve">Hasta cinco locales: embudo por local, comparación entre sucursales y consolidado de toda la red.</t>
  </si>
  <si>
    <t xml:space="preserve">Evolución de la participación</t>
  </si>
  <si>
    <t xml:space="preserve">Justificación ingresos</t>
  </si>
  <si>
    <t xml:space="preserve">La proyección se arma desde la facturación objetivo, que es el valor del mercado captado de la hoja Hipótesis (participación por mercado total: USD 105.754 en 2026, 385.805 en 2027 y 705.677 en 2028). Con la lista de precios fija, se calcula cuántas altas por mes hacen falta para llegar a ese número: el alta e instalación se cobra una sola vez y el abono es mensual y se acumula (el comercio que se da de alta en marzo sigue pagando en abril), de modo que el ingreso crece mes a mes aunque las altas sean parejas. El primer trimestre de 2026 tiene pocas altas porque se destina a los primeros comercios del eje Avellaneda; a partir de allí la captación crece de manera sostenida. Los porcentajes de cada mes son la proporción del total anual que se factura ese mes.</t>
  </si>
  <si>
    <t xml:space="preserve">.</t>
  </si>
  <si>
    <t xml:space="preserve">Proyección de ventas 2026</t>
  </si>
  <si>
    <t xml:space="preserve">Producto</t>
  </si>
  <si>
    <t xml:space="preserve">Anual</t>
  </si>
  <si>
    <t xml:space="preserve">Enero</t>
  </si>
  <si>
    <t xml:space="preserve">Febrero</t>
  </si>
  <si>
    <t xml:space="preserve">Marzo</t>
  </si>
  <si>
    <t xml:space="preserve">Abril</t>
  </si>
  <si>
    <t xml:space="preserve">Mayo</t>
  </si>
  <si>
    <t xml:space="preserve">Junio</t>
  </si>
  <si>
    <t xml:space="preserve">Julio</t>
  </si>
  <si>
    <t xml:space="preserve">Agosto</t>
  </si>
  <si>
    <t xml:space="preserve">Septiembre</t>
  </si>
  <si>
    <t xml:space="preserve">Octubre</t>
  </si>
  <si>
    <t xml:space="preserve">Noviembre</t>
  </si>
  <si>
    <t xml:space="preserve">Diciembre</t>
  </si>
  <si>
    <t xml:space="preserve">Ingresos</t>
  </si>
  <si>
    <t xml:space="preserve">Ingreso Total</t>
  </si>
  <si>
    <t xml:space="preserve">Capacidad operativa Kick off - Año 2026</t>
  </si>
  <si>
    <t xml:space="preserve">Comentarios</t>
  </si>
  <si>
    <t xml:space="preserve">* Se arranca sólo con los dos fundadores (gerencia general y gerencia de sistemas), que cubren entre ambos todos los puestos de la estructura. La instalación y el soporte se contratan por hora a técnicos freelance según las altas de cada mes, la venta se paga por comisión sobre cada alta y el desarrollo, la contabilidad y el marketing están tercerizados en los costos fijos.</t>
  </si>
  <si>
    <t xml:space="preserve">Concepto</t>
  </si>
  <si>
    <t xml:space="preserve">Año cero - Kick off</t>
  </si>
  <si>
    <t xml:space="preserve">Año 2026</t>
  </si>
  <si>
    <t xml:space="preserve">RRHH</t>
  </si>
  <si>
    <t xml:space="preserve">Gerente general</t>
  </si>
  <si>
    <t xml:space="preserve">Sin cambios</t>
  </si>
  <si>
    <t xml:space="preserve">Gerente de sistemas</t>
  </si>
  <si>
    <t xml:space="preserve">Desarrollador</t>
  </si>
  <si>
    <t xml:space="preserve">Tercerizado (costo fijo)</t>
  </si>
  <si>
    <t xml:space="preserve">Técnico de instalación y soporte</t>
  </si>
  <si>
    <t xml:space="preserve">Freelance por hora (costo variable)</t>
  </si>
  <si>
    <t xml:space="preserve">Vendedor</t>
  </si>
  <si>
    <t xml:space="preserve">Comisión por alta (costo variable)</t>
  </si>
  <si>
    <t xml:space="preserve">Infraestructura</t>
  </si>
  <si>
    <t xml:space="preserve">Oficina</t>
  </si>
  <si>
    <t xml:space="preserve">Oficina (+1 alquiler)</t>
  </si>
  <si>
    <t xml:space="preserve">Notebooks</t>
  </si>
  <si>
    <t xml:space="preserve">Escritorios</t>
  </si>
  <si>
    <t xml:space="preserve">Sillas de escritorio</t>
  </si>
  <si>
    <t xml:space="preserve">Capital de trabajo</t>
  </si>
  <si>
    <t xml:space="preserve">Sensores de vidriera</t>
  </si>
  <si>
    <t xml:space="preserve">Sensores de vidriera (+30)</t>
  </si>
  <si>
    <t xml:space="preserve">Contadores de puerta</t>
  </si>
  <si>
    <t xml:space="preserve">Contadores de puerta (+30)</t>
  </si>
  <si>
    <t xml:space="preserve">Gateways de conexión</t>
  </si>
  <si>
    <t xml:space="preserve">Gateways de conexión (+30)</t>
  </si>
  <si>
    <t xml:space="preserve">Kits de montaje</t>
  </si>
  <si>
    <t xml:space="preserve">Kits de montaje (+30)</t>
  </si>
  <si>
    <t xml:space="preserve">Proyección de ventas 2027</t>
  </si>
  <si>
    <t xml:space="preserve">Capacidad operativa - Año 2027</t>
  </si>
  <si>
    <t xml:space="preserve">* Sigue la estructura plana: los dos fundadores y todo lo demás tercerizado o por hora.</t>
  </si>
  <si>
    <t xml:space="preserve">Notebooks (+1)</t>
  </si>
  <si>
    <t xml:space="preserve">Escritorios (+1)</t>
  </si>
  <si>
    <t xml:space="preserve">Sillas de escritorio (+2)</t>
  </si>
  <si>
    <t xml:space="preserve">Sensores de vidriera (+50)</t>
  </si>
  <si>
    <t xml:space="preserve">Contadores de puerta (+50)</t>
  </si>
  <si>
    <t xml:space="preserve">Gateways de conexión (+50)</t>
  </si>
  <si>
    <t xml:space="preserve">Kits de montaje (+50)</t>
  </si>
  <si>
    <t xml:space="preserve">Proyección de ventas 2028</t>
  </si>
  <si>
    <t xml:space="preserve">Capacidad operativa - Año 2028</t>
  </si>
  <si>
    <t xml:space="preserve">Notebooks (+5)</t>
  </si>
  <si>
    <t xml:space="preserve">Sensores de vidriera (+80)</t>
  </si>
  <si>
    <t xml:space="preserve">Sensores de vidriera (+60)</t>
  </si>
  <si>
    <t xml:space="preserve">Contadores de puerta (+80)</t>
  </si>
  <si>
    <t xml:space="preserve">Contadores de puerta (+60)</t>
  </si>
  <si>
    <t xml:space="preserve">Gateways de conexión (+80)</t>
  </si>
  <si>
    <t xml:space="preserve">Gateways de conexión (+60)</t>
  </si>
  <si>
    <t xml:space="preserve">Kits de montaje (+80)</t>
  </si>
  <si>
    <t xml:space="preserve">Kits de montaje (+60)</t>
  </si>
  <si>
    <t xml:space="preserve">Anexo capacidad operativa</t>
  </si>
  <si>
    <t xml:space="preserve">Instalación y alta de los planes ShopMetrics</t>
  </si>
  <si>
    <t xml:space="preserve">Soporte mensual por plan</t>
  </si>
  <si>
    <t xml:space="preserve">Sueldo tecnico por hora:</t>
  </si>
  <si>
    <t xml:space="preserve">Coste del kit de instalación</t>
  </si>
  <si>
    <t xml:space="preserve">Coste del soporte mensual</t>
  </si>
  <si>
    <t xml:space="preserve">Cálculo de horas laborables de un empleado por mes</t>
  </si>
  <si>
    <t xml:space="preserve">Semanas por año</t>
  </si>
  <si>
    <t xml:space="preserve">semanas</t>
  </si>
  <si>
    <t xml:space="preserve">Semanas de licencias varias al año</t>
  </si>
  <si>
    <t xml:space="preserve">Días festivos</t>
  </si>
  <si>
    <t xml:space="preserve">días</t>
  </si>
  <si>
    <t xml:space="preserve">Días laborales totales</t>
  </si>
  <si>
    <t xml:space="preserve">Jornada laboral</t>
  </si>
  <si>
    <t xml:space="preserve">horas</t>
  </si>
  <si>
    <t xml:space="preserve">Alta remota: conexión con el punto de venta</t>
  </si>
  <si>
    <t xml:space="preserve">Horas laborables anuales por empleado</t>
  </si>
  <si>
    <t xml:space="preserve">Visita al local: sensor de vidriera + contador de puerta</t>
  </si>
  <si>
    <t xml:space="preserve">Consideraremos en promedio:</t>
  </si>
  <si>
    <t xml:space="preserve">Horas laborables anuales / empleado</t>
  </si>
  <si>
    <t xml:space="preserve">Instalación en hasta cinco locales de una cadena</t>
  </si>
  <si>
    <t xml:space="preserve">Horas laborables mensuales / empleado
[HsLaboralesXMes]</t>
  </si>
  <si>
    <t xml:space="preserve">Soporte mensual Plan Básico</t>
  </si>
  <si>
    <t xml:space="preserve">Kit Plan Básico</t>
  </si>
  <si>
    <t xml:space="preserve">N° de tarea</t>
  </si>
  <si>
    <t xml:space="preserve">Descripción</t>
  </si>
  <si>
    <t xml:space="preserve">Base horaria [BH]</t>
  </si>
  <si>
    <t xml:space="preserve">Cantidad requerida
[Cant]</t>
  </si>
  <si>
    <t xml:space="preserve">Horas por tarea
Fórmula = Cant * BH</t>
  </si>
  <si>
    <t xml:space="preserve">Componente</t>
  </si>
  <si>
    <t xml:space="preserve">Precio unitario</t>
  </si>
  <si>
    <t xml:space="preserve">Subtotal</t>
  </si>
  <si>
    <t xml:space="preserve">Contacto y coordinación</t>
  </si>
  <si>
    <t xml:space="preserve">Monitoreo de ingesta</t>
  </si>
  <si>
    <t xml:space="preserve">Instalación (mano de obra)</t>
  </si>
  <si>
    <t xml:space="preserve">Servicio técnico</t>
  </si>
  <si>
    <t xml:space="preserve">Alta en la plataforma</t>
  </si>
  <si>
    <t xml:space="preserve">Atención de consultas</t>
  </si>
  <si>
    <t xml:space="preserve">Conexión con el punto de venta</t>
  </si>
  <si>
    <t xml:space="preserve">Reporte mensual</t>
  </si>
  <si>
    <t xml:space="preserve">Verificación de los datos</t>
  </si>
  <si>
    <t xml:space="preserve">Capacitación remota</t>
  </si>
  <si>
    <t xml:space="preserve">Total</t>
  </si>
  <si>
    <t xml:space="preserve">Comentarios: el alta del Plan Básico es remota, no requiere visita.</t>
  </si>
  <si>
    <t xml:space="preserve">Horas totales por servicio
[HsTotalesXServicio]
Fórmula = Σ Horas por tarea del servicio</t>
  </si>
  <si>
    <t xml:space="preserve">Coste por instalación</t>
  </si>
  <si>
    <t xml:space="preserve">Comentarios: soporte enteramente remoto.</t>
  </si>
  <si>
    <t xml:space="preserve">Horas totales por servicio [HsTotalesXServicio]</t>
  </si>
  <si>
    <t xml:space="preserve">Capacidad operativa mensual por proyecto
Fórmula = HsTotalesXSer / HsLaboralesXMes </t>
  </si>
  <si>
    <t xml:space="preserve">Capacidad operativa mensual por proyecto
</t>
  </si>
  <si>
    <t xml:space="preserve">Soporte mensual Plan Vidriera</t>
  </si>
  <si>
    <t xml:space="preserve">Kit Plan Vidriera</t>
  </si>
  <si>
    <t xml:space="preserve">Coordinación y armado del kit</t>
  </si>
  <si>
    <t xml:space="preserve">Sensor de vidriera</t>
  </si>
  <si>
    <t xml:space="preserve">Traslado al local</t>
  </si>
  <si>
    <t xml:space="preserve">Control del sensor</t>
  </si>
  <si>
    <t xml:space="preserve">Contador de puerta</t>
  </si>
  <si>
    <t xml:space="preserve">Montaje del sensor de vidriera</t>
  </si>
  <si>
    <t xml:space="preserve">Gateway de conexión</t>
  </si>
  <si>
    <t xml:space="preserve">Instalación contador de puerta</t>
  </si>
  <si>
    <t xml:space="preserve">Kit de montaje</t>
  </si>
  <si>
    <t xml:space="preserve">Prueba del embudo</t>
  </si>
  <si>
    <t xml:space="preserve">Capacitación y cierre</t>
  </si>
  <si>
    <t xml:space="preserve">Comentarios: incluye traslado y montaje del equipamiento en vidriera.</t>
  </si>
  <si>
    <t xml:space="preserve">Comentarios: suma el control del sensor de vidriera.</t>
  </si>
  <si>
    <t xml:space="preserve">Capacidad operativa mensual por empleado
Fórmula = HsTotalesXSer / HsLaboralesXMes </t>
  </si>
  <si>
    <t xml:space="preserve">Soporte mensual Plan Cadena</t>
  </si>
  <si>
    <t xml:space="preserve">Kit Plan Cadena</t>
  </si>
  <si>
    <t xml:space="preserve">Relevamiento de la cadena</t>
  </si>
  <si>
    <t xml:space="preserve">Monitoreo por local</t>
  </si>
  <si>
    <t xml:space="preserve">Alta de cadena y sucursales</t>
  </si>
  <si>
    <t xml:space="preserve">Control de sensores</t>
  </si>
  <si>
    <t xml:space="preserve">Traslado entre locales</t>
  </si>
  <si>
    <t xml:space="preserve">Consultas del titular</t>
  </si>
  <si>
    <t xml:space="preserve">Montaje sensor de vidriera</t>
  </si>
  <si>
    <t xml:space="preserve">Reporte comparativo</t>
  </si>
  <si>
    <t xml:space="preserve">Conexión del punto de venta</t>
  </si>
  <si>
    <t xml:space="preserve">Prueba comparativa</t>
  </si>
  <si>
    <t xml:space="preserve">Capacitación del responsable</t>
  </si>
  <si>
    <t xml:space="preserve">Comentarios: cubre hasta cinco locales de una misma cadena.</t>
  </si>
  <si>
    <t xml:space="preserve">Comentarios: el monitoreo se repite por local.</t>
  </si>
  <si>
    <t xml:space="preserve">Detalle: el soporte por plan es mensual y se sostiene mientras el comercio permanece abonado.</t>
  </si>
  <si>
    <t xml:space="preserve">ANALISIS CAPACIDAD OPERATIVA ANUAL POR SERVICIO EN HORAS HOMBRE</t>
  </si>
  <si>
    <t xml:space="preserve">CAPACIDAD OPERATIVA AÑO 2026</t>
  </si>
  <si>
    <t xml:space="preserve">Unidades requeridas</t>
  </si>
  <si>
    <t xml:space="preserve">Horas Hombre requeridas</t>
  </si>
  <si>
    <t xml:space="preserve">Horas Hombre requeridos</t>
  </si>
  <si>
    <t xml:space="preserve">TOTALES</t>
  </si>
  <si>
    <t xml:space="preserve">Horas contratadas a técnicos freelance (por mes completo de 150 h, a demanda)</t>
  </si>
  <si>
    <t xml:space="preserve">Holgura (h) — negativo = capacidad excedida</t>
  </si>
  <si>
    <t xml:space="preserve">CAPACIDAD OPERATIVA AÑO 2027</t>
  </si>
  <si>
    <t xml:space="preserve">CAPACIDAD OPERATIVA AÑO 2028</t>
  </si>
  <si>
    <t xml:space="preserve">CONCLUSIÓN</t>
  </si>
  <si>
    <t xml:space="preserve">El anexo dimensiona la capacidad operativa desde la demanda. Cada plan tiene un consumo horario propio, obtenido de la suma de las tareas que requiere su alta, y un consumo mensual de soporte que se sostiene mientras el comercio permanece abonado: 0,50 h el Plan Básico, 3,00 h el Plan Vidriera y 12,00 h el Plan Cadena para el alta; 0,15 h, 0,25 h y 0,60 h al mes para el soporte.
Multiplicando esas bases horarias por las unidades de la proyección de ventas se obtienen las horas hombre requeridas mes a mes. El total asciende a 440,75 horas en 2026, 1.113,75 en 2027 y 1.982,10 en 2028, con picos mensuales de 87,50, 123,35 y 189,65 horas respectivamente. Contra las 150 horas laborables mensuales de un empleado, la dotación técnica necesaria es de un técnico en 2026 y 2027, y de dos a partir de marzo de 2028. El mes en que ese cociente supera la unidad es el que marca la incorporación en la estructura de costos de recursos humanos: la contratación no se decide por criterio, se desprende del volumen proyectado.
El costo de mano de obra por alta resulta de USD 3 en el Plan Básico, USD 18 en el Plan Vidriera y USD 72 en el Plan Cadena, contra precios de lista de USD 25, USD 60 y USD 250. Sumado el kit de equipamiento, el alta cubre el esfuerzo técnico comprometido en los tres planes.</t>
  </si>
  <si>
    <t xml:space="preserve">Ingresos por servicios</t>
  </si>
  <si>
    <t xml:space="preserve">Ingresos 2026</t>
  </si>
  <si>
    <t xml:space="preserve">Ingresos 2027</t>
  </si>
  <si>
    <t xml:space="preserve">Ingresos 2028</t>
  </si>
  <si>
    <t xml:space="preserve">Costos fijos - Totales</t>
  </si>
  <si>
    <t xml:space="preserve">Costos fijos de promoción - Totales</t>
  </si>
  <si>
    <t xml:space="preserve">Costos fijos - Año 2026</t>
  </si>
  <si>
    <t xml:space="preserve">Rubro</t>
  </si>
  <si>
    <t xml:space="preserve">Total anual</t>
  </si>
  <si>
    <t xml:space="preserve">Observaciones</t>
  </si>
  <si>
    <t xml:space="preserve">Servicios</t>
  </si>
  <si>
    <t xml:space="preserve">Luz</t>
  </si>
  <si>
    <t xml:space="preserve">Agua</t>
  </si>
  <si>
    <t xml:space="preserve">Internet y telefonía fija</t>
  </si>
  <si>
    <t xml:space="preserve">Telefonía móvil</t>
  </si>
  <si>
    <t xml:space="preserve">Una línea por técnico y por vendedor; escala con la dotación.</t>
  </si>
  <si>
    <t xml:space="preserve">Infraestructura cloud base</t>
  </si>
  <si>
    <t xml:space="preserve">Capacidad mínima para operar con independencia de la cantidad de comercios activos.</t>
  </si>
  <si>
    <t xml:space="preserve">Licencias de software</t>
  </si>
  <si>
    <t xml:space="preserve">Herramientas de desarrollo, monitoreo y productividad.</t>
  </si>
  <si>
    <t xml:space="preserve">Alquiler</t>
  </si>
  <si>
    <t xml:space="preserve">En 2028 se amplía el espacio por el crecimiento de la dotación.</t>
  </si>
  <si>
    <t xml:space="preserve">Auditoría y certificación ISO 27001</t>
  </si>
  <si>
    <t xml:space="preserve">Implementación durante 2027 y mantenimiento desde 2028.</t>
  </si>
  <si>
    <t xml:space="preserve">Honorarios</t>
  </si>
  <si>
    <t xml:space="preserve">Estudio Contable Externo</t>
  </si>
  <si>
    <t xml:space="preserve">Escala por tramos con la cantidad de empleados.</t>
  </si>
  <si>
    <t xml:space="preserve">Agencia de marketing</t>
  </si>
  <si>
    <t xml:space="preserve">Abono mensual; la pauta se imputa aparte.</t>
  </si>
  <si>
    <t xml:space="preserve">Publicidad online</t>
  </si>
  <si>
    <t xml:space="preserve">Campañas base en Meta y Google</t>
  </si>
  <si>
    <t xml:space="preserve">Pauta base permanente; las campañas de captación intensiva van en costos variables.</t>
  </si>
  <si>
    <t xml:space="preserve">Sitio web, SEO local y WhatsApp Business</t>
  </si>
  <si>
    <t xml:space="preserve">Desarrollo y mantenimiento tercerizado</t>
  </si>
  <si>
    <t xml:space="preserve">Free lance, 20/40/60 h por mes según el año. Sin cargas patronales.</t>
  </si>
  <si>
    <t xml:space="preserve">TOTAL</t>
  </si>
  <si>
    <t xml:space="preserve">Costos fijos - Año 2027</t>
  </si>
  <si>
    <t xml:space="preserve">Costos fijos - Año 2028</t>
  </si>
  <si>
    <t xml:space="preserve">Costos variables - Totales</t>
  </si>
  <si>
    <t xml:space="preserve">Costos de promoción variables - Totales</t>
  </si>
  <si>
    <t xml:space="preserve">Costos variables - Año 2026</t>
  </si>
  <si>
    <t xml:space="preserve">Costo unitario</t>
  </si>
  <si>
    <t xml:space="preserve">Cant.</t>
  </si>
  <si>
    <t xml:space="preserve">Costo</t>
  </si>
  <si>
    <t xml:space="preserve">Operación</t>
  </si>
  <si>
    <t xml:space="preserve">Comisión del vendedor freelance por alta concretada</t>
  </si>
  <si>
    <t xml:space="preserve">Movilidad y viáticos de instalación</t>
  </si>
  <si>
    <t xml:space="preserve">Consumo cloud por comercio activo</t>
  </si>
  <si>
    <t xml:space="preserve">Gateway de notificaciones</t>
  </si>
  <si>
    <t xml:space="preserve">Comisiones de medios de pago</t>
  </si>
  <si>
    <t xml:space="preserve">Reposición de equipamiento no recuperado</t>
  </si>
  <si>
    <t xml:space="preserve">Promoción</t>
  </si>
  <si>
    <t xml:space="preserve">Bonificación del alta - Plan Básico</t>
  </si>
  <si>
    <t xml:space="preserve">Bonificación del alta - Plan Vidriera</t>
  </si>
  <si>
    <t xml:space="preserve">Bonificación del alta - Plan Cadena</t>
  </si>
  <si>
    <t xml:space="preserve">Incentivo del programa de referidos</t>
  </si>
  <si>
    <t xml:space="preserve">Técnico freelance de instalación y soporte (por hora, según el Anexo de capacidad)</t>
  </si>
  <si>
    <t xml:space="preserve">Costos variables - Año 2027</t>
  </si>
  <si>
    <t xml:space="preserve">Costos variables - Año 2028</t>
  </si>
  <si>
    <t xml:space="preserve">Costos de RRHH - Totales</t>
  </si>
  <si>
    <t xml:space="preserve">Costo mensual por puesto</t>
  </si>
  <si>
    <t xml:space="preserve">Area</t>
  </si>
  <si>
    <t xml:space="preserve">Puesto</t>
  </si>
  <si>
    <t xml:space="preserve">Sueldo bruto</t>
  </si>
  <si>
    <t xml:space="preserve">Jubilación</t>
  </si>
  <si>
    <t xml:space="preserve">Ley 19032</t>
  </si>
  <si>
    <t xml:space="preserve">Obra social</t>
  </si>
  <si>
    <t xml:space="preserve">FNE</t>
  </si>
  <si>
    <t xml:space="preserve">AAFF</t>
  </si>
  <si>
    <t xml:space="preserve">S. de Vida</t>
  </si>
  <si>
    <t xml:space="preserve">ART (Aprox.)</t>
  </si>
  <si>
    <t xml:space="preserve">Total aportes</t>
  </si>
  <si>
    <t xml:space="preserve">Costo mensual para empresa</t>
  </si>
  <si>
    <t xml:space="preserve">Quién lo cubre y dónde se imputa el costo</t>
  </si>
  <si>
    <t xml:space="preserve">Gerencia</t>
  </si>
  <si>
    <t xml:space="preserve">Gerente General (Fundador / CEO)</t>
  </si>
  <si>
    <t xml:space="preserve">En relación de dependencia</t>
  </si>
  <si>
    <t xml:space="preserve">Gerente de Sistemas (Fundador / CTO)</t>
  </si>
  <si>
    <t xml:space="preserve">Administración</t>
  </si>
  <si>
    <t xml:space="preserve">Administrativo contable y de pagos</t>
  </si>
  <si>
    <t xml:space="preserve">Lo cubre el Gerente General</t>
  </si>
  <si>
    <t xml:space="preserve">Liquidación de sueldos e impuestos</t>
  </si>
  <si>
    <t xml:space="preserve">Estudio contable, abono mensual en costos fijos</t>
  </si>
  <si>
    <t xml:space="preserve">Administrativo de cobranzas</t>
  </si>
  <si>
    <t xml:space="preserve">Comercial</t>
  </si>
  <si>
    <t xml:space="preserve">Ejecutivo comercial de altas</t>
  </si>
  <si>
    <t xml:space="preserve">Freelance por comisión sobre cada alta, en costos variables</t>
  </si>
  <si>
    <t xml:space="preserve">Atención al cliente y posventa</t>
  </si>
  <si>
    <t xml:space="preserve">Marketing</t>
  </si>
  <si>
    <t xml:space="preserve">Gestión de campañas y contenidos</t>
  </si>
  <si>
    <t xml:space="preserve">Agencia de marketing, abono mensual en costos fijos</t>
  </si>
  <si>
    <t xml:space="preserve">Sistemas</t>
  </si>
  <si>
    <t xml:space="preserve">Arquitecto de software</t>
  </si>
  <si>
    <t xml:space="preserve">Contratado por proyecto; el desarrollo inicial es inversión</t>
  </si>
  <si>
    <t xml:space="preserve">Mantenimiento evolutivo contratado, en costos fijos</t>
  </si>
  <si>
    <t xml:space="preserve">Científico de datos</t>
  </si>
  <si>
    <t xml:space="preserve">Lo cubre el Gerente de Sistemas</t>
  </si>
  <si>
    <t xml:space="preserve">DevOps / infraestructura cloud</t>
  </si>
  <si>
    <t xml:space="preserve">Freelance por hora según el Anexo, en costos variables</t>
  </si>
  <si>
    <t xml:space="preserve">Operador de monitoreo de sensores</t>
  </si>
  <si>
    <t xml:space="preserve">Costos de RRHH - Año 2026</t>
  </si>
  <si>
    <t xml:space="preserve">Junio + SAC</t>
  </si>
  <si>
    <t xml:space="preserve">Diciembre + SAC</t>
  </si>
  <si>
    <t xml:space="preserve">Totales</t>
  </si>
  <si>
    <t xml:space="preserve">Costos de RRHH - Año 2027</t>
  </si>
  <si>
    <t xml:space="preserve">Costos de RRHH - Año 2028</t>
  </si>
  <si>
    <t xml:space="preserve">Costos totales (USD)</t>
  </si>
  <si>
    <t xml:space="preserve">Costos fijos</t>
  </si>
  <si>
    <t xml:space="preserve">Costos variables</t>
  </si>
  <si>
    <t xml:space="preserve">Costos de RRHH</t>
  </si>
  <si>
    <t xml:space="preserve">Egresos totales</t>
  </si>
  <si>
    <t xml:space="preserve">Ingresos proyectados</t>
  </si>
  <si>
    <t xml:space="preserve">Resultado operativo (antes de inversión, amortizaciones e impuestos)</t>
  </si>
  <si>
    <t xml:space="preserve">Egresos sobre ingresos</t>
  </si>
  <si>
    <t xml:space="preserve">Composición de los egresos</t>
  </si>
  <si>
    <t xml:space="preserve">Modelo de Inversión</t>
  </si>
  <si>
    <t xml:space="preserve">Inversión Inicial</t>
  </si>
  <si>
    <t xml:space="preserve">Inversión inicial - Año cero</t>
  </si>
  <si>
    <t xml:space="preserve">Referencia</t>
  </si>
  <si>
    <t xml:space="preserve">Desarrollo de la plataforma</t>
  </si>
  <si>
    <t xml:space="preserve">Cronograma en Microsoft Project: cuatro roles contratados, 2.324 h a valor hora de mercado (ver informe de recursos abajo)</t>
  </si>
  <si>
    <t xml:space="preserve">Acer Aspire Go 15, Ryzen 7, 16 GB / 512 GB. Mercado Libre 9/2026: $1.450.000 a $1.545 por dólar</t>
  </si>
  <si>
    <t xml:space="preserve">Escritorio de oficina 120×60. Mercado Libre 9/2026, en el orden de $150.000</t>
  </si>
  <si>
    <t xml:space="preserve">Silla ergonómica de malla. Mercado Libre 9/2026, entre $90.000 y $156.000</t>
  </si>
  <si>
    <t xml:space="preserve">Equipamiento de red y periféricos</t>
  </si>
  <si>
    <t xml:space="preserve">Router TP-Link Archer AX23 ($96.190) + switch 8 puertos + UPS 650 VA</t>
  </si>
  <si>
    <t xml:space="preserve">Registración de marca y constitución legal</t>
  </si>
  <si>
    <t xml:space="preserve">INPI, 2 clases con honorarios (~$170.000) + constitución de SAS (~$400.000)</t>
  </si>
  <si>
    <t xml:space="preserve">Inversión - Año 2026</t>
  </si>
  <si>
    <t xml:space="preserve">Dispositivos IoT en comodato - Plan Vidriera (sensor de vidriera, contador de puerta, gateway y kit de montaje)</t>
  </si>
  <si>
    <t xml:space="preserve">Una unidad por instalación del Plan Vidriera, según las altas de Proy. ventas. Se entrega en comodato, vuelve a la empresa en la baja y se reinstala: es stock que rota, no un bien de uso, y por eso no se amortiza.</t>
  </si>
  <si>
    <t xml:space="preserve">Dispositivos IoT en comodato - Plan Cadena (cinco locales por alta)</t>
  </si>
  <si>
    <t xml:space="preserve">Un kit de cinco locales por instalación del Plan Cadena, según las altas de Proy. ventas. Mismo criterio: comodato reutilizable, no se amortiza.</t>
  </si>
  <si>
    <t xml:space="preserve">Inversión - Año 2027</t>
  </si>
  <si>
    <t xml:space="preserve">Inversión - Año 2028</t>
  </si>
  <si>
    <t xml:space="preserve">Notebooks (renovación a los 3 años)</t>
  </si>
  <si>
    <t xml:space="preserve">Amortización
( en años )</t>
  </si>
  <si>
    <t xml:space="preserve">Valor de adquisiciones</t>
  </si>
  <si>
    <t xml:space="preserve">Amortización</t>
  </si>
  <si>
    <t xml:space="preserve">Año cero</t>
  </si>
  <si>
    <t xml:space="preserve">Año 2027</t>
  </si>
  <si>
    <t xml:space="preserve">Año 2028</t>
  </si>
  <si>
    <t xml:space="preserve">Informática y comunicaciones</t>
  </si>
  <si>
    <t xml:space="preserve">Muebles de oficina</t>
  </si>
  <si>
    <t xml:space="preserve">Equipamiento de red</t>
  </si>
  <si>
    <t xml:space="preserve">Red y periféricos</t>
  </si>
  <si>
    <t xml:space="preserve">Costos</t>
  </si>
  <si>
    <t xml:space="preserve">Ejercicio</t>
  </si>
  <si>
    <t xml:space="preserve">-</t>
  </si>
  <si>
    <t xml:space="preserve">Egresos</t>
  </si>
  <si>
    <t xml:space="preserve">Utilidad Antes de Impuestos (UAII)</t>
  </si>
  <si>
    <t xml:space="preserve">Impuesto Ingresos Brutos (3%) (IIB)</t>
  </si>
  <si>
    <t xml:space="preserve">Impuesto a las ganancias (35%) (IIGG)</t>
  </si>
  <si>
    <t xml:space="preserve">Utilidad despues de Impuestos (UDII)</t>
  </si>
  <si>
    <t xml:space="preserve">Inversión</t>
  </si>
  <si>
    <t xml:space="preserve">Flujo de Fondos (FF)</t>
  </si>
  <si>
    <t xml:space="preserve">Monto Imponible</t>
  </si>
  <si>
    <t xml:space="preserve">Costo de promoción y publicidad</t>
  </si>
  <si>
    <t xml:space="preserve">Costo de promocion relacionados con ventas</t>
  </si>
  <si>
    <t xml:space="preserve">Costos fijos relacionados con ingresos</t>
  </si>
  <si>
    <t xml:space="preserve">Costos variables relacionados con ingresos</t>
  </si>
  <si>
    <t xml:space="preserve">Costos de RRHH relacionados con ingresos</t>
  </si>
  <si>
    <t xml:space="preserve">Tasa de Corte</t>
  </si>
  <si>
    <t xml:space="preserve">VAN</t>
  </si>
  <si>
    <t xml:space="preserve">Se recupera la inversión en el 3er año</t>
  </si>
  <si>
    <t xml:space="preserve">TIR</t>
  </si>
  <si>
    <t xml:space="preserve">Escalas Comunes</t>
  </si>
  <si>
    <t xml:space="preserve">Probabilidad (1 a 5):</t>
  </si>
  <si>
    <t xml:space="preserve">1: Muy improbable</t>
  </si>
  <si>
    <t xml:space="preserve">2: No es probable</t>
  </si>
  <si>
    <t xml:space="preserve">3: Posible</t>
  </si>
  <si>
    <t xml:space="preserve">4: Probable</t>
  </si>
  <si>
    <t xml:space="preserve">5: Muy probable</t>
  </si>
  <si>
    <t xml:space="preserve">Impacto (1 a 5):</t>
  </si>
  <si>
    <t xml:space="preserve">1: Insignificante</t>
  </si>
  <si>
    <t xml:space="preserve">2: Menor</t>
  </si>
  <si>
    <t xml:space="preserve">3: Moderado</t>
  </si>
  <si>
    <t xml:space="preserve">4: Importante</t>
  </si>
  <si>
    <t xml:space="preserve">5: Catastrófico</t>
  </si>
  <si>
    <t xml:space="preserve">Cálculo del Impacto del Riesgo</t>
  </si>
  <si>
    <t xml:space="preserve">El impacto total del riesgo se calcula multiplicando la probabilidad por el impacto. Por ejemplo:</t>
  </si>
  <si>
    <t xml:space="preserve">Impacto=Probabilidad×Impacto=3×4=12 </t>
  </si>
  <si>
    <t xml:space="preserve">Esto indica que el riesgo tiene un nivel moderado-alto y debe ser monitoreado y gestionado adecuadamente.</t>
  </si>
  <si>
    <t xml:space="preserve">Interpretación del Nivel de Riesgo</t>
  </si>
  <si>
    <t xml:space="preserve">Impacto \ Probabilidad</t>
  </si>
  <si>
    <t xml:space="preserve">Muy improbable (1)</t>
  </si>
  <si>
    <t xml:space="preserve">No es probable (2)</t>
  </si>
  <si>
    <t xml:space="preserve">Posible (3)</t>
  </si>
  <si>
    <t xml:space="preserve">Probable (4)</t>
  </si>
  <si>
    <t xml:space="preserve">Muy probable (5)</t>
  </si>
  <si>
    <t xml:space="preserve">Catastrófico (5)</t>
  </si>
  <si>
    <t xml:space="preserve">Bajo (1-6) : Riesgos que probablemente no sucederán o que, si lo hacen, no tendrán consecuencias significativas.</t>
  </si>
  <si>
    <t xml:space="preserve">Importante (4)</t>
  </si>
  <si>
    <t xml:space="preserve">Moderado (7-12) : Riesgos que pueden causar contratiempos en el proyecto, pero son manejables con medidas adecuadas.</t>
  </si>
  <si>
    <t xml:space="preserve">Moderado (3)</t>
  </si>
  <si>
    <t xml:space="preserve">Alto (13-20) : Riesgos que requieren atención inmediata y estrategias de mitigación rigurosas.</t>
  </si>
  <si>
    <t xml:space="preserve">Menor (2)</t>
  </si>
  <si>
    <t xml:space="preserve">Crítico (21-25) : Riesgos extremadamente altos que pueden poner en peligro la viabilidad del proyecto y requieren acciones urgentes.</t>
  </si>
  <si>
    <t xml:space="preserve">Insignificante (1)</t>
  </si>
  <si>
    <t xml:space="preserve">Riesgos</t>
  </si>
  <si>
    <t xml:space="preserve">Posibles riesgos</t>
  </si>
  <si>
    <t xml:space="preserve">R1: Caída de la plataforma o de la infraestructura en la nube</t>
  </si>
  <si>
    <t xml:space="preserve">R2: Baja anticipada de comercios adheridos</t>
  </si>
  <si>
    <t xml:space="preserve">R3: Ruptura de un conector con un sistema de punto de venta</t>
  </si>
  <si>
    <t xml:space="preserve">R4: Interrupción de la conectividad de los dispositivos de conteo</t>
  </si>
  <si>
    <t xml:space="preserve">R5: Restricción a la importación de sensores y gateways</t>
  </si>
  <si>
    <t xml:space="preserve">R6: Salto cambiario o inflación por encima de lo proyectado</t>
  </si>
  <si>
    <t xml:space="preserve">R7: Incidente de privacidad o pérdida de datos del comercio</t>
  </si>
  <si>
    <t xml:space="preserve">R8: Pérdida, robo o rotura del equipamiento en comodato</t>
  </si>
  <si>
    <t xml:space="preserve">R9: Dependencia de los dos socios fundadores</t>
  </si>
  <si>
    <t xml:space="preserve">R10: Entrada de un competidor local con precio agresivo</t>
  </si>
  <si>
    <t xml:space="preserve">Riesgo</t>
  </si>
  <si>
    <t xml:space="preserve">Causas</t>
  </si>
  <si>
    <t xml:space="preserve">Efectos cuantitativos (USD)</t>
  </si>
  <si>
    <t xml:space="preserve">Efectos cualitativos</t>
  </si>
  <si>
    <t xml:space="preserve">Probabilidad (1-5)</t>
  </si>
  <si>
    <t xml:space="preserve">Impacto (1-5)</t>
  </si>
  <si>
    <t xml:space="preserve">Nivel de riesgo (P x I)</t>
  </si>
  <si>
    <t xml:space="preserve">R1</t>
  </si>
  <si>
    <t xml:space="preserve">Caída de la plataforma o de la infraestructura en la nube. El servicio deja de responder para toda la base de comercios a la vez: sin tablero, sin alertas y sin ingesta de ventas mientras dura la caída.</t>
  </si>
  <si>
    <t xml:space="preserve">- Falla del proveedor de nube o de la base de datos</t>
  </si>
  <si>
    <t xml:space="preserve">Una caída de 72 horas deja a toda la base sin servicio. Se bonifica el abono del período (unos USD 5.800 en 2028) y una de cada diez cuentas se da de baja en el trimestre: ingreso 2027 y 2028 un 10% por debajo, más USD 3.000 por ejercicio de recuperación y horas de DevOps.</t>
  </si>
  <si>
    <t xml:space="preserve">Pérdida de confianza en un servicio que se vende como tiempo real, y daño reputacional en un corredor donde los comerciantes se conocen entre sí.</t>
  </si>
  <si>
    <t xml:space="preserve">- Error en un despliegue que deja la API sin servicio</t>
  </si>
  <si>
    <t xml:space="preserve">R7</t>
  </si>
  <si>
    <t xml:space="preserve">- Ataque de denegación de servicio o incidente de seguridad</t>
  </si>
  <si>
    <t xml:space="preserve">R10</t>
  </si>
  <si>
    <t xml:space="preserve">R5 - R6 - R9</t>
  </si>
  <si>
    <t xml:space="preserve">R2 - R3 - R4</t>
  </si>
  <si>
    <t xml:space="preserve">R2</t>
  </si>
  <si>
    <t xml:space="preserve">Baja anticipada de comercios adheridos. El comercio se da de baja a los pocos meses de instalado: la visita y las horas de técnico ya se pagaron, el dispositivo vuelve y hay que reacondicionarlo, y el abono mensual que la proyección daba por cobrado deja de entrar.</t>
  </si>
  <si>
    <t xml:space="preserve">- Alta rotación propia del comercio minorista</t>
  </si>
  <si>
    <t xml:space="preserve">Una baja del Plan Vidriera antes del mes doce deja sin recuperar los USD 60 del alta más las tres horas de técnico y el reacondicionamiento del equipo retirado.</t>
  </si>
  <si>
    <t xml:space="preserve">Erosión de la base instalada, mayor esfuerzo comercial para sostener el mismo stock de clientes y deterioro de la comparación sectorial.</t>
  </si>
  <si>
    <t xml:space="preserve">R8</t>
  </si>
  <si>
    <t xml:space="preserve">- Bajo uso de la plataforma tras las primeras semanas</t>
  </si>
  <si>
    <t xml:space="preserve">- Estacionalidad del rubro indumentaria</t>
  </si>
  <si>
    <t xml:space="preserve">R3</t>
  </si>
  <si>
    <t xml:space="preserve">Ruptura de un conector con un sistema de punto de venta. Uno de los siete sistemas de punto de venta integrados cambia o deprecia su API y el conector deja de funcionar.</t>
  </si>
  <si>
    <t xml:space="preserve">- Deprecación de la API por el proveedor del punto de venta</t>
  </si>
  <si>
    <t xml:space="preserve">Horas del Desarrollador destinadas a rehacer el conector en lugar de al roadmap, más el ingreso en riesgo de los comercios que operan con ese sistema.</t>
  </si>
  <si>
    <t xml:space="preserve">Incumplimiento del acuerdo de nivel de servicio y pérdida de confianza en un diferencial que es la principal barrera de entrada de la empresa.</t>
  </si>
  <si>
    <t xml:space="preserve">- Cambio de versión sin aviso previo</t>
  </si>
  <si>
    <t xml:space="preserve">- Consolidación o discontinuidad de un proveedor</t>
  </si>
  <si>
    <t xml:space="preserve">R4</t>
  </si>
  <si>
    <t xml:space="preserve">Interrupción de la conectividad de los dispositivos de conteo. Los sensores y contadores dejan de reportar: el comercio sigue vendiendo pero el sistema no ve el tráfico, y sin tráfico no hay conversión.</t>
  </si>
  <si>
    <t xml:space="preserve">- Falla de la red celular en galerías y subsuelos</t>
  </si>
  <si>
    <t xml:space="preserve">Un 20% de los dispositivos sin reportar durante un mes deja a esos comercios sin la métrica de conversión, que es el producto. Se bonifica su abono (unos USD 11.800 en 2028), la mitad no renueva y hay que reinstalar gateways: ingreso 2027 y 2028 un 8% por debajo, más USD 6.000 por ejercicio de visitas técnicas.</t>
  </si>
  <si>
    <t xml:space="preserve">El dato deja de ser confiable justo donde se apoya la propuesta de valor; el comerciante vuelve a decidir a ojo.</t>
  </si>
  <si>
    <t xml:space="preserve">- Gateway sin energía o desconectado por el propio comercio</t>
  </si>
  <si>
    <t xml:space="preserve">- Cambio de operador o de plan de datos sin aviso</t>
  </si>
  <si>
    <t xml:space="preserve">R5</t>
  </si>
  <si>
    <t xml:space="preserve">Restricción a la importación de sensores y gateways. El equipamiento de conteo, de origen importado, no puede reponerse en tiempo o su costo se incrementa de manera significativa.</t>
  </si>
  <si>
    <t xml:space="preserve">- Cambios en el régimen de importaciones y licencias no automáticas</t>
  </si>
  <si>
    <t xml:space="preserve">Mayor costo del capital de trabajo por lote de reposición y altas del Plan Vidriera postergadas por falta de stock, con el ingreso recurrente diferido.</t>
  </si>
  <si>
    <t xml:space="preserve">Incumplimiento de las fechas de instalación comprometidas por el vendedor y deterioro de la experiencia inicial del cliente.</t>
  </si>
  <si>
    <t xml:space="preserve">- Demoras aduaneras en la nacionalización</t>
  </si>
  <si>
    <t xml:space="preserve">- Aumento del costo en origen o del flete</t>
  </si>
  <si>
    <t xml:space="preserve">R6</t>
  </si>
  <si>
    <t xml:space="preserve">Salto cambiario o inflación por encima de lo proyectado. La lista de precios está denominada en dólares pero se cobra en pesos con ajuste por índice, mientras los sueldos se pagan en pesos.</t>
  </si>
  <si>
    <t xml:space="preserve">- Volatilidad cambiaria y ampliación de la brecha</t>
  </si>
  <si>
    <t xml:space="preserve">Erosión del valor real del abono cobrado entre la facturación y la cobranza, y aumento de la masa salarial por encima del ingreso ajustado.</t>
  </si>
  <si>
    <t xml:space="preserve">Necesidad de renegociar precios con la base instalada, con riesgo de bajas, y pérdida de previsibilidad en la planificación.</t>
  </si>
  <si>
    <t xml:space="preserve">- Inflación superior a la proyección del REM</t>
  </si>
  <si>
    <t xml:space="preserve">- Rezago del índice de ajuste frente a la suba de costos</t>
  </si>
  <si>
    <t xml:space="preserve">Incidente de privacidad o pérdida de datos del comercio. Acceso indebido, filtración o pérdida de los datos de ventas y de conteo que los comercios confían a la plataforma.</t>
  </si>
  <si>
    <t xml:space="preserve">- Vulnerabilidad en la plataforma o en un conector</t>
  </si>
  <si>
    <t xml:space="preserve">Costos de recuperación, notificación y eventual sanción bajo la Ley 25.326, más el ingreso perdido por las bajas que el incidente provoque.</t>
  </si>
  <si>
    <t xml:space="preserve">Daño reputacional severo en un negocio cuya propuesta de valor se apoya en la privacidad por diseño; pérdida de la principal respuesta a la objeción del comerciante.</t>
  </si>
  <si>
    <t xml:space="preserve">- Error humano en la gestión de credenciales</t>
  </si>
  <si>
    <t xml:space="preserve">- Falla en la política de respaldos</t>
  </si>
  <si>
    <t xml:space="preserve">Pérdida, robo o rotura del equipamiento en comodato. Los sensores, contadores y gateways entregados en comodato no se recuperan o se recuperan sin posibilidad de reacondicionamiento.</t>
  </si>
  <si>
    <t xml:space="preserve">- Cierre abrupto del local sin devolución del equipo</t>
  </si>
  <si>
    <t xml:space="preserve">Reposición del equipamiento no recuperado, que se suma al capital de trabajo del período sin generar una nueva alta.</t>
  </si>
  <si>
    <t xml:space="preserve">Deterioro de la rotación del capital de trabajo, que es una de las condiciones que vuelven viable el modelo de abono bajo.</t>
  </si>
  <si>
    <t xml:space="preserve">- Robo o daño en el punto de instalación</t>
  </si>
  <si>
    <t xml:space="preserve">- Desgaste por encima de la vida útil estimada</t>
  </si>
  <si>
    <t xml:space="preserve">R9</t>
  </si>
  <si>
    <t xml:space="preserve">Dependencia de los dos socios fundadores. La conducción estratégica, técnica y comercial se concentra en dos personas que además ejecutan tareas operativas.</t>
  </si>
  <si>
    <t xml:space="preserve">- Ausencia prolongada o desvinculación de un socio</t>
  </si>
  <si>
    <t xml:space="preserve">Detención del desarrollo o de la conducción comercial, con impacto directo sobre el ritmo de altas y sobre el mantenimiento de los conectores.</t>
  </si>
  <si>
    <t xml:space="preserve">Vulnerabilidad estructural de la organización y dificultad para incorporar inversores que evalúan la continuidad del equipo.</t>
  </si>
  <si>
    <t xml:space="preserve">- Concentración del conocimiento técnico sin documentar</t>
  </si>
  <si>
    <t xml:space="preserve">- Sobrecarga por acumulación de funciones</t>
  </si>
  <si>
    <t xml:space="preserve">Entrada de un competidor local con precio agresivo. Un competidor local replica la propuesta con un abono menor, apoyado en los mismos dispositivos de conteo disponibles en el mercado.</t>
  </si>
  <si>
    <t xml:space="preserve">- Baja barrera de entrada en la capa de hardware</t>
  </si>
  <si>
    <t xml:space="preserve">Presión a la baja sobre el abono y aumento del costo de adquisición por comercio en los ejes disputados.</t>
  </si>
  <si>
    <t xml:space="preserve">Pérdida de la ventaja de ser el primero en el corredor y erosión del margen que sostiene la estructura.</t>
  </si>
  <si>
    <t xml:space="preserve">- Imitación del modelo comercial una vez validado</t>
  </si>
  <si>
    <t xml:space="preserve">- Estrategia de precio por debajo del costo para ganar participación</t>
  </si>
  <si>
    <t xml:space="preserve">Inicio</t>
  </si>
  <si>
    <t xml:space="preserve">RIESGO: R1 · Caída de la plataforma o de la infraestructura en la nube</t>
  </si>
  <si>
    <t xml:space="preserve">R 1</t>
  </si>
  <si>
    <t xml:space="preserve">- Falla del proveedor de nube o de la base de datos
- Error en un despliegue que deja la API sin servicio
- Ataque de denegación de servicio</t>
  </si>
  <si>
    <t xml:space="preserve">- 72 horas sin servicio para toda la base: se bonifica el abono y una de cada diez cuentas se da de baja
- Ingreso 2027 y 2028 un 10% menor
- Recuperación y horas de DevOps: USD 3.000 por ejercicio
- Los costos variables acompañan la baja de ventas</t>
  </si>
  <si>
    <t xml:space="preserve">- Pérdida de confianza en un servicio vendido como tiempo real
- Daño reputacional en el corredor</t>
  </si>
  <si>
    <t xml:space="preserve">Año 2</t>
  </si>
  <si>
    <t xml:space="preserve">Año 3</t>
  </si>
  <si>
    <t xml:space="preserve">Impuesto Ingresos Brutos </t>
  </si>
  <si>
    <t xml:space="preserve">Impuesto a las ganancias 35%</t>
  </si>
  <si>
    <t xml:space="preserve">Monto imponible del ejercicio (neto de amortizaciones)</t>
  </si>
  <si>
    <t xml:space="preserve">RIESGO: R2 · Baja anticipada de comercios adheridos</t>
  </si>
  <si>
    <t xml:space="preserve">R 2</t>
  </si>
  <si>
    <t xml:space="preserve">- Alta rotación propia del comercio minorista de barrio
- Bajo uso de la plataforma tras las primeras semanas
- Estacionalidad del rubro indumentaria</t>
  </si>
  <si>
    <t xml:space="preserve">- Ingreso recurrente 2027 y 2028 un 15% menor por las bajas
- Reposición y reacondicionamiento del equipamiento retirado: USD 12.000 por ejercicio</t>
  </si>
  <si>
    <t xml:space="preserve">- Erosión de la base instalada
- Mayor esfuerzo comercial para sostener el mismo stock de clientes</t>
  </si>
  <si>
    <t xml:space="preserve">RIESGO: Combinado · R1 caída de plataforma + R2 baja anticipada + R10 competidor</t>
  </si>
  <si>
    <t xml:space="preserve">R1+R2+R10</t>
  </si>
  <si>
    <t xml:space="preserve">- Una caída prolongada de la plataforma
- Los comercios que entran se van antes del año
- Un competidor local con precio agresivo</t>
  </si>
  <si>
    <t xml:space="preserve">- Ingreso 2027 y 2028 un 40% por debajo: la caída hace perder cuentas, las bajas no se reponen y el competidor presiona el precio
- Reposición y reinstalación de equipamiento: USD 15.000 por ejercicio
- Los costos variables acompañan la baja de ventas</t>
  </si>
  <si>
    <t xml:space="preserve">- El proyecto deja de cubrir su costo de capital
- Se pierde la masa crítica que da sentido al benchmarking</t>
  </si>
  <si>
    <t xml:space="preserve">PLAN DE CONTINGENCIA</t>
  </si>
  <si>
    <t xml:space="preserve">Objetivos del Plan de Contingencia</t>
  </si>
  <si>
    <t xml:space="preserve">· Sostener el servicio aunque falle la nube principal.</t>
  </si>
  <si>
    <t xml:space="preserve">· Devolver el proyecto por encima de su costo de capital.</t>
  </si>
  <si>
    <t xml:space="preserve">· Proteger la base instalada frente al competidor.</t>
  </si>
  <si>
    <t xml:space="preserve">RIESGO: Plan sobre el escenario 3, que es el que no resiste</t>
  </si>
  <si>
    <t xml:space="preserve">- Escenario 3 con las medidas aplicadas</t>
  </si>
  <si>
    <t xml:space="preserve">- Segunda nube y monitoreo: +USD 4.000 de costo fijo
- Retención y referidos: +USD 5.000</t>
  </si>
  <si>
    <t xml:space="preserve">- Vuelve a cubrir el costo de capital
- Conserva la masa crítica</t>
  </si>
  <si>
    <t xml:space="preserve">El plan se aplica sobre el escenario 3, que es el único de los tres que no resiste: con la caída de la plataforma, las bajas anticipadas y el competidor a la vez, la TIR cae a 22,54% contra una tasa de corte del 30% y el VAN queda negativo.
1ª medida: respaldo en una segunda nube con conmutación automática y monitoreo permanente, para que una caída del proveedor principal no deje a la base sin servicio. Suma USD 4.000 por ejercicio al costo fijo.
2ª medida: campaña de retención sobre la base instalada y canal de captación por referidos, que es donde el competidor no llega. Suma USD 5.000 por ejercicio.
Entre las dos recuperan 6 de los 40 puntos de caída de ventas. La dotación se mantiene en la del escenario: no se incorpora el segundo ejecutivo comercial.
El plan nivela, no mejora: la TIR queda en 31,34%, apenas por encima de la tasa de corte y muy por debajo del 91,70% del presupuesto original.</t>
  </si>
</sst>
</file>

<file path=xl/styles.xml><?xml version="1.0" encoding="utf-8"?>
<styleSheet xmlns="http://schemas.openxmlformats.org/spreadsheetml/2006/main">
  <numFmts count="26">
    <numFmt numFmtId="164" formatCode="General"/>
    <numFmt numFmtId="165" formatCode="_-* #,##0\ _€_-;\-* #,##0\ _€_-;_-* \-??\ _€_-;_-@"/>
    <numFmt numFmtId="166" formatCode="_-&quot;$ &quot;* #,##0.00_-;&quot;-$ &quot;* #,##0.00_-;_-&quot;$ &quot;* \-??_-;_-@"/>
    <numFmt numFmtId="167" formatCode="0.0%"/>
    <numFmt numFmtId="168" formatCode="0%"/>
    <numFmt numFmtId="169" formatCode="_ [$$-2C0A]\ * #,##0.00_ ;_ [$$-2C0A]\ * \-#,##0.00_ ;_ [$$-2C0A]\ * \-??_ ;_ @_ "/>
    <numFmt numFmtId="170" formatCode="_-&quot;$ &quot;* #,##0.00_-;&quot;-$ &quot;* #,##0.00_-;_-&quot;$ &quot;* \-??_-;_-@"/>
    <numFmt numFmtId="171" formatCode="&quot;$ &quot;#,##0.00"/>
    <numFmt numFmtId="172" formatCode="_-* #,##0.00\ _€_-;\-* #,##0.00\ _€_-;_-* \-??\ _€_-;_-@"/>
    <numFmt numFmtId="173" formatCode="0.00%"/>
    <numFmt numFmtId="174" formatCode="#,##0_ ;\-#,##0\ "/>
    <numFmt numFmtId="175" formatCode="_-* #,##0\ _€_-;\-* #,##0\ _€_-;_-* \-??\ _€_-;_-@"/>
    <numFmt numFmtId="176" formatCode="\$#,##0"/>
    <numFmt numFmtId="177" formatCode="0.00"/>
    <numFmt numFmtId="178" formatCode="_(\$* #,##0.00_);_(\$* \(#,##0.00\);_(\$* \-??_);_(@_)"/>
    <numFmt numFmtId="179" formatCode="\$#,##0.00"/>
    <numFmt numFmtId="180" formatCode="0.000000"/>
    <numFmt numFmtId="181" formatCode="0"/>
    <numFmt numFmtId="182" formatCode="0.0000"/>
    <numFmt numFmtId="183" formatCode="#,##0"/>
    <numFmt numFmtId="184" formatCode="&quot;$ &quot;#,##0.00&quot; c/u&quot;"/>
    <numFmt numFmtId="185" formatCode="_-&quot;$ &quot;* #,##0.00_-;&quot;-$ &quot;* #,##0.00_-;_-&quot;$ &quot;* \-??_-;_-@_-"/>
    <numFmt numFmtId="186" formatCode="_ [$$-2C0A]\ * #,##0.00_ ;_ [$$-2C0A]\ * \-#,##0.00_ ;_ [$$-2C0A]\ * \-??_ ;_ @_ "/>
    <numFmt numFmtId="187" formatCode="\$#,##0;[RED]&quot;-$&quot;#,##0"/>
    <numFmt numFmtId="188" formatCode="&quot;$ &quot;#,##0.00;[RED]&quot;-$ &quot;#,##0.00"/>
    <numFmt numFmtId="189" formatCode="0.0000%"/>
  </numFmts>
  <fonts count="58">
    <font>
      <sz val="11"/>
      <color theme="1"/>
      <name val="Arial"/>
      <family val="0"/>
      <charset val="1"/>
    </font>
    <font>
      <sz val="10"/>
      <name val="Arial"/>
      <family val="0"/>
    </font>
    <font>
      <sz val="10"/>
      <name val="Arial"/>
      <family val="0"/>
    </font>
    <font>
      <sz val="10"/>
      <name val="Arial"/>
      <family val="0"/>
    </font>
    <font>
      <sz val="11"/>
      <color theme="1"/>
      <name val="Calibri"/>
      <family val="2"/>
      <charset val="1"/>
    </font>
    <font>
      <b val="true"/>
      <sz val="22"/>
      <color theme="1"/>
      <name val="Calibri"/>
      <family val="2"/>
      <charset val="1"/>
    </font>
    <font>
      <b val="true"/>
      <sz val="14"/>
      <color theme="1"/>
      <name val="Arial"/>
      <family val="2"/>
      <charset val="1"/>
    </font>
    <font>
      <b val="true"/>
      <sz val="16"/>
      <color theme="1"/>
      <name val="Calibri"/>
      <family val="2"/>
      <charset val="1"/>
    </font>
    <font>
      <u val="single"/>
      <sz val="14"/>
      <color theme="1"/>
      <name val="Calibri"/>
      <family val="2"/>
      <charset val="1"/>
    </font>
    <font>
      <b val="true"/>
      <sz val="36"/>
      <color theme="1"/>
      <name val="Calibri"/>
      <family val="2"/>
      <charset val="1"/>
    </font>
    <font>
      <b val="true"/>
      <sz val="48"/>
      <color theme="1"/>
      <name val="Calibri"/>
      <family val="2"/>
      <charset val="1"/>
    </font>
    <font>
      <b val="true"/>
      <sz val="20"/>
      <color theme="1"/>
      <name val="Calibri"/>
      <family val="2"/>
      <charset val="1"/>
    </font>
    <font>
      <sz val="11"/>
      <color rgb="FF404040"/>
      <name val="Calibri"/>
      <family val="2"/>
      <charset val="1"/>
    </font>
    <font>
      <sz val="14"/>
      <color theme="1"/>
      <name val="Calibri"/>
      <family val="2"/>
      <charset val="1"/>
    </font>
    <font>
      <b val="true"/>
      <sz val="12"/>
      <color theme="1"/>
      <name val="Calibri"/>
      <family val="2"/>
      <charset val="1"/>
    </font>
    <font>
      <b val="true"/>
      <sz val="14"/>
      <color theme="1"/>
      <name val="Calibri"/>
      <family val="2"/>
      <charset val="1"/>
    </font>
    <font>
      <sz val="12"/>
      <color theme="1"/>
      <name val="Calibri"/>
      <family val="2"/>
      <charset val="1"/>
    </font>
    <font>
      <b val="true"/>
      <sz val="12"/>
      <color theme="1"/>
      <name val="Arial"/>
      <family val="2"/>
      <charset val="1"/>
    </font>
    <font>
      <b val="true"/>
      <sz val="12"/>
      <name val="Calibri"/>
      <family val="2"/>
      <charset val="1"/>
    </font>
    <font>
      <sz val="11"/>
      <name val="Calibri"/>
      <family val="2"/>
      <charset val="1"/>
    </font>
    <font>
      <b val="true"/>
      <sz val="16"/>
      <color rgb="FF000000"/>
      <name val="Arial"/>
      <family val="2"/>
    </font>
    <font>
      <sz val="10"/>
      <color rgb="FF000000"/>
      <name val="Arial"/>
      <family val="2"/>
    </font>
    <font>
      <b val="true"/>
      <sz val="48"/>
      <color theme="0"/>
      <name val="Calibri"/>
      <family val="2"/>
      <charset val="1"/>
    </font>
    <font>
      <b val="true"/>
      <sz val="11"/>
      <color theme="1"/>
      <name val="Calibri"/>
      <family val="2"/>
      <charset val="1"/>
    </font>
    <font>
      <u val="single"/>
      <sz val="12"/>
      <color theme="1"/>
      <name val="Calibri"/>
      <family val="2"/>
      <charset val="1"/>
    </font>
    <font>
      <b val="true"/>
      <sz val="11"/>
      <color rgb="FF000000"/>
      <name val="Calibri"/>
      <family val="2"/>
      <charset val="1"/>
    </font>
    <font>
      <b val="true"/>
      <sz val="16"/>
      <color rgb="FF757575"/>
      <name val="Arial"/>
      <family val="2"/>
    </font>
    <font>
      <sz val="9"/>
      <color rgb="FF000000"/>
      <name val="Arial"/>
      <family val="2"/>
    </font>
    <font>
      <sz val="12"/>
      <color rgb="FF000000"/>
      <name val="Arial"/>
      <family val="2"/>
    </font>
    <font>
      <sz val="16"/>
      <color rgb="FF1A1A1A"/>
      <name val="Arial"/>
      <family val="2"/>
    </font>
    <font>
      <sz val="14"/>
      <color rgb="FF000000"/>
      <name val="Arial"/>
      <family val="2"/>
    </font>
    <font>
      <b val="true"/>
      <sz val="18"/>
      <color rgb="FF757575"/>
      <name val="Arial"/>
      <family val="2"/>
    </font>
    <font>
      <b val="true"/>
      <sz val="18"/>
      <color rgb="FF000000"/>
      <name val="Arial"/>
      <family val="2"/>
    </font>
    <font>
      <b val="true"/>
      <sz val="9"/>
      <color rgb="FFFFFFFF"/>
      <name val="Arial"/>
      <family val="2"/>
    </font>
    <font>
      <sz val="24"/>
      <color rgb="FF000000"/>
      <name val="Arial"/>
      <family val="2"/>
    </font>
    <font>
      <sz val="20"/>
      <color rgb="FF000000"/>
      <name val="Arial"/>
      <family val="2"/>
    </font>
    <font>
      <sz val="18"/>
      <color rgb="FF000000"/>
      <name val="Arial"/>
      <family val="2"/>
    </font>
    <font>
      <b val="true"/>
      <sz val="11"/>
      <name val="Calibri"/>
      <family val="2"/>
      <charset val="1"/>
    </font>
    <font>
      <b val="true"/>
      <sz val="36"/>
      <name val="Calibri"/>
      <family val="2"/>
      <charset val="1"/>
    </font>
    <font>
      <b val="true"/>
      <sz val="14"/>
      <name val="Calibri"/>
      <family val="2"/>
      <charset val="1"/>
    </font>
    <font>
      <b val="true"/>
      <sz val="36"/>
      <color theme="0"/>
      <name val="Calibri"/>
      <family val="2"/>
      <charset val="1"/>
    </font>
    <font>
      <b val="true"/>
      <sz val="20"/>
      <name val="Calibri"/>
      <family val="2"/>
      <charset val="1"/>
    </font>
    <font>
      <sz val="11"/>
      <name val="Cambria"/>
      <family val="1"/>
      <charset val="1"/>
    </font>
    <font>
      <u val="single"/>
      <sz val="11"/>
      <color theme="10"/>
      <name val="Calibri"/>
      <family val="2"/>
      <charset val="1"/>
    </font>
    <font>
      <sz val="11"/>
      <color rgb="FF000000"/>
      <name val="Calibri"/>
      <family val="2"/>
      <charset val="1"/>
    </font>
    <font>
      <sz val="18"/>
      <color theme="1"/>
      <name val="Var(--font-fk-grotesk)"/>
      <family val="0"/>
      <charset val="1"/>
    </font>
    <font>
      <sz val="11"/>
      <color theme="1"/>
      <name val="Calibri"/>
      <family val="0"/>
      <charset val="1"/>
    </font>
    <font>
      <b val="true"/>
      <sz val="11"/>
      <color theme="1"/>
      <name val="Quattrocento Sans"/>
      <family val="0"/>
      <charset val="1"/>
    </font>
    <font>
      <sz val="11"/>
      <color theme="1"/>
      <name val="Quattrocento Sans"/>
      <family val="0"/>
      <charset val="1"/>
    </font>
    <font>
      <sz val="13"/>
      <color theme="1"/>
      <name val="Times New Roman"/>
      <family val="0"/>
      <charset val="1"/>
    </font>
    <font>
      <sz val="9"/>
      <color theme="1"/>
      <name val="Quattrocento Sans"/>
      <family val="0"/>
      <charset val="1"/>
    </font>
    <font>
      <sz val="10"/>
      <color theme="1"/>
      <name val="Quattrocento Sans"/>
      <family val="0"/>
      <charset val="1"/>
    </font>
    <font>
      <sz val="11"/>
      <name val="Cambria"/>
      <family val="0"/>
      <charset val="1"/>
    </font>
    <font>
      <b val="true"/>
      <sz val="9"/>
      <color theme="1"/>
      <name val="Quattrocento Sans"/>
      <family val="0"/>
      <charset val="1"/>
    </font>
    <font>
      <b val="true"/>
      <sz val="11"/>
      <color theme="1"/>
      <name val="Calibri"/>
      <family val="0"/>
      <charset val="1"/>
    </font>
    <font>
      <b val="true"/>
      <sz val="20"/>
      <color theme="1"/>
      <name val="Calibri"/>
      <family val="0"/>
      <charset val="1"/>
    </font>
    <font>
      <b val="true"/>
      <sz val="22"/>
      <color theme="1"/>
      <name val="Calibri"/>
      <family val="0"/>
      <charset val="1"/>
    </font>
    <font>
      <sz val="14"/>
      <color theme="1"/>
      <name val="Arial"/>
      <family val="0"/>
      <charset val="1"/>
    </font>
  </fonts>
  <fills count="30">
    <fill>
      <patternFill patternType="none"/>
    </fill>
    <fill>
      <patternFill patternType="gray125"/>
    </fill>
    <fill>
      <patternFill patternType="solid">
        <fgColor theme="0"/>
        <bgColor rgb="FFFFF8E9"/>
      </patternFill>
    </fill>
    <fill>
      <patternFill patternType="solid">
        <fgColor rgb="FFFFC000"/>
        <bgColor rgb="FFFBBC04"/>
      </patternFill>
    </fill>
    <fill>
      <patternFill patternType="solid">
        <fgColor rgb="FFC5E0B3"/>
        <bgColor rgb="FFCCCCCC"/>
      </patternFill>
    </fill>
    <fill>
      <patternFill patternType="solid">
        <fgColor rgb="FFE2EFD9"/>
        <bgColor rgb="FFECECEC"/>
      </patternFill>
    </fill>
    <fill>
      <patternFill patternType="solid">
        <fgColor rgb="FFA8D08D"/>
        <bgColor rgb="FF92D050"/>
      </patternFill>
    </fill>
    <fill>
      <patternFill patternType="solid">
        <fgColor rgb="FFD9E2F3"/>
        <bgColor rgb="FFDEEAF6"/>
      </patternFill>
    </fill>
    <fill>
      <patternFill patternType="solid">
        <fgColor rgb="FFFBE4D5"/>
        <bgColor rgb="FFFCE5CD"/>
      </patternFill>
    </fill>
    <fill>
      <patternFill patternType="solid">
        <fgColor rgb="FFECECEC"/>
        <bgColor rgb="FFEEF4FB"/>
      </patternFill>
    </fill>
    <fill>
      <patternFill patternType="solid">
        <fgColor rgb="FFFEF2CB"/>
        <bgColor rgb="FFFFF2CC"/>
      </patternFill>
    </fill>
    <fill>
      <patternFill patternType="solid">
        <fgColor rgb="FF00B0F0"/>
        <bgColor rgb="FF46BDC6"/>
      </patternFill>
    </fill>
    <fill>
      <patternFill patternType="solid">
        <fgColor rgb="FFFFFF00"/>
        <bgColor rgb="FFFFD34D"/>
      </patternFill>
    </fill>
    <fill>
      <patternFill patternType="solid">
        <fgColor theme="1"/>
        <bgColor rgb="FF061317"/>
      </patternFill>
    </fill>
    <fill>
      <patternFill patternType="solid">
        <fgColor rgb="FFEA9999"/>
        <bgColor rgb="FFF4B07C"/>
      </patternFill>
    </fill>
    <fill>
      <patternFill patternType="solid">
        <fgColor rgb="FFFF9900"/>
        <bgColor rgb="FFFBBC04"/>
      </patternFill>
    </fill>
    <fill>
      <patternFill patternType="solid">
        <fgColor rgb="FFF5CCCB"/>
        <bgColor rgb="FFDADADA"/>
      </patternFill>
    </fill>
    <fill>
      <patternFill patternType="solid">
        <fgColor rgb="FFFCE5CD"/>
        <bgColor rgb="FFFBE4D5"/>
      </patternFill>
    </fill>
    <fill>
      <patternFill patternType="solid">
        <fgColor rgb="FFDEEAF6"/>
        <bgColor rgb="FFDAF2F4"/>
      </patternFill>
    </fill>
    <fill>
      <patternFill patternType="solid">
        <fgColor rgb="FFFFF2CC"/>
        <bgColor rgb="FFFEF2CB"/>
      </patternFill>
    </fill>
    <fill>
      <patternFill patternType="solid">
        <fgColor rgb="FFF3F5F3"/>
        <bgColor rgb="FFEEF4FB"/>
      </patternFill>
    </fill>
    <fill>
      <patternFill patternType="solid">
        <fgColor theme="9" tint="0.5998"/>
        <bgColor rgb="FFB6DDEB"/>
      </patternFill>
    </fill>
    <fill>
      <patternFill patternType="solid">
        <fgColor theme="9" tint="0.7998"/>
        <bgColor rgb="FFDEEAF6"/>
      </patternFill>
    </fill>
    <fill>
      <patternFill patternType="solid">
        <fgColor rgb="FFCCCCCC"/>
        <bgColor rgb="FFDADADA"/>
      </patternFill>
    </fill>
    <fill>
      <patternFill patternType="solid">
        <fgColor rgb="FFC9DAF8"/>
        <bgColor rgb="FFD9E2F3"/>
      </patternFill>
    </fill>
    <fill>
      <patternFill patternType="solid">
        <fgColor rgb="FFF4B07C"/>
        <bgColor rgb="FFFDC87E"/>
      </patternFill>
    </fill>
    <fill>
      <patternFill patternType="solid">
        <fgColor rgb="FFFDC87E"/>
        <bgColor rgb="FFFFD34D"/>
      </patternFill>
    </fill>
    <fill>
      <patternFill patternType="solid">
        <fgColor rgb="FF92D050"/>
        <bgColor rgb="FFA8D08D"/>
      </patternFill>
    </fill>
    <fill>
      <patternFill patternType="solid">
        <fgColor rgb="FFFF0000"/>
        <bgColor rgb="FFFF1F7F"/>
      </patternFill>
    </fill>
    <fill>
      <patternFill patternType="solid">
        <fgColor rgb="FFB6DDEB"/>
        <bgColor rgb="FFB5E5E8"/>
      </patternFill>
    </fill>
  </fills>
  <borders count="90">
    <border diagonalUp="false" diagonalDown="false">
      <left/>
      <right/>
      <top/>
      <bottom/>
      <diagonal/>
    </border>
    <border diagonalUp="false" diagonalDown="false">
      <left style="medium">
        <color theme="9"/>
      </left>
      <right style="medium">
        <color theme="9"/>
      </right>
      <top style="medium">
        <color theme="9"/>
      </top>
      <bottom style="medium">
        <color theme="9"/>
      </bottom>
      <diagonal/>
    </border>
    <border diagonalUp="false" diagonalDown="false">
      <left style="medium">
        <color theme="9"/>
      </left>
      <right style="medium">
        <color theme="9"/>
      </right>
      <top style="medium">
        <color theme="9"/>
      </top>
      <bottom/>
      <diagonal/>
    </border>
    <border diagonalUp="false" diagonalDown="false">
      <left style="medium">
        <color theme="9"/>
      </left>
      <right style="medium">
        <color theme="9"/>
      </right>
      <top/>
      <bottom/>
      <diagonal/>
    </border>
    <border diagonalUp="false" diagonalDown="false">
      <left style="medium">
        <color theme="9"/>
      </left>
      <right style="medium">
        <color theme="9"/>
      </right>
      <top/>
      <bottom style="medium">
        <color theme="9"/>
      </bottom>
      <diagonal/>
    </border>
    <border diagonalUp="false" diagonalDown="false">
      <left style="medium"/>
      <right style="medium"/>
      <top style="medium"/>
      <bottom style="medium"/>
      <diagonal/>
    </border>
    <border diagonalUp="false" diagonalDown="false">
      <left style="thin"/>
      <right style="thin"/>
      <top/>
      <bottom style="thin"/>
      <diagonal/>
    </border>
    <border diagonalUp="false" diagonalDown="false">
      <left style="thin"/>
      <right style="thin"/>
      <top style="thin"/>
      <bottom style="thin"/>
      <diagonal/>
    </border>
    <border diagonalUp="false" diagonalDown="false">
      <left style="medium"/>
      <right style="medium"/>
      <top/>
      <bottom style="medium"/>
      <diagonal/>
    </border>
    <border diagonalUp="false" diagonalDown="false">
      <left/>
      <right style="medium"/>
      <top/>
      <bottom style="medium"/>
      <diagonal/>
    </border>
    <border diagonalUp="false" diagonalDown="false">
      <left style="medium"/>
      <right style="thin"/>
      <top/>
      <bottom/>
      <diagonal/>
    </border>
    <border diagonalUp="false" diagonalDown="false">
      <left style="thin"/>
      <right style="thin"/>
      <top/>
      <bottom/>
      <diagonal/>
    </border>
    <border diagonalUp="false" diagonalDown="false">
      <left style="thin"/>
      <right style="medium"/>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style="thin"/>
      <right style="medium"/>
      <top/>
      <bottom style="medium"/>
      <diagonal/>
    </border>
    <border diagonalUp="false" diagonalDown="false">
      <left style="thin"/>
      <right/>
      <top style="medium"/>
      <bottom/>
      <diagonal/>
    </border>
    <border diagonalUp="false" diagonalDown="false">
      <left style="medium"/>
      <right style="medium"/>
      <top style="medium"/>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medium"/>
      <right style="medium"/>
      <top style="thin"/>
      <bottom style="thin"/>
      <diagonal/>
    </border>
    <border diagonalUp="false" diagonalDown="false">
      <left style="thin"/>
      <right/>
      <top style="medium"/>
      <bottom style="thin"/>
      <diagonal/>
    </border>
    <border diagonalUp="false" diagonalDown="false">
      <left/>
      <right/>
      <top style="medium"/>
      <bottom style="thin"/>
      <diagonal/>
    </border>
    <border diagonalUp="false" diagonalDown="false">
      <left style="medium"/>
      <right style="thin"/>
      <top style="medium"/>
      <bottom/>
      <diagonal/>
    </border>
    <border diagonalUp="false" diagonalDown="false">
      <left style="thin"/>
      <right style="medium"/>
      <top style="medium"/>
      <bottom/>
      <diagonal/>
    </border>
    <border diagonalUp="false" diagonalDown="false">
      <left style="thin"/>
      <right/>
      <top style="thin"/>
      <bottom style="thin"/>
      <diagonal/>
    </border>
    <border diagonalUp="false" diagonalDown="false">
      <left/>
      <right/>
      <top style="thin"/>
      <bottom style="thin"/>
      <diagonal/>
    </border>
    <border diagonalUp="false" diagonalDown="false">
      <left style="thin"/>
      <right/>
      <top style="thin"/>
      <bottom style="medium"/>
      <diagonal/>
    </border>
    <border diagonalUp="false" diagonalDown="false">
      <left style="medium"/>
      <right style="thin"/>
      <top/>
      <bottom style="thin"/>
      <diagonal/>
    </border>
    <border diagonalUp="false" diagonalDown="false">
      <left style="thin"/>
      <right style="medium"/>
      <top/>
      <bottom style="thin"/>
      <diagonal/>
    </border>
    <border diagonalUp="false" diagonalDown="false">
      <left style="medium"/>
      <right style="thin"/>
      <top style="medium"/>
      <bottom style="medium"/>
      <diagonal/>
    </border>
    <border diagonalUp="false" diagonalDown="false">
      <left style="thin"/>
      <right style="medium"/>
      <top style="medium"/>
      <bottom style="medium"/>
      <diagonal/>
    </border>
    <border diagonalUp="false" diagonalDown="false">
      <left/>
      <right/>
      <top style="medium"/>
      <bottom/>
      <diagonal/>
    </border>
    <border diagonalUp="false" diagonalDown="false">
      <left/>
      <right style="thin"/>
      <top style="medium"/>
      <bottom style="thin"/>
      <diagonal/>
    </border>
    <border diagonalUp="false" diagonalDown="false">
      <left/>
      <right style="thin"/>
      <top style="thin"/>
      <bottom style="thin"/>
      <diagonal/>
    </border>
    <border diagonalUp="false" diagonalDown="false">
      <left style="medium"/>
      <right style="medium"/>
      <top style="thin"/>
      <bottom style="medium"/>
      <diagonal/>
    </border>
    <border diagonalUp="false" diagonalDown="false">
      <left/>
      <right style="thin"/>
      <top style="thin"/>
      <bottom style="medium"/>
      <diagonal/>
    </border>
    <border diagonalUp="false" diagonalDown="false">
      <left/>
      <right style="medium"/>
      <top style="medium"/>
      <bottom style="mediu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style="medium"/>
      <right style="medium"/>
      <top/>
      <bottom/>
      <diagonal/>
    </border>
    <border diagonalUp="false" diagonalDown="false">
      <left style="medium"/>
      <right/>
      <top style="medium"/>
      <bottom/>
      <diagonal/>
    </border>
    <border diagonalUp="false" diagonalDown="false">
      <left style="medium"/>
      <right style="medium"/>
      <top style="medium"/>
      <bottom/>
      <diagonal/>
    </border>
    <border diagonalUp="false" diagonalDown="false">
      <left/>
      <right style="medium"/>
      <top style="medium"/>
      <bottom/>
      <diagonal/>
    </border>
    <border diagonalUp="false" diagonalDown="false">
      <left/>
      <right style="medium"/>
      <top style="medium"/>
      <bottom style="thin"/>
      <diagonal/>
    </border>
    <border diagonalUp="false" diagonalDown="false">
      <left/>
      <right style="medium"/>
      <top style="thin"/>
      <bottom style="thin"/>
      <diagonal/>
    </border>
    <border diagonalUp="false" diagonalDown="false">
      <left/>
      <right style="medium"/>
      <top style="thin"/>
      <bottom/>
      <diagonal/>
    </border>
    <border diagonalUp="false" diagonalDown="false">
      <left/>
      <right style="medium"/>
      <top style="thin"/>
      <bottom style="medium"/>
      <diagonal/>
    </border>
    <border diagonalUp="false" diagonalDown="false">
      <left style="medium"/>
      <right style="medium"/>
      <top/>
      <bottom style="thin"/>
      <diagonal/>
    </border>
    <border diagonalUp="false" diagonalDown="false">
      <left style="thin"/>
      <right/>
      <top style="medium"/>
      <bottom style="medium"/>
      <diagonal/>
    </border>
    <border diagonalUp="false" diagonalDown="false">
      <left style="thin"/>
      <right/>
      <top/>
      <bottom/>
      <diagonal/>
    </border>
    <border diagonalUp="false" diagonalDown="false">
      <left style="medium"/>
      <right style="medium"/>
      <top style="thin"/>
      <bottom/>
      <diagonal/>
    </border>
    <border diagonalUp="false" diagonalDown="false">
      <left style="medium"/>
      <right/>
      <top/>
      <bottom style="medium"/>
      <diagonal/>
    </border>
    <border diagonalUp="false" diagonalDown="false">
      <left style="thin"/>
      <right/>
      <top/>
      <bottom style="medium"/>
      <diagonal/>
    </border>
    <border diagonalUp="false" diagonalDown="false">
      <left style="thin"/>
      <right style="thin"/>
      <top style="thin"/>
      <bottom/>
      <diagonal/>
    </border>
    <border diagonalUp="false" diagonalDown="false">
      <left/>
      <right style="thin"/>
      <top style="medium"/>
      <bottom/>
      <diagonal/>
    </border>
    <border diagonalUp="false" diagonalDown="false">
      <left style="thick"/>
      <right style="thick"/>
      <top style="thick"/>
      <bottom/>
      <diagonal/>
    </border>
    <border diagonalUp="false" diagonalDown="false">
      <left style="thin"/>
      <right style="thin"/>
      <top style="medium"/>
      <bottom/>
      <diagonal/>
    </border>
    <border diagonalUp="false" diagonalDown="false">
      <left style="thick"/>
      <right style="thin"/>
      <top style="medium"/>
      <bottom/>
      <diagonal/>
    </border>
    <border diagonalUp="false" diagonalDown="false">
      <left style="thin"/>
      <right style="thick"/>
      <top style="medium"/>
      <bottom/>
      <diagonal/>
    </border>
    <border diagonalUp="false" diagonalDown="false">
      <left style="thick"/>
      <right style="thin"/>
      <top style="medium"/>
      <bottom style="thin"/>
      <diagonal/>
    </border>
    <border diagonalUp="false" diagonalDown="false">
      <left style="thin"/>
      <right style="thick"/>
      <top style="medium"/>
      <bottom style="thin"/>
      <diagonal/>
    </border>
    <border diagonalUp="false" diagonalDown="false">
      <left style="thick"/>
      <right style="thin"/>
      <top style="thin"/>
      <bottom style="thin"/>
      <diagonal/>
    </border>
    <border diagonalUp="false" diagonalDown="false">
      <left style="thin"/>
      <right style="thick"/>
      <top style="thin"/>
      <bottom style="thin"/>
      <diagonal/>
    </border>
    <border diagonalUp="false" diagonalDown="false">
      <left style="thick"/>
      <right style="thin"/>
      <top style="thin"/>
      <bottom style="medium"/>
      <diagonal/>
    </border>
    <border diagonalUp="false" diagonalDown="false">
      <left style="thin"/>
      <right style="thick"/>
      <top style="thin"/>
      <bottom style="medium"/>
      <diagonal/>
    </border>
    <border diagonalUp="false" diagonalDown="false">
      <left style="thick"/>
      <right style="thin"/>
      <top/>
      <bottom style="thick"/>
      <diagonal/>
    </border>
    <border diagonalUp="false" diagonalDown="false">
      <left style="thin"/>
      <right style="thin"/>
      <top/>
      <bottom style="thick"/>
      <diagonal/>
    </border>
    <border diagonalUp="false" diagonalDown="false">
      <left style="thin"/>
      <right style="thick"/>
      <top/>
      <bottom style="thick"/>
      <diagonal/>
    </border>
    <border diagonalUp="false" diagonalDown="false">
      <left style="thick"/>
      <right style="thin"/>
      <top style="thin"/>
      <bottom style="thick"/>
      <diagonal/>
    </border>
    <border diagonalUp="false" diagonalDown="false">
      <left style="thin"/>
      <right style="thin"/>
      <top style="thin"/>
      <bottom style="thick"/>
      <diagonal/>
    </border>
    <border diagonalUp="false" diagonalDown="false">
      <left style="thin"/>
      <right style="thick"/>
      <top style="thin"/>
      <bottom style="thick"/>
      <diagonal/>
    </border>
    <border diagonalUp="false" diagonalDown="false">
      <left style="thin"/>
      <right/>
      <top/>
      <bottom style="thin"/>
      <diagonal/>
    </border>
    <border diagonalUp="false" diagonalDown="false">
      <left/>
      <right style="thin"/>
      <top/>
      <bottom style="medium"/>
      <diagonal/>
    </border>
    <border diagonalUp="false" diagonalDown="false">
      <left/>
      <right style="thin"/>
      <top style="medium"/>
      <bottom style="medium"/>
      <diagonal/>
    </border>
    <border diagonalUp="false" diagonalDown="false">
      <left style="thin"/>
      <right style="thin"/>
      <top style="medium"/>
      <bottom style="medium"/>
      <diagonal/>
    </border>
    <border diagonalUp="false" diagonalDown="false">
      <left/>
      <right style="thin"/>
      <top style="thin"/>
      <bottom/>
      <diagonal/>
    </border>
    <border diagonalUp="false" diagonalDown="false">
      <left style="medium"/>
      <right/>
      <top/>
      <bottom/>
      <diagonal/>
    </border>
    <border diagonalUp="false" diagonalDown="false">
      <left/>
      <right style="thin"/>
      <top/>
      <bottom/>
      <diagonal/>
    </border>
    <border diagonalUp="false" diagonalDown="false">
      <left/>
      <right style="thin"/>
      <top/>
      <bottom style="thin"/>
      <diagonal/>
    </border>
    <border diagonalUp="false" diagonalDown="false">
      <left style="medium"/>
      <right/>
      <top/>
      <bottom style="thin"/>
      <diagonal/>
    </border>
    <border diagonalUp="false" diagonalDown="false">
      <left/>
      <right style="medium"/>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4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true" applyProtection="false">
      <alignment horizontal="center" vertical="center" textRotation="0" wrapText="false" indent="0" shrinkToFit="false"/>
      <protection locked="true" hidden="false"/>
    </xf>
    <xf numFmtId="164" fontId="8" fillId="0" borderId="3" xfId="0" applyFont="true" applyBorder="true" applyAlignment="true" applyProtection="false">
      <alignment horizontal="center" vertical="center" textRotation="0" wrapText="false" indent="0" shrinkToFit="false"/>
      <protection locked="true" hidden="false"/>
    </xf>
    <xf numFmtId="164" fontId="8" fillId="0" borderId="4" xfId="0" applyFont="true" applyBorder="tru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center" vertical="center" textRotation="0" wrapText="false" indent="0" shrinkToFit="false"/>
      <protection locked="true" hidden="false"/>
    </xf>
    <xf numFmtId="164" fontId="10" fillId="3" borderId="0" xfId="0" applyFont="true" applyBorder="false" applyAlignment="true" applyProtection="false">
      <alignment horizontal="center" vertical="center" textRotation="0" wrapText="false" indent="0" shrinkToFit="false"/>
      <protection locked="true" hidden="false"/>
    </xf>
    <xf numFmtId="164" fontId="11" fillId="4" borderId="5" xfId="0" applyFont="true" applyBorder="true" applyAlignment="true" applyProtection="false">
      <alignment horizontal="left" vertical="bottom" textRotation="0" wrapText="false" indent="0" shrinkToFit="false"/>
      <protection locked="true" hidden="false"/>
    </xf>
    <xf numFmtId="164" fontId="12" fillId="0" borderId="6" xfId="0" applyFont="true" applyBorder="true" applyAlignment="true" applyProtection="false">
      <alignment horizontal="left" vertical="top" textRotation="0" wrapText="tru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4" fillId="2" borderId="6" xfId="0" applyFont="true" applyBorder="true" applyAlignment="true" applyProtection="false">
      <alignment horizontal="left" vertical="top" textRotation="0" wrapText="true" indent="0" shrinkToFit="false"/>
      <protection locked="true" hidden="false"/>
    </xf>
    <xf numFmtId="164" fontId="13" fillId="2" borderId="0" xfId="0" applyFont="true" applyBorder="false" applyAlignment="true" applyProtection="false">
      <alignment horizontal="left" vertical="top" textRotation="0" wrapText="true" indent="0" shrinkToFit="false"/>
      <protection locked="true" hidden="false"/>
    </xf>
    <xf numFmtId="165" fontId="13" fillId="2" borderId="7" xfId="0" applyFont="true" applyBorder="true" applyAlignment="true" applyProtection="false">
      <alignment horizontal="left" vertical="top" textRotation="0" wrapText="true" indent="0" shrinkToFit="false"/>
      <protection locked="true" hidden="false"/>
    </xf>
    <xf numFmtId="164" fontId="14" fillId="5" borderId="7" xfId="0" applyFont="true" applyBorder="true" applyAlignment="true" applyProtection="false">
      <alignment horizontal="center" vertical="center" textRotation="0" wrapText="true" indent="0" shrinkToFit="false"/>
      <protection locked="true" hidden="false"/>
    </xf>
    <xf numFmtId="166" fontId="15" fillId="4" borderId="7" xfId="0" applyFont="true" applyBorder="true" applyAlignment="true" applyProtection="false">
      <alignment horizontal="left" vertical="top" textRotation="0" wrapText="true" indent="0" shrinkToFit="false"/>
      <protection locked="true" hidden="false"/>
    </xf>
    <xf numFmtId="164" fontId="16" fillId="2" borderId="0" xfId="0" applyFont="true" applyBorder="false" applyAlignment="true" applyProtection="false">
      <alignment horizontal="left" vertical="top" textRotation="0" wrapText="true" indent="0" shrinkToFit="false"/>
      <protection locked="true" hidden="false"/>
    </xf>
    <xf numFmtId="164" fontId="11" fillId="6" borderId="7" xfId="0" applyFont="true" applyBorder="true" applyAlignment="true" applyProtection="false">
      <alignment horizontal="left" vertical="top" textRotation="0" wrapText="true" indent="0" shrinkToFit="false"/>
      <protection locked="true" hidden="false"/>
    </xf>
    <xf numFmtId="164" fontId="15" fillId="5" borderId="7" xfId="0" applyFont="true" applyBorder="true" applyAlignment="true" applyProtection="false">
      <alignment horizontal="left" vertical="top" textRotation="0" wrapText="true" indent="0" shrinkToFit="false"/>
      <protection locked="true" hidden="false"/>
    </xf>
    <xf numFmtId="164" fontId="16" fillId="2" borderId="7" xfId="0" applyFont="true" applyBorder="true" applyAlignment="true" applyProtection="false">
      <alignment horizontal="left" vertical="top" textRotation="0" wrapText="true" indent="0" shrinkToFit="false"/>
      <protection locked="true" hidden="false"/>
    </xf>
    <xf numFmtId="167" fontId="16" fillId="2" borderId="7" xfId="0" applyFont="true" applyBorder="true" applyAlignment="true" applyProtection="false">
      <alignment horizontal="left" vertical="top" textRotation="0" wrapText="true" indent="0" shrinkToFit="false"/>
      <protection locked="true" hidden="false"/>
    </xf>
    <xf numFmtId="166" fontId="16" fillId="2" borderId="7" xfId="0" applyFont="true" applyBorder="true" applyAlignment="true" applyProtection="false">
      <alignment horizontal="left" vertical="top" textRotation="0" wrapText="true" indent="0" shrinkToFit="false"/>
      <protection locked="true" hidden="false"/>
    </xf>
    <xf numFmtId="168" fontId="16" fillId="2" borderId="0" xfId="0" applyFont="true" applyBorder="false" applyAlignment="true" applyProtection="false">
      <alignment horizontal="left" vertical="top" textRotation="0" wrapText="true" indent="0" shrinkToFit="false"/>
      <protection locked="true" hidden="false"/>
    </xf>
    <xf numFmtId="166" fontId="16" fillId="2" borderId="0" xfId="0" applyFont="true" applyBorder="false" applyAlignment="true" applyProtection="false">
      <alignment horizontal="left" vertical="top" textRotation="0" wrapText="true" indent="0" shrinkToFit="false"/>
      <protection locked="true" hidden="false"/>
    </xf>
    <xf numFmtId="164" fontId="4" fillId="2" borderId="0" xfId="0" applyFont="true" applyBorder="false" applyAlignment="true" applyProtection="false">
      <alignment horizontal="left" vertical="top" textRotation="0" wrapText="true" indent="0" shrinkToFit="false"/>
      <protection locked="true" hidden="false"/>
    </xf>
    <xf numFmtId="164" fontId="4" fillId="2" borderId="0" xfId="0" applyFont="true" applyBorder="true" applyAlignment="true" applyProtection="false">
      <alignment horizontal="left" vertical="top" textRotation="0" wrapText="true" indent="0" shrinkToFit="false"/>
      <protection locked="true" hidden="false"/>
    </xf>
    <xf numFmtId="164" fontId="11" fillId="2" borderId="0" xfId="0" applyFont="true" applyBorder="false" applyAlignment="true" applyProtection="false">
      <alignment horizontal="left" vertical="bottom" textRotation="0" wrapText="false" indent="0" shrinkToFit="false"/>
      <protection locked="true" hidden="false"/>
    </xf>
    <xf numFmtId="164" fontId="17" fillId="2" borderId="0" xfId="0" applyFont="true" applyBorder="false" applyAlignment="true" applyProtection="false">
      <alignment horizontal="right" vertical="center" textRotation="90" wrapText="true" indent="0" shrinkToFit="false"/>
      <protection locked="true" hidden="false"/>
    </xf>
    <xf numFmtId="164" fontId="17" fillId="5" borderId="5" xfId="0" applyFont="true" applyBorder="true" applyAlignment="true" applyProtection="false">
      <alignment horizontal="center" vertical="center" textRotation="0" wrapText="true" indent="0" shrinkToFit="false"/>
      <protection locked="true" hidden="false"/>
    </xf>
    <xf numFmtId="164" fontId="17" fillId="4" borderId="8" xfId="0" applyFont="true" applyBorder="true" applyAlignment="true" applyProtection="false">
      <alignment horizontal="center" vertical="center" textRotation="0" wrapText="true" indent="0" shrinkToFit="false"/>
      <protection locked="true" hidden="false"/>
    </xf>
    <xf numFmtId="164" fontId="17" fillId="4" borderId="9" xfId="0" applyFont="true" applyBorder="true" applyAlignment="true" applyProtection="false">
      <alignment horizontal="center" vertical="center" textRotation="0" wrapText="true" indent="0" shrinkToFit="false"/>
      <protection locked="true" hidden="false"/>
    </xf>
    <xf numFmtId="164" fontId="17" fillId="5" borderId="5" xfId="0" applyFont="true" applyBorder="true" applyAlignment="true" applyProtection="false">
      <alignment horizontal="center" vertical="center" textRotation="90" wrapText="true" indent="0" shrinkToFit="false"/>
      <protection locked="true" hidden="false"/>
    </xf>
    <xf numFmtId="164" fontId="17" fillId="7" borderId="5" xfId="0" applyFont="true" applyBorder="true" applyAlignment="true" applyProtection="false">
      <alignment horizontal="center" vertical="center" textRotation="0" wrapText="true" indent="0" shrinkToFit="false"/>
      <protection locked="true" hidden="false"/>
    </xf>
    <xf numFmtId="164" fontId="17" fillId="8" borderId="5" xfId="0" applyFont="true" applyBorder="true" applyAlignment="true" applyProtection="false">
      <alignment horizontal="center" vertical="center" textRotation="0" wrapText="true" indent="0" shrinkToFit="false"/>
      <protection locked="true" hidden="false"/>
    </xf>
    <xf numFmtId="164" fontId="17" fillId="9" borderId="5" xfId="0" applyFont="true" applyBorder="true" applyAlignment="true" applyProtection="false">
      <alignment horizontal="center" vertical="center" textRotation="0" wrapText="true" indent="0" shrinkToFit="false"/>
      <protection locked="true" hidden="false"/>
    </xf>
    <xf numFmtId="164" fontId="17" fillId="10" borderId="5" xfId="0" applyFont="true" applyBorder="true" applyAlignment="true" applyProtection="false">
      <alignment horizontal="center" vertical="center" textRotation="0" wrapText="true" indent="0" shrinkToFit="false"/>
      <protection locked="true" hidden="false"/>
    </xf>
    <xf numFmtId="164" fontId="11" fillId="4" borderId="5" xfId="0" applyFont="true" applyBorder="true" applyAlignment="true" applyProtection="false">
      <alignment horizontal="center" vertical="bottom" textRotation="0" wrapText="false" indent="0" shrinkToFit="false"/>
      <protection locked="true" hidden="false"/>
    </xf>
    <xf numFmtId="164" fontId="14" fillId="5" borderId="10" xfId="0" applyFont="true" applyBorder="true" applyAlignment="true" applyProtection="false">
      <alignment horizontal="center" vertical="bottom" textRotation="0" wrapText="false" indent="0" shrinkToFit="false"/>
      <protection locked="true" hidden="false"/>
    </xf>
    <xf numFmtId="164" fontId="14" fillId="5" borderId="11" xfId="0" applyFont="true" applyBorder="true" applyAlignment="true" applyProtection="false">
      <alignment horizontal="center" vertical="bottom" textRotation="0" wrapText="false" indent="0" shrinkToFit="false"/>
      <protection locked="true" hidden="false"/>
    </xf>
    <xf numFmtId="164" fontId="14" fillId="5" borderId="12" xfId="0" applyFont="true" applyBorder="true" applyAlignment="true" applyProtection="false">
      <alignment horizontal="center" vertical="bottom" textRotation="0" wrapText="false" indent="0" shrinkToFit="false"/>
      <protection locked="true" hidden="false"/>
    </xf>
    <xf numFmtId="164" fontId="18" fillId="5" borderId="7" xfId="0" applyFont="true" applyBorder="true" applyAlignment="true" applyProtection="false">
      <alignment horizontal="center" vertical="center" textRotation="0" wrapText="true" indent="0" shrinkToFit="false"/>
      <protection locked="true" hidden="false"/>
    </xf>
    <xf numFmtId="164" fontId="14" fillId="7" borderId="13" xfId="0" applyFont="true" applyBorder="true" applyAlignment="true" applyProtection="false">
      <alignment horizontal="left" vertical="center" textRotation="0" wrapText="true" indent="0" shrinkToFit="false"/>
      <protection locked="true" hidden="false"/>
    </xf>
    <xf numFmtId="169" fontId="14" fillId="7" borderId="14" xfId="0" applyFont="true" applyBorder="true" applyAlignment="true" applyProtection="false">
      <alignment horizontal="center" vertical="center" textRotation="0" wrapText="true" indent="0" shrinkToFit="false"/>
      <protection locked="true" hidden="false"/>
    </xf>
    <xf numFmtId="164" fontId="4" fillId="7" borderId="15" xfId="0" applyFont="true" applyBorder="true" applyAlignment="true" applyProtection="false">
      <alignment horizontal="left" vertical="center" textRotation="0" wrapText="true" indent="0" shrinkToFit="false"/>
      <protection locked="true" hidden="false"/>
    </xf>
    <xf numFmtId="164" fontId="19" fillId="7" borderId="7" xfId="0" applyFont="true" applyBorder="true" applyAlignment="true" applyProtection="false">
      <alignment horizontal="center" vertical="center" textRotation="0" wrapText="true" indent="0" shrinkToFit="false"/>
      <protection locked="true" hidden="false"/>
    </xf>
    <xf numFmtId="164" fontId="14" fillId="7" borderId="16" xfId="0" applyFont="true" applyBorder="true" applyAlignment="true" applyProtection="false">
      <alignment horizontal="left" vertical="center" textRotation="0" wrapText="true" indent="0" shrinkToFit="false"/>
      <protection locked="true" hidden="false"/>
    </xf>
    <xf numFmtId="169" fontId="14" fillId="7" borderId="7" xfId="0" applyFont="true" applyBorder="true" applyAlignment="true" applyProtection="false">
      <alignment horizontal="center" vertical="center" textRotation="0" wrapText="true" indent="0" shrinkToFit="false"/>
      <protection locked="true" hidden="false"/>
    </xf>
    <xf numFmtId="164" fontId="4" fillId="7" borderId="17" xfId="0" applyFont="true" applyBorder="true" applyAlignment="true" applyProtection="false">
      <alignment horizontal="left" vertical="center" textRotation="0" wrapText="true" indent="0" shrinkToFit="false"/>
      <protection locked="true" hidden="false"/>
    </xf>
    <xf numFmtId="164" fontId="14" fillId="7" borderId="18" xfId="0" applyFont="true" applyBorder="true" applyAlignment="true" applyProtection="false">
      <alignment horizontal="left" vertical="center" textRotation="0" wrapText="true" indent="0" shrinkToFit="false"/>
      <protection locked="true" hidden="false"/>
    </xf>
    <xf numFmtId="169" fontId="14" fillId="7" borderId="19" xfId="0" applyFont="true" applyBorder="true" applyAlignment="true" applyProtection="false">
      <alignment horizontal="center" vertical="center" textRotation="0" wrapText="true" indent="0" shrinkToFit="false"/>
      <protection locked="true" hidden="false"/>
    </xf>
    <xf numFmtId="164" fontId="4" fillId="7" borderId="20" xfId="0" applyFont="true" applyBorder="true" applyAlignment="true" applyProtection="false">
      <alignment horizontal="left" vertical="center" textRotation="0" wrapText="true" indent="0" shrinkToFit="false"/>
      <protection locked="true" hidden="false"/>
    </xf>
    <xf numFmtId="164" fontId="14" fillId="8" borderId="13" xfId="0" applyFont="true" applyBorder="true" applyAlignment="true" applyProtection="false">
      <alignment horizontal="left" vertical="center" textRotation="0" wrapText="true" indent="0" shrinkToFit="false"/>
      <protection locked="true" hidden="false"/>
    </xf>
    <xf numFmtId="169" fontId="14" fillId="8" borderId="14" xfId="0" applyFont="true" applyBorder="true" applyAlignment="true" applyProtection="false">
      <alignment horizontal="center" vertical="center" textRotation="0" wrapText="true" indent="0" shrinkToFit="false"/>
      <protection locked="true" hidden="false"/>
    </xf>
    <xf numFmtId="164" fontId="4" fillId="8" borderId="15" xfId="0" applyFont="true" applyBorder="true" applyAlignment="true" applyProtection="false">
      <alignment horizontal="left" vertical="center" textRotation="0" wrapText="true" indent="0" shrinkToFit="false"/>
      <protection locked="true" hidden="false"/>
    </xf>
    <xf numFmtId="164" fontId="19" fillId="8" borderId="7" xfId="0" applyFont="true" applyBorder="true" applyAlignment="true" applyProtection="false">
      <alignment horizontal="center" vertical="center" textRotation="0" wrapText="true" indent="0" shrinkToFit="false"/>
      <protection locked="true" hidden="false"/>
    </xf>
    <xf numFmtId="169" fontId="14" fillId="8" borderId="7" xfId="0" applyFont="true" applyBorder="true" applyAlignment="true" applyProtection="false">
      <alignment horizontal="center" vertical="center" textRotation="0" wrapText="true" indent="0" shrinkToFit="false"/>
      <protection locked="true" hidden="false"/>
    </xf>
    <xf numFmtId="164" fontId="14" fillId="8" borderId="18" xfId="0" applyFont="true" applyBorder="true" applyAlignment="true" applyProtection="false">
      <alignment horizontal="general" vertical="bottom" textRotation="0" wrapText="false" indent="0" shrinkToFit="false"/>
      <protection locked="true" hidden="false"/>
    </xf>
    <xf numFmtId="169" fontId="14" fillId="8" borderId="19" xfId="0" applyFont="true" applyBorder="true" applyAlignment="true" applyProtection="false">
      <alignment horizontal="general" vertical="bottom" textRotation="0" wrapText="false" indent="0" shrinkToFit="false"/>
      <protection locked="true" hidden="false"/>
    </xf>
    <xf numFmtId="164" fontId="4" fillId="8" borderId="20" xfId="0" applyFont="true" applyBorder="true" applyAlignment="true" applyProtection="false">
      <alignment horizontal="general" vertical="bottom" textRotation="0" wrapText="false" indent="0" shrinkToFit="false"/>
      <protection locked="true" hidden="false"/>
    </xf>
    <xf numFmtId="164" fontId="14" fillId="9" borderId="13" xfId="0" applyFont="true" applyBorder="true" applyAlignment="true" applyProtection="false">
      <alignment horizontal="general" vertical="bottom" textRotation="0" wrapText="false" indent="0" shrinkToFit="false"/>
      <protection locked="true" hidden="false"/>
    </xf>
    <xf numFmtId="169" fontId="14" fillId="9" borderId="14" xfId="0" applyFont="true" applyBorder="true" applyAlignment="true" applyProtection="false">
      <alignment horizontal="general" vertical="bottom" textRotation="0" wrapText="false" indent="0" shrinkToFit="false"/>
      <protection locked="true" hidden="false"/>
    </xf>
    <xf numFmtId="164" fontId="4" fillId="9" borderId="15" xfId="0" applyFont="true" applyBorder="true" applyAlignment="true" applyProtection="false">
      <alignment horizontal="general" vertical="bottom" textRotation="0" wrapText="false" indent="0" shrinkToFit="false"/>
      <protection locked="true" hidden="false"/>
    </xf>
    <xf numFmtId="164" fontId="14" fillId="9" borderId="16" xfId="0" applyFont="true" applyBorder="true" applyAlignment="true" applyProtection="false">
      <alignment horizontal="general" vertical="bottom" textRotation="0" wrapText="false" indent="0" shrinkToFit="false"/>
      <protection locked="true" hidden="false"/>
    </xf>
    <xf numFmtId="169" fontId="14" fillId="9" borderId="7" xfId="0" applyFont="true" applyBorder="true" applyAlignment="true" applyProtection="false">
      <alignment horizontal="general" vertical="bottom" textRotation="0" wrapText="false" indent="0" shrinkToFit="false"/>
      <protection locked="true" hidden="false"/>
    </xf>
    <xf numFmtId="164" fontId="4" fillId="9" borderId="17" xfId="0" applyFont="true" applyBorder="true" applyAlignment="true" applyProtection="false">
      <alignment horizontal="general" vertical="bottom" textRotation="0" wrapText="false" indent="0" shrinkToFit="false"/>
      <protection locked="true" hidden="false"/>
    </xf>
    <xf numFmtId="164" fontId="14" fillId="9" borderId="18" xfId="0" applyFont="true" applyBorder="true" applyAlignment="true" applyProtection="false">
      <alignment horizontal="general" vertical="center" textRotation="0" wrapText="true" indent="0" shrinkToFit="false"/>
      <protection locked="true" hidden="false"/>
    </xf>
    <xf numFmtId="169" fontId="14" fillId="9" borderId="19" xfId="0" applyFont="true" applyBorder="true" applyAlignment="true" applyProtection="false">
      <alignment horizontal="general" vertical="center" textRotation="0" wrapText="false" indent="0" shrinkToFit="false"/>
      <protection locked="true" hidden="false"/>
    </xf>
    <xf numFmtId="164" fontId="4" fillId="9" borderId="20" xfId="0" applyFont="true" applyBorder="true" applyAlignment="true" applyProtection="false">
      <alignment horizontal="general" vertical="bottom" textRotation="0" wrapText="true" indent="0" shrinkToFit="false"/>
      <protection locked="true" hidden="false"/>
    </xf>
    <xf numFmtId="164" fontId="14" fillId="10" borderId="21" xfId="0" applyFont="true" applyBorder="true" applyAlignment="true" applyProtection="false">
      <alignment horizontal="general" vertical="center" textRotation="0" wrapText="true" indent="0" shrinkToFit="false"/>
      <protection locked="true" hidden="false"/>
    </xf>
    <xf numFmtId="169" fontId="14" fillId="10" borderId="22" xfId="0" applyFont="true" applyBorder="true" applyAlignment="true" applyProtection="false">
      <alignment horizontal="general" vertical="bottom" textRotation="0" wrapText="false" indent="0" shrinkToFit="false"/>
      <protection locked="true" hidden="false"/>
    </xf>
    <xf numFmtId="164" fontId="4" fillId="10" borderId="23" xfId="0" applyFont="true" applyBorder="true" applyAlignment="true" applyProtection="false">
      <alignment horizontal="general" vertical="bottom" textRotation="0" wrapText="false" indent="0" shrinkToFit="false"/>
      <protection locked="true" hidden="false"/>
    </xf>
    <xf numFmtId="164" fontId="4" fillId="11" borderId="0" xfId="0" applyFont="true" applyBorder="false" applyAlignment="true" applyProtection="false">
      <alignment horizontal="general" vertical="bottom" textRotation="0" wrapText="false" indent="0" shrinkToFit="false"/>
      <protection locked="true" hidden="false"/>
    </xf>
    <xf numFmtId="164" fontId="9" fillId="11" borderId="0" xfId="0" applyFont="true" applyBorder="false" applyAlignment="true" applyProtection="false">
      <alignment horizontal="general" vertical="center" textRotation="0" wrapText="false" indent="0" shrinkToFit="false"/>
      <protection locked="true" hidden="false"/>
    </xf>
    <xf numFmtId="164" fontId="22" fillId="11" borderId="0" xfId="0" applyFont="true" applyBorder="false" applyAlignment="true" applyProtection="false">
      <alignment horizontal="general" vertical="center"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23" fillId="5" borderId="16" xfId="0" applyFont="true" applyBorder="true" applyAlignment="true" applyProtection="false">
      <alignment horizontal="center" vertical="bottom" textRotation="0" wrapText="false" indent="0" shrinkToFit="false"/>
      <protection locked="true" hidden="false"/>
    </xf>
    <xf numFmtId="164" fontId="23" fillId="5" borderId="7" xfId="0" applyFont="true" applyBorder="true" applyAlignment="true" applyProtection="false">
      <alignment horizontal="center" vertical="bottom" textRotation="0" wrapText="false" indent="0" shrinkToFit="false"/>
      <protection locked="true" hidden="false"/>
    </xf>
    <xf numFmtId="164" fontId="23" fillId="5" borderId="17" xfId="0" applyFont="true" applyBorder="true" applyAlignment="true" applyProtection="false">
      <alignment horizontal="center" vertical="bottom" textRotation="0" wrapText="false" indent="0" shrinkToFit="false"/>
      <protection locked="true" hidden="false"/>
    </xf>
    <xf numFmtId="164" fontId="16" fillId="2" borderId="5" xfId="0" applyFont="true" applyBorder="true" applyAlignment="true" applyProtection="false">
      <alignment horizontal="left" vertical="top" textRotation="0" wrapText="true" indent="0" shrinkToFit="false"/>
      <protection locked="true" hidden="false"/>
    </xf>
    <xf numFmtId="168" fontId="4" fillId="2" borderId="16" xfId="0" applyFont="true" applyBorder="true" applyAlignment="true" applyProtection="false">
      <alignment horizontal="center" vertical="bottom" textRotation="0" wrapText="false" indent="0" shrinkToFit="false"/>
      <protection locked="true" hidden="false"/>
    </xf>
    <xf numFmtId="168" fontId="4" fillId="2" borderId="7" xfId="0" applyFont="true" applyBorder="true" applyAlignment="true" applyProtection="false">
      <alignment horizontal="center" vertical="bottom" textRotation="0" wrapText="false" indent="0" shrinkToFit="false"/>
      <protection locked="true" hidden="false"/>
    </xf>
    <xf numFmtId="168" fontId="4" fillId="2" borderId="17" xfId="0" applyFont="true" applyBorder="true" applyAlignment="true" applyProtection="false">
      <alignment horizontal="center" vertical="bottom" textRotation="0" wrapText="false" indent="0" shrinkToFit="false"/>
      <protection locked="true" hidden="false"/>
    </xf>
    <xf numFmtId="171" fontId="4" fillId="2" borderId="18" xfId="0" applyFont="true" applyBorder="true" applyAlignment="true" applyProtection="false">
      <alignment horizontal="center" vertical="bottom" textRotation="0" wrapText="false" indent="0" shrinkToFit="false"/>
      <protection locked="true" hidden="false"/>
    </xf>
    <xf numFmtId="171" fontId="4" fillId="2" borderId="19" xfId="0" applyFont="true" applyBorder="true" applyAlignment="true" applyProtection="false">
      <alignment horizontal="center" vertical="bottom" textRotation="0" wrapText="false" indent="0" shrinkToFit="false"/>
      <protection locked="true" hidden="false"/>
    </xf>
    <xf numFmtId="171" fontId="4" fillId="2" borderId="20" xfId="0" applyFont="true" applyBorder="true" applyAlignment="true" applyProtection="false">
      <alignment horizontal="center"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13" fillId="2" borderId="0" xfId="0" applyFont="true" applyBorder="false" applyAlignment="true" applyProtection="false">
      <alignment horizontal="general" vertical="bottom" textRotation="0" wrapText="false" indent="0" shrinkToFit="false"/>
      <protection locked="true" hidden="false"/>
    </xf>
    <xf numFmtId="164" fontId="11" fillId="6" borderId="5" xfId="0" applyFont="true" applyBorder="true" applyAlignment="true" applyProtection="false">
      <alignment horizontal="left" vertical="bottom" textRotation="0" wrapText="false" indent="0" shrinkToFit="false"/>
      <protection locked="true" hidden="false"/>
    </xf>
    <xf numFmtId="172" fontId="25" fillId="5" borderId="24" xfId="0" applyFont="true" applyBorder="true" applyAlignment="true" applyProtection="false">
      <alignment horizontal="center" vertical="center" textRotation="0" wrapText="false" indent="0" shrinkToFit="false"/>
      <protection locked="true" hidden="false"/>
    </xf>
    <xf numFmtId="172" fontId="25" fillId="5" borderId="25" xfId="0" applyFont="true" applyBorder="true" applyAlignment="true" applyProtection="false">
      <alignment horizontal="center" vertical="center" textRotation="0" wrapText="false" indent="0" shrinkToFit="false"/>
      <protection locked="true" hidden="false"/>
    </xf>
    <xf numFmtId="164" fontId="23" fillId="5" borderId="25" xfId="0" applyFont="true" applyBorder="true" applyAlignment="true" applyProtection="false">
      <alignment horizontal="center" vertical="center" textRotation="0" wrapText="false" indent="0" shrinkToFit="false"/>
      <protection locked="true" hidden="false"/>
    </xf>
    <xf numFmtId="172" fontId="25" fillId="5" borderId="26" xfId="0" applyFont="true" applyBorder="true" applyAlignment="true" applyProtection="false">
      <alignment horizontal="center" vertical="center" textRotation="0" wrapText="false" indent="0" shrinkToFit="false"/>
      <protection locked="true" hidden="false"/>
    </xf>
    <xf numFmtId="172" fontId="25" fillId="5" borderId="27" xfId="0" applyFont="true" applyBorder="true" applyAlignment="true" applyProtection="false">
      <alignment horizontal="center" vertical="center" textRotation="0" wrapText="false" indent="0" shrinkToFit="false"/>
      <protection locked="true" hidden="false"/>
    </xf>
    <xf numFmtId="173" fontId="23" fillId="12" borderId="28" xfId="0" applyFont="true" applyBorder="true" applyAlignment="true" applyProtection="false">
      <alignment horizontal="center" vertical="center" textRotation="0" wrapText="false" indent="0" shrinkToFit="false"/>
      <protection locked="true" hidden="false"/>
    </xf>
    <xf numFmtId="164" fontId="23" fillId="5" borderId="26" xfId="0" applyFont="true" applyBorder="true" applyAlignment="true" applyProtection="false">
      <alignment horizontal="center" vertical="center" textRotation="0" wrapText="true" indent="0" shrinkToFit="false"/>
      <protection locked="true" hidden="false"/>
    </xf>
    <xf numFmtId="164" fontId="23" fillId="5" borderId="27" xfId="0" applyFont="true" applyBorder="true" applyAlignment="true" applyProtection="false">
      <alignment horizontal="center" vertical="center" textRotation="0" wrapText="true" indent="0" shrinkToFit="false"/>
      <protection locked="true" hidden="false"/>
    </xf>
    <xf numFmtId="172" fontId="16" fillId="7" borderId="13" xfId="0" applyFont="true" applyBorder="true" applyAlignment="true" applyProtection="false">
      <alignment horizontal="general" vertical="bottom" textRotation="0" wrapText="false" indent="0" shrinkToFit="false"/>
      <protection locked="true" hidden="false"/>
    </xf>
    <xf numFmtId="166" fontId="4" fillId="7" borderId="29" xfId="0" applyFont="true" applyBorder="true" applyAlignment="true" applyProtection="false">
      <alignment horizontal="general" vertical="bottom" textRotation="0" wrapText="false" indent="0" shrinkToFit="false"/>
      <protection locked="true" hidden="false"/>
    </xf>
    <xf numFmtId="165" fontId="4" fillId="7" borderId="13" xfId="0" applyFont="true" applyBorder="true" applyAlignment="true" applyProtection="false">
      <alignment horizontal="general" vertical="bottom" textRotation="0" wrapText="false" indent="0" shrinkToFit="false"/>
      <protection locked="true" hidden="false"/>
    </xf>
    <xf numFmtId="166" fontId="4" fillId="7" borderId="30" xfId="0" applyFont="true" applyBorder="true" applyAlignment="true" applyProtection="false">
      <alignment horizontal="general" vertical="bottom" textRotation="0" wrapText="false" indent="0" shrinkToFit="false"/>
      <protection locked="true" hidden="false"/>
    </xf>
    <xf numFmtId="165" fontId="4" fillId="7" borderId="31" xfId="0" applyFont="true" applyBorder="true" applyAlignment="true" applyProtection="false">
      <alignment horizontal="general" vertical="bottom" textRotation="0" wrapText="false" indent="0" shrinkToFit="false"/>
      <protection locked="true" hidden="false"/>
    </xf>
    <xf numFmtId="166" fontId="4" fillId="7" borderId="32" xfId="0" applyFont="true" applyBorder="true" applyAlignment="true" applyProtection="false">
      <alignment horizontal="general" vertical="bottom" textRotation="0" wrapText="false" indent="0" shrinkToFit="false"/>
      <protection locked="true" hidden="false"/>
    </xf>
    <xf numFmtId="166" fontId="4" fillId="7" borderId="33" xfId="0" applyFont="true" applyBorder="true" applyAlignment="true" applyProtection="false">
      <alignment horizontal="general" vertical="bottom" textRotation="0" wrapText="false" indent="0" shrinkToFit="false"/>
      <protection locked="true" hidden="false"/>
    </xf>
    <xf numFmtId="165" fontId="4" fillId="7" borderId="16" xfId="0" applyFont="true" applyBorder="true" applyAlignment="true" applyProtection="false">
      <alignment horizontal="general" vertical="bottom" textRotation="0" wrapText="false" indent="0" shrinkToFit="false"/>
      <protection locked="true" hidden="false"/>
    </xf>
    <xf numFmtId="166" fontId="4" fillId="7" borderId="34" xfId="0" applyFont="true" applyBorder="true" applyAlignment="true" applyProtection="false">
      <alignment horizontal="general" vertical="bottom" textRotation="0" wrapText="false" indent="0" shrinkToFit="false"/>
      <protection locked="true" hidden="false"/>
    </xf>
    <xf numFmtId="166" fontId="4" fillId="7" borderId="17" xfId="0" applyFont="true" applyBorder="true" applyAlignment="true" applyProtection="false">
      <alignment horizontal="general" vertical="bottom" textRotation="0" wrapText="false" indent="0" shrinkToFit="false"/>
      <protection locked="true" hidden="false"/>
    </xf>
    <xf numFmtId="166" fontId="4" fillId="7" borderId="35" xfId="0" applyFont="true" applyBorder="true" applyAlignment="true" applyProtection="false">
      <alignment horizontal="general" vertical="bottom" textRotation="0" wrapText="false" indent="0" shrinkToFit="false"/>
      <protection locked="true" hidden="false"/>
    </xf>
    <xf numFmtId="165" fontId="4" fillId="7" borderId="18" xfId="0" applyFont="true" applyBorder="true" applyAlignment="true" applyProtection="false">
      <alignment horizontal="general" vertical="bottom" textRotation="0" wrapText="false" indent="0" shrinkToFit="false"/>
      <protection locked="true" hidden="false"/>
    </xf>
    <xf numFmtId="165" fontId="4" fillId="7" borderId="26" xfId="0" applyFont="true" applyBorder="true" applyAlignment="true" applyProtection="false">
      <alignment horizontal="general" vertical="bottom" textRotation="0" wrapText="false" indent="0" shrinkToFit="false"/>
      <protection locked="true" hidden="false"/>
    </xf>
    <xf numFmtId="166" fontId="4" fillId="7" borderId="27" xfId="0" applyFont="true" applyBorder="true" applyAlignment="true" applyProtection="false">
      <alignment horizontal="general" vertical="bottom" textRotation="0" wrapText="false" indent="0" shrinkToFit="false"/>
      <protection locked="true" hidden="false"/>
    </xf>
    <xf numFmtId="172" fontId="16" fillId="8" borderId="13" xfId="0" applyFont="true" applyBorder="true" applyAlignment="true" applyProtection="false">
      <alignment horizontal="general" vertical="bottom" textRotation="0" wrapText="false" indent="0" shrinkToFit="false"/>
      <protection locked="true" hidden="false"/>
    </xf>
    <xf numFmtId="166" fontId="4" fillId="8" borderId="29" xfId="0" applyFont="true" applyBorder="true" applyAlignment="true" applyProtection="false">
      <alignment horizontal="general" vertical="bottom" textRotation="0" wrapText="false" indent="0" shrinkToFit="false"/>
      <protection locked="true" hidden="false"/>
    </xf>
    <xf numFmtId="165" fontId="4" fillId="8" borderId="36" xfId="0" applyFont="true" applyBorder="true" applyAlignment="true" applyProtection="false">
      <alignment horizontal="general" vertical="bottom" textRotation="0" wrapText="false" indent="0" shrinkToFit="false"/>
      <protection locked="true" hidden="false"/>
    </xf>
    <xf numFmtId="165" fontId="4" fillId="8" borderId="13" xfId="0" applyFont="true" applyBorder="true" applyAlignment="true" applyProtection="false">
      <alignment horizontal="general" vertical="bottom" textRotation="0" wrapText="false" indent="0" shrinkToFit="false"/>
      <protection locked="true" hidden="false"/>
    </xf>
    <xf numFmtId="166" fontId="4" fillId="8" borderId="15" xfId="0" applyFont="true" applyBorder="true" applyAlignment="true" applyProtection="false">
      <alignment horizontal="general" vertical="bottom" textRotation="0" wrapText="false" indent="0" shrinkToFit="false"/>
      <protection locked="true" hidden="false"/>
    </xf>
    <xf numFmtId="166" fontId="4" fillId="8" borderId="33" xfId="0" applyFont="true" applyBorder="true" applyAlignment="true" applyProtection="false">
      <alignment horizontal="general" vertical="bottom" textRotation="0" wrapText="false" indent="0" shrinkToFit="false"/>
      <protection locked="true" hidden="false"/>
    </xf>
    <xf numFmtId="165" fontId="4" fillId="8" borderId="16" xfId="0" applyFont="true" applyBorder="true" applyAlignment="true" applyProtection="false">
      <alignment horizontal="general" vertical="bottom" textRotation="0" wrapText="false" indent="0" shrinkToFit="false"/>
      <protection locked="true" hidden="false"/>
    </xf>
    <xf numFmtId="166" fontId="4" fillId="8" borderId="17" xfId="0" applyFont="true" applyBorder="true" applyAlignment="true" applyProtection="false">
      <alignment horizontal="general" vertical="bottom" textRotation="0" wrapText="false" indent="0" shrinkToFit="false"/>
      <protection locked="true" hidden="false"/>
    </xf>
    <xf numFmtId="172" fontId="16" fillId="8" borderId="18" xfId="0" applyFont="true" applyBorder="true" applyAlignment="true" applyProtection="false">
      <alignment horizontal="general" vertical="bottom" textRotation="0" wrapText="false" indent="0" shrinkToFit="false"/>
      <protection locked="true" hidden="false"/>
    </xf>
    <xf numFmtId="166" fontId="4" fillId="8" borderId="35" xfId="0" applyFont="true" applyBorder="true" applyAlignment="true" applyProtection="false">
      <alignment horizontal="general" vertical="bottom" textRotation="0" wrapText="false" indent="0" shrinkToFit="false"/>
      <protection locked="true" hidden="false"/>
    </xf>
    <xf numFmtId="165" fontId="4" fillId="8" borderId="18" xfId="0" applyFont="true" applyBorder="true" applyAlignment="true" applyProtection="false">
      <alignment horizontal="general" vertical="bottom" textRotation="0" wrapText="false" indent="0" shrinkToFit="false"/>
      <protection locked="true" hidden="false"/>
    </xf>
    <xf numFmtId="166" fontId="4" fillId="8" borderId="20" xfId="0" applyFont="true" applyBorder="true" applyAlignment="true" applyProtection="false">
      <alignment horizontal="general" vertical="bottom" textRotation="0" wrapText="false" indent="0" shrinkToFit="false"/>
      <protection locked="true" hidden="false"/>
    </xf>
    <xf numFmtId="172" fontId="16" fillId="9" borderId="13" xfId="0" applyFont="true" applyBorder="true" applyAlignment="true" applyProtection="false">
      <alignment horizontal="general" vertical="bottom" textRotation="0" wrapText="false" indent="0" shrinkToFit="false"/>
      <protection locked="true" hidden="false"/>
    </xf>
    <xf numFmtId="166" fontId="4" fillId="9" borderId="29" xfId="0" applyFont="true" applyBorder="true" applyAlignment="true" applyProtection="false">
      <alignment horizontal="general" vertical="bottom" textRotation="0" wrapText="false" indent="0" shrinkToFit="false"/>
      <protection locked="true" hidden="false"/>
    </xf>
    <xf numFmtId="165" fontId="4" fillId="9" borderId="13" xfId="0" applyFont="true" applyBorder="true" applyAlignment="true" applyProtection="false">
      <alignment horizontal="general" vertical="bottom" textRotation="0" wrapText="false" indent="0" shrinkToFit="false"/>
      <protection locked="true" hidden="false"/>
    </xf>
    <xf numFmtId="166" fontId="4" fillId="9" borderId="15" xfId="0" applyFont="true" applyBorder="true" applyAlignment="true" applyProtection="false">
      <alignment horizontal="general" vertical="bottom" textRotation="0" wrapText="false" indent="0" shrinkToFit="false"/>
      <protection locked="true" hidden="false"/>
    </xf>
    <xf numFmtId="165" fontId="4" fillId="9" borderId="36" xfId="0" applyFont="true" applyBorder="true" applyAlignment="true" applyProtection="false">
      <alignment horizontal="general" vertical="bottom" textRotation="0" wrapText="false" indent="0" shrinkToFit="false"/>
      <protection locked="true" hidden="false"/>
    </xf>
    <xf numFmtId="166" fontId="4" fillId="9" borderId="37" xfId="0" applyFont="true" applyBorder="true" applyAlignment="true" applyProtection="false">
      <alignment horizontal="general" vertical="bottom" textRotation="0" wrapText="false" indent="0" shrinkToFit="false"/>
      <protection locked="true" hidden="false"/>
    </xf>
    <xf numFmtId="172" fontId="16" fillId="9" borderId="16" xfId="0" applyFont="true" applyBorder="true" applyAlignment="true" applyProtection="false">
      <alignment horizontal="general" vertical="bottom" textRotation="0" wrapText="false" indent="0" shrinkToFit="false"/>
      <protection locked="true" hidden="false"/>
    </xf>
    <xf numFmtId="166" fontId="4" fillId="9" borderId="33" xfId="0" applyFont="true" applyBorder="true" applyAlignment="true" applyProtection="false">
      <alignment horizontal="general" vertical="bottom" textRotation="0" wrapText="false" indent="0" shrinkToFit="false"/>
      <protection locked="true" hidden="false"/>
    </xf>
    <xf numFmtId="165" fontId="4" fillId="9" borderId="16" xfId="0" applyFont="true" applyBorder="true" applyAlignment="true" applyProtection="false">
      <alignment horizontal="general" vertical="bottom" textRotation="0" wrapText="false" indent="0" shrinkToFit="false"/>
      <protection locked="true" hidden="false"/>
    </xf>
    <xf numFmtId="166" fontId="4" fillId="9" borderId="17" xfId="0" applyFont="true" applyBorder="true" applyAlignment="true" applyProtection="false">
      <alignment horizontal="general" vertical="bottom" textRotation="0" wrapText="false" indent="0" shrinkToFit="false"/>
      <protection locked="true" hidden="false"/>
    </xf>
    <xf numFmtId="172" fontId="16" fillId="9" borderId="18" xfId="0" applyFont="true" applyBorder="true" applyAlignment="true" applyProtection="false">
      <alignment horizontal="general" vertical="center" textRotation="0" wrapText="true" indent="0" shrinkToFit="false"/>
      <protection locked="true" hidden="false"/>
    </xf>
    <xf numFmtId="166" fontId="4" fillId="9" borderId="35" xfId="0" applyFont="true" applyBorder="true" applyAlignment="true" applyProtection="false">
      <alignment horizontal="general" vertical="bottom" textRotation="0" wrapText="false" indent="0" shrinkToFit="false"/>
      <protection locked="true" hidden="false"/>
    </xf>
    <xf numFmtId="165" fontId="4" fillId="9" borderId="18" xfId="0" applyFont="true" applyBorder="true" applyAlignment="true" applyProtection="false">
      <alignment horizontal="general" vertical="bottom" textRotation="0" wrapText="false" indent="0" shrinkToFit="false"/>
      <protection locked="true" hidden="false"/>
    </xf>
    <xf numFmtId="166" fontId="4" fillId="9" borderId="20" xfId="0" applyFont="true" applyBorder="true" applyAlignment="true" applyProtection="false">
      <alignment horizontal="general" vertical="bottom" textRotation="0" wrapText="false" indent="0" shrinkToFit="false"/>
      <protection locked="true" hidden="false"/>
    </xf>
    <xf numFmtId="172" fontId="16" fillId="10" borderId="31" xfId="0" applyFont="true" applyBorder="true" applyAlignment="true" applyProtection="false">
      <alignment horizontal="general" vertical="center" textRotation="0" wrapText="true" indent="0" shrinkToFit="false"/>
      <protection locked="true" hidden="false"/>
    </xf>
    <xf numFmtId="166" fontId="4" fillId="10" borderId="24" xfId="0" applyFont="true" applyBorder="true" applyAlignment="true" applyProtection="false">
      <alignment horizontal="general" vertical="bottom" textRotation="0" wrapText="false" indent="0" shrinkToFit="false"/>
      <protection locked="true" hidden="false"/>
    </xf>
    <xf numFmtId="165" fontId="4" fillId="10" borderId="31" xfId="0" applyFont="true" applyBorder="true" applyAlignment="true" applyProtection="false">
      <alignment horizontal="general" vertical="bottom" textRotation="0" wrapText="false" indent="0" shrinkToFit="false"/>
      <protection locked="true" hidden="false"/>
    </xf>
    <xf numFmtId="166" fontId="4" fillId="10" borderId="32" xfId="0" applyFont="true" applyBorder="true" applyAlignment="true" applyProtection="false">
      <alignment horizontal="general" vertical="bottom" textRotation="0" wrapText="false" indent="0" shrinkToFit="false"/>
      <protection locked="true" hidden="false"/>
    </xf>
    <xf numFmtId="165" fontId="4" fillId="10" borderId="38" xfId="0" applyFont="true" applyBorder="true" applyAlignment="true" applyProtection="false">
      <alignment horizontal="general" vertical="bottom" textRotation="0" wrapText="false" indent="0" shrinkToFit="false"/>
      <protection locked="true" hidden="false"/>
    </xf>
    <xf numFmtId="166" fontId="4" fillId="10" borderId="39" xfId="0" applyFont="true" applyBorder="true" applyAlignment="true" applyProtection="false">
      <alignment horizontal="general" vertical="bottom" textRotation="0" wrapText="false" indent="0" shrinkToFit="false"/>
      <protection locked="true" hidden="false"/>
    </xf>
    <xf numFmtId="164" fontId="14" fillId="12" borderId="25" xfId="0" applyFont="true" applyBorder="true" applyAlignment="true" applyProtection="false">
      <alignment horizontal="left" vertical="bottom" textRotation="0" wrapText="false" indent="0" shrinkToFit="false"/>
      <protection locked="true" hidden="false"/>
    </xf>
    <xf numFmtId="164" fontId="4" fillId="13" borderId="40" xfId="0" applyFont="true" applyBorder="true" applyAlignment="true" applyProtection="false">
      <alignment horizontal="general" vertical="bottom" textRotation="0" wrapText="false" indent="0" shrinkToFit="false"/>
      <protection locked="true" hidden="false"/>
    </xf>
    <xf numFmtId="166" fontId="23" fillId="2" borderId="32" xfId="0" applyFont="true" applyBorder="true" applyAlignment="true" applyProtection="false">
      <alignment horizontal="general" vertical="bottom" textRotation="0" wrapText="false" indent="0" shrinkToFit="false"/>
      <protection locked="true" hidden="false"/>
    </xf>
    <xf numFmtId="165" fontId="23" fillId="13" borderId="10" xfId="0" applyFont="true" applyBorder="true" applyAlignment="true" applyProtection="false">
      <alignment horizontal="general" vertical="bottom" textRotation="0" wrapText="false" indent="0" shrinkToFit="false"/>
      <protection locked="true" hidden="false"/>
    </xf>
    <xf numFmtId="166" fontId="23" fillId="2" borderId="12" xfId="0" applyFont="true" applyBorder="true" applyAlignment="true" applyProtection="false">
      <alignment horizontal="general" vertical="bottom" textRotation="0" wrapText="false" indent="0" shrinkToFit="false"/>
      <protection locked="true" hidden="false"/>
    </xf>
    <xf numFmtId="166" fontId="4" fillId="2" borderId="0" xfId="0" applyFont="true" applyBorder="false" applyAlignment="true" applyProtection="false">
      <alignment horizontal="general" vertical="bottom" textRotation="0" wrapText="false" indent="0" shrinkToFit="false"/>
      <protection locked="true" hidden="false"/>
    </xf>
    <xf numFmtId="172" fontId="14" fillId="7" borderId="28" xfId="0" applyFont="true" applyBorder="true" applyAlignment="true" applyProtection="false">
      <alignment horizontal="left" vertical="bottom" textRotation="0" wrapText="false" indent="0" shrinkToFit="false"/>
      <protection locked="true" hidden="false"/>
    </xf>
    <xf numFmtId="174" fontId="14" fillId="7" borderId="41" xfId="0" applyFont="true" applyBorder="true" applyAlignment="true" applyProtection="false">
      <alignment horizontal="general" vertical="center" textRotation="0" wrapText="false" indent="0" shrinkToFit="false"/>
      <protection locked="true" hidden="false"/>
    </xf>
    <xf numFmtId="172" fontId="16" fillId="13" borderId="15" xfId="0" applyFont="true" applyBorder="true" applyAlignment="true" applyProtection="false">
      <alignment horizontal="general" vertical="bottom" textRotation="0" wrapText="false" indent="0" shrinkToFit="false"/>
      <protection locked="true" hidden="false"/>
    </xf>
    <xf numFmtId="174" fontId="14" fillId="7" borderId="13" xfId="0" applyFont="true" applyBorder="true" applyAlignment="true" applyProtection="false">
      <alignment horizontal="general" vertical="center" textRotation="0" wrapText="false" indent="0" shrinkToFit="false"/>
      <protection locked="true" hidden="false"/>
    </xf>
    <xf numFmtId="172" fontId="16" fillId="13" borderId="14" xfId="0" applyFont="true" applyBorder="true" applyAlignment="true" applyProtection="false">
      <alignment horizontal="general" vertical="bottom" textRotation="0" wrapText="false" indent="0" shrinkToFit="false"/>
      <protection locked="true" hidden="false"/>
    </xf>
    <xf numFmtId="174" fontId="14" fillId="7" borderId="42" xfId="0" applyFont="true" applyBorder="true" applyAlignment="true" applyProtection="false">
      <alignment horizontal="general" vertical="center" textRotation="0" wrapText="false" indent="0" shrinkToFit="false"/>
      <protection locked="true" hidden="false"/>
    </xf>
    <xf numFmtId="172" fontId="16" fillId="13" borderId="17" xfId="0" applyFont="true" applyBorder="true" applyAlignment="true" applyProtection="false">
      <alignment horizontal="general" vertical="bottom" textRotation="0" wrapText="false" indent="0" shrinkToFit="false"/>
      <protection locked="true" hidden="false"/>
    </xf>
    <xf numFmtId="174" fontId="14" fillId="7" borderId="16" xfId="0" applyFont="true" applyBorder="true" applyAlignment="true" applyProtection="false">
      <alignment horizontal="general" vertical="center" textRotation="0" wrapText="false" indent="0" shrinkToFit="false"/>
      <protection locked="true" hidden="false"/>
    </xf>
    <xf numFmtId="172" fontId="16" fillId="13" borderId="7" xfId="0" applyFont="true" applyBorder="true" applyAlignment="true" applyProtection="false">
      <alignment horizontal="general" vertical="bottom" textRotation="0" wrapText="false" indent="0" shrinkToFit="false"/>
      <protection locked="true" hidden="false"/>
    </xf>
    <xf numFmtId="172" fontId="14" fillId="7" borderId="43" xfId="0" applyFont="true" applyBorder="true" applyAlignment="true" applyProtection="false">
      <alignment horizontal="left" vertical="bottom" textRotation="0" wrapText="false" indent="0" shrinkToFit="false"/>
      <protection locked="true" hidden="false"/>
    </xf>
    <xf numFmtId="174" fontId="14" fillId="7" borderId="44" xfId="0" applyFont="true" applyBorder="true" applyAlignment="true" applyProtection="false">
      <alignment horizontal="general" vertical="center" textRotation="0" wrapText="false" indent="0" shrinkToFit="false"/>
      <protection locked="true" hidden="false"/>
    </xf>
    <xf numFmtId="172" fontId="16" fillId="13" borderId="20" xfId="0" applyFont="true" applyBorder="true" applyAlignment="true" applyProtection="false">
      <alignment horizontal="general" vertical="bottom" textRotation="0" wrapText="false" indent="0" shrinkToFit="false"/>
      <protection locked="true" hidden="false"/>
    </xf>
    <xf numFmtId="174" fontId="14" fillId="7" borderId="18" xfId="0" applyFont="true" applyBorder="true" applyAlignment="true" applyProtection="false">
      <alignment horizontal="general" vertical="center" textRotation="0" wrapText="false" indent="0" shrinkToFit="false"/>
      <protection locked="true" hidden="false"/>
    </xf>
    <xf numFmtId="172" fontId="16" fillId="13" borderId="19" xfId="0" applyFont="true" applyBorder="true" applyAlignment="true" applyProtection="false">
      <alignment horizontal="general" vertical="bottom" textRotation="0" wrapText="false" indent="0" shrinkToFit="false"/>
      <protection locked="true" hidden="false"/>
    </xf>
    <xf numFmtId="172" fontId="14" fillId="8" borderId="5" xfId="0" applyFont="true" applyBorder="true" applyAlignment="true" applyProtection="false">
      <alignment horizontal="left" vertical="bottom" textRotation="0" wrapText="true" indent="0" shrinkToFit="false"/>
      <protection locked="true" hidden="false"/>
    </xf>
    <xf numFmtId="174" fontId="14" fillId="8" borderId="45" xfId="0" applyFont="true" applyBorder="true" applyAlignment="true" applyProtection="false">
      <alignment horizontal="general" vertical="center" textRotation="0" wrapText="true" indent="0" shrinkToFit="false"/>
      <protection locked="true" hidden="false"/>
    </xf>
    <xf numFmtId="172" fontId="16" fillId="13" borderId="46" xfId="0" applyFont="true" applyBorder="true" applyAlignment="true" applyProtection="false">
      <alignment horizontal="general" vertical="bottom" textRotation="0" wrapText="true" indent="0" shrinkToFit="false"/>
      <protection locked="true" hidden="false"/>
    </xf>
    <xf numFmtId="174" fontId="14" fillId="8" borderId="46" xfId="0" applyFont="true" applyBorder="true" applyAlignment="true" applyProtection="false">
      <alignment horizontal="general" vertical="center" textRotation="0" wrapText="true" indent="0" shrinkToFit="false"/>
      <protection locked="true" hidden="false"/>
    </xf>
    <xf numFmtId="172" fontId="16" fillId="13" borderId="47" xfId="0" applyFont="true" applyBorder="true" applyAlignment="true" applyProtection="false">
      <alignment horizontal="general" vertical="bottom" textRotation="0" wrapText="true" indent="0" shrinkToFit="false"/>
      <protection locked="true" hidden="false"/>
    </xf>
    <xf numFmtId="172" fontId="16" fillId="13" borderId="45" xfId="0" applyFont="true" applyBorder="true" applyAlignment="true" applyProtection="false">
      <alignment horizontal="general" vertical="bottom" textRotation="0" wrapText="true" indent="0" shrinkToFit="false"/>
      <protection locked="true" hidden="false"/>
    </xf>
    <xf numFmtId="172" fontId="14" fillId="9" borderId="48" xfId="0" applyFont="true" applyBorder="true" applyAlignment="true" applyProtection="false">
      <alignment horizontal="left" vertical="bottom" textRotation="0" wrapText="false" indent="0" shrinkToFit="false"/>
      <protection locked="true" hidden="false"/>
    </xf>
    <xf numFmtId="174" fontId="14" fillId="9" borderId="0" xfId="0" applyFont="true" applyBorder="false" applyAlignment="true" applyProtection="false">
      <alignment horizontal="general" vertical="center" textRotation="0" wrapText="false" indent="0" shrinkToFit="false"/>
      <protection locked="true" hidden="false"/>
    </xf>
    <xf numFmtId="172" fontId="16" fillId="13" borderId="49" xfId="0" applyFont="true" applyBorder="true" applyAlignment="true" applyProtection="false">
      <alignment horizontal="general" vertical="bottom" textRotation="0" wrapText="false" indent="0" shrinkToFit="false"/>
      <protection locked="true" hidden="false"/>
    </xf>
    <xf numFmtId="174" fontId="14" fillId="9" borderId="46" xfId="0" applyFont="true" applyBorder="true" applyAlignment="true" applyProtection="false">
      <alignment horizontal="general" vertical="center" textRotation="0" wrapText="false" indent="0" shrinkToFit="false"/>
      <protection locked="true" hidden="false"/>
    </xf>
    <xf numFmtId="172" fontId="16" fillId="13" borderId="47" xfId="0" applyFont="true" applyBorder="true" applyAlignment="true" applyProtection="false">
      <alignment horizontal="general" vertical="bottom" textRotation="0" wrapText="false" indent="0" shrinkToFit="false"/>
      <protection locked="true" hidden="false"/>
    </xf>
    <xf numFmtId="172" fontId="16" fillId="13" borderId="45" xfId="0" applyFont="true" applyBorder="true" applyAlignment="true" applyProtection="false">
      <alignment horizontal="general" vertical="bottom" textRotation="0" wrapText="false" indent="0" shrinkToFit="false"/>
      <protection locked="true" hidden="false"/>
    </xf>
    <xf numFmtId="172" fontId="14" fillId="10" borderId="5" xfId="0" applyFont="true" applyBorder="true" applyAlignment="true" applyProtection="false">
      <alignment horizontal="left" vertical="center" textRotation="0" wrapText="true" indent="0" shrinkToFit="false"/>
      <protection locked="true" hidden="false"/>
    </xf>
    <xf numFmtId="174" fontId="14" fillId="10" borderId="47" xfId="0" applyFont="true" applyBorder="true" applyAlignment="true" applyProtection="false">
      <alignment horizontal="general" vertical="center" textRotation="0" wrapText="true" indent="0" shrinkToFit="false"/>
      <protection locked="true" hidden="false"/>
    </xf>
    <xf numFmtId="172" fontId="16" fillId="13" borderId="5" xfId="0" applyFont="true" applyBorder="true" applyAlignment="true" applyProtection="false">
      <alignment horizontal="general" vertical="center" textRotation="0" wrapText="true" indent="0" shrinkToFit="false"/>
      <protection locked="true" hidden="false"/>
    </xf>
    <xf numFmtId="174" fontId="14" fillId="10" borderId="46" xfId="0" applyFont="true" applyBorder="true" applyAlignment="true" applyProtection="false">
      <alignment horizontal="general" vertical="center" textRotation="0" wrapText="true" indent="0" shrinkToFit="false"/>
      <protection locked="true" hidden="false"/>
    </xf>
    <xf numFmtId="172" fontId="16" fillId="13" borderId="47" xfId="0" applyFont="true" applyBorder="true" applyAlignment="true" applyProtection="false">
      <alignment horizontal="general" vertical="center" textRotation="0" wrapText="true" indent="0" shrinkToFit="false"/>
      <protection locked="true" hidden="false"/>
    </xf>
    <xf numFmtId="172" fontId="16" fillId="13" borderId="45" xfId="0" applyFont="true" applyBorder="true" applyAlignment="true" applyProtection="false">
      <alignment horizontal="general" vertical="center" textRotation="0" wrapText="true" indent="0" shrinkToFit="false"/>
      <protection locked="true" hidden="false"/>
    </xf>
    <xf numFmtId="171" fontId="4"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64" fontId="11" fillId="4" borderId="5" xfId="0" applyFont="true" applyBorder="true" applyAlignment="true" applyProtection="false">
      <alignment horizontal="center" vertical="center" textRotation="0" wrapText="false" indent="0" shrinkToFit="false"/>
      <protection locked="true" hidden="false"/>
    </xf>
    <xf numFmtId="164" fontId="15" fillId="2" borderId="5" xfId="0" applyFont="true" applyBorder="true" applyAlignment="true" applyProtection="false">
      <alignment horizontal="left" vertical="top" textRotation="0" wrapText="true" indent="0" shrinkToFit="false"/>
      <protection locked="true" hidden="false"/>
    </xf>
    <xf numFmtId="164" fontId="7" fillId="4" borderId="50" xfId="0" applyFont="true" applyBorder="true" applyAlignment="true" applyProtection="false">
      <alignment horizontal="center" vertical="center" textRotation="0" wrapText="false" indent="0" shrinkToFit="false"/>
      <protection locked="true" hidden="false"/>
    </xf>
    <xf numFmtId="164" fontId="7" fillId="4" borderId="9" xfId="0" applyFont="true" applyBorder="true" applyAlignment="true" applyProtection="false">
      <alignment horizontal="left" vertical="bottom" textRotation="0" wrapText="false" indent="0" shrinkToFit="false"/>
      <protection locked="true" hidden="false"/>
    </xf>
    <xf numFmtId="164" fontId="23" fillId="4" borderId="51" xfId="0" applyFont="true" applyBorder="true" applyAlignment="true" applyProtection="false">
      <alignment horizontal="center" vertical="center" textRotation="0" wrapText="false" indent="0" shrinkToFit="false"/>
      <protection locked="true" hidden="false"/>
    </xf>
    <xf numFmtId="164" fontId="23" fillId="4" borderId="50" xfId="0" applyFont="true" applyBorder="true" applyAlignment="true" applyProtection="false">
      <alignment horizontal="center" vertical="center" textRotation="0" wrapText="false" indent="0" shrinkToFit="false"/>
      <protection locked="true" hidden="false"/>
    </xf>
    <xf numFmtId="164" fontId="4" fillId="5" borderId="52" xfId="0" applyFont="true" applyBorder="true" applyAlignment="true" applyProtection="false">
      <alignment horizontal="center" vertical="center" textRotation="0" wrapText="false" indent="0" shrinkToFit="false"/>
      <protection locked="true" hidden="false"/>
    </xf>
    <xf numFmtId="164" fontId="4" fillId="12" borderId="52" xfId="0" applyFont="true" applyBorder="true" applyAlignment="true" applyProtection="false">
      <alignment horizontal="center" vertical="center" textRotation="0" wrapText="false" indent="0" shrinkToFit="false"/>
      <protection locked="true" hidden="false"/>
    </xf>
    <xf numFmtId="164" fontId="4" fillId="5" borderId="15" xfId="0" applyFont="true" applyBorder="true" applyAlignment="true" applyProtection="false">
      <alignment horizontal="center" vertical="center" textRotation="0" wrapText="false" indent="0" shrinkToFit="false"/>
      <protection locked="true" hidden="false"/>
    </xf>
    <xf numFmtId="164" fontId="4" fillId="5" borderId="17" xfId="0" applyFont="true" applyBorder="true" applyAlignment="true" applyProtection="false">
      <alignment horizontal="center" vertical="center" textRotation="0" wrapText="false" indent="0" shrinkToFit="false"/>
      <protection locked="true" hidden="false"/>
    </xf>
    <xf numFmtId="164" fontId="4" fillId="5" borderId="53" xfId="0" applyFont="true" applyBorder="true" applyAlignment="true" applyProtection="false">
      <alignment horizontal="center" vertical="center" textRotation="0" wrapText="false" indent="0" shrinkToFit="false"/>
      <protection locked="true" hidden="false"/>
    </xf>
    <xf numFmtId="164" fontId="4" fillId="12" borderId="53" xfId="0" applyFont="true" applyBorder="true" applyAlignment="true" applyProtection="false">
      <alignment horizontal="center" vertical="center" textRotation="0" wrapText="false" indent="0" shrinkToFit="false"/>
      <protection locked="true" hidden="false"/>
    </xf>
    <xf numFmtId="164" fontId="4" fillId="12" borderId="17" xfId="0" applyFont="true" applyBorder="true" applyAlignment="true" applyProtection="false">
      <alignment horizontal="center" vertical="center" textRotation="0" wrapText="false" indent="0" shrinkToFit="false"/>
      <protection locked="true" hidden="false"/>
    </xf>
    <xf numFmtId="164" fontId="4" fillId="5" borderId="17" xfId="0" applyFont="true" applyBorder="true" applyAlignment="true" applyProtection="false">
      <alignment horizontal="center" vertical="bottom" textRotation="0" wrapText="false" indent="0" shrinkToFit="false"/>
      <protection locked="true" hidden="false"/>
    </xf>
    <xf numFmtId="164" fontId="4" fillId="5" borderId="54" xfId="0" applyFont="true" applyBorder="true" applyAlignment="true" applyProtection="false">
      <alignment horizontal="center" vertical="center" textRotation="0" wrapText="false" indent="0" shrinkToFit="false"/>
      <protection locked="true" hidden="false"/>
    </xf>
    <xf numFmtId="164" fontId="4" fillId="5" borderId="55" xfId="0" applyFont="true" applyBorder="true" applyAlignment="true" applyProtection="false">
      <alignment horizontal="center" vertical="center" textRotation="0" wrapText="false" indent="0" shrinkToFit="false"/>
      <protection locked="true" hidden="false"/>
    </xf>
    <xf numFmtId="164" fontId="4" fillId="5" borderId="20" xfId="0" applyFont="true" applyBorder="true" applyAlignment="true" applyProtection="false">
      <alignment horizontal="center" vertical="center" textRotation="0" wrapText="false" indent="0" shrinkToFit="false"/>
      <protection locked="true" hidden="false"/>
    </xf>
    <xf numFmtId="164" fontId="11" fillId="4" borderId="50" xfId="0" applyFont="true" applyBorder="true" applyAlignment="true" applyProtection="false">
      <alignment horizontal="center" vertical="center" textRotation="0" wrapText="false" indent="0" shrinkToFit="false"/>
      <protection locked="true" hidden="false"/>
    </xf>
    <xf numFmtId="164" fontId="4" fillId="5" borderId="25" xfId="0" applyFont="true" applyBorder="true" applyAlignment="true" applyProtection="false">
      <alignment horizontal="center" vertical="center" textRotation="0" wrapText="false" indent="0" shrinkToFit="false"/>
      <protection locked="true" hidden="false"/>
    </xf>
    <xf numFmtId="164" fontId="4" fillId="5" borderId="28" xfId="0" applyFont="true" applyBorder="true" applyAlignment="true" applyProtection="false">
      <alignment horizontal="center" vertical="center" textRotation="0" wrapText="false" indent="0" shrinkToFit="false"/>
      <protection locked="true" hidden="false"/>
    </xf>
    <xf numFmtId="164" fontId="4" fillId="5" borderId="43" xfId="0" applyFont="true" applyBorder="true" applyAlignment="true" applyProtection="false">
      <alignment horizontal="center" vertical="center" textRotation="0" wrapText="false" indent="0" shrinkToFit="false"/>
      <protection locked="true" hidden="false"/>
    </xf>
    <xf numFmtId="164" fontId="4" fillId="5" borderId="27" xfId="0" applyFont="true" applyBorder="true" applyAlignment="true" applyProtection="false">
      <alignment horizontal="center" vertical="center" textRotation="0" wrapText="false" indent="0" shrinkToFit="false"/>
      <protection locked="true" hidden="false"/>
    </xf>
    <xf numFmtId="164" fontId="4" fillId="5" borderId="56" xfId="0" applyFont="true" applyBorder="true" applyAlignment="true" applyProtection="false">
      <alignment horizontal="center" vertical="center" textRotation="0" wrapText="false" indent="0" shrinkToFit="false"/>
      <protection locked="true" hidden="false"/>
    </xf>
    <xf numFmtId="164" fontId="4" fillId="12" borderId="25" xfId="0" applyFont="true" applyBorder="true" applyAlignment="true" applyProtection="false">
      <alignment horizontal="center" vertical="center" textRotation="0" wrapText="false" indent="0" shrinkToFit="false"/>
      <protection locked="true" hidden="false"/>
    </xf>
    <xf numFmtId="164" fontId="4" fillId="12" borderId="28" xfId="0" applyFont="true" applyBorder="true" applyAlignment="true" applyProtection="false">
      <alignment horizontal="center" vertical="center" textRotation="0" wrapText="false" indent="0" shrinkToFit="false"/>
      <protection locked="true" hidden="false"/>
    </xf>
    <xf numFmtId="164" fontId="4" fillId="12" borderId="43" xfId="0" applyFont="true" applyBorder="true" applyAlignment="true" applyProtection="false">
      <alignment horizontal="center" vertical="center" textRotation="0" wrapText="false" indent="0" shrinkToFit="false"/>
      <protection locked="true" hidden="false"/>
    </xf>
    <xf numFmtId="164" fontId="11" fillId="2" borderId="0" xfId="0" applyFont="true" applyBorder="fals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11" fillId="13" borderId="0" xfId="0" applyFont="true" applyBorder="false" applyAlignment="true" applyProtection="false">
      <alignment horizontal="center" vertical="center" textRotation="0" wrapText="false" indent="0" shrinkToFit="false"/>
      <protection locked="true" hidden="false"/>
    </xf>
    <xf numFmtId="164" fontId="4" fillId="13" borderId="0" xfId="0" applyFont="true" applyBorder="false" applyAlignment="true" applyProtection="false">
      <alignment horizontal="general" vertical="bottom" textRotation="0" wrapText="false" indent="0" shrinkToFit="false"/>
      <protection locked="true" hidden="false"/>
    </xf>
    <xf numFmtId="171" fontId="4" fillId="13" borderId="0" xfId="0" applyFont="true" applyBorder="false" applyAlignment="true" applyProtection="false">
      <alignment horizontal="general" vertical="bottom" textRotation="0" wrapText="false" indent="0" shrinkToFit="false"/>
      <protection locked="true" hidden="false"/>
    </xf>
    <xf numFmtId="164" fontId="4" fillId="13" borderId="0" xfId="0" applyFont="true" applyBorder="false" applyAlignment="true" applyProtection="false">
      <alignment horizontal="center" vertical="center" textRotation="0" wrapText="false" indent="0" shrinkToFit="false"/>
      <protection locked="true" hidden="false"/>
    </xf>
    <xf numFmtId="172" fontId="25" fillId="5" borderId="46" xfId="0" applyFont="true" applyBorder="true" applyAlignment="true" applyProtection="false">
      <alignment horizontal="center" vertical="center" textRotation="0" wrapText="false" indent="0" shrinkToFit="false"/>
      <protection locked="true" hidden="false"/>
    </xf>
    <xf numFmtId="172" fontId="25" fillId="5" borderId="57" xfId="0" applyFont="true" applyBorder="true" applyAlignment="true" applyProtection="false">
      <alignment horizontal="center" vertical="center" textRotation="0" wrapText="false" indent="0" shrinkToFit="false"/>
      <protection locked="true" hidden="false"/>
    </xf>
    <xf numFmtId="172" fontId="25" fillId="5" borderId="20" xfId="0" applyFont="true" applyBorder="true" applyAlignment="true" applyProtection="false">
      <alignment horizontal="center" vertical="center" textRotation="0" wrapText="false" indent="0" shrinkToFit="false"/>
      <protection locked="true" hidden="false"/>
    </xf>
    <xf numFmtId="164" fontId="23" fillId="5" borderId="18" xfId="0" applyFont="true" applyBorder="true" applyAlignment="true" applyProtection="false">
      <alignment horizontal="center" vertical="center" textRotation="0" wrapText="true" indent="0" shrinkToFit="false"/>
      <protection locked="true" hidden="false"/>
    </xf>
    <xf numFmtId="164" fontId="23" fillId="5" borderId="20" xfId="0" applyFont="true" applyBorder="true" applyAlignment="true" applyProtection="false">
      <alignment horizontal="center" vertical="center" textRotation="0" wrapText="true" indent="0" shrinkToFit="false"/>
      <protection locked="true" hidden="false"/>
    </xf>
    <xf numFmtId="166" fontId="4" fillId="7" borderId="15" xfId="0" applyFont="true" applyBorder="true" applyAlignment="true" applyProtection="false">
      <alignment horizontal="general" vertical="bottom" textRotation="0" wrapText="false" indent="0" shrinkToFit="false"/>
      <protection locked="true" hidden="false"/>
    </xf>
    <xf numFmtId="166" fontId="4" fillId="7" borderId="20" xfId="0" applyFont="true" applyBorder="true" applyAlignment="true" applyProtection="false">
      <alignment horizontal="general" vertical="bottom" textRotation="0" wrapText="false" indent="0" shrinkToFit="false"/>
      <protection locked="true" hidden="false"/>
    </xf>
    <xf numFmtId="166" fontId="4" fillId="8" borderId="52" xfId="0" applyFont="true" applyBorder="true" applyAlignment="true" applyProtection="false">
      <alignment horizontal="general" vertical="bottom" textRotation="0" wrapText="false" indent="0" shrinkToFit="false"/>
      <protection locked="true" hidden="false"/>
    </xf>
    <xf numFmtId="166" fontId="4" fillId="8" borderId="53" xfId="0" applyFont="true" applyBorder="true" applyAlignment="true" applyProtection="false">
      <alignment horizontal="general" vertical="bottom" textRotation="0" wrapText="false" indent="0" shrinkToFit="false"/>
      <protection locked="true" hidden="false"/>
    </xf>
    <xf numFmtId="165" fontId="4" fillId="8" borderId="18" xfId="0" applyFont="true" applyBorder="true" applyAlignment="true" applyProtection="false">
      <alignment horizontal="center" vertical="bottom" textRotation="0" wrapText="false" indent="0" shrinkToFit="false"/>
      <protection locked="true" hidden="false"/>
    </xf>
    <xf numFmtId="165" fontId="4" fillId="9" borderId="13" xfId="0" applyFont="true" applyBorder="true" applyAlignment="true" applyProtection="false">
      <alignment horizontal="center" vertical="bottom" textRotation="0" wrapText="false" indent="0" shrinkToFit="false"/>
      <protection locked="true" hidden="false"/>
    </xf>
    <xf numFmtId="165" fontId="4" fillId="9" borderId="15" xfId="0" applyFont="true" applyBorder="true" applyAlignment="true" applyProtection="false">
      <alignment horizontal="general" vertical="bottom" textRotation="0" wrapText="false" indent="0" shrinkToFit="false"/>
      <protection locked="true" hidden="false"/>
    </xf>
    <xf numFmtId="165" fontId="4" fillId="9" borderId="16" xfId="0" applyFont="true" applyBorder="true" applyAlignment="true" applyProtection="false">
      <alignment horizontal="center" vertical="bottom" textRotation="0" wrapText="false" indent="0" shrinkToFit="false"/>
      <protection locked="true" hidden="false"/>
    </xf>
    <xf numFmtId="165" fontId="4" fillId="9" borderId="17" xfId="0" applyFont="true" applyBorder="true" applyAlignment="true" applyProtection="false">
      <alignment horizontal="general" vertical="bottom" textRotation="0" wrapText="false" indent="0" shrinkToFit="false"/>
      <protection locked="true" hidden="false"/>
    </xf>
    <xf numFmtId="165" fontId="4" fillId="9" borderId="18" xfId="0" applyFont="true" applyBorder="true" applyAlignment="true" applyProtection="false">
      <alignment horizontal="center" vertical="bottom" textRotation="0" wrapText="false" indent="0" shrinkToFit="false"/>
      <protection locked="true" hidden="false"/>
    </xf>
    <xf numFmtId="165" fontId="4" fillId="9" borderId="20" xfId="0" applyFont="true" applyBorder="true" applyAlignment="true" applyProtection="false">
      <alignment horizontal="general" vertical="bottom" textRotation="0" wrapText="false" indent="0" shrinkToFit="false"/>
      <protection locked="true" hidden="false"/>
    </xf>
    <xf numFmtId="172" fontId="16" fillId="8" borderId="10" xfId="0" applyFont="true" applyBorder="true" applyAlignment="true" applyProtection="false">
      <alignment horizontal="general" vertical="center" textRotation="0" wrapText="true" indent="0" shrinkToFit="false"/>
      <protection locked="true" hidden="false"/>
    </xf>
    <xf numFmtId="166" fontId="4" fillId="8" borderId="58" xfId="0" applyFont="true" applyBorder="true" applyAlignment="true" applyProtection="false">
      <alignment horizontal="general" vertical="bottom" textRotation="0" wrapText="false" indent="0" shrinkToFit="false"/>
      <protection locked="true" hidden="false"/>
    </xf>
    <xf numFmtId="165" fontId="4" fillId="8" borderId="21" xfId="0" applyFont="true" applyBorder="true" applyAlignment="true" applyProtection="false">
      <alignment horizontal="center" vertical="bottom" textRotation="0" wrapText="false" indent="0" shrinkToFit="false"/>
      <protection locked="true" hidden="false"/>
    </xf>
    <xf numFmtId="166" fontId="4" fillId="8" borderId="23" xfId="0" applyFont="true" applyBorder="true" applyAlignment="true" applyProtection="false">
      <alignment horizontal="general" vertical="bottom" textRotation="0" wrapText="false" indent="0" shrinkToFit="false"/>
      <protection locked="true" hidden="false"/>
    </xf>
    <xf numFmtId="165" fontId="4" fillId="8" borderId="21" xfId="0" applyFont="true" applyBorder="true" applyAlignment="true" applyProtection="false">
      <alignment horizontal="general" vertical="bottom" textRotation="0" wrapText="false" indent="0" shrinkToFit="false"/>
      <protection locked="true" hidden="false"/>
    </xf>
    <xf numFmtId="165" fontId="4" fillId="8" borderId="23" xfId="0" applyFont="true" applyBorder="true" applyAlignment="true" applyProtection="false">
      <alignment horizontal="general" vertical="bottom" textRotation="0" wrapText="false" indent="0" shrinkToFit="false"/>
      <protection locked="true" hidden="false"/>
    </xf>
    <xf numFmtId="164" fontId="14" fillId="12" borderId="5" xfId="0" applyFont="true" applyBorder="true" applyAlignment="true" applyProtection="false">
      <alignment horizontal="left" vertical="bottom" textRotation="0" wrapText="false" indent="0" shrinkToFit="false"/>
      <protection locked="true" hidden="false"/>
    </xf>
    <xf numFmtId="172" fontId="14" fillId="7" borderId="25" xfId="0" applyFont="true" applyBorder="true" applyAlignment="true" applyProtection="false">
      <alignment horizontal="left" vertical="bottom" textRotation="0" wrapText="false" indent="0" shrinkToFit="false"/>
      <protection locked="true" hidden="false"/>
    </xf>
    <xf numFmtId="172" fontId="14" fillId="8" borderId="48" xfId="0" applyFont="true" applyBorder="true" applyAlignment="true" applyProtection="false">
      <alignment horizontal="left" vertical="bottom" textRotation="0" wrapText="true" indent="0" shrinkToFit="false"/>
      <protection locked="true" hidden="false"/>
    </xf>
    <xf numFmtId="174" fontId="14" fillId="8" borderId="47" xfId="0" applyFont="true" applyBorder="true" applyAlignment="true" applyProtection="false">
      <alignment horizontal="general" vertical="center" textRotation="0" wrapText="true" indent="0" shrinkToFit="false"/>
      <protection locked="true" hidden="false"/>
    </xf>
    <xf numFmtId="172" fontId="14" fillId="9" borderId="5" xfId="0" applyFont="true" applyBorder="true" applyAlignment="true" applyProtection="false">
      <alignment horizontal="left" vertical="bottom" textRotation="0" wrapText="false" indent="0" shrinkToFit="false"/>
      <protection locked="true" hidden="false"/>
    </xf>
    <xf numFmtId="174" fontId="14" fillId="9" borderId="47" xfId="0" applyFont="true" applyBorder="true" applyAlignment="true" applyProtection="false">
      <alignment horizontal="general" vertical="center" textRotation="0" wrapText="false" indent="0" shrinkToFit="false"/>
      <protection locked="true" hidden="false"/>
    </xf>
    <xf numFmtId="172" fontId="16" fillId="13" borderId="46" xfId="0" applyFont="true" applyBorder="true" applyAlignment="true" applyProtection="false">
      <alignment horizontal="general" vertical="bottom" textRotation="0" wrapText="false" indent="0" shrinkToFit="false"/>
      <protection locked="true" hidden="false"/>
    </xf>
    <xf numFmtId="172" fontId="14" fillId="10" borderId="8" xfId="0" applyFont="true" applyBorder="true" applyAlignment="true" applyProtection="false">
      <alignment horizontal="left" vertical="center" textRotation="0" wrapText="true" indent="0" shrinkToFit="false"/>
      <protection locked="true" hidden="false"/>
    </xf>
    <xf numFmtId="172" fontId="16" fillId="13" borderId="46" xfId="0" applyFont="true" applyBorder="true" applyAlignment="true" applyProtection="false">
      <alignment horizontal="general" vertical="center" textRotation="0" wrapText="true" indent="0" shrinkToFit="false"/>
      <protection locked="true" hidden="false"/>
    </xf>
    <xf numFmtId="164" fontId="7" fillId="4" borderId="59" xfId="0" applyFont="true" applyBorder="true" applyAlignment="true" applyProtection="false">
      <alignment horizontal="center" vertical="center" textRotation="0" wrapText="false" indent="0" shrinkToFit="false"/>
      <protection locked="true" hidden="false"/>
    </xf>
    <xf numFmtId="164" fontId="23" fillId="4" borderId="5" xfId="0" applyFont="true" applyBorder="true" applyAlignment="true" applyProtection="false">
      <alignment horizontal="center" vertical="center" textRotation="0" wrapText="false" indent="0" shrinkToFit="false"/>
      <protection locked="true" hidden="false"/>
    </xf>
    <xf numFmtId="164" fontId="4" fillId="5" borderId="59" xfId="0" applyFont="true" applyBorder="true" applyAlignment="true" applyProtection="false">
      <alignment horizontal="center" vertical="center" textRotation="0" wrapText="false" indent="0" shrinkToFit="false"/>
      <protection locked="true" hidden="false"/>
    </xf>
    <xf numFmtId="164" fontId="4" fillId="5" borderId="50" xfId="0" applyFont="true" applyBorder="true" applyAlignment="true" applyProtection="false">
      <alignment horizontal="center" vertical="center" textRotation="0" wrapText="false" indent="0" shrinkToFit="false"/>
      <protection locked="true" hidden="false"/>
    </xf>
    <xf numFmtId="164" fontId="4" fillId="5" borderId="26" xfId="0" applyFont="true" applyBorder="true" applyAlignment="true" applyProtection="false">
      <alignment horizontal="center" vertical="center" textRotation="0" wrapText="false" indent="0" shrinkToFit="false"/>
      <protection locked="true" hidden="false"/>
    </xf>
    <xf numFmtId="164" fontId="4" fillId="5" borderId="13" xfId="0" applyFont="true" applyBorder="true" applyAlignment="true" applyProtection="false">
      <alignment horizontal="center" vertical="center" textRotation="0" wrapText="false" indent="0" shrinkToFit="false"/>
      <protection locked="true" hidden="false"/>
    </xf>
    <xf numFmtId="164" fontId="4" fillId="5" borderId="16" xfId="0" applyFont="true" applyBorder="true" applyAlignment="true" applyProtection="false">
      <alignment horizontal="center" vertical="center" textRotation="0" wrapText="false" indent="0" shrinkToFit="false"/>
      <protection locked="true" hidden="false"/>
    </xf>
    <xf numFmtId="164" fontId="4" fillId="5" borderId="36" xfId="0" applyFont="true" applyBorder="true" applyAlignment="true" applyProtection="false">
      <alignment horizontal="center" vertical="center" textRotation="0" wrapText="false" indent="0" shrinkToFit="false"/>
      <protection locked="true" hidden="false"/>
    </xf>
    <xf numFmtId="164" fontId="4" fillId="5" borderId="18" xfId="0" applyFont="true" applyBorder="true" applyAlignment="true" applyProtection="false">
      <alignment horizontal="center" vertical="center" textRotation="0" wrapText="false" indent="0" shrinkToFit="false"/>
      <protection locked="true" hidden="false"/>
    </xf>
    <xf numFmtId="172" fontId="25" fillId="5" borderId="60" xfId="0" applyFont="true" applyBorder="true" applyAlignment="true" applyProtection="false">
      <alignment horizontal="center" vertical="center" textRotation="0" wrapText="false" indent="0" shrinkToFit="false"/>
      <protection locked="true" hidden="false"/>
    </xf>
    <xf numFmtId="172" fontId="25" fillId="5" borderId="61" xfId="0" applyFont="true" applyBorder="true" applyAlignment="true" applyProtection="false">
      <alignment horizontal="center" vertical="center" textRotation="0" wrapText="false" indent="0" shrinkToFit="false"/>
      <protection locked="true" hidden="false"/>
    </xf>
    <xf numFmtId="172" fontId="25" fillId="5" borderId="56" xfId="0" applyFont="true" applyBorder="true" applyAlignment="true" applyProtection="false">
      <alignment horizontal="center" vertical="center" textRotation="0" wrapText="false" indent="0" shrinkToFit="false"/>
      <protection locked="true" hidden="false"/>
    </xf>
    <xf numFmtId="164" fontId="23" fillId="5" borderId="56" xfId="0" applyFont="true" applyBorder="true" applyAlignment="true" applyProtection="false">
      <alignment horizontal="center" vertical="center" textRotation="0" wrapText="false" indent="0" shrinkToFit="false"/>
      <protection locked="true" hidden="false"/>
    </xf>
    <xf numFmtId="172" fontId="16" fillId="10" borderId="10" xfId="0" applyFont="true" applyBorder="true" applyAlignment="true" applyProtection="false">
      <alignment horizontal="general" vertical="center" textRotation="0" wrapText="true" indent="0" shrinkToFit="false"/>
      <protection locked="true" hidden="false"/>
    </xf>
    <xf numFmtId="166" fontId="4" fillId="10" borderId="58" xfId="0" applyFont="true" applyBorder="true" applyAlignment="true" applyProtection="false">
      <alignment horizontal="general" vertical="bottom" textRotation="0" wrapText="false" indent="0" shrinkToFit="false"/>
      <protection locked="true" hidden="false"/>
    </xf>
    <xf numFmtId="165" fontId="4" fillId="10" borderId="21" xfId="0" applyFont="true" applyBorder="true" applyAlignment="true" applyProtection="false">
      <alignment horizontal="general" vertical="bottom" textRotation="0" wrapText="false" indent="0" shrinkToFit="false"/>
      <protection locked="true" hidden="false"/>
    </xf>
    <xf numFmtId="166" fontId="4" fillId="10" borderId="23" xfId="0" applyFont="true" applyBorder="true" applyAlignment="true" applyProtection="false">
      <alignment horizontal="general" vertical="bottom" textRotation="0" wrapText="false" indent="0" shrinkToFit="false"/>
      <protection locked="true" hidden="false"/>
    </xf>
    <xf numFmtId="165" fontId="4" fillId="10" borderId="23" xfId="0" applyFont="true" applyBorder="true" applyAlignment="true" applyProtection="false">
      <alignment horizontal="general" vertical="bottom" textRotation="0" wrapText="false" indent="0" shrinkToFit="false"/>
      <protection locked="true" hidden="false"/>
    </xf>
    <xf numFmtId="164" fontId="23" fillId="12" borderId="50" xfId="0" applyFont="true" applyBorder="true" applyAlignment="true" applyProtection="false">
      <alignment horizontal="left" vertical="bottom" textRotation="0" wrapText="false" indent="0" shrinkToFit="false"/>
      <protection locked="true" hidden="false"/>
    </xf>
    <xf numFmtId="172" fontId="14" fillId="8" borderId="48" xfId="0" applyFont="true" applyBorder="true" applyAlignment="true" applyProtection="false">
      <alignment horizontal="left" vertical="bottom" textRotation="0" wrapText="false" indent="0" shrinkToFit="false"/>
      <protection locked="true" hidden="false"/>
    </xf>
    <xf numFmtId="172" fontId="14" fillId="10" borderId="8" xfId="0" applyFont="true" applyBorder="true" applyAlignment="true" applyProtection="false">
      <alignment horizontal="left" vertical="center" textRotation="0" wrapText="false" indent="0" shrinkToFit="false"/>
      <protection locked="true" hidden="false"/>
    </xf>
    <xf numFmtId="164" fontId="4" fillId="5" borderId="28" xfId="0" applyFont="true" applyBorder="true" applyAlignment="true" applyProtection="false">
      <alignment horizontal="center"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true" indent="0" shrinkToFit="false"/>
      <protection locked="true" hidden="false"/>
    </xf>
    <xf numFmtId="164" fontId="9" fillId="3" borderId="0" xfId="0" applyFont="true" applyBorder="false" applyAlignment="true" applyProtection="false">
      <alignment horizontal="general" vertical="center" textRotation="0" wrapText="fals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11" fillId="6" borderId="5" xfId="0" applyFont="true" applyBorder="true" applyAlignment="true" applyProtection="false">
      <alignment horizontal="center" vertical="bottom" textRotation="0" wrapText="false" indent="0" shrinkToFit="false"/>
      <protection locked="true" hidden="false"/>
    </xf>
    <xf numFmtId="164" fontId="11" fillId="14" borderId="5" xfId="0" applyFont="true" applyBorder="true" applyAlignment="true" applyProtection="false">
      <alignment horizontal="center" vertical="bottom" textRotation="0" wrapText="false" indent="0" shrinkToFit="false"/>
      <protection locked="true" hidden="false"/>
    </xf>
    <xf numFmtId="176" fontId="4" fillId="2" borderId="0" xfId="0" applyFont="true" applyBorder="false" applyAlignment="true" applyProtection="false">
      <alignment horizontal="general" vertical="bottom" textRotation="0" wrapText="false" indent="0" shrinkToFit="false"/>
      <protection locked="true" hidden="false"/>
    </xf>
    <xf numFmtId="164" fontId="11" fillId="8" borderId="5" xfId="0" applyFont="true" applyBorder="true" applyAlignment="true" applyProtection="false">
      <alignment horizontal="center" vertical="bottom" textRotation="0" wrapText="false" indent="0" shrinkToFit="false"/>
      <protection locked="true" hidden="false"/>
    </xf>
    <xf numFmtId="164" fontId="4" fillId="2" borderId="5" xfId="0" applyFont="true" applyBorder="true" applyAlignment="true" applyProtection="false">
      <alignment horizontal="left" vertical="top" textRotation="0" wrapText="true" indent="0" shrinkToFit="false"/>
      <protection locked="true" hidden="false"/>
    </xf>
    <xf numFmtId="164" fontId="11" fillId="2" borderId="0" xfId="0" applyFont="true" applyBorder="false" applyAlignment="true" applyProtection="false">
      <alignment horizontal="general" vertical="bottom" textRotation="0" wrapText="false" indent="0" shrinkToFit="false"/>
      <protection locked="true" hidden="false"/>
    </xf>
    <xf numFmtId="164" fontId="4" fillId="2" borderId="7" xfId="0" applyFont="true" applyBorder="true" applyAlignment="true" applyProtection="false">
      <alignment horizontal="general" vertical="bottom" textRotation="0" wrapText="true" indent="0" shrinkToFit="false"/>
      <protection locked="true" hidden="false"/>
    </xf>
    <xf numFmtId="164" fontId="4" fillId="2" borderId="7" xfId="0" applyFont="true" applyBorder="true" applyAlignment="true" applyProtection="false">
      <alignment horizontal="center" vertical="bottom" textRotation="0" wrapText="true" indent="0" shrinkToFit="false"/>
      <protection locked="true" hidden="false"/>
    </xf>
    <xf numFmtId="164" fontId="4" fillId="2" borderId="7" xfId="0" applyFont="true" applyBorder="true" applyAlignment="true" applyProtection="false">
      <alignment horizontal="general" vertical="bottom" textRotation="0" wrapText="false" indent="0" shrinkToFit="false"/>
      <protection locked="true" hidden="false"/>
    </xf>
    <xf numFmtId="164" fontId="4" fillId="7" borderId="15" xfId="0" applyFont="true" applyBorder="true" applyAlignment="true" applyProtection="false">
      <alignment horizontal="general" vertical="bottom" textRotation="0" wrapText="true" indent="0" shrinkToFit="false"/>
      <protection locked="true" hidden="false"/>
    </xf>
    <xf numFmtId="164" fontId="4" fillId="2" borderId="62" xfId="0" applyFont="true" applyBorder="true" applyAlignment="true" applyProtection="false">
      <alignment horizontal="general" vertical="bottom" textRotation="0" wrapText="true" indent="0" shrinkToFit="false"/>
      <protection locked="true" hidden="false"/>
    </xf>
    <xf numFmtId="164" fontId="4" fillId="2" borderId="62" xfId="0" applyFont="true" applyBorder="true" applyAlignment="true" applyProtection="false">
      <alignment horizontal="center" vertical="bottom" textRotation="0" wrapText="true" indent="0" shrinkToFit="false"/>
      <protection locked="true" hidden="false"/>
    </xf>
    <xf numFmtId="164" fontId="4" fillId="2" borderId="62" xfId="0" applyFont="true" applyBorder="true" applyAlignment="true" applyProtection="false">
      <alignment horizontal="general" vertical="bottom" textRotation="0" wrapText="false" indent="0" shrinkToFit="false"/>
      <protection locked="true" hidden="false"/>
    </xf>
    <xf numFmtId="164" fontId="4" fillId="7" borderId="17" xfId="0" applyFont="true" applyBorder="true" applyAlignment="true" applyProtection="false">
      <alignment horizontal="general" vertical="bottom" textRotation="0" wrapText="true" indent="0" shrinkToFit="false"/>
      <protection locked="true" hidden="false"/>
    </xf>
    <xf numFmtId="164" fontId="4" fillId="2" borderId="5" xfId="0" applyFont="true" applyBorder="true" applyAlignment="true" applyProtection="false">
      <alignment horizontal="center" vertical="center" textRotation="0" wrapText="true" indent="0" shrinkToFit="false"/>
      <protection locked="true" hidden="false"/>
    </xf>
    <xf numFmtId="164" fontId="23" fillId="2" borderId="63" xfId="0" applyFont="true" applyBorder="true" applyAlignment="true" applyProtection="false">
      <alignment horizontal="center" vertical="center" textRotation="0" wrapText="true" indent="0" shrinkToFit="false"/>
      <protection locked="true" hidden="false"/>
    </xf>
    <xf numFmtId="164" fontId="23" fillId="2" borderId="32" xfId="0" applyFont="true" applyBorder="true" applyAlignment="true" applyProtection="false">
      <alignment horizontal="center" vertical="top" textRotation="0" wrapText="true" indent="0" shrinkToFit="false"/>
      <protection locked="true" hidden="false"/>
    </xf>
    <xf numFmtId="164" fontId="4" fillId="7" borderId="20" xfId="0" applyFont="true" applyBorder="true" applyAlignment="true" applyProtection="false">
      <alignment horizontal="general" vertical="bottom" textRotation="0" wrapText="true" indent="0" shrinkToFit="false"/>
      <protection locked="true" hidden="false"/>
    </xf>
    <xf numFmtId="164" fontId="23" fillId="12" borderId="38" xfId="0" applyFont="true" applyBorder="true" applyAlignment="true" applyProtection="false">
      <alignment horizontal="center" vertical="center" textRotation="0" wrapText="true" indent="0" shrinkToFit="false"/>
      <protection locked="true" hidden="false"/>
    </xf>
    <xf numFmtId="164" fontId="23" fillId="12" borderId="39" xfId="0" applyFont="true" applyBorder="true" applyAlignment="true" applyProtection="false">
      <alignment horizontal="center" vertical="center" textRotation="0" wrapText="tru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23" fillId="2" borderId="0" xfId="0" applyFont="true" applyBorder="false" applyAlignment="true" applyProtection="false">
      <alignment horizontal="center" vertical="center" textRotation="0" wrapText="true" indent="0" shrinkToFit="false"/>
      <protection locked="true" hidden="false"/>
    </xf>
    <xf numFmtId="164" fontId="23" fillId="2" borderId="0" xfId="0" applyFont="true" applyBorder="false" applyAlignment="true" applyProtection="false">
      <alignment horizontal="center" vertical="bottom" textRotation="0" wrapText="true" indent="0" shrinkToFit="false"/>
      <protection locked="true" hidden="false"/>
    </xf>
    <xf numFmtId="164" fontId="4" fillId="13" borderId="0" xfId="0" applyFont="true" applyBorder="false" applyAlignment="true" applyProtection="false">
      <alignment horizontal="center" vertical="center" textRotation="0" wrapText="true" indent="0" shrinkToFit="false"/>
      <protection locked="true" hidden="false"/>
    </xf>
    <xf numFmtId="164" fontId="23" fillId="13" borderId="0" xfId="0" applyFont="true" applyBorder="false" applyAlignment="true" applyProtection="false">
      <alignment horizontal="center" vertical="center" textRotation="0" wrapText="true" indent="0" shrinkToFit="false"/>
      <protection locked="true" hidden="false"/>
    </xf>
    <xf numFmtId="164" fontId="23" fillId="13" borderId="0" xfId="0" applyFont="true" applyBorder="false" applyAlignment="true" applyProtection="false">
      <alignment horizontal="center" vertical="bottom" textRotation="0" wrapText="true" indent="0" shrinkToFit="false"/>
      <protection locked="true" hidden="false"/>
    </xf>
    <xf numFmtId="164" fontId="11" fillId="15" borderId="64" xfId="0" applyFont="true" applyBorder="true" applyAlignment="true" applyProtection="false">
      <alignment horizontal="center" vertical="bottom" textRotation="0" wrapText="false" indent="0" shrinkToFit="false"/>
      <protection locked="true" hidden="false"/>
    </xf>
    <xf numFmtId="164" fontId="23" fillId="4" borderId="31" xfId="0" applyFont="true" applyBorder="true" applyAlignment="true" applyProtection="false">
      <alignment horizontal="center" vertical="center" textRotation="0" wrapText="true" indent="0" shrinkToFit="false"/>
      <protection locked="true" hidden="false"/>
    </xf>
    <xf numFmtId="164" fontId="23" fillId="4" borderId="65" xfId="0" applyFont="true" applyBorder="true" applyAlignment="true" applyProtection="false">
      <alignment horizontal="center" vertical="center" textRotation="0" wrapText="true" indent="0" shrinkToFit="false"/>
      <protection locked="true" hidden="false"/>
    </xf>
    <xf numFmtId="164" fontId="23" fillId="4" borderId="32" xfId="0" applyFont="true" applyBorder="true" applyAlignment="true" applyProtection="false">
      <alignment horizontal="center" vertical="center" textRotation="0" wrapText="true" indent="0" shrinkToFit="false"/>
      <protection locked="true" hidden="false"/>
    </xf>
    <xf numFmtId="164" fontId="23" fillId="16" borderId="31" xfId="0" applyFont="true" applyBorder="true" applyAlignment="true" applyProtection="false">
      <alignment horizontal="center" vertical="center" textRotation="0" wrapText="true" indent="0" shrinkToFit="false"/>
      <protection locked="true" hidden="false"/>
    </xf>
    <xf numFmtId="164" fontId="23" fillId="16" borderId="65" xfId="0" applyFont="true" applyBorder="true" applyAlignment="true" applyProtection="false">
      <alignment horizontal="center" vertical="center" textRotation="0" wrapText="true" indent="0" shrinkToFit="false"/>
      <protection locked="true" hidden="false"/>
    </xf>
    <xf numFmtId="164" fontId="23" fillId="16" borderId="32" xfId="0" applyFont="true" applyBorder="true" applyAlignment="true" applyProtection="false">
      <alignment horizontal="center" vertical="center" textRotation="0" wrapText="true" indent="0" shrinkToFit="false"/>
      <protection locked="true" hidden="false"/>
    </xf>
    <xf numFmtId="164" fontId="23" fillId="17" borderId="66" xfId="0" applyFont="true" applyBorder="true" applyAlignment="true" applyProtection="false">
      <alignment horizontal="general" vertical="bottom" textRotation="0" wrapText="false" indent="0" shrinkToFit="false"/>
      <protection locked="true" hidden="false"/>
    </xf>
    <xf numFmtId="164" fontId="23" fillId="17" borderId="65" xfId="0" applyFont="true" applyBorder="true" applyAlignment="true" applyProtection="false">
      <alignment horizontal="general" vertical="bottom" textRotation="0" wrapText="false" indent="0" shrinkToFit="false"/>
      <protection locked="true" hidden="false"/>
    </xf>
    <xf numFmtId="164" fontId="23" fillId="17" borderId="67" xfId="0" applyFont="true" applyBorder="true" applyAlignment="true" applyProtection="false">
      <alignment horizontal="general" vertical="bottom" textRotation="0" wrapText="false" indent="0" shrinkToFit="false"/>
      <protection locked="true" hidden="false"/>
    </xf>
    <xf numFmtId="164" fontId="4" fillId="2" borderId="13" xfId="0" applyFont="true" applyBorder="true" applyAlignment="true" applyProtection="false">
      <alignment horizontal="center" vertical="center" textRotation="0" wrapText="false" indent="0" shrinkToFit="false"/>
      <protection locked="true" hidden="false"/>
    </xf>
    <xf numFmtId="164" fontId="4" fillId="2" borderId="14" xfId="0" applyFont="true" applyBorder="true" applyAlignment="true" applyProtection="false">
      <alignment horizontal="left" vertical="center" textRotation="0" wrapText="false" indent="0" shrinkToFit="false"/>
      <protection locked="true" hidden="false"/>
    </xf>
    <xf numFmtId="164" fontId="4" fillId="2" borderId="14" xfId="0" applyFont="true" applyBorder="true" applyAlignment="true" applyProtection="false">
      <alignment horizontal="center" vertical="center" textRotation="0" wrapText="false" indent="0" shrinkToFit="false"/>
      <protection locked="true" hidden="false"/>
    </xf>
    <xf numFmtId="164" fontId="4" fillId="2" borderId="15" xfId="0" applyFont="true" applyBorder="true" applyAlignment="true" applyProtection="false">
      <alignment horizontal="center" vertical="center" textRotation="0" wrapText="false" indent="0" shrinkToFit="false"/>
      <protection locked="true" hidden="false"/>
    </xf>
    <xf numFmtId="164" fontId="4" fillId="2" borderId="68" xfId="0" applyFont="true" applyBorder="true" applyAlignment="true" applyProtection="false">
      <alignment horizontal="general" vertical="bottom" textRotation="0" wrapText="false" indent="0" shrinkToFit="false"/>
      <protection locked="true" hidden="false"/>
    </xf>
    <xf numFmtId="177" fontId="4" fillId="2" borderId="14" xfId="0" applyFont="true" applyBorder="true" applyAlignment="true" applyProtection="false">
      <alignment horizontal="general" vertical="bottom" textRotation="0" wrapText="false" indent="0" shrinkToFit="false"/>
      <protection locked="true" hidden="false"/>
    </xf>
    <xf numFmtId="178" fontId="4" fillId="2" borderId="14" xfId="0" applyFont="true" applyBorder="true" applyAlignment="true" applyProtection="false">
      <alignment horizontal="general" vertical="bottom" textRotation="0" wrapText="false" indent="0" shrinkToFit="false"/>
      <protection locked="true" hidden="false"/>
    </xf>
    <xf numFmtId="178" fontId="4" fillId="2" borderId="69" xfId="0" applyFont="true" applyBorder="true" applyAlignment="true" applyProtection="false">
      <alignment horizontal="general" vertical="bottom" textRotation="0" wrapText="false" indent="0" shrinkToFit="false"/>
      <protection locked="true" hidden="false"/>
    </xf>
    <xf numFmtId="176" fontId="4" fillId="2" borderId="14" xfId="0" applyFont="true" applyBorder="true" applyAlignment="true" applyProtection="false">
      <alignment horizontal="general" vertical="bottom" textRotation="0" wrapText="false" indent="0" shrinkToFit="false"/>
      <protection locked="true" hidden="false"/>
    </xf>
    <xf numFmtId="176" fontId="4" fillId="2" borderId="69" xfId="0" applyFont="true" applyBorder="true" applyAlignment="true" applyProtection="false">
      <alignment horizontal="general" vertical="bottom" textRotation="0" wrapText="false" indent="0" shrinkToFit="false"/>
      <protection locked="true" hidden="false"/>
    </xf>
    <xf numFmtId="164" fontId="4" fillId="2" borderId="36" xfId="0" applyFont="true" applyBorder="true" applyAlignment="true" applyProtection="false">
      <alignment horizontal="center" vertical="center" textRotation="0" wrapText="false" indent="0" shrinkToFit="false"/>
      <protection locked="true" hidden="false"/>
    </xf>
    <xf numFmtId="164" fontId="4" fillId="2" borderId="6" xfId="0" applyFont="true" applyBorder="true" applyAlignment="true" applyProtection="false">
      <alignment horizontal="general" vertical="center" textRotation="0" wrapText="true" indent="0" shrinkToFit="false"/>
      <protection locked="true" hidden="false"/>
    </xf>
    <xf numFmtId="164" fontId="4" fillId="2" borderId="6" xfId="0" applyFont="true" applyBorder="true" applyAlignment="true" applyProtection="false">
      <alignment horizontal="center" vertical="center" textRotation="0" wrapText="false" indent="0" shrinkToFit="false"/>
      <protection locked="true" hidden="false"/>
    </xf>
    <xf numFmtId="164" fontId="4" fillId="2" borderId="70" xfId="0" applyFont="true" applyBorder="true" applyAlignment="true" applyProtection="false">
      <alignment horizontal="general" vertical="bottom" textRotation="0" wrapText="false" indent="0" shrinkToFit="false"/>
      <protection locked="true" hidden="false"/>
    </xf>
    <xf numFmtId="178" fontId="4" fillId="2" borderId="7" xfId="0" applyFont="true" applyBorder="true" applyAlignment="true" applyProtection="false">
      <alignment horizontal="general" vertical="bottom" textRotation="0" wrapText="false" indent="0" shrinkToFit="false"/>
      <protection locked="true" hidden="false"/>
    </xf>
    <xf numFmtId="178" fontId="4" fillId="2" borderId="71" xfId="0" applyFont="true" applyBorder="true" applyAlignment="true" applyProtection="false">
      <alignment horizontal="general" vertical="bottom" textRotation="0" wrapText="false" indent="0" shrinkToFit="false"/>
      <protection locked="true" hidden="false"/>
    </xf>
    <xf numFmtId="164" fontId="4" fillId="2" borderId="71" xfId="0" applyFont="true" applyBorder="true" applyAlignment="true" applyProtection="false">
      <alignment horizontal="general" vertical="bottom" textRotation="0" wrapText="false" indent="0" shrinkToFit="false"/>
      <protection locked="true" hidden="false"/>
    </xf>
    <xf numFmtId="177" fontId="4" fillId="2" borderId="7" xfId="0" applyFont="true" applyBorder="true" applyAlignment="true" applyProtection="false">
      <alignment horizontal="general" vertical="bottom" textRotation="0" wrapText="false" indent="0" shrinkToFit="false"/>
      <protection locked="true" hidden="false"/>
    </xf>
    <xf numFmtId="164" fontId="4" fillId="2" borderId="16" xfId="0" applyFont="true" applyBorder="true" applyAlignment="true" applyProtection="false">
      <alignment horizontal="center" vertical="center" textRotation="0" wrapText="false" indent="0" shrinkToFit="false"/>
      <protection locked="true" hidden="false"/>
    </xf>
    <xf numFmtId="164" fontId="4" fillId="2" borderId="7" xfId="0" applyFont="true" applyBorder="true" applyAlignment="true" applyProtection="false">
      <alignment horizontal="general" vertical="center" textRotation="0" wrapText="true" indent="0" shrinkToFit="false"/>
      <protection locked="true" hidden="false"/>
    </xf>
    <xf numFmtId="164" fontId="4" fillId="2" borderId="7" xfId="0" applyFont="true" applyBorder="true" applyAlignment="true" applyProtection="false">
      <alignment horizontal="center" vertical="center" textRotation="0" wrapText="false" indent="0" shrinkToFit="false"/>
      <protection locked="true" hidden="false"/>
    </xf>
    <xf numFmtId="164" fontId="4" fillId="2" borderId="72" xfId="0" applyFont="true" applyBorder="true" applyAlignment="true" applyProtection="false">
      <alignment horizontal="general" vertical="bottom" textRotation="0" wrapText="false" indent="0" shrinkToFit="false"/>
      <protection locked="true" hidden="false"/>
    </xf>
    <xf numFmtId="164" fontId="4" fillId="2" borderId="19" xfId="0" applyFont="true" applyBorder="true" applyAlignment="true" applyProtection="false">
      <alignment horizontal="general" vertical="bottom" textRotation="0" wrapText="false" indent="0" shrinkToFit="false"/>
      <protection locked="true" hidden="false"/>
    </xf>
    <xf numFmtId="164" fontId="4" fillId="2" borderId="73" xfId="0" applyFont="true" applyBorder="true" applyAlignment="true" applyProtection="false">
      <alignment horizontal="general" vertical="bottom" textRotation="0" wrapText="false" indent="0" shrinkToFit="false"/>
      <protection locked="true" hidden="false"/>
    </xf>
    <xf numFmtId="164" fontId="23" fillId="2" borderId="74" xfId="0" applyFont="true" applyBorder="true" applyAlignment="true" applyProtection="false">
      <alignment horizontal="general" vertical="bottom" textRotation="0" wrapText="false" indent="0" shrinkToFit="false"/>
      <protection locked="true" hidden="false"/>
    </xf>
    <xf numFmtId="164" fontId="4" fillId="2" borderId="75" xfId="0" applyFont="true" applyBorder="true" applyAlignment="true" applyProtection="false">
      <alignment horizontal="general" vertical="bottom" textRotation="0" wrapText="false" indent="0" shrinkToFit="false"/>
      <protection locked="true" hidden="false"/>
    </xf>
    <xf numFmtId="179" fontId="4" fillId="2" borderId="76" xfId="0" applyFont="true" applyBorder="true" applyAlignment="true" applyProtection="false">
      <alignment horizontal="general" vertical="bottom" textRotation="0" wrapText="false" indent="0" shrinkToFit="false"/>
      <protection locked="true" hidden="false"/>
    </xf>
    <xf numFmtId="176" fontId="4" fillId="2" borderId="76" xfId="0" applyFont="true" applyBorder="true" applyAlignment="true" applyProtection="false">
      <alignment horizontal="general" vertical="bottom" textRotation="0" wrapText="false" indent="0" shrinkToFit="false"/>
      <protection locked="true" hidden="false"/>
    </xf>
    <xf numFmtId="164" fontId="4" fillId="2" borderId="26" xfId="0" applyFont="true" applyBorder="true" applyAlignment="true" applyProtection="false">
      <alignment horizontal="center" vertical="center" textRotation="0" wrapText="false" indent="0" shrinkToFit="false"/>
      <protection locked="true" hidden="false"/>
    </xf>
    <xf numFmtId="164" fontId="4" fillId="2" borderId="62" xfId="0" applyFont="true" applyBorder="true" applyAlignment="true" applyProtection="false">
      <alignment horizontal="general" vertical="center" textRotation="0" wrapText="true" indent="0" shrinkToFit="false"/>
      <protection locked="true" hidden="false"/>
    </xf>
    <xf numFmtId="164" fontId="4" fillId="2" borderId="62" xfId="0" applyFont="true" applyBorder="true" applyAlignment="true" applyProtection="false">
      <alignment horizontal="center" vertical="center" textRotation="0" wrapText="false" indent="0" shrinkToFit="false"/>
      <protection locked="true" hidden="false"/>
    </xf>
    <xf numFmtId="164" fontId="4" fillId="2" borderId="18" xfId="0" applyFont="true" applyBorder="true" applyAlignment="true" applyProtection="false">
      <alignment horizontal="center" vertical="center" textRotation="0" wrapText="false" indent="0" shrinkToFit="false"/>
      <protection locked="true" hidden="false"/>
    </xf>
    <xf numFmtId="164" fontId="4" fillId="2" borderId="19" xfId="0" applyFont="true" applyBorder="true" applyAlignment="true" applyProtection="false">
      <alignment horizontal="general" vertical="center" textRotation="0" wrapText="true" indent="0" shrinkToFit="false"/>
      <protection locked="true" hidden="false"/>
    </xf>
    <xf numFmtId="164" fontId="4" fillId="2" borderId="19" xfId="0" applyFont="true" applyBorder="true" applyAlignment="true" applyProtection="false">
      <alignment horizontal="center" vertical="center" textRotation="0" wrapText="false" indent="0" shrinkToFit="false"/>
      <protection locked="true" hidden="false"/>
    </xf>
    <xf numFmtId="164" fontId="23" fillId="2" borderId="5" xfId="0" applyFont="true" applyBorder="true" applyAlignment="true" applyProtection="false">
      <alignment horizontal="center" vertical="center" textRotation="0" wrapText="true" indent="0" shrinkToFit="false"/>
      <protection locked="true" hidden="false"/>
    </xf>
    <xf numFmtId="177" fontId="23" fillId="2" borderId="32" xfId="0" applyFont="true" applyBorder="true" applyAlignment="true" applyProtection="false">
      <alignment horizontal="center" vertical="center" textRotation="0" wrapText="false" indent="0" shrinkToFit="false"/>
      <protection locked="true" hidden="false"/>
    </xf>
    <xf numFmtId="180" fontId="23" fillId="2" borderId="39" xfId="0" applyFont="true" applyBorder="true" applyAlignment="true" applyProtection="false">
      <alignment horizontal="center" vertical="center" textRotation="0" wrapText="false" indent="0" shrinkToFit="false"/>
      <protection locked="true" hidden="false"/>
    </xf>
    <xf numFmtId="176" fontId="4" fillId="2" borderId="0" xfId="0" applyFont="true" applyBorder="false" applyAlignment="true" applyProtection="false">
      <alignment horizontal="left" vertical="center"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23" fillId="2" borderId="0" xfId="0" applyFont="true" applyBorder="false" applyAlignment="true" applyProtection="false">
      <alignment horizontal="center" vertical="bottom" textRotation="0" wrapText="false" indent="0" shrinkToFit="false"/>
      <protection locked="true" hidden="false"/>
    </xf>
    <xf numFmtId="181" fontId="23" fillId="2" borderId="0" xfId="0" applyFont="true" applyBorder="false" applyAlignment="true" applyProtection="false">
      <alignment horizontal="center" vertical="bottom" textRotation="0" wrapText="false" indent="0" shrinkToFit="false"/>
      <protection locked="true" hidden="false"/>
    </xf>
    <xf numFmtId="164" fontId="4" fillId="13" borderId="0" xfId="0" applyFont="true" applyBorder="false" applyAlignment="true" applyProtection="false">
      <alignment horizontal="general" vertical="bottom" textRotation="0" wrapText="true" indent="0" shrinkToFit="false"/>
      <protection locked="true" hidden="false"/>
    </xf>
    <xf numFmtId="164" fontId="23" fillId="13" borderId="0" xfId="0" applyFont="true" applyBorder="false" applyAlignment="true" applyProtection="false">
      <alignment horizontal="center" vertical="bottom" textRotation="0" wrapText="false" indent="0" shrinkToFit="false"/>
      <protection locked="true" hidden="false"/>
    </xf>
    <xf numFmtId="181" fontId="23" fillId="13" borderId="0" xfId="0" applyFont="true" applyBorder="false" applyAlignment="true" applyProtection="false">
      <alignment horizontal="center" vertical="bottom" textRotation="0" wrapText="false" indent="0" shrinkToFit="false"/>
      <protection locked="true" hidden="false"/>
    </xf>
    <xf numFmtId="164" fontId="4" fillId="2" borderId="14" xfId="0" applyFont="true" applyBorder="true" applyAlignment="tru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general" vertical="bottom" textRotation="0" wrapText="false" indent="0" shrinkToFit="false"/>
      <protection locked="true" hidden="false"/>
    </xf>
    <xf numFmtId="164" fontId="4" fillId="2" borderId="8" xfId="0" applyFont="true" applyBorder="true" applyAlignment="true" applyProtection="false">
      <alignment horizontal="center" vertical="center" textRotation="0" wrapText="true" indent="0" shrinkToFit="false"/>
      <protection locked="true" hidden="false"/>
    </xf>
    <xf numFmtId="177" fontId="4" fillId="2" borderId="12" xfId="0" applyFont="true" applyBorder="true" applyAlignment="true" applyProtection="false">
      <alignment horizontal="center" vertical="center" textRotation="0" wrapText="false" indent="0" shrinkToFit="false"/>
      <protection locked="true" hidden="false"/>
    </xf>
    <xf numFmtId="182" fontId="23" fillId="2" borderId="39" xfId="0" applyFont="true" applyBorder="true" applyAlignment="true" applyProtection="false">
      <alignment horizontal="center" vertical="center" textRotation="0" wrapText="false" indent="0" shrinkToFit="false"/>
      <protection locked="true" hidden="false"/>
    </xf>
    <xf numFmtId="177" fontId="4" fillId="2" borderId="19" xfId="0" applyFont="true" applyBorder="true" applyAlignment="true" applyProtection="false">
      <alignment horizontal="general" vertical="bottom" textRotation="0" wrapText="false" indent="0" shrinkToFit="false"/>
      <protection locked="true" hidden="false"/>
    </xf>
    <xf numFmtId="176" fontId="4" fillId="2" borderId="19" xfId="0" applyFont="true" applyBorder="true" applyAlignment="true" applyProtection="false">
      <alignment horizontal="general" vertical="bottom" textRotation="0" wrapText="false" indent="0" shrinkToFit="false"/>
      <protection locked="true" hidden="false"/>
    </xf>
    <xf numFmtId="176" fontId="4" fillId="2" borderId="73" xfId="0" applyFont="true" applyBorder="true" applyAlignment="true" applyProtection="false">
      <alignment horizontal="general" vertical="bottom" textRotation="0" wrapText="false" indent="0" shrinkToFit="false"/>
      <protection locked="true" hidden="false"/>
    </xf>
    <xf numFmtId="164" fontId="23" fillId="2" borderId="77" xfId="0" applyFont="true" applyBorder="true" applyAlignment="true" applyProtection="false">
      <alignment horizontal="general" vertical="bottom" textRotation="0" wrapText="false" indent="0" shrinkToFit="false"/>
      <protection locked="true" hidden="false"/>
    </xf>
    <xf numFmtId="164" fontId="4" fillId="2" borderId="78" xfId="0" applyFont="true" applyBorder="true" applyAlignment="true" applyProtection="false">
      <alignment horizontal="general" vertical="bottom" textRotation="0" wrapText="false" indent="0" shrinkToFit="false"/>
      <protection locked="true" hidden="false"/>
    </xf>
    <xf numFmtId="178" fontId="4" fillId="2" borderId="79" xfId="0" applyFont="true" applyBorder="true" applyAlignment="true" applyProtection="false">
      <alignment horizontal="general" vertical="bottom" textRotation="0" wrapText="false" indent="0" shrinkToFit="false"/>
      <protection locked="true" hidden="false"/>
    </xf>
    <xf numFmtId="176" fontId="4" fillId="2" borderId="79" xfId="0" applyFont="true" applyBorder="true" applyAlignment="true" applyProtection="false">
      <alignment horizontal="general" vertical="bottom" textRotation="0" wrapText="false" indent="0" shrinkToFit="false"/>
      <protection locked="true" hidden="false"/>
    </xf>
    <xf numFmtId="181" fontId="23" fillId="2" borderId="0" xfId="0" applyFont="true" applyBorder="false" applyAlignment="true" applyProtection="false">
      <alignment horizontal="center" vertical="center" textRotation="0" wrapText="false" indent="0" shrinkToFit="false"/>
      <protection locked="true" hidden="false"/>
    </xf>
    <xf numFmtId="164" fontId="5" fillId="4" borderId="7" xfId="0" applyFont="true" applyBorder="true" applyAlignment="true" applyProtection="false">
      <alignment horizontal="center" vertical="center" textRotation="0" wrapText="false" indent="0" shrinkToFit="false"/>
      <protection locked="true" hidden="false"/>
    </xf>
    <xf numFmtId="164" fontId="23" fillId="4" borderId="7" xfId="0" applyFont="true" applyBorder="true" applyAlignment="true" applyProtection="false">
      <alignment horizontal="center" vertical="center" textRotation="0" wrapText="false" indent="0" shrinkToFit="false"/>
      <protection locked="true" hidden="false"/>
    </xf>
    <xf numFmtId="164" fontId="23" fillId="4" borderId="0" xfId="0" applyFont="true" applyBorder="false" applyAlignment="true" applyProtection="false">
      <alignment horizontal="center" vertical="center" textRotation="0" wrapText="false" indent="0" shrinkToFit="false"/>
      <protection locked="true" hidden="false"/>
    </xf>
    <xf numFmtId="164" fontId="23" fillId="4" borderId="7" xfId="0" applyFont="true" applyBorder="true" applyAlignment="true" applyProtection="false">
      <alignment horizontal="center" vertical="center" textRotation="0" wrapText="true" indent="0" shrinkToFit="false"/>
      <protection locked="true" hidden="false"/>
    </xf>
    <xf numFmtId="164" fontId="23" fillId="4" borderId="0" xfId="0" applyFont="true" applyBorder="false" applyAlignment="true" applyProtection="false">
      <alignment horizontal="center" vertical="center" textRotation="0" wrapText="true" indent="0" shrinkToFit="false"/>
      <protection locked="true" hidden="false"/>
    </xf>
    <xf numFmtId="172" fontId="16" fillId="7" borderId="25" xfId="0" applyFont="true" applyBorder="true" applyAlignment="true" applyProtection="false">
      <alignment horizontal="general" vertical="bottom" textRotation="0" wrapText="false" indent="0" shrinkToFit="false"/>
      <protection locked="true" hidden="false"/>
    </xf>
    <xf numFmtId="164" fontId="23" fillId="12" borderId="42" xfId="0" applyFont="true" applyBorder="true" applyAlignment="true" applyProtection="false">
      <alignment horizontal="left" vertical="bottom" textRotation="0" wrapText="false" indent="0" shrinkToFit="false"/>
      <protection locked="true" hidden="false"/>
    </xf>
    <xf numFmtId="174" fontId="4" fillId="2" borderId="42" xfId="0" applyFont="true" applyBorder="true" applyAlignment="true" applyProtection="false">
      <alignment horizontal="general" vertical="bottom" textRotation="0" wrapText="false" indent="0" shrinkToFit="false"/>
      <protection locked="true" hidden="false"/>
    </xf>
    <xf numFmtId="181" fontId="4" fillId="2" borderId="7" xfId="0" applyFont="true" applyBorder="true" applyAlignment="true" applyProtection="false">
      <alignment horizontal="general" vertical="bottom" textRotation="0" wrapText="false" indent="0" shrinkToFit="false"/>
      <protection locked="true" hidden="false"/>
    </xf>
    <xf numFmtId="172" fontId="16" fillId="7" borderId="28" xfId="0" applyFont="true" applyBorder="true" applyAlignment="true" applyProtection="false">
      <alignment horizontal="general" vertical="bottom" textRotation="0" wrapText="false" indent="0" shrinkToFit="false"/>
      <protection locked="true" hidden="false"/>
    </xf>
    <xf numFmtId="172" fontId="16" fillId="7" borderId="59" xfId="0" applyFont="true" applyBorder="true" applyAlignment="true" applyProtection="false">
      <alignment horizontal="general" vertical="bottom" textRotation="0" wrapText="false" indent="0" shrinkToFit="false"/>
      <protection locked="true" hidden="false"/>
    </xf>
    <xf numFmtId="172" fontId="16" fillId="8" borderId="25" xfId="0" applyFont="true" applyBorder="true" applyAlignment="true" applyProtection="false">
      <alignment horizontal="general" vertical="bottom" textRotation="0" wrapText="false" indent="0" shrinkToFit="false"/>
      <protection locked="true" hidden="false"/>
    </xf>
    <xf numFmtId="172" fontId="16" fillId="8" borderId="28" xfId="0" applyFont="true" applyBorder="true" applyAlignment="true" applyProtection="false">
      <alignment horizontal="general" vertical="bottom" textRotation="0" wrapText="false" indent="0" shrinkToFit="false"/>
      <protection locked="true" hidden="false"/>
    </xf>
    <xf numFmtId="172" fontId="16" fillId="8" borderId="43" xfId="0" applyFont="true" applyBorder="true" applyAlignment="true" applyProtection="false">
      <alignment horizontal="general" vertical="bottom" textRotation="0" wrapText="false" indent="0" shrinkToFit="false"/>
      <protection locked="true" hidden="false"/>
    </xf>
    <xf numFmtId="164" fontId="23" fillId="12" borderId="80" xfId="0" applyFont="true" applyBorder="true" applyAlignment="true" applyProtection="false">
      <alignment horizontal="left" vertical="bottom" textRotation="0" wrapText="false" indent="0" shrinkToFit="false"/>
      <protection locked="true" hidden="false"/>
    </xf>
    <xf numFmtId="177" fontId="23" fillId="12" borderId="42" xfId="0" applyFont="true" applyBorder="true" applyAlignment="true" applyProtection="false">
      <alignment horizontal="left" vertical="bottom" textRotation="0" wrapText="false" indent="0" shrinkToFit="false"/>
      <protection locked="true" hidden="false"/>
    </xf>
    <xf numFmtId="177" fontId="23" fillId="12" borderId="7" xfId="0" applyFont="true" applyBorder="true" applyAlignment="true" applyProtection="false">
      <alignment horizontal="general" vertical="bottom" textRotation="0" wrapText="false" indent="0" shrinkToFit="false"/>
      <protection locked="true" hidden="false"/>
    </xf>
    <xf numFmtId="177" fontId="23" fillId="12" borderId="0" xfId="0" applyFont="true" applyBorder="false" applyAlignment="true" applyProtection="false">
      <alignment horizontal="general" vertical="bottom" textRotation="0" wrapText="false" indent="0" shrinkToFit="false"/>
      <protection locked="true" hidden="false"/>
    </xf>
    <xf numFmtId="172" fontId="16" fillId="8" borderId="59" xfId="0" applyFont="true" applyBorder="true" applyAlignment="true" applyProtection="false">
      <alignment horizontal="general" vertical="bottom" textRotation="0" wrapText="false" indent="0" shrinkToFit="false"/>
      <protection locked="true" hidden="false"/>
    </xf>
    <xf numFmtId="164" fontId="23" fillId="12" borderId="33" xfId="0" applyFont="true" applyBorder="true" applyAlignment="true" applyProtection="false">
      <alignment horizontal="left" vertical="bottom" textRotation="0" wrapText="false" indent="0" shrinkToFit="false"/>
      <protection locked="true" hidden="false"/>
    </xf>
    <xf numFmtId="164" fontId="4" fillId="2" borderId="58" xfId="0" applyFont="true" applyBorder="true" applyAlignment="true" applyProtection="false">
      <alignment horizontal="left" vertical="center" textRotation="0" wrapText="true" indent="0" shrinkToFit="false"/>
      <protection locked="true" hidden="false"/>
    </xf>
    <xf numFmtId="164" fontId="11" fillId="6" borderId="49" xfId="0" applyFont="true" applyBorder="true" applyAlignment="true" applyProtection="false">
      <alignment horizontal="center" vertical="bottom" textRotation="0" wrapText="false" indent="0" shrinkToFit="false"/>
      <protection locked="true" hidden="false"/>
    </xf>
    <xf numFmtId="164" fontId="22" fillId="3" borderId="0" xfId="0" applyFont="true" applyBorder="false" applyAlignment="true" applyProtection="false">
      <alignment horizontal="general" vertical="center" textRotation="0" wrapText="false" indent="0" shrinkToFit="false"/>
      <protection locked="true" hidden="false"/>
    </xf>
    <xf numFmtId="171" fontId="4" fillId="2" borderId="7" xfId="0" applyFont="true" applyBorder="true" applyAlignment="true" applyProtection="false">
      <alignment horizontal="center" vertical="bottom" textRotation="0" wrapText="false" indent="0" shrinkToFit="false"/>
      <protection locked="true" hidden="false"/>
    </xf>
    <xf numFmtId="164" fontId="11" fillId="4" borderId="5" xfId="0" applyFont="true" applyBorder="true" applyAlignment="true" applyProtection="false">
      <alignment horizontal="left" vertical="bottom" textRotation="0" wrapText="true" indent="0" shrinkToFit="false"/>
      <protection locked="true" hidden="false"/>
    </xf>
    <xf numFmtId="172" fontId="14" fillId="5" borderId="10" xfId="0" applyFont="true" applyBorder="true" applyAlignment="true" applyProtection="false">
      <alignment horizontal="center" vertical="bottom" textRotation="0" wrapText="true" indent="0" shrinkToFit="false"/>
      <protection locked="true" hidden="false"/>
    </xf>
    <xf numFmtId="172" fontId="25" fillId="5" borderId="11" xfId="0" applyFont="true" applyBorder="true" applyAlignment="true" applyProtection="false">
      <alignment horizontal="center" vertical="center" textRotation="0" wrapText="true" indent="0" shrinkToFit="false"/>
      <protection locked="true" hidden="false"/>
    </xf>
    <xf numFmtId="172" fontId="25" fillId="5" borderId="12" xfId="0" applyFont="true" applyBorder="true" applyAlignment="true" applyProtection="false">
      <alignment horizontal="center" vertical="center" textRotation="0" wrapText="true" indent="0" shrinkToFit="false"/>
      <protection locked="true" hidden="false"/>
    </xf>
    <xf numFmtId="166" fontId="4" fillId="18" borderId="14" xfId="0" applyFont="true" applyBorder="true" applyAlignment="true" applyProtection="false">
      <alignment horizontal="general" vertical="bottom" textRotation="0" wrapText="true" indent="0" shrinkToFit="false"/>
      <protection locked="true" hidden="false"/>
    </xf>
    <xf numFmtId="166" fontId="4" fillId="18" borderId="15" xfId="0" applyFont="true" applyBorder="true" applyAlignment="true" applyProtection="false">
      <alignment horizontal="general" vertical="bottom" textRotation="0" wrapText="true" indent="0" shrinkToFit="false"/>
      <protection locked="true" hidden="false"/>
    </xf>
    <xf numFmtId="166" fontId="4" fillId="18" borderId="7" xfId="0" applyFont="true" applyBorder="true" applyAlignment="true" applyProtection="false">
      <alignment horizontal="general" vertical="bottom" textRotation="0" wrapText="true" indent="0" shrinkToFit="false"/>
      <protection locked="true" hidden="false"/>
    </xf>
    <xf numFmtId="166" fontId="4" fillId="18" borderId="17" xfId="0" applyFont="true" applyBorder="true" applyAlignment="true" applyProtection="false">
      <alignment horizontal="general" vertical="bottom" textRotation="0" wrapText="true" indent="0" shrinkToFit="false"/>
      <protection locked="true" hidden="false"/>
    </xf>
    <xf numFmtId="166" fontId="4" fillId="18" borderId="19" xfId="0" applyFont="true" applyBorder="true" applyAlignment="true" applyProtection="false">
      <alignment horizontal="general" vertical="bottom" textRotation="0" wrapText="true" indent="0" shrinkToFit="false"/>
      <protection locked="true" hidden="false"/>
    </xf>
    <xf numFmtId="166" fontId="4" fillId="18" borderId="20" xfId="0" applyFont="true" applyBorder="true" applyAlignment="true" applyProtection="false">
      <alignment horizontal="general" vertical="bottom" textRotation="0" wrapText="true" indent="0" shrinkToFit="false"/>
      <protection locked="true" hidden="false"/>
    </xf>
    <xf numFmtId="166" fontId="4" fillId="8" borderId="14" xfId="0" applyFont="true" applyBorder="true" applyAlignment="true" applyProtection="false">
      <alignment horizontal="general" vertical="bottom" textRotation="0" wrapText="true" indent="0" shrinkToFit="false"/>
      <protection locked="true" hidden="false"/>
    </xf>
    <xf numFmtId="166" fontId="4" fillId="8" borderId="15" xfId="0" applyFont="true" applyBorder="true" applyAlignment="true" applyProtection="false">
      <alignment horizontal="general" vertical="bottom" textRotation="0" wrapText="true" indent="0" shrinkToFit="false"/>
      <protection locked="true" hidden="false"/>
    </xf>
    <xf numFmtId="166" fontId="4" fillId="8" borderId="7" xfId="0" applyFont="true" applyBorder="true" applyAlignment="true" applyProtection="false">
      <alignment horizontal="general" vertical="bottom" textRotation="0" wrapText="true" indent="0" shrinkToFit="false"/>
      <protection locked="true" hidden="false"/>
    </xf>
    <xf numFmtId="166" fontId="4" fillId="8" borderId="17" xfId="0" applyFont="true" applyBorder="true" applyAlignment="true" applyProtection="false">
      <alignment horizontal="general" vertical="bottom" textRotation="0" wrapText="true" indent="0" shrinkToFit="false"/>
      <protection locked="true" hidden="false"/>
    </xf>
    <xf numFmtId="172" fontId="14" fillId="8" borderId="18" xfId="0" applyFont="true" applyBorder="true" applyAlignment="true" applyProtection="false">
      <alignment horizontal="left" vertical="bottom" textRotation="0" wrapText="true" indent="0" shrinkToFit="false"/>
      <protection locked="true" hidden="false"/>
    </xf>
    <xf numFmtId="166" fontId="4" fillId="8" borderId="19" xfId="0" applyFont="true" applyBorder="true" applyAlignment="true" applyProtection="false">
      <alignment horizontal="general" vertical="bottom" textRotation="0" wrapText="true" indent="0" shrinkToFit="false"/>
      <protection locked="true" hidden="false"/>
    </xf>
    <xf numFmtId="166" fontId="4" fillId="8" borderId="20" xfId="0" applyFont="true" applyBorder="true" applyAlignment="true" applyProtection="false">
      <alignment horizontal="general" vertical="bottom" textRotation="0" wrapText="true" indent="0" shrinkToFit="false"/>
      <protection locked="true" hidden="false"/>
    </xf>
    <xf numFmtId="172" fontId="14" fillId="5" borderId="13" xfId="0" applyFont="true" applyBorder="true" applyAlignment="true" applyProtection="false">
      <alignment horizontal="left" vertical="bottom" textRotation="0" wrapText="true" indent="0" shrinkToFit="false"/>
      <protection locked="true" hidden="false"/>
    </xf>
    <xf numFmtId="166" fontId="4" fillId="5" borderId="14" xfId="0" applyFont="true" applyBorder="true" applyAlignment="true" applyProtection="false">
      <alignment horizontal="general" vertical="bottom" textRotation="0" wrapText="true" indent="0" shrinkToFit="false"/>
      <protection locked="true" hidden="false"/>
    </xf>
    <xf numFmtId="166" fontId="4" fillId="5" borderId="15" xfId="0" applyFont="true" applyBorder="true" applyAlignment="true" applyProtection="false">
      <alignment horizontal="general" vertical="bottom" textRotation="0" wrapText="true" indent="0" shrinkToFit="false"/>
      <protection locked="true" hidden="false"/>
    </xf>
    <xf numFmtId="172" fontId="14" fillId="5" borderId="16" xfId="0" applyFont="true" applyBorder="true" applyAlignment="true" applyProtection="false">
      <alignment horizontal="left" vertical="bottom" textRotation="0" wrapText="true" indent="0" shrinkToFit="false"/>
      <protection locked="true" hidden="false"/>
    </xf>
    <xf numFmtId="166" fontId="4" fillId="5" borderId="7" xfId="0" applyFont="true" applyBorder="true" applyAlignment="true" applyProtection="false">
      <alignment horizontal="general" vertical="bottom" textRotation="0" wrapText="true" indent="0" shrinkToFit="false"/>
      <protection locked="true" hidden="false"/>
    </xf>
    <xf numFmtId="166" fontId="4" fillId="5" borderId="17" xfId="0" applyFont="true" applyBorder="true" applyAlignment="true" applyProtection="false">
      <alignment horizontal="general" vertical="bottom" textRotation="0" wrapText="true" indent="0" shrinkToFit="false"/>
      <protection locked="true" hidden="false"/>
    </xf>
    <xf numFmtId="172" fontId="14" fillId="5" borderId="18" xfId="0" applyFont="true" applyBorder="true" applyAlignment="true" applyProtection="false">
      <alignment horizontal="left" vertical="center" textRotation="0" wrapText="true" indent="0" shrinkToFit="false"/>
      <protection locked="true" hidden="false"/>
    </xf>
    <xf numFmtId="166" fontId="4" fillId="5" borderId="19" xfId="0" applyFont="true" applyBorder="true" applyAlignment="true" applyProtection="false">
      <alignment horizontal="general" vertical="bottom" textRotation="0" wrapText="true" indent="0" shrinkToFit="false"/>
      <protection locked="true" hidden="false"/>
    </xf>
    <xf numFmtId="166" fontId="4" fillId="5" borderId="20" xfId="0" applyFont="true" applyBorder="true" applyAlignment="true" applyProtection="false">
      <alignment horizontal="general" vertical="bottom" textRotation="0" wrapText="true" indent="0" shrinkToFit="false"/>
      <protection locked="true" hidden="false"/>
    </xf>
    <xf numFmtId="172" fontId="14" fillId="10" borderId="36" xfId="0" applyFont="true" applyBorder="true" applyAlignment="true" applyProtection="false">
      <alignment horizontal="left" vertical="center" textRotation="0" wrapText="true" indent="0" shrinkToFit="false"/>
      <protection locked="true" hidden="false"/>
    </xf>
    <xf numFmtId="166" fontId="4" fillId="10" borderId="6" xfId="0" applyFont="true" applyBorder="true" applyAlignment="true" applyProtection="false">
      <alignment horizontal="general" vertical="bottom" textRotation="0" wrapText="true" indent="0" shrinkToFit="false"/>
      <protection locked="true" hidden="false"/>
    </xf>
    <xf numFmtId="166" fontId="4" fillId="10" borderId="37" xfId="0" applyFont="true" applyBorder="true" applyAlignment="true" applyProtection="false">
      <alignment horizontal="general" vertical="bottom" textRotation="0" wrapText="true" indent="0" shrinkToFit="false"/>
      <protection locked="true" hidden="false"/>
    </xf>
    <xf numFmtId="172" fontId="18" fillId="7" borderId="13" xfId="0" applyFont="true" applyBorder="true" applyAlignment="true" applyProtection="false">
      <alignment horizontal="general" vertical="bottom" textRotation="0" wrapText="false" indent="0" shrinkToFit="false"/>
      <protection locked="true" hidden="false"/>
    </xf>
    <xf numFmtId="166" fontId="37" fillId="18" borderId="14" xfId="0" applyFont="true" applyBorder="true" applyAlignment="true" applyProtection="false">
      <alignment horizontal="general" vertical="bottom" textRotation="0" wrapText="true" indent="0" shrinkToFit="false"/>
      <protection locked="true" hidden="false"/>
    </xf>
    <xf numFmtId="164" fontId="38" fillId="3" borderId="0" xfId="0" applyFont="true" applyBorder="false" applyAlignment="true" applyProtection="false">
      <alignment horizontal="center" vertical="center" textRotation="0" wrapText="false" indent="0" shrinkToFit="false"/>
      <protection locked="true" hidden="false"/>
    </xf>
    <xf numFmtId="164" fontId="39" fillId="4" borderId="5" xfId="0" applyFont="true" applyBorder="true" applyAlignment="true" applyProtection="false">
      <alignment horizontal="center" vertical="center" textRotation="0" wrapText="false" indent="0" shrinkToFit="false"/>
      <protection locked="true" hidden="false"/>
    </xf>
    <xf numFmtId="164" fontId="37" fillId="5" borderId="7" xfId="0" applyFont="true" applyBorder="true" applyAlignment="true" applyProtection="false">
      <alignment horizontal="center" vertical="center" textRotation="0" wrapText="true" indent="0" shrinkToFit="false"/>
      <protection locked="true" hidden="false"/>
    </xf>
    <xf numFmtId="173" fontId="19" fillId="7" borderId="7" xfId="0" applyFont="true" applyBorder="true" applyAlignment="true" applyProtection="false">
      <alignment horizontal="center" vertical="center" textRotation="0" wrapText="false" indent="0" shrinkToFit="false"/>
      <protection locked="true" hidden="false"/>
    </xf>
    <xf numFmtId="169" fontId="37" fillId="7" borderId="7" xfId="0" applyFont="true" applyBorder="true" applyAlignment="true" applyProtection="false">
      <alignment horizontal="center" vertical="center" textRotation="0" wrapText="false" indent="0" shrinkToFit="false"/>
      <protection locked="true" hidden="false"/>
    </xf>
    <xf numFmtId="169" fontId="19" fillId="7" borderId="7" xfId="0" applyFont="true" applyBorder="true" applyAlignment="true" applyProtection="false">
      <alignment horizontal="center" vertical="center" textRotation="0" wrapText="false" indent="0" shrinkToFit="false"/>
      <protection locked="true" hidden="false"/>
    </xf>
    <xf numFmtId="171" fontId="4" fillId="2" borderId="0" xfId="0" applyFont="true" applyBorder="false" applyAlignment="true" applyProtection="false">
      <alignment horizontal="center" vertical="bottom" textRotation="0" wrapText="false" indent="0" shrinkToFit="false"/>
      <protection locked="true" hidden="false"/>
    </xf>
    <xf numFmtId="164" fontId="19" fillId="7" borderId="7" xfId="0" applyFont="true" applyBorder="true" applyAlignment="true" applyProtection="false">
      <alignment horizontal="left" vertical="center" textRotation="0" wrapText="false" indent="0" shrinkToFit="false"/>
      <protection locked="true" hidden="false"/>
    </xf>
    <xf numFmtId="169" fontId="37" fillId="19" borderId="7" xfId="0" applyFont="true" applyBorder="true" applyAlignment="true" applyProtection="false">
      <alignment horizontal="center" vertical="center" textRotation="0" wrapText="false" indent="0" shrinkToFit="false"/>
      <protection locked="true" hidden="false"/>
    </xf>
    <xf numFmtId="164" fontId="19" fillId="20" borderId="7" xfId="0" applyFont="true" applyBorder="true" applyAlignment="true" applyProtection="false">
      <alignment horizontal="left" vertical="center" textRotation="0" wrapText="false" indent="0" shrinkToFit="false"/>
      <protection locked="true" hidden="false"/>
    </xf>
    <xf numFmtId="164" fontId="0" fillId="0" borderId="6" xfId="0" applyFont="false" applyBorder="true" applyAlignment="true" applyProtection="false">
      <alignment horizontal="general" vertical="bottom" textRotation="0" wrapText="false" indent="0" shrinkToFit="false"/>
      <protection locked="true" hidden="false"/>
    </xf>
    <xf numFmtId="164" fontId="37" fillId="5" borderId="7" xfId="0" applyFont="true" applyBorder="true" applyAlignment="true" applyProtection="false">
      <alignment horizontal="left" vertical="center" textRotation="0" wrapText="false" indent="0" shrinkToFit="false"/>
      <protection locked="true" hidden="false"/>
    </xf>
    <xf numFmtId="164" fontId="19" fillId="5" borderId="7" xfId="0" applyFont="true" applyBorder="true" applyAlignment="true" applyProtection="false">
      <alignment horizontal="center" vertical="center" textRotation="0" wrapText="false" indent="0" shrinkToFit="false"/>
      <protection locked="true" hidden="false"/>
    </xf>
    <xf numFmtId="169" fontId="37" fillId="5" borderId="7" xfId="0" applyFont="true" applyBorder="true" applyAlignment="true" applyProtection="false">
      <alignment horizontal="center" vertical="center" textRotation="0" wrapText="false" indent="0" shrinkToFit="false"/>
      <protection locked="true" hidden="false"/>
    </xf>
    <xf numFmtId="168" fontId="4" fillId="2" borderId="0" xfId="0" applyFont="true" applyBorder="false" applyAlignment="true" applyProtection="false">
      <alignment horizontal="center" vertical="bottom" textRotation="0" wrapText="false" indent="0" shrinkToFit="false"/>
      <protection locked="true" hidden="false"/>
    </xf>
    <xf numFmtId="164" fontId="37" fillId="20" borderId="7" xfId="0" applyFont="true" applyBorder="true" applyAlignment="true" applyProtection="false">
      <alignment horizontal="center" vertical="center" textRotation="0" wrapText="true" indent="0" shrinkToFit="false"/>
      <protection locked="true" hidden="false"/>
    </xf>
    <xf numFmtId="169" fontId="19" fillId="19" borderId="7" xfId="0" applyFont="true" applyBorder="true" applyAlignment="true" applyProtection="false">
      <alignment horizontal="center" vertical="center" textRotation="0" wrapText="false" indent="0" shrinkToFit="false"/>
      <protection locked="true" hidden="false"/>
    </xf>
    <xf numFmtId="183" fontId="19" fillId="7" borderId="7" xfId="0" applyFont="true" applyBorder="true" applyAlignment="true" applyProtection="false">
      <alignment horizontal="center" vertical="center" textRotation="0" wrapText="false" indent="0" shrinkToFit="false"/>
      <protection locked="true" hidden="false"/>
    </xf>
    <xf numFmtId="164" fontId="4" fillId="0" borderId="10" xfId="0" applyFont="true" applyBorder="true" applyAlignment="true" applyProtection="false">
      <alignment horizontal="left" vertical="center" textRotation="0" wrapText="true" indent="0" shrinkToFit="false"/>
      <protection locked="true" hidden="false"/>
    </xf>
    <xf numFmtId="179" fontId="4" fillId="0" borderId="58" xfId="0" applyFont="true" applyBorder="true" applyAlignment="true" applyProtection="false">
      <alignment horizontal="center" vertical="bottom" textRotation="0" wrapText="false" indent="0" shrinkToFit="false"/>
      <protection locked="true" hidden="false"/>
    </xf>
    <xf numFmtId="181" fontId="4" fillId="0" borderId="81" xfId="0" applyFont="true" applyBorder="true" applyAlignment="true" applyProtection="false">
      <alignment horizontal="center" vertical="bottom" textRotation="0" wrapText="false" indent="0" shrinkToFit="false"/>
      <protection locked="true" hidden="false"/>
    </xf>
    <xf numFmtId="166" fontId="4" fillId="0" borderId="61" xfId="0" applyFont="true" applyBorder="true" applyAlignment="true" applyProtection="false">
      <alignment horizontal="center" vertical="bottom" textRotation="0" wrapText="false" indent="0" shrinkToFit="false"/>
      <protection locked="true" hidden="false"/>
    </xf>
    <xf numFmtId="166" fontId="4" fillId="5" borderId="53" xfId="0" applyFont="true" applyBorder="true" applyAlignment="true" applyProtection="false">
      <alignment horizontal="general" vertical="bottom" textRotation="0" wrapText="false" indent="0" shrinkToFit="false"/>
      <protection locked="true" hidden="false"/>
    </xf>
    <xf numFmtId="164" fontId="4" fillId="0" borderId="18" xfId="0" applyFont="true" applyBorder="true" applyAlignment="true" applyProtection="false">
      <alignment horizontal="left" vertical="center" textRotation="0" wrapText="true" indent="0" shrinkToFit="false"/>
      <protection locked="true" hidden="false"/>
    </xf>
    <xf numFmtId="179" fontId="4" fillId="13" borderId="20" xfId="0" applyFont="true" applyBorder="true" applyAlignment="true" applyProtection="false">
      <alignment horizontal="center" vertical="bottom" textRotation="0" wrapText="false" indent="0" shrinkToFit="false"/>
      <protection locked="true" hidden="false"/>
    </xf>
    <xf numFmtId="181" fontId="4" fillId="13" borderId="81" xfId="0" applyFont="true" applyBorder="true" applyAlignment="true" applyProtection="false">
      <alignment horizontal="center" vertical="bottom" textRotation="0" wrapText="false" indent="0" shrinkToFit="false"/>
      <protection locked="true" hidden="false"/>
    </xf>
    <xf numFmtId="166" fontId="4" fillId="0" borderId="22" xfId="0" applyFont="true" applyBorder="true" applyAlignment="true" applyProtection="false">
      <alignment horizontal="center" vertical="bottom" textRotation="0" wrapText="false" indent="0" shrinkToFit="false"/>
      <protection locked="true" hidden="false"/>
    </xf>
    <xf numFmtId="181" fontId="4" fillId="13" borderId="22" xfId="0" applyFont="true" applyBorder="true" applyAlignment="true" applyProtection="false">
      <alignment horizontal="center" vertical="bottom" textRotation="0" wrapText="false" indent="0" shrinkToFit="false"/>
      <protection locked="true" hidden="false"/>
    </xf>
    <xf numFmtId="166" fontId="4" fillId="5" borderId="43" xfId="0" applyFont="true" applyBorder="true" applyAlignment="true" applyProtection="false">
      <alignment horizontal="general" vertical="bottom" textRotation="0" wrapText="false" indent="0" shrinkToFit="false"/>
      <protection locked="true" hidden="false"/>
    </xf>
    <xf numFmtId="164" fontId="23" fillId="4" borderId="46" xfId="0" applyFont="true" applyBorder="true" applyAlignment="true" applyProtection="false">
      <alignment horizontal="center" vertical="center" textRotation="0" wrapText="true" indent="0" shrinkToFit="false"/>
      <protection locked="true" hidden="false"/>
    </xf>
    <xf numFmtId="164" fontId="4" fillId="0" borderId="38" xfId="0" applyFont="true" applyBorder="true" applyAlignment="true" applyProtection="false">
      <alignment horizontal="left" vertical="center" textRotation="0" wrapText="false" indent="0" shrinkToFit="false"/>
      <protection locked="true" hidden="false"/>
    </xf>
    <xf numFmtId="179" fontId="4" fillId="13" borderId="39" xfId="0" applyFont="true" applyBorder="true" applyAlignment="true" applyProtection="false">
      <alignment horizontal="center" vertical="bottom" textRotation="0" wrapText="false" indent="0" shrinkToFit="false"/>
      <protection locked="true" hidden="false"/>
    </xf>
    <xf numFmtId="181" fontId="4" fillId="13" borderId="82" xfId="0" applyFont="true" applyBorder="true" applyAlignment="true" applyProtection="false">
      <alignment horizontal="center" vertical="bottom" textRotation="0" wrapText="false" indent="0" shrinkToFit="false"/>
      <protection locked="true" hidden="false"/>
    </xf>
    <xf numFmtId="166" fontId="4" fillId="0" borderId="83" xfId="0" applyFont="true" applyBorder="true" applyAlignment="true" applyProtection="false">
      <alignment horizontal="center" vertical="bottom" textRotation="0" wrapText="false" indent="0" shrinkToFit="false"/>
      <protection locked="true" hidden="false"/>
    </xf>
    <xf numFmtId="181" fontId="4" fillId="13" borderId="83" xfId="0" applyFont="true" applyBorder="true" applyAlignment="true" applyProtection="false">
      <alignment horizontal="center" vertical="bottom" textRotation="0" wrapText="false" indent="0" shrinkToFit="false"/>
      <protection locked="true" hidden="false"/>
    </xf>
    <xf numFmtId="181" fontId="19" fillId="5" borderId="7" xfId="0" applyFont="true" applyBorder="true" applyAlignment="true" applyProtection="false">
      <alignment horizontal="center" vertical="center" textRotation="0" wrapText="false" indent="0" shrinkToFit="false"/>
      <protection locked="true" hidden="false"/>
    </xf>
    <xf numFmtId="164" fontId="4" fillId="0" borderId="21" xfId="0" applyFont="true" applyBorder="true" applyAlignment="true" applyProtection="false">
      <alignment horizontal="left" vertical="center" textRotation="0" wrapText="true" indent="0" shrinkToFit="false"/>
      <protection locked="true" hidden="false"/>
    </xf>
    <xf numFmtId="179" fontId="4" fillId="13" borderId="23" xfId="0" applyFont="true" applyBorder="true" applyAlignment="true" applyProtection="false">
      <alignment horizontal="center" vertical="bottom" textRotation="0" wrapText="false" indent="0" shrinkToFit="false"/>
      <protection locked="true" hidden="false"/>
    </xf>
    <xf numFmtId="166" fontId="4" fillId="5" borderId="8" xfId="0" applyFont="true" applyBorder="true" applyAlignment="true" applyProtection="false">
      <alignment horizontal="general" vertical="bottom" textRotation="0" wrapText="false" indent="0" shrinkToFit="false"/>
      <protection locked="true" hidden="false"/>
    </xf>
    <xf numFmtId="164" fontId="38" fillId="3" borderId="0" xfId="0" applyFont="true" applyBorder="false" applyAlignment="true" applyProtection="false">
      <alignment horizontal="general" vertical="center" textRotation="0" wrapText="false" indent="0" shrinkToFit="false"/>
      <protection locked="true" hidden="false"/>
    </xf>
    <xf numFmtId="164" fontId="40" fillId="3" borderId="0" xfId="0" applyFont="true" applyBorder="false" applyAlignment="true" applyProtection="false">
      <alignment horizontal="general" vertical="center" textRotation="0" wrapText="false" indent="0" shrinkToFit="false"/>
      <protection locked="true" hidden="false"/>
    </xf>
    <xf numFmtId="164" fontId="41" fillId="21" borderId="5" xfId="0" applyFont="true" applyBorder="true" applyAlignment="true" applyProtection="false">
      <alignment horizontal="left" vertical="bottom" textRotation="0" wrapText="false" indent="0" shrinkToFit="false"/>
      <protection locked="true" hidden="false"/>
    </xf>
    <xf numFmtId="164" fontId="41" fillId="2" borderId="0" xfId="0" applyFont="true" applyBorder="false" applyAlignment="true" applyProtection="false">
      <alignment horizontal="left" vertical="bottom" textRotation="0" wrapText="false" indent="0" shrinkToFit="false"/>
      <protection locked="true" hidden="false"/>
    </xf>
    <xf numFmtId="181" fontId="23" fillId="22" borderId="7" xfId="0" applyFont="true" applyBorder="true" applyAlignment="true" applyProtection="false">
      <alignment horizontal="center" vertical="bottom" textRotation="0" wrapText="false" indent="0" shrinkToFit="false"/>
      <protection locked="true" hidden="false"/>
    </xf>
    <xf numFmtId="167" fontId="4" fillId="2" borderId="7" xfId="0" applyFont="true" applyBorder="true" applyAlignment="true" applyProtection="false">
      <alignment horizontal="center"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14" fillId="22" borderId="14" xfId="0" applyFont="true" applyBorder="true" applyAlignment="true" applyProtection="false">
      <alignment horizontal="center" vertical="center" textRotation="0" wrapText="false" indent="0" shrinkToFit="false"/>
      <protection locked="true" hidden="false"/>
    </xf>
    <xf numFmtId="173" fontId="14" fillId="22" borderId="84" xfId="0" applyFont="true" applyBorder="true" applyAlignment="true" applyProtection="false">
      <alignment horizontal="center" vertical="center" textRotation="0" wrapText="false" indent="0" shrinkToFit="false"/>
      <protection locked="true" hidden="false"/>
    </xf>
    <xf numFmtId="184" fontId="14" fillId="22" borderId="84" xfId="0" applyFont="true" applyBorder="true" applyAlignment="true" applyProtection="false">
      <alignment horizontal="center" vertical="center" textRotation="0" wrapText="false" indent="0" shrinkToFit="false"/>
      <protection locked="true" hidden="false"/>
    </xf>
    <xf numFmtId="164" fontId="4" fillId="0" borderId="38" xfId="0" applyFont="true" applyBorder="true" applyAlignment="true" applyProtection="false">
      <alignment horizontal="center" vertical="center" textRotation="0" wrapText="false" indent="0" shrinkToFit="false"/>
      <protection locked="true" hidden="false"/>
    </xf>
    <xf numFmtId="164" fontId="4" fillId="2" borderId="83" xfId="0" applyFont="true" applyBorder="true" applyAlignment="true" applyProtection="false">
      <alignment horizontal="general" vertical="center" textRotation="0" wrapText="false" indent="0" shrinkToFit="false"/>
      <protection locked="true" hidden="false"/>
    </xf>
    <xf numFmtId="185" fontId="4" fillId="0" borderId="39" xfId="0" applyFont="true" applyBorder="true" applyAlignment="true" applyProtection="false">
      <alignment horizontal="left" vertical="center" textRotation="0" wrapText="false" indent="0" shrinkToFit="false"/>
      <protection locked="true" hidden="false"/>
    </xf>
    <xf numFmtId="185" fontId="4" fillId="0" borderId="82" xfId="0" applyFont="true" applyBorder="true" applyAlignment="true" applyProtection="false">
      <alignment horizontal="center" vertical="bottom" textRotation="0" wrapText="false" indent="0" shrinkToFit="false"/>
      <protection locked="true" hidden="false"/>
    </xf>
    <xf numFmtId="185" fontId="4" fillId="0" borderId="83" xfId="0" applyFont="true" applyBorder="true" applyAlignment="true" applyProtection="false">
      <alignment horizontal="center" vertical="bottom" textRotation="0" wrapText="false" indent="0" shrinkToFit="false"/>
      <protection locked="true" hidden="false"/>
    </xf>
    <xf numFmtId="185" fontId="4" fillId="0" borderId="5" xfId="0" applyFont="true" applyBorder="true" applyAlignment="true" applyProtection="false">
      <alignment horizontal="center" vertical="bottom" textRotation="0" wrapText="false" indent="0" shrinkToFit="false"/>
      <protection locked="true" hidden="false"/>
    </xf>
    <xf numFmtId="185" fontId="23" fillId="22" borderId="5" xfId="0" applyFont="true" applyBorder="true" applyAlignment="true" applyProtection="false">
      <alignment horizontal="general" vertical="bottom" textRotation="0" wrapText="false" indent="0" shrinkToFit="false"/>
      <protection locked="true" hidden="false"/>
    </xf>
    <xf numFmtId="164" fontId="14" fillId="22" borderId="6" xfId="0" applyFont="true" applyBorder="true" applyAlignment="true" applyProtection="false">
      <alignment horizontal="center" vertical="center" textRotation="0" wrapText="false" indent="0" shrinkToFit="false"/>
      <protection locked="true" hidden="false"/>
    </xf>
    <xf numFmtId="164" fontId="14" fillId="22" borderId="7" xfId="0" applyFont="true" applyBorder="true" applyAlignment="true" applyProtection="false">
      <alignment horizontal="center" vertical="center" textRotation="0" wrapText="false" indent="0" shrinkToFit="false"/>
      <protection locked="true" hidden="false"/>
    </xf>
    <xf numFmtId="164" fontId="4" fillId="2" borderId="16" xfId="0" applyFont="true" applyBorder="true" applyAlignment="true" applyProtection="false">
      <alignment horizontal="general" vertical="bottom" textRotation="0" wrapText="false" indent="0" shrinkToFit="false"/>
      <protection locked="true" hidden="false"/>
    </xf>
    <xf numFmtId="164" fontId="4" fillId="0" borderId="7" xfId="0" applyFont="true" applyBorder="true" applyAlignment="true" applyProtection="false">
      <alignment horizontal="center" vertical="bottom" textRotation="0" wrapText="false" indent="0" shrinkToFit="false"/>
      <protection locked="true" hidden="false"/>
    </xf>
    <xf numFmtId="179" fontId="4" fillId="0" borderId="7" xfId="0" applyFont="true" applyBorder="true" applyAlignment="true" applyProtection="false">
      <alignment horizontal="center" vertical="bottom" textRotation="0" wrapText="false" indent="0" shrinkToFit="false"/>
      <protection locked="true" hidden="false"/>
    </xf>
    <xf numFmtId="164" fontId="14" fillId="22" borderId="18" xfId="0" applyFont="true" applyBorder="true" applyAlignment="true" applyProtection="false">
      <alignment horizontal="center" vertical="center" textRotation="0" wrapText="false" indent="0" shrinkToFit="false"/>
      <protection locked="true" hidden="false"/>
    </xf>
    <xf numFmtId="181" fontId="23" fillId="22" borderId="19" xfId="0" applyFont="true" applyBorder="true" applyAlignment="true" applyProtection="false">
      <alignment horizontal="center" vertical="bottom" textRotation="0" wrapText="false" indent="0" shrinkToFit="false"/>
      <protection locked="true" hidden="false"/>
    </xf>
    <xf numFmtId="164" fontId="23" fillId="22" borderId="19" xfId="0" applyFont="true" applyBorder="true" applyAlignment="true" applyProtection="false">
      <alignment horizontal="center" vertical="bottom" textRotation="0" wrapText="false" indent="0" shrinkToFit="false"/>
      <protection locked="true" hidden="false"/>
    </xf>
    <xf numFmtId="164" fontId="37" fillId="19" borderId="7" xfId="0" applyFont="true" applyBorder="true" applyAlignment="true" applyProtection="false">
      <alignment horizontal="left" vertical="center" textRotation="0" wrapText="false" indent="0" shrinkToFit="false"/>
      <protection locked="true" hidden="false"/>
    </xf>
    <xf numFmtId="164" fontId="37" fillId="4" borderId="7" xfId="0" applyFont="true" applyBorder="true" applyAlignment="true" applyProtection="false">
      <alignment horizontal="left" vertical="center" textRotation="0" wrapText="false" indent="0" shrinkToFit="false"/>
      <protection locked="true" hidden="false"/>
    </xf>
    <xf numFmtId="169" fontId="37" fillId="4" borderId="7" xfId="0" applyFont="true" applyBorder="true" applyAlignment="true" applyProtection="false">
      <alignment horizontal="center" vertical="center" textRotation="0" wrapText="false" indent="0" shrinkToFit="false"/>
      <protection locked="true" hidden="false"/>
    </xf>
    <xf numFmtId="173" fontId="19" fillId="20" borderId="7" xfId="0" applyFont="true" applyBorder="true" applyAlignment="true" applyProtection="false">
      <alignment horizontal="center" vertical="center" textRotation="0" wrapText="false" indent="0" shrinkToFit="false"/>
      <protection locked="true" hidden="false"/>
    </xf>
    <xf numFmtId="164" fontId="23" fillId="5" borderId="36" xfId="0" applyFont="true" applyBorder="true" applyAlignment="true" applyProtection="false">
      <alignment horizontal="center" vertical="bottom" textRotation="0" wrapText="false" indent="0" shrinkToFit="false"/>
      <protection locked="true" hidden="false"/>
    </xf>
    <xf numFmtId="171" fontId="4" fillId="0" borderId="18" xfId="0" applyFont="true" applyBorder="true" applyAlignment="true" applyProtection="false">
      <alignment horizontal="center" vertical="bottom" textRotation="0" wrapText="false" indent="0" shrinkToFit="false"/>
      <protection locked="true" hidden="false"/>
    </xf>
    <xf numFmtId="171" fontId="4" fillId="0" borderId="19" xfId="0" applyFont="true" applyBorder="true" applyAlignment="true" applyProtection="false">
      <alignment horizontal="center" vertical="bottom" textRotation="0" wrapText="false" indent="0" shrinkToFit="false"/>
      <protection locked="true" hidden="false"/>
    </xf>
    <xf numFmtId="171" fontId="4" fillId="0" borderId="20" xfId="0" applyFont="true" applyBorder="true" applyAlignment="true" applyProtection="false">
      <alignment horizontal="center" vertical="bottom" textRotation="0" wrapText="false" indent="0" shrinkToFit="false"/>
      <protection locked="true" hidden="false"/>
    </xf>
    <xf numFmtId="164" fontId="14" fillId="5" borderId="36" xfId="0" applyFont="true" applyBorder="true" applyAlignment="true" applyProtection="false">
      <alignment horizontal="center" vertical="bottom" textRotation="0" wrapText="false" indent="0" shrinkToFit="false"/>
      <protection locked="true" hidden="false"/>
    </xf>
    <xf numFmtId="164" fontId="14" fillId="5" borderId="6" xfId="0" applyFont="true" applyBorder="true" applyAlignment="true" applyProtection="false">
      <alignment horizontal="center" vertical="bottom" textRotation="0" wrapText="false" indent="0" shrinkToFit="false"/>
      <protection locked="true" hidden="false"/>
    </xf>
    <xf numFmtId="164" fontId="4" fillId="0" borderId="16" xfId="0" applyFont="true" applyBorder="true" applyAlignment="true" applyProtection="false">
      <alignment horizontal="general" vertical="center" textRotation="0" wrapText="false" indent="0" shrinkToFit="false"/>
      <protection locked="true" hidden="false"/>
    </xf>
    <xf numFmtId="171" fontId="4" fillId="0" borderId="7" xfId="0" applyFont="true" applyBorder="true" applyAlignment="true" applyProtection="false">
      <alignment horizontal="center" vertical="bottom" textRotation="0" wrapText="false" indent="0" shrinkToFit="false"/>
      <protection locked="true" hidden="false"/>
    </xf>
    <xf numFmtId="171" fontId="4" fillId="0" borderId="33" xfId="0" applyFont="true" applyBorder="true" applyAlignment="true" applyProtection="false">
      <alignment horizontal="center" vertical="bottom" textRotation="0" wrapText="false" indent="0" shrinkToFit="false"/>
      <protection locked="true" hidden="false"/>
    </xf>
    <xf numFmtId="164" fontId="4" fillId="2" borderId="25" xfId="0" applyFont="true" applyBorder="true" applyAlignment="true" applyProtection="false">
      <alignment horizontal="general" vertical="center" textRotation="0" wrapText="false" indent="0" shrinkToFit="false"/>
      <protection locked="true" hidden="false"/>
    </xf>
    <xf numFmtId="164" fontId="4" fillId="2" borderId="56" xfId="0" applyFont="true" applyBorder="true" applyAlignment="true" applyProtection="false">
      <alignment horizontal="general" vertical="center" textRotation="0" wrapText="false" indent="0" shrinkToFit="false"/>
      <protection locked="true" hidden="false"/>
    </xf>
    <xf numFmtId="164" fontId="43" fillId="2" borderId="28" xfId="0" applyFont="true" applyBorder="true" applyAlignment="true" applyProtection="false">
      <alignment horizontal="general" vertical="bottom" textRotation="0" wrapText="false" indent="0" shrinkToFit="false"/>
      <protection locked="true" hidden="false"/>
    </xf>
    <xf numFmtId="164" fontId="43" fillId="0" borderId="28"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4" fillId="0" borderId="48" xfId="0" applyFont="true" applyBorder="true" applyAlignment="true" applyProtection="false">
      <alignment horizontal="general" vertical="bottom" textRotation="0" wrapText="false" indent="0" shrinkToFit="false"/>
      <protection locked="true" hidden="false"/>
    </xf>
    <xf numFmtId="164" fontId="4" fillId="0" borderId="18" xfId="0" applyFont="true" applyBorder="true" applyAlignment="true" applyProtection="false">
      <alignment horizontal="general" vertical="center" textRotation="0" wrapText="false" indent="0" shrinkToFit="false"/>
      <protection locked="true" hidden="false"/>
    </xf>
    <xf numFmtId="164" fontId="4" fillId="0" borderId="19" xfId="0" applyFont="true" applyBorder="true" applyAlignment="true" applyProtection="false">
      <alignment horizontal="center" vertical="bottom" textRotation="0" wrapText="false" indent="0" shrinkToFit="false"/>
      <protection locked="true" hidden="false"/>
    </xf>
    <xf numFmtId="164" fontId="4" fillId="2" borderId="43" xfId="0" applyFont="true" applyBorder="true" applyAlignment="true" applyProtection="false">
      <alignment horizontal="general" vertical="bottom" textRotation="0" wrapText="false" indent="0" shrinkToFit="false"/>
      <protection locked="true" hidden="false"/>
    </xf>
    <xf numFmtId="164" fontId="23" fillId="5" borderId="60" xfId="0" applyFont="true" applyBorder="true" applyAlignment="true" applyProtection="false">
      <alignment horizontal="center" vertical="bottom" textRotation="0" wrapText="false" indent="0" shrinkToFit="false"/>
      <protection locked="true" hidden="false"/>
    </xf>
    <xf numFmtId="171" fontId="23" fillId="12" borderId="8"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4" fillId="5" borderId="37" xfId="0" applyFont="true" applyBorder="true" applyAlignment="true" applyProtection="false">
      <alignment horizontal="center" vertical="bottom" textRotation="0" wrapText="false" indent="0" shrinkToFit="false"/>
      <protection locked="true" hidden="false"/>
    </xf>
    <xf numFmtId="165" fontId="4" fillId="2" borderId="6" xfId="0" applyFont="true" applyBorder="true" applyAlignment="true" applyProtection="false">
      <alignment horizontal="center" vertical="center" textRotation="0" wrapText="false" indent="0" shrinkToFit="false"/>
      <protection locked="true" hidden="false"/>
    </xf>
    <xf numFmtId="164" fontId="4" fillId="2" borderId="85" xfId="0" applyFont="true" applyBorder="true" applyAlignment="true" applyProtection="false">
      <alignment horizontal="general" vertical="bottom" textRotation="0" wrapText="false" indent="0" shrinkToFit="false"/>
      <protection locked="true" hidden="false"/>
    </xf>
    <xf numFmtId="164" fontId="23" fillId="2" borderId="0" xfId="0" applyFont="true" applyBorder="true" applyAlignment="true" applyProtection="false">
      <alignment horizontal="center" vertical="center"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23" fillId="0" borderId="7" xfId="0" applyFont="true" applyBorder="true" applyAlignment="true" applyProtection="false">
      <alignment horizontal="center" vertical="bottom" textRotation="0" wrapText="false" indent="0" shrinkToFit="false"/>
      <protection locked="true" hidden="false"/>
    </xf>
    <xf numFmtId="171" fontId="4" fillId="0" borderId="17" xfId="0" applyFont="true" applyBorder="true" applyAlignment="true" applyProtection="false">
      <alignment horizontal="center" vertical="bottom" textRotation="0" wrapText="false" indent="0" shrinkToFit="false"/>
      <protection locked="true" hidden="false"/>
    </xf>
    <xf numFmtId="171" fontId="4" fillId="0" borderId="27" xfId="0" applyFont="true" applyBorder="true" applyAlignment="true" applyProtection="false">
      <alignment horizontal="center" vertical="bottom" textRotation="0" wrapText="false" indent="0" shrinkToFit="false"/>
      <protection locked="true" hidden="false"/>
    </xf>
    <xf numFmtId="171" fontId="23" fillId="12" borderId="5" xfId="0" applyFont="true" applyBorder="true" applyAlignment="true" applyProtection="false">
      <alignment horizontal="center" vertical="bottom" textRotation="0" wrapText="false" indent="0" shrinkToFit="false"/>
      <protection locked="true" hidden="false"/>
    </xf>
    <xf numFmtId="164" fontId="11" fillId="4" borderId="50" xfId="0" applyFont="true" applyBorder="true" applyAlignment="true" applyProtection="false">
      <alignment horizontal="left" vertical="bottom" textRotation="0" wrapText="false" indent="0" shrinkToFit="false"/>
      <protection locked="true" hidden="false"/>
    </xf>
    <xf numFmtId="164" fontId="23" fillId="5" borderId="38" xfId="0" applyFont="true" applyBorder="true" applyAlignment="true" applyProtection="false">
      <alignment horizontal="center" vertical="center" textRotation="0" wrapText="false" indent="0" shrinkToFit="false"/>
      <protection locked="true" hidden="false"/>
    </xf>
    <xf numFmtId="164" fontId="23" fillId="5" borderId="83" xfId="0" applyFont="true" applyBorder="true" applyAlignment="true" applyProtection="false">
      <alignment horizontal="center" vertical="center" textRotation="0" wrapText="false" indent="0" shrinkToFit="false"/>
      <protection locked="true" hidden="false"/>
    </xf>
    <xf numFmtId="164" fontId="23" fillId="5" borderId="39" xfId="0" applyFont="true" applyBorder="true" applyAlignment="true" applyProtection="false">
      <alignment horizontal="center" vertical="center" textRotation="0" wrapText="true" indent="0" shrinkToFit="false"/>
      <protection locked="true" hidden="false"/>
    </xf>
    <xf numFmtId="164" fontId="23" fillId="5" borderId="52" xfId="0" applyFont="true" applyBorder="true" applyAlignment="true" applyProtection="false">
      <alignment horizontal="center" vertical="center" textRotation="0" wrapText="false" indent="0" shrinkToFit="false"/>
      <protection locked="true" hidden="false"/>
    </xf>
    <xf numFmtId="164" fontId="23" fillId="5" borderId="84" xfId="0" applyFont="true" applyBorder="true" applyAlignment="true" applyProtection="false">
      <alignment horizontal="center" vertical="center" textRotation="0" wrapText="false" indent="0" shrinkToFit="false"/>
      <protection locked="true" hidden="false"/>
    </xf>
    <xf numFmtId="164" fontId="23" fillId="5" borderId="62" xfId="0" applyFont="true" applyBorder="true" applyAlignment="true" applyProtection="false">
      <alignment horizontal="center" vertical="center" textRotation="0" wrapText="false" indent="0" shrinkToFit="false"/>
      <protection locked="true" hidden="false"/>
    </xf>
    <xf numFmtId="164" fontId="23" fillId="5" borderId="27" xfId="0" applyFont="true" applyBorder="true" applyAlignment="true" applyProtection="false">
      <alignment horizontal="center" vertical="center" textRotation="0" wrapText="false" indent="0" shrinkToFit="false"/>
      <protection locked="true" hidden="false"/>
    </xf>
    <xf numFmtId="164" fontId="4" fillId="0" borderId="38" xfId="0" applyFont="true" applyBorder="true" applyAlignment="true" applyProtection="false">
      <alignment horizontal="center" vertical="center" textRotation="0" wrapText="true" indent="0" shrinkToFit="false"/>
      <protection locked="true" hidden="false"/>
    </xf>
    <xf numFmtId="164" fontId="4" fillId="0" borderId="14" xfId="0" applyFont="true" applyBorder="true" applyAlignment="true" applyProtection="false">
      <alignment horizontal="general" vertical="center" textRotation="0" wrapText="false" indent="0" shrinkToFit="false"/>
      <protection locked="true" hidden="false"/>
    </xf>
    <xf numFmtId="164" fontId="4" fillId="0" borderId="14" xfId="0" applyFont="true" applyBorder="true" applyAlignment="true" applyProtection="false">
      <alignment horizontal="center" vertical="bottom" textRotation="0" wrapText="false" indent="0" shrinkToFit="false"/>
      <protection locked="true" hidden="false"/>
    </xf>
    <xf numFmtId="171" fontId="4" fillId="0" borderId="14" xfId="0" applyFont="true" applyBorder="true" applyAlignment="true" applyProtection="false">
      <alignment horizontal="center" vertical="bottom" textRotation="0" wrapText="false" indent="0" shrinkToFit="false"/>
      <protection locked="true" hidden="false"/>
    </xf>
    <xf numFmtId="164" fontId="4" fillId="0" borderId="15" xfId="0" applyFont="true" applyBorder="true" applyAlignment="true" applyProtection="false">
      <alignment horizontal="center" vertical="bottom" textRotation="0" wrapText="false" indent="0" shrinkToFit="false"/>
      <protection locked="true" hidden="false"/>
    </xf>
    <xf numFmtId="171" fontId="4" fillId="12" borderId="41" xfId="0" applyFont="true" applyBorder="true" applyAlignment="true" applyProtection="false">
      <alignment horizontal="center" vertical="bottom" textRotation="0" wrapText="false" indent="0" shrinkToFit="false"/>
      <protection locked="true" hidden="false"/>
    </xf>
    <xf numFmtId="171" fontId="4" fillId="23" borderId="14" xfId="0" applyFont="true" applyBorder="true" applyAlignment="true" applyProtection="false">
      <alignment horizontal="center" vertical="bottom" textRotation="0" wrapText="false" indent="0" shrinkToFit="false"/>
      <protection locked="true" hidden="false"/>
    </xf>
    <xf numFmtId="171" fontId="4" fillId="23" borderId="15" xfId="0" applyFont="true" applyBorder="true" applyAlignment="true" applyProtection="false">
      <alignment horizontal="center" vertical="bottom" textRotation="0" wrapText="false" indent="0" shrinkToFit="false"/>
      <protection locked="true" hidden="false"/>
    </xf>
    <xf numFmtId="171" fontId="4" fillId="12" borderId="41" xfId="0" applyFont="true" applyBorder="true" applyAlignment="true" applyProtection="false">
      <alignment horizontal="general" vertical="bottom" textRotation="0" wrapText="false" indent="0" shrinkToFit="false"/>
      <protection locked="true" hidden="false"/>
    </xf>
    <xf numFmtId="171" fontId="4" fillId="12" borderId="14" xfId="0" applyFont="true" applyBorder="true" applyAlignment="true" applyProtection="false">
      <alignment horizontal="general" vertical="bottom" textRotation="0" wrapText="false" indent="0" shrinkToFit="false"/>
      <protection locked="true" hidden="false"/>
    </xf>
    <xf numFmtId="171" fontId="4" fillId="12" borderId="15" xfId="0" applyFont="true" applyBorder="true" applyAlignment="true" applyProtection="false">
      <alignment horizontal="general" vertical="bottom" textRotation="0" wrapText="false" indent="0" shrinkToFit="false"/>
      <protection locked="true" hidden="false"/>
    </xf>
    <xf numFmtId="164" fontId="4" fillId="0" borderId="7" xfId="0" applyFont="true" applyBorder="true" applyAlignment="true" applyProtection="false">
      <alignment horizontal="general" vertical="center" textRotation="0" wrapText="false" indent="0" shrinkToFit="false"/>
      <protection locked="true" hidden="false"/>
    </xf>
    <xf numFmtId="165" fontId="4" fillId="0" borderId="7" xfId="0" applyFont="true" applyBorder="true" applyAlignment="true" applyProtection="false">
      <alignment horizontal="center" vertical="bottom" textRotation="0" wrapText="false" indent="0" shrinkToFit="false"/>
      <protection locked="true" hidden="false"/>
    </xf>
    <xf numFmtId="164" fontId="4" fillId="0" borderId="17" xfId="0" applyFont="true" applyBorder="true" applyAlignment="true" applyProtection="false">
      <alignment horizontal="center" vertical="bottom" textRotation="0" wrapText="false" indent="0" shrinkToFit="false"/>
      <protection locked="true" hidden="false"/>
    </xf>
    <xf numFmtId="171" fontId="4" fillId="23" borderId="42" xfId="0" applyFont="true" applyBorder="true" applyAlignment="true" applyProtection="false">
      <alignment horizontal="center" vertical="bottom" textRotation="0" wrapText="false" indent="0" shrinkToFit="false"/>
      <protection locked="true" hidden="false"/>
    </xf>
    <xf numFmtId="171" fontId="4" fillId="12" borderId="7" xfId="0" applyFont="true" applyBorder="true" applyAlignment="true" applyProtection="false">
      <alignment horizontal="center" vertical="bottom" textRotation="0" wrapText="false" indent="0" shrinkToFit="false"/>
      <protection locked="true" hidden="false"/>
    </xf>
    <xf numFmtId="171" fontId="4" fillId="23" borderId="7" xfId="0" applyFont="true" applyBorder="true" applyAlignment="true" applyProtection="false">
      <alignment horizontal="center" vertical="bottom" textRotation="0" wrapText="false" indent="0" shrinkToFit="false"/>
      <protection locked="true" hidden="false"/>
    </xf>
    <xf numFmtId="171" fontId="4" fillId="23" borderId="17" xfId="0" applyFont="true" applyBorder="true" applyAlignment="true" applyProtection="false">
      <alignment horizontal="center" vertical="bottom" textRotation="0" wrapText="false" indent="0" shrinkToFit="false"/>
      <protection locked="true" hidden="false"/>
    </xf>
    <xf numFmtId="171" fontId="4" fillId="23" borderId="42" xfId="0" applyFont="true" applyBorder="true" applyAlignment="true" applyProtection="false">
      <alignment horizontal="general" vertical="bottom" textRotation="0" wrapText="false" indent="0" shrinkToFit="false"/>
      <protection locked="true" hidden="false"/>
    </xf>
    <xf numFmtId="171" fontId="4" fillId="12" borderId="7" xfId="0" applyFont="true" applyBorder="true" applyAlignment="true" applyProtection="false">
      <alignment horizontal="general" vertical="bottom" textRotation="0" wrapText="false" indent="0" shrinkToFit="false"/>
      <protection locked="true" hidden="false"/>
    </xf>
    <xf numFmtId="171" fontId="4" fillId="12" borderId="17" xfId="0" applyFont="true" applyBorder="true" applyAlignment="true" applyProtection="false">
      <alignment horizontal="general" vertical="bottom" textRotation="0" wrapText="false" indent="0" shrinkToFit="false"/>
      <protection locked="true" hidden="false"/>
    </xf>
    <xf numFmtId="171" fontId="4" fillId="23" borderId="7" xfId="0" applyFont="true" applyBorder="true" applyAlignment="true" applyProtection="false">
      <alignment horizontal="general" vertical="bottom" textRotation="0" wrapText="false" indent="0" shrinkToFit="false"/>
      <protection locked="true" hidden="false"/>
    </xf>
    <xf numFmtId="164" fontId="4" fillId="0" borderId="19" xfId="0" applyFont="true" applyBorder="true" applyAlignment="true" applyProtection="false">
      <alignment horizontal="general" vertical="center" textRotation="0" wrapText="false" indent="0" shrinkToFit="false"/>
      <protection locked="true" hidden="false"/>
    </xf>
    <xf numFmtId="164" fontId="4" fillId="0" borderId="20" xfId="0" applyFont="true" applyBorder="true" applyAlignment="true" applyProtection="false">
      <alignment horizontal="center" vertical="bottom" textRotation="0" wrapText="false" indent="0" shrinkToFit="false"/>
      <protection locked="true" hidden="false"/>
    </xf>
    <xf numFmtId="171" fontId="4" fillId="23" borderId="44" xfId="0" applyFont="true" applyBorder="true" applyAlignment="true" applyProtection="false">
      <alignment horizontal="center" vertical="bottom" textRotation="0" wrapText="false" indent="0" shrinkToFit="false"/>
      <protection locked="true" hidden="false"/>
    </xf>
    <xf numFmtId="171" fontId="4" fillId="23" borderId="19" xfId="0" applyFont="true" applyBorder="true" applyAlignment="true" applyProtection="false">
      <alignment horizontal="center" vertical="bottom" textRotation="0" wrapText="false" indent="0" shrinkToFit="false"/>
      <protection locked="true" hidden="false"/>
    </xf>
    <xf numFmtId="171" fontId="4" fillId="12" borderId="20" xfId="0" applyFont="true" applyBorder="true" applyAlignment="true" applyProtection="false">
      <alignment horizontal="center" vertical="bottom" textRotation="0" wrapText="false" indent="0" shrinkToFit="false"/>
      <protection locked="true" hidden="false"/>
    </xf>
    <xf numFmtId="171" fontId="4" fillId="23" borderId="44" xfId="0" applyFont="true" applyBorder="true" applyAlignment="true" applyProtection="false">
      <alignment horizontal="general" vertical="bottom" textRotation="0" wrapText="false" indent="0" shrinkToFit="false"/>
      <protection locked="true" hidden="false"/>
    </xf>
    <xf numFmtId="171" fontId="4" fillId="23" borderId="19" xfId="0" applyFont="true" applyBorder="true" applyAlignment="true" applyProtection="false">
      <alignment horizontal="general" vertical="bottom" textRotation="0" wrapText="false" indent="0" shrinkToFit="false"/>
      <protection locked="true" hidden="false"/>
    </xf>
    <xf numFmtId="171" fontId="4" fillId="23" borderId="20" xfId="0" applyFont="true" applyBorder="true" applyAlignment="true" applyProtection="false">
      <alignment horizontal="general" vertical="bottom" textRotation="0" wrapText="false" indent="0" shrinkToFit="false"/>
      <protection locked="true" hidden="false"/>
    </xf>
    <xf numFmtId="171" fontId="4" fillId="12" borderId="17" xfId="0" applyFont="true" applyBorder="true" applyAlignment="true" applyProtection="false">
      <alignment horizontal="center" vertical="bottom" textRotation="0" wrapText="false" indent="0" shrinkToFit="false"/>
      <protection locked="true" hidden="false"/>
    </xf>
    <xf numFmtId="171" fontId="4" fillId="23" borderId="17" xfId="0" applyFont="true" applyBorder="true" applyAlignment="true" applyProtection="false">
      <alignment horizontal="general" vertical="bottom" textRotation="0" wrapText="false" indent="0" shrinkToFit="false"/>
      <protection locked="true" hidden="false"/>
    </xf>
    <xf numFmtId="171" fontId="4" fillId="12" borderId="42" xfId="0" applyFont="true" applyBorder="true" applyAlignment="true" applyProtection="false">
      <alignment horizontal="center" vertical="bottom" textRotation="0" wrapText="false" indent="0" shrinkToFit="false"/>
      <protection locked="true" hidden="false"/>
    </xf>
    <xf numFmtId="171" fontId="4" fillId="12" borderId="42" xfId="0" applyFont="true" applyBorder="true" applyAlignment="true" applyProtection="false">
      <alignment horizontal="general" vertical="bottom" textRotation="0" wrapText="false" indent="0" shrinkToFit="false"/>
      <protection locked="true" hidden="false"/>
    </xf>
    <xf numFmtId="164" fontId="4" fillId="0" borderId="7"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71" fontId="4" fillId="12" borderId="44" xfId="0" applyFont="true" applyBorder="true" applyAlignment="true" applyProtection="false">
      <alignment horizontal="center" vertical="bottom" textRotation="0" wrapText="false" indent="0" shrinkToFit="false"/>
      <protection locked="true" hidden="false"/>
    </xf>
    <xf numFmtId="171" fontId="4" fillId="23" borderId="20" xfId="0" applyFont="true" applyBorder="true" applyAlignment="true" applyProtection="false">
      <alignment horizontal="center" vertical="bottom" textRotation="0" wrapText="false" indent="0" shrinkToFit="false"/>
      <protection locked="true" hidden="false"/>
    </xf>
    <xf numFmtId="171" fontId="4" fillId="12" borderId="44" xfId="0" applyFont="true" applyBorder="true" applyAlignment="true" applyProtection="false">
      <alignment horizontal="general" vertical="bottom" textRotation="0" wrapText="false" indent="0" shrinkToFit="false"/>
      <protection locked="true" hidden="false"/>
    </xf>
    <xf numFmtId="171" fontId="4" fillId="12" borderId="19" xfId="0" applyFont="true" applyBorder="true" applyAlignment="true" applyProtection="false">
      <alignment horizontal="general" vertical="bottom" textRotation="0" wrapText="false" indent="0" shrinkToFit="false"/>
      <protection locked="true" hidden="false"/>
    </xf>
    <xf numFmtId="171" fontId="4" fillId="12" borderId="20" xfId="0" applyFont="true" applyBorder="true" applyAlignment="true" applyProtection="false">
      <alignment horizontal="general" vertical="bottom" textRotation="0" wrapText="false" indent="0" shrinkToFit="false"/>
      <protection locked="true" hidden="false"/>
    </xf>
    <xf numFmtId="164" fontId="14" fillId="4" borderId="5" xfId="0" applyFont="true" applyBorder="true" applyAlignment="true" applyProtection="false">
      <alignment horizontal="right" vertical="bottom" textRotation="0" wrapText="false" indent="0" shrinkToFit="false"/>
      <protection locked="true" hidden="false"/>
    </xf>
    <xf numFmtId="171" fontId="14" fillId="12" borderId="82" xfId="0" applyFont="true" applyBorder="true" applyAlignment="true" applyProtection="false">
      <alignment horizontal="general" vertical="bottom" textRotation="0" wrapText="false" indent="0" shrinkToFit="false"/>
      <protection locked="true" hidden="false"/>
    </xf>
    <xf numFmtId="171" fontId="14" fillId="12" borderId="83" xfId="0" applyFont="true" applyBorder="true" applyAlignment="true" applyProtection="false">
      <alignment horizontal="general" vertical="bottom" textRotation="0" wrapText="false" indent="0" shrinkToFit="false"/>
      <protection locked="true" hidden="false"/>
    </xf>
    <xf numFmtId="171" fontId="14" fillId="12" borderId="39" xfId="0" applyFont="true" applyBorder="true" applyAlignment="true" applyProtection="false">
      <alignment horizontal="general" vertical="bottom" textRotation="0" wrapText="false" indent="0" shrinkToFit="false"/>
      <protection locked="true" hidden="false"/>
    </xf>
    <xf numFmtId="164" fontId="23" fillId="5" borderId="13" xfId="0" applyFont="true" applyBorder="true" applyAlignment="true" applyProtection="false">
      <alignment horizontal="center" vertical="bottom" textRotation="0" wrapText="false" indent="0" shrinkToFit="false"/>
      <protection locked="true" hidden="false"/>
    </xf>
    <xf numFmtId="164" fontId="23" fillId="5" borderId="14" xfId="0" applyFont="true" applyBorder="true" applyAlignment="true" applyProtection="false">
      <alignment horizontal="center" vertical="bottom" textRotation="0" wrapText="false" indent="0" shrinkToFit="false"/>
      <protection locked="true" hidden="false"/>
    </xf>
    <xf numFmtId="164" fontId="23" fillId="5" borderId="15" xfId="0" applyFont="true" applyBorder="true" applyAlignment="true" applyProtection="false">
      <alignment horizontal="center" vertical="bottom" textRotation="0" wrapText="false" indent="0" shrinkToFit="false"/>
      <protection locked="true" hidden="false"/>
    </xf>
    <xf numFmtId="164" fontId="23" fillId="4" borderId="25" xfId="0" applyFont="true" applyBorder="true" applyAlignment="true" applyProtection="false">
      <alignment horizontal="general" vertical="bottom" textRotation="0" wrapText="false" indent="0" shrinkToFit="false"/>
      <protection locked="true" hidden="false"/>
    </xf>
    <xf numFmtId="171" fontId="4" fillId="2" borderId="36" xfId="0" applyFont="true" applyBorder="true" applyAlignment="true" applyProtection="false">
      <alignment horizontal="center" vertical="bottom" textRotation="0" wrapText="false" indent="0" shrinkToFit="false"/>
      <protection locked="true" hidden="false"/>
    </xf>
    <xf numFmtId="171" fontId="4" fillId="2" borderId="6" xfId="0" applyFont="true" applyBorder="true" applyAlignment="true" applyProtection="false">
      <alignment horizontal="center" vertical="bottom" textRotation="0" wrapText="false" indent="0" shrinkToFit="false"/>
      <protection locked="true" hidden="false"/>
    </xf>
    <xf numFmtId="171" fontId="4" fillId="2" borderId="37" xfId="0" applyFont="true" applyBorder="true" applyAlignment="true" applyProtection="false">
      <alignment horizontal="center" vertical="bottom" textRotation="0" wrapText="false" indent="0" shrinkToFit="false"/>
      <protection locked="true" hidden="false"/>
    </xf>
    <xf numFmtId="164" fontId="23" fillId="5" borderId="5" xfId="0" applyFont="true" applyBorder="true" applyAlignment="true" applyProtection="false">
      <alignment horizontal="left" vertical="bottom" textRotation="0" wrapText="false" indent="0" shrinkToFit="false"/>
      <protection locked="true" hidden="false"/>
    </xf>
    <xf numFmtId="164" fontId="23" fillId="5" borderId="82" xfId="0" applyFont="true" applyBorder="true" applyAlignment="true" applyProtection="false">
      <alignment horizontal="center" vertical="bottom" textRotation="0" wrapText="false" indent="0" shrinkToFit="false"/>
      <protection locked="true" hidden="false"/>
    </xf>
    <xf numFmtId="164" fontId="23" fillId="5" borderId="83" xfId="0" applyFont="true" applyBorder="true" applyAlignment="true" applyProtection="false">
      <alignment horizontal="center" vertical="bottom" textRotation="0" wrapText="false" indent="0" shrinkToFit="false"/>
      <protection locked="true" hidden="false"/>
    </xf>
    <xf numFmtId="164" fontId="23" fillId="5" borderId="39" xfId="0" applyFont="true" applyBorder="true" applyAlignment="true" applyProtection="false">
      <alignment horizontal="center" vertical="bottom" textRotation="0" wrapText="false" indent="0" shrinkToFit="false"/>
      <protection locked="true" hidden="false"/>
    </xf>
    <xf numFmtId="164" fontId="23" fillId="4" borderId="28" xfId="0" applyFont="true" applyBorder="true" applyAlignment="true" applyProtection="false">
      <alignment horizontal="general" vertical="bottom" textRotation="0" wrapText="false" indent="0" shrinkToFit="false"/>
      <protection locked="true" hidden="false"/>
    </xf>
    <xf numFmtId="171" fontId="4" fillId="2" borderId="16" xfId="0" applyFont="true" applyBorder="true" applyAlignment="true" applyProtection="false">
      <alignment horizontal="center" vertical="bottom" textRotation="0" wrapText="false" indent="0" shrinkToFit="false"/>
      <protection locked="true" hidden="false"/>
    </xf>
    <xf numFmtId="171" fontId="4" fillId="2" borderId="17" xfId="0" applyFont="true" applyBorder="true" applyAlignment="true" applyProtection="false">
      <alignment horizontal="center" vertical="bottom" textRotation="0" wrapText="false" indent="0" shrinkToFit="false"/>
      <protection locked="true" hidden="false"/>
    </xf>
    <xf numFmtId="164" fontId="4" fillId="0" borderId="25" xfId="0" applyFont="true" applyBorder="true" applyAlignment="true" applyProtection="false">
      <alignment horizontal="left" vertical="center" textRotation="0" wrapText="false" indent="0" shrinkToFit="false"/>
      <protection locked="true" hidden="false"/>
    </xf>
    <xf numFmtId="164" fontId="4" fillId="0" borderId="41" xfId="0" applyFont="true" applyBorder="true" applyAlignment="true" applyProtection="false">
      <alignment horizontal="center" vertical="bottom" textRotation="0" wrapText="false" indent="0" shrinkToFit="false"/>
      <protection locked="true" hidden="false"/>
    </xf>
    <xf numFmtId="171" fontId="4" fillId="0" borderId="15" xfId="0" applyFont="true" applyBorder="true" applyAlignment="true" applyProtection="false">
      <alignment horizontal="center" vertical="bottom" textRotation="0" wrapText="false" indent="0" shrinkToFit="false"/>
      <protection locked="true" hidden="false"/>
    </xf>
    <xf numFmtId="164" fontId="23" fillId="4" borderId="43" xfId="0" applyFont="true" applyBorder="true" applyAlignment="true" applyProtection="false">
      <alignment horizontal="general" vertical="bottom" textRotation="0" wrapText="false" indent="0" shrinkToFit="false"/>
      <protection locked="true" hidden="false"/>
    </xf>
    <xf numFmtId="164" fontId="4" fillId="0" borderId="16" xfId="0" applyFont="true" applyBorder="true" applyAlignment="true" applyProtection="false">
      <alignment horizontal="center" vertical="center" textRotation="0" wrapText="false" indent="0" shrinkToFit="false"/>
      <protection locked="true" hidden="false"/>
    </xf>
    <xf numFmtId="164" fontId="4" fillId="0" borderId="17" xfId="0" applyFont="true" applyBorder="true" applyAlignment="true" applyProtection="false">
      <alignment horizontal="general" vertical="bottom" textRotation="0" wrapText="false" indent="0" shrinkToFit="false"/>
      <protection locked="true" hidden="false"/>
    </xf>
    <xf numFmtId="164" fontId="4" fillId="0" borderId="42" xfId="0" applyFont="true" applyBorder="true" applyAlignment="true" applyProtection="false">
      <alignment horizontal="center" vertical="bottom" textRotation="0" wrapText="false" indent="0" shrinkToFit="false"/>
      <protection locked="true" hidden="false"/>
    </xf>
    <xf numFmtId="164" fontId="4" fillId="0" borderId="27" xfId="0" applyFont="true" applyBorder="true" applyAlignment="true" applyProtection="false">
      <alignment horizontal="general" vertical="bottom" textRotation="0" wrapText="false" indent="0" shrinkToFit="false"/>
      <protection locked="true" hidden="false"/>
    </xf>
    <xf numFmtId="164" fontId="4" fillId="0" borderId="84" xfId="0" applyFont="true" applyBorder="true" applyAlignment="true" applyProtection="false">
      <alignment horizontal="center" vertical="bottom" textRotation="0" wrapText="false" indent="0" shrinkToFit="false"/>
      <protection locked="true" hidden="false"/>
    </xf>
    <xf numFmtId="164" fontId="4" fillId="17" borderId="5" xfId="0" applyFont="true" applyBorder="true" applyAlignment="true" applyProtection="false">
      <alignment horizontal="left" vertical="bottom" textRotation="0" wrapText="false" indent="0" shrinkToFit="false"/>
      <protection locked="true" hidden="false"/>
    </xf>
    <xf numFmtId="164" fontId="4" fillId="17" borderId="82" xfId="0" applyFont="true" applyBorder="true" applyAlignment="true" applyProtection="false">
      <alignment horizontal="center" vertical="bottom" textRotation="0" wrapText="false" indent="0" shrinkToFit="false"/>
      <protection locked="true" hidden="false"/>
    </xf>
    <xf numFmtId="171" fontId="4" fillId="17" borderId="83" xfId="0" applyFont="true" applyBorder="true" applyAlignment="true" applyProtection="false">
      <alignment horizontal="center" vertical="bottom" textRotation="0" wrapText="false" indent="0" shrinkToFit="false"/>
      <protection locked="true" hidden="false"/>
    </xf>
    <xf numFmtId="171" fontId="4" fillId="17" borderId="39" xfId="0" applyFont="true" applyBorder="true" applyAlignment="true" applyProtection="false">
      <alignment horizontal="center" vertical="bottom" textRotation="0" wrapText="false" indent="0" shrinkToFit="false"/>
      <protection locked="true" hidden="false"/>
    </xf>
    <xf numFmtId="164" fontId="4" fillId="0" borderId="8" xfId="0" applyFont="true" applyBorder="true" applyAlignment="true" applyProtection="false">
      <alignment horizontal="left" vertical="bottom" textRotation="0" wrapText="false" indent="0" shrinkToFit="false"/>
      <protection locked="true" hidden="false"/>
    </xf>
    <xf numFmtId="164" fontId="4" fillId="0" borderId="81" xfId="0" applyFont="true" applyBorder="true" applyAlignment="true" applyProtection="false">
      <alignment horizontal="center" vertical="bottom" textRotation="0" wrapText="false" indent="0" shrinkToFit="false"/>
      <protection locked="true" hidden="false"/>
    </xf>
    <xf numFmtId="171" fontId="4" fillId="0" borderId="22" xfId="0" applyFont="true" applyBorder="true" applyAlignment="true" applyProtection="false">
      <alignment horizontal="center" vertical="bottom" textRotation="0" wrapText="false" indent="0" shrinkToFit="false"/>
      <protection locked="true" hidden="false"/>
    </xf>
    <xf numFmtId="171" fontId="4" fillId="0" borderId="23" xfId="0" applyFont="true" applyBorder="true" applyAlignment="true" applyProtection="false">
      <alignment horizontal="center" vertical="bottom" textRotation="0" wrapText="false" indent="0" shrinkToFit="false"/>
      <protection locked="true" hidden="false"/>
    </xf>
    <xf numFmtId="164" fontId="4" fillId="0" borderId="50" xfId="0" applyFont="true" applyBorder="true" applyAlignment="true" applyProtection="false">
      <alignment horizontal="left" vertical="bottom" textRotation="0" wrapText="false" indent="0" shrinkToFit="false"/>
      <protection locked="true" hidden="false"/>
    </xf>
    <xf numFmtId="164" fontId="4" fillId="0" borderId="63" xfId="0" applyFont="true" applyBorder="true" applyAlignment="true" applyProtection="false">
      <alignment horizontal="center" vertical="bottom" textRotation="0" wrapText="false" indent="0" shrinkToFit="false"/>
      <protection locked="true" hidden="false"/>
    </xf>
    <xf numFmtId="171" fontId="4" fillId="0" borderId="65" xfId="0" applyFont="true" applyBorder="true" applyAlignment="true" applyProtection="false">
      <alignment horizontal="center" vertical="bottom" textRotation="0" wrapText="false" indent="0" shrinkToFit="false"/>
      <protection locked="true" hidden="false"/>
    </xf>
    <xf numFmtId="171" fontId="4" fillId="0" borderId="32" xfId="0" applyFont="true" applyBorder="true" applyAlignment="true" applyProtection="false">
      <alignment horizontal="center" vertical="bottom" textRotation="0" wrapText="false" indent="0" shrinkToFit="false"/>
      <protection locked="true" hidden="false"/>
    </xf>
    <xf numFmtId="164" fontId="4" fillId="0" borderId="48" xfId="0" applyFont="true" applyBorder="true" applyAlignment="true" applyProtection="false">
      <alignment horizontal="left" vertical="bottom" textRotation="0" wrapText="false" indent="0" shrinkToFit="false"/>
      <protection locked="true" hidden="false"/>
    </xf>
    <xf numFmtId="171" fontId="4" fillId="0" borderId="86" xfId="0" applyFont="true" applyBorder="true" applyAlignment="true" applyProtection="false">
      <alignment horizontal="center" vertical="bottom" textRotation="0" wrapText="false" indent="0" shrinkToFit="false"/>
      <protection locked="true" hidden="false"/>
    </xf>
    <xf numFmtId="171" fontId="4" fillId="0" borderId="11" xfId="0" applyFont="true" applyBorder="true" applyAlignment="true" applyProtection="false">
      <alignment horizontal="center" vertical="bottom" textRotation="0" wrapText="false" indent="0" shrinkToFit="false"/>
      <protection locked="true" hidden="false"/>
    </xf>
    <xf numFmtId="171" fontId="4" fillId="0" borderId="12" xfId="0" applyFont="true" applyBorder="true" applyAlignment="true" applyProtection="false">
      <alignment horizontal="center" vertical="bottom" textRotation="0" wrapText="false" indent="0" shrinkToFit="false"/>
      <protection locked="true" hidden="false"/>
    </xf>
    <xf numFmtId="164" fontId="4" fillId="24" borderId="5" xfId="0" applyFont="true" applyBorder="true" applyAlignment="true" applyProtection="false">
      <alignment horizontal="left" vertical="bottom" textRotation="0" wrapText="false" indent="0" shrinkToFit="false"/>
      <protection locked="true" hidden="false"/>
    </xf>
    <xf numFmtId="171" fontId="4" fillId="24" borderId="82" xfId="0" applyFont="true" applyBorder="true" applyAlignment="true" applyProtection="false">
      <alignment horizontal="center" vertical="bottom" textRotation="0" wrapText="false" indent="0" shrinkToFit="false"/>
      <protection locked="true" hidden="false"/>
    </xf>
    <xf numFmtId="171" fontId="4" fillId="24" borderId="83" xfId="0" applyFont="true" applyBorder="true" applyAlignment="true" applyProtection="false">
      <alignment horizontal="center" vertical="bottom" textRotation="0" wrapText="false" indent="0" shrinkToFit="false"/>
      <protection locked="true" hidden="false"/>
    </xf>
    <xf numFmtId="171" fontId="4" fillId="24" borderId="39" xfId="0" applyFont="true" applyBorder="true" applyAlignment="true" applyProtection="false">
      <alignment horizontal="center" vertical="bottom" textRotation="0" wrapText="false" indent="0" shrinkToFit="false"/>
      <protection locked="true" hidden="false"/>
    </xf>
    <xf numFmtId="164" fontId="4" fillId="25" borderId="28" xfId="0" applyFont="true" applyBorder="true" applyAlignment="true" applyProtection="false">
      <alignment horizontal="left" vertical="bottom" textRotation="0" wrapText="false" indent="0" shrinkToFit="false"/>
      <protection locked="true" hidden="false"/>
    </xf>
    <xf numFmtId="164" fontId="4" fillId="25" borderId="42" xfId="0" applyFont="true" applyBorder="true" applyAlignment="true" applyProtection="false">
      <alignment horizontal="center" vertical="bottom" textRotation="0" wrapText="false" indent="0" shrinkToFit="false"/>
      <protection locked="true" hidden="false"/>
    </xf>
    <xf numFmtId="171" fontId="4" fillId="25" borderId="7" xfId="0" applyFont="true" applyBorder="true" applyAlignment="true" applyProtection="false">
      <alignment horizontal="center" vertical="bottom" textRotation="0" wrapText="false" indent="0" shrinkToFit="false"/>
      <protection locked="true" hidden="false"/>
    </xf>
    <xf numFmtId="171" fontId="4" fillId="25" borderId="17" xfId="0" applyFont="true" applyBorder="true" applyAlignment="true" applyProtection="false">
      <alignment horizontal="center" vertical="bottom" textRotation="0" wrapText="false" indent="0" shrinkToFit="false"/>
      <protection locked="true" hidden="false"/>
    </xf>
    <xf numFmtId="164" fontId="4" fillId="0" borderId="13" xfId="0" applyFont="true" applyBorder="true" applyAlignment="true" applyProtection="false">
      <alignment horizontal="left" vertical="bottom" textRotation="0" wrapText="false" indent="0" shrinkToFit="false"/>
      <protection locked="true" hidden="false"/>
    </xf>
    <xf numFmtId="164" fontId="4" fillId="2" borderId="18" xfId="0" applyFont="true" applyBorder="true" applyAlignment="true" applyProtection="false">
      <alignment horizontal="general" vertical="bottom" textRotation="0" wrapText="false" indent="0" shrinkToFit="false"/>
      <protection locked="true" hidden="false"/>
    </xf>
    <xf numFmtId="173" fontId="4" fillId="2" borderId="19" xfId="0" applyFont="true" applyBorder="true" applyAlignment="true" applyProtection="false">
      <alignment horizontal="general" vertical="bottom" textRotation="0" wrapText="false" indent="0" shrinkToFit="false"/>
      <protection locked="true" hidden="false"/>
    </xf>
    <xf numFmtId="164" fontId="4" fillId="2" borderId="13" xfId="0" applyFont="true" applyBorder="true" applyAlignment="true" applyProtection="false">
      <alignment horizontal="general" vertical="bottom" textRotation="0" wrapText="false" indent="0" shrinkToFit="false"/>
      <protection locked="true" hidden="false"/>
    </xf>
    <xf numFmtId="173" fontId="4" fillId="2" borderId="14" xfId="0" applyFont="true" applyBorder="true" applyAlignment="true" applyProtection="false">
      <alignment horizontal="general" vertical="bottom" textRotation="0" wrapText="false" indent="0" shrinkToFit="false"/>
      <protection locked="true" hidden="false"/>
    </xf>
    <xf numFmtId="173" fontId="4" fillId="2" borderId="15" xfId="0" applyFont="true" applyBorder="true" applyAlignment="true" applyProtection="false">
      <alignment horizontal="general" vertical="bottom" textRotation="0" wrapText="false" indent="0" shrinkToFit="false"/>
      <protection locked="true" hidden="false"/>
    </xf>
    <xf numFmtId="173" fontId="4" fillId="2" borderId="7" xfId="0" applyFont="true" applyBorder="true" applyAlignment="true" applyProtection="false">
      <alignment horizontal="general" vertical="bottom" textRotation="0" wrapText="false" indent="0" shrinkToFit="false"/>
      <protection locked="true" hidden="false"/>
    </xf>
    <xf numFmtId="173" fontId="4" fillId="2" borderId="17" xfId="0" applyFont="true" applyBorder="true" applyAlignment="true" applyProtection="false">
      <alignment horizontal="general" vertical="bottom" textRotation="0" wrapText="false" indent="0" shrinkToFit="false"/>
      <protection locked="true" hidden="false"/>
    </xf>
    <xf numFmtId="173" fontId="4" fillId="2" borderId="20" xfId="0" applyFont="true" applyBorder="true" applyAlignment="true" applyProtection="false">
      <alignment horizontal="general" vertical="bottom" textRotation="0" wrapText="false" indent="0" shrinkToFit="false"/>
      <protection locked="true" hidden="false"/>
    </xf>
    <xf numFmtId="171" fontId="23" fillId="12" borderId="13" xfId="0" applyFont="true" applyBorder="true" applyAlignment="true" applyProtection="false">
      <alignment horizontal="general" vertical="bottom" textRotation="0" wrapText="false" indent="0" shrinkToFit="false"/>
      <protection locked="true" hidden="false"/>
    </xf>
    <xf numFmtId="173" fontId="23" fillId="10" borderId="15" xfId="0" applyFont="true" applyBorder="true" applyAlignment="true" applyProtection="false">
      <alignment horizontal="center" vertical="bottom" textRotation="0" wrapText="false" indent="0" shrinkToFit="false"/>
      <protection locked="true" hidden="false"/>
    </xf>
    <xf numFmtId="168" fontId="4" fillId="2" borderId="0" xfId="0" applyFont="true" applyBorder="false" applyAlignment="true" applyProtection="false">
      <alignment horizontal="general" vertical="bottom" textRotation="0" wrapText="false" indent="0" shrinkToFit="false"/>
      <protection locked="true" hidden="false"/>
    </xf>
    <xf numFmtId="171" fontId="23" fillId="12" borderId="16" xfId="0" applyFont="true" applyBorder="true" applyAlignment="true" applyProtection="false">
      <alignment horizontal="general" vertical="bottom" textRotation="0" wrapText="false" indent="0" shrinkToFit="false"/>
      <protection locked="true" hidden="false"/>
    </xf>
    <xf numFmtId="187" fontId="23" fillId="10" borderId="17" xfId="0" applyFont="true" applyBorder="true" applyAlignment="true" applyProtection="false">
      <alignment horizontal="center" vertical="bottom" textRotation="0" wrapText="false" indent="0" shrinkToFit="false"/>
      <protection locked="true" hidden="false"/>
    </xf>
    <xf numFmtId="188" fontId="4" fillId="2" borderId="0" xfId="0" applyFont="true" applyBorder="false" applyAlignment="true" applyProtection="false">
      <alignment horizontal="general" vertical="bottom" textRotation="0" wrapText="false" indent="0" shrinkToFit="false"/>
      <protection locked="true" hidden="false"/>
    </xf>
    <xf numFmtId="171" fontId="23" fillId="12" borderId="18" xfId="0" applyFont="true" applyBorder="true" applyAlignment="true" applyProtection="false">
      <alignment horizontal="general" vertical="bottom" textRotation="0" wrapText="false" indent="0" shrinkToFit="false"/>
      <protection locked="true" hidden="false"/>
    </xf>
    <xf numFmtId="189" fontId="23" fillId="10" borderId="20" xfId="0" applyFont="true" applyBorder="true" applyAlignment="true" applyProtection="false">
      <alignment horizontal="center" vertical="bottom" textRotation="0" wrapText="false" indent="0" shrinkToFit="false"/>
      <protection locked="true" hidden="false"/>
    </xf>
    <xf numFmtId="166" fontId="23" fillId="2" borderId="0" xfId="0" applyFont="true" applyBorder="false" applyAlignment="true" applyProtection="false">
      <alignment horizontal="center" vertical="bottom" textRotation="0" wrapText="false" indent="0" shrinkToFit="false"/>
      <protection locked="true" hidden="false"/>
    </xf>
    <xf numFmtId="164" fontId="45" fillId="26" borderId="0" xfId="0" applyFont="true" applyBorder="true" applyAlignment="true" applyProtection="false">
      <alignment horizontal="left" vertical="center" textRotation="0" wrapText="true" indent="0" shrinkToFit="false"/>
      <protection locked="true" hidden="false"/>
    </xf>
    <xf numFmtId="164" fontId="46" fillId="0" borderId="0" xfId="0" applyFont="true" applyBorder="false" applyAlignment="true" applyProtection="false">
      <alignment horizontal="left" vertical="center" textRotation="0" wrapText="true" indent="0" shrinkToFit="false"/>
      <protection locked="true" hidden="false"/>
    </xf>
    <xf numFmtId="164" fontId="47" fillId="0" borderId="0" xfId="0" applyFont="true" applyBorder="false" applyAlignment="true" applyProtection="false">
      <alignment horizontal="left" vertical="center" textRotation="0" wrapText="true" indent="0" shrinkToFit="false"/>
      <protection locked="true" hidden="false"/>
    </xf>
    <xf numFmtId="164" fontId="48" fillId="0" borderId="0" xfId="0" applyFont="true" applyBorder="false" applyAlignment="true" applyProtection="false">
      <alignment horizontal="left" vertical="center" textRotation="0" wrapText="true" indent="0" shrinkToFit="false"/>
      <protection locked="true" hidden="false"/>
    </xf>
    <xf numFmtId="164" fontId="45" fillId="26" borderId="0" xfId="0" applyFont="true" applyBorder="true" applyAlignment="true" applyProtection="false">
      <alignment horizontal="left" vertical="center" textRotation="0" wrapText="false" indent="0" shrinkToFit="false"/>
      <protection locked="true" hidden="false"/>
    </xf>
    <xf numFmtId="164" fontId="46" fillId="0" borderId="0" xfId="0" applyFont="true" applyBorder="false" applyAlignment="true" applyProtection="false">
      <alignment horizontal="general" vertical="center" textRotation="0" wrapText="false" indent="0" shrinkToFit="false"/>
      <protection locked="true" hidden="false"/>
    </xf>
    <xf numFmtId="164" fontId="48" fillId="0" borderId="0" xfId="0" applyFont="true" applyBorder="false" applyAlignment="true" applyProtection="false">
      <alignment horizontal="general" vertical="center" textRotation="0" wrapText="false" indent="0" shrinkToFit="false"/>
      <protection locked="true" hidden="false"/>
    </xf>
    <xf numFmtId="164" fontId="49" fillId="0" borderId="0" xfId="0" applyFont="true" applyBorder="false" applyAlignment="true" applyProtection="false">
      <alignment horizontal="general" vertical="center" textRotation="0" wrapText="false" indent="0" shrinkToFit="false"/>
      <protection locked="true" hidden="false"/>
    </xf>
    <xf numFmtId="164" fontId="50" fillId="0" borderId="49" xfId="0" applyFont="true" applyBorder="true" applyAlignment="true" applyProtection="false">
      <alignment horizontal="center" vertical="bottom" textRotation="0" wrapText="true" indent="0" shrinkToFit="false"/>
      <protection locked="true" hidden="false"/>
    </xf>
    <xf numFmtId="164" fontId="50" fillId="0" borderId="5" xfId="0" applyFont="true" applyBorder="true" applyAlignment="true" applyProtection="false">
      <alignment horizontal="center" vertical="bottom" textRotation="0" wrapText="true" indent="0" shrinkToFit="false"/>
      <protection locked="true" hidden="false"/>
    </xf>
    <xf numFmtId="164" fontId="50" fillId="0" borderId="40" xfId="0" applyFont="true" applyBorder="true" applyAlignment="true" applyProtection="false">
      <alignment horizontal="center" vertical="bottom" textRotation="0" wrapText="true" indent="0" shrinkToFit="false"/>
      <protection locked="true" hidden="false"/>
    </xf>
    <xf numFmtId="164" fontId="50" fillId="0" borderId="5" xfId="0" applyFont="true" applyBorder="true" applyAlignment="true" applyProtection="false">
      <alignment horizontal="center" vertical="center" textRotation="0" wrapText="true" indent="0" shrinkToFit="false"/>
      <protection locked="true" hidden="false"/>
    </xf>
    <xf numFmtId="164" fontId="50" fillId="0" borderId="40" xfId="0" applyFont="true" applyBorder="true" applyAlignment="true" applyProtection="false">
      <alignment horizontal="center" vertical="center" textRotation="0" wrapText="true" indent="0" shrinkToFit="false"/>
      <protection locked="true" hidden="false"/>
    </xf>
    <xf numFmtId="164" fontId="50" fillId="0" borderId="5" xfId="0" applyFont="true" applyBorder="true" applyAlignment="true" applyProtection="false">
      <alignment horizontal="general" vertical="center" textRotation="0" wrapText="true" indent="0" shrinkToFit="false"/>
      <protection locked="true" hidden="false"/>
    </xf>
    <xf numFmtId="164" fontId="50" fillId="27" borderId="8" xfId="0" applyFont="true" applyBorder="true" applyAlignment="true" applyProtection="false">
      <alignment horizontal="center" vertical="center" textRotation="0" wrapText="true" indent="0" shrinkToFit="false"/>
      <protection locked="true" hidden="false"/>
    </xf>
    <xf numFmtId="164" fontId="50" fillId="11" borderId="5" xfId="0" applyFont="true" applyBorder="true" applyAlignment="true" applyProtection="false">
      <alignment horizontal="center" vertical="center" textRotation="0" wrapText="true" indent="0" shrinkToFit="false"/>
      <protection locked="true" hidden="false"/>
    </xf>
    <xf numFmtId="164" fontId="50" fillId="3" borderId="8" xfId="0" applyFont="true" applyBorder="true" applyAlignment="true" applyProtection="false">
      <alignment horizontal="center" vertical="center" textRotation="0" wrapText="true" indent="0" shrinkToFit="false"/>
      <protection locked="true" hidden="false"/>
    </xf>
    <xf numFmtId="164" fontId="50" fillId="3" borderId="5" xfId="0" applyFont="true" applyBorder="true" applyAlignment="true" applyProtection="false">
      <alignment horizontal="center" vertical="center" textRotation="0" wrapText="true" indent="0" shrinkToFit="false"/>
      <protection locked="true" hidden="false"/>
    </xf>
    <xf numFmtId="164" fontId="50" fillId="28" borderId="8" xfId="0" applyFont="true" applyBorder="true" applyAlignment="true" applyProtection="false">
      <alignment horizontal="center" vertical="center" textRotation="0" wrapText="true" indent="0" shrinkToFit="false"/>
      <protection locked="true" hidden="false"/>
    </xf>
    <xf numFmtId="164" fontId="51" fillId="0" borderId="7" xfId="0" applyFont="true" applyBorder="true" applyAlignment="true" applyProtection="false">
      <alignment horizontal="left" vertical="center" textRotation="0" wrapText="true" indent="0" shrinkToFit="false"/>
      <protection locked="true" hidden="false"/>
    </xf>
    <xf numFmtId="164" fontId="46" fillId="27" borderId="7" xfId="0" applyFont="true" applyBorder="true" applyAlignment="true" applyProtection="false">
      <alignment horizontal="general" vertical="bottom" textRotation="0" wrapText="false" indent="0" shrinkToFit="false"/>
      <protection locked="true" hidden="false"/>
    </xf>
    <xf numFmtId="164" fontId="50" fillId="27" borderId="5" xfId="0" applyFont="true" applyBorder="true" applyAlignment="true" applyProtection="false">
      <alignment horizontal="center" vertical="center" textRotation="0" wrapText="true" indent="0" shrinkToFit="false"/>
      <protection locked="true" hidden="false"/>
    </xf>
    <xf numFmtId="164" fontId="46" fillId="11" borderId="7" xfId="0" applyFont="true" applyBorder="true" applyAlignment="true" applyProtection="false">
      <alignment horizontal="general" vertical="bottom" textRotation="0" wrapText="false" indent="0" shrinkToFit="false"/>
      <protection locked="true" hidden="false"/>
    </xf>
    <xf numFmtId="164" fontId="46" fillId="3" borderId="7" xfId="0" applyFont="true" applyBorder="true" applyAlignment="true" applyProtection="false">
      <alignment horizontal="general" vertical="bottom" textRotation="0" wrapText="false" indent="0" shrinkToFit="false"/>
      <protection locked="true" hidden="false"/>
    </xf>
    <xf numFmtId="164" fontId="46" fillId="28" borderId="7" xfId="0" applyFont="true" applyBorder="true" applyAlignment="true" applyProtection="false">
      <alignment horizontal="general" vertical="bottom" textRotation="0" wrapText="false" indent="0" shrinkToFit="false"/>
      <protection locked="true" hidden="false"/>
    </xf>
    <xf numFmtId="164" fontId="45" fillId="3" borderId="7" xfId="0" applyFont="true" applyBorder="true" applyAlignment="true" applyProtection="false">
      <alignment horizontal="general" vertical="center" textRotation="0" wrapText="true" indent="0" shrinkToFit="false"/>
      <protection locked="true" hidden="false"/>
    </xf>
    <xf numFmtId="164" fontId="41" fillId="4" borderId="5" xfId="0" applyFont="true" applyBorder="true" applyAlignment="true" applyProtection="false">
      <alignment horizontal="center" vertical="center" textRotation="0" wrapText="false" indent="0" shrinkToFit="false"/>
      <protection locked="true" hidden="false"/>
    </xf>
    <xf numFmtId="164" fontId="48" fillId="0" borderId="7" xfId="0" applyFont="true" applyBorder="true" applyAlignment="true" applyProtection="false">
      <alignment horizontal="left" vertical="center" textRotation="0" wrapText="true" indent="0" shrinkToFit="false"/>
      <protection locked="true" hidden="false"/>
    </xf>
    <xf numFmtId="164" fontId="18" fillId="7" borderId="7" xfId="0" applyFont="true" applyBorder="true" applyAlignment="true" applyProtection="false">
      <alignment horizontal="left" vertical="center" textRotation="0" wrapText="true" indent="0" shrinkToFit="false"/>
      <protection locked="true" hidden="false"/>
    </xf>
    <xf numFmtId="164" fontId="52" fillId="0" borderId="0" xfId="0" applyFont="true" applyBorder="false" applyAlignment="true" applyProtection="false">
      <alignment horizontal="general" vertical="bottom" textRotation="0" wrapText="false" indent="0" shrinkToFit="false"/>
      <protection locked="true" hidden="false"/>
    </xf>
    <xf numFmtId="164" fontId="53" fillId="27" borderId="49" xfId="0" applyFont="true" applyBorder="true" applyAlignment="true" applyProtection="false">
      <alignment horizontal="center" vertical="bottom" textRotation="0" wrapText="false" indent="0" shrinkToFit="false"/>
      <protection locked="true" hidden="false"/>
    </xf>
    <xf numFmtId="164" fontId="53" fillId="27" borderId="40" xfId="0" applyFont="true" applyBorder="true" applyAlignment="true" applyProtection="false">
      <alignment horizontal="center" vertical="bottom" textRotation="0" wrapText="false" indent="0" shrinkToFit="false"/>
      <protection locked="true" hidden="false"/>
    </xf>
    <xf numFmtId="164" fontId="53" fillId="27" borderId="51" xfId="0" applyFont="true" applyBorder="true" applyAlignment="true" applyProtection="false">
      <alignment horizontal="center" vertical="bottom"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53" fillId="0" borderId="50" xfId="0" applyFont="true" applyBorder="true" applyAlignment="true" applyProtection="false">
      <alignment horizontal="center" vertical="center" textRotation="0" wrapText="true" indent="0" shrinkToFit="false"/>
      <protection locked="true" hidden="false"/>
    </xf>
    <xf numFmtId="164" fontId="50" fillId="0" borderId="50" xfId="0" applyFont="true" applyBorder="true" applyAlignment="true" applyProtection="false">
      <alignment horizontal="general" vertical="center" textRotation="0" wrapText="true" indent="0" shrinkToFit="false"/>
      <protection locked="true" hidden="false"/>
    </xf>
    <xf numFmtId="164" fontId="50" fillId="0" borderId="49" xfId="0" applyFont="true" applyBorder="true" applyAlignment="true" applyProtection="false">
      <alignment horizontal="general" vertical="center" textRotation="0" wrapText="true" indent="0" shrinkToFit="false"/>
      <protection locked="true" hidden="false"/>
    </xf>
    <xf numFmtId="164" fontId="50" fillId="0" borderId="50" xfId="0" applyFont="true" applyBorder="true" applyAlignment="true" applyProtection="false">
      <alignment horizontal="general" vertical="bottom" textRotation="0" wrapText="true" indent="0" shrinkToFit="false"/>
      <protection locked="true" hidden="false"/>
    </xf>
    <xf numFmtId="164" fontId="53" fillId="0" borderId="51" xfId="0" applyFont="true" applyBorder="true" applyAlignment="true" applyProtection="false">
      <alignment horizontal="center" vertical="center" textRotation="0" wrapText="true" indent="0" shrinkToFit="false"/>
      <protection locked="true" hidden="false"/>
    </xf>
    <xf numFmtId="164" fontId="53" fillId="3" borderId="50" xfId="0" applyFont="true" applyBorder="true" applyAlignment="true" applyProtection="false">
      <alignment horizontal="center" vertical="center" textRotation="0" wrapText="true" indent="0" shrinkToFit="false"/>
      <protection locked="true" hidden="false"/>
    </xf>
    <xf numFmtId="164" fontId="51" fillId="0" borderId="7" xfId="0" applyFont="true" applyBorder="true" applyAlignment="true" applyProtection="false">
      <alignment horizontal="center" vertical="center" textRotation="0" wrapText="true" indent="0" shrinkToFit="false"/>
      <protection locked="true" hidden="false"/>
    </xf>
    <xf numFmtId="164" fontId="53" fillId="11" borderId="50" xfId="0" applyFont="true" applyBorder="true" applyAlignment="true" applyProtection="false">
      <alignment horizontal="center" vertical="center" textRotation="0" wrapText="true" indent="0" shrinkToFit="false"/>
      <protection locked="true" hidden="false"/>
    </xf>
    <xf numFmtId="164" fontId="50" fillId="0" borderId="49" xfId="0" applyFont="true" applyBorder="true" applyAlignment="true" applyProtection="false">
      <alignment horizontal="center" vertical="bottom" textRotation="0" wrapText="false" indent="0" shrinkToFit="false"/>
      <protection locked="true" hidden="false"/>
    </xf>
    <xf numFmtId="164" fontId="50" fillId="0" borderId="40" xfId="0" applyFont="true" applyBorder="true" applyAlignment="true" applyProtection="false">
      <alignment horizontal="center" vertical="bottom" textRotation="0" wrapText="false" indent="0" shrinkToFit="false"/>
      <protection locked="true" hidden="false"/>
    </xf>
    <xf numFmtId="164" fontId="50" fillId="0" borderId="51" xfId="0" applyFont="true" applyBorder="true" applyAlignment="true" applyProtection="false">
      <alignment horizontal="center" vertical="bottom" textRotation="0" wrapText="false" indent="0" shrinkToFit="false"/>
      <protection locked="true" hidden="false"/>
    </xf>
    <xf numFmtId="164" fontId="50" fillId="28" borderId="5" xfId="0" applyFont="true" applyBorder="true" applyAlignment="true" applyProtection="false">
      <alignment horizontal="center" vertical="center" textRotation="0" wrapText="true" indent="0" shrinkToFit="false"/>
      <protection locked="true" hidden="false"/>
    </xf>
    <xf numFmtId="164" fontId="46" fillId="27" borderId="7" xfId="0" applyFont="true" applyBorder="true" applyAlignment="false" applyProtection="false">
      <alignment horizontal="general" vertical="bottom" textRotation="0" wrapText="false" indent="0" shrinkToFit="false"/>
      <protection locked="true" hidden="false"/>
    </xf>
    <xf numFmtId="164" fontId="46" fillId="11" borderId="7" xfId="0" applyFont="true" applyBorder="true" applyAlignment="false" applyProtection="false">
      <alignment horizontal="general" vertical="bottom" textRotation="0" wrapText="false" indent="0" shrinkToFit="false"/>
      <protection locked="true" hidden="false"/>
    </xf>
    <xf numFmtId="164" fontId="46" fillId="3" borderId="7" xfId="0" applyFont="true" applyBorder="true" applyAlignment="false" applyProtection="false">
      <alignment horizontal="general" vertical="bottom" textRotation="0" wrapText="false" indent="0" shrinkToFit="false"/>
      <protection locked="true" hidden="false"/>
    </xf>
    <xf numFmtId="164" fontId="46" fillId="28" borderId="7" xfId="0" applyFont="true" applyBorder="true" applyAlignment="false" applyProtection="false">
      <alignment horizontal="general" vertical="bottom" textRotation="0" wrapText="false" indent="0" shrinkToFit="false"/>
      <protection locked="true" hidden="false"/>
    </xf>
    <xf numFmtId="164" fontId="46" fillId="2" borderId="0" xfId="0" applyFont="true" applyBorder="false" applyAlignment="true" applyProtection="false">
      <alignment horizontal="general" vertical="bottom" textRotation="0" wrapText="false" indent="0" shrinkToFit="false"/>
      <protection locked="true" hidden="false"/>
    </xf>
    <xf numFmtId="164" fontId="55" fillId="4" borderId="5" xfId="0" applyFont="true" applyBorder="true" applyAlignment="true" applyProtection="false">
      <alignment horizontal="center" vertical="bottom" textRotation="0" wrapText="false" indent="0" shrinkToFit="false"/>
      <protection locked="true" hidden="false"/>
    </xf>
    <xf numFmtId="164" fontId="54" fillId="5" borderId="5" xfId="0" applyFont="true" applyBorder="true" applyAlignment="true" applyProtection="false">
      <alignment horizontal="left" vertical="bottom" textRotation="0" wrapText="false" indent="0" shrinkToFit="false"/>
      <protection locked="true" hidden="false"/>
    </xf>
    <xf numFmtId="164" fontId="54" fillId="5" borderId="82" xfId="0" applyFont="true" applyBorder="true" applyAlignment="true" applyProtection="false">
      <alignment horizontal="center" vertical="bottom" textRotation="0" wrapText="false" indent="0" shrinkToFit="false"/>
      <protection locked="true" hidden="false"/>
    </xf>
    <xf numFmtId="164" fontId="54" fillId="5" borderId="83" xfId="0" applyFont="true" applyBorder="true" applyAlignment="true" applyProtection="false">
      <alignment horizontal="center" vertical="bottom" textRotation="0" wrapText="false" indent="0" shrinkToFit="false"/>
      <protection locked="true" hidden="false"/>
    </xf>
    <xf numFmtId="164" fontId="54" fillId="5" borderId="39" xfId="0" applyFont="true" applyBorder="true" applyAlignment="true" applyProtection="false">
      <alignment horizontal="center" vertical="bottom" textRotation="0" wrapText="false" indent="0" shrinkToFit="false"/>
      <protection locked="true" hidden="false"/>
    </xf>
    <xf numFmtId="164" fontId="54" fillId="28" borderId="7" xfId="0" applyFont="true" applyBorder="true" applyAlignment="true" applyProtection="false">
      <alignment horizontal="center" vertical="bottom" textRotation="0" wrapText="false" indent="0" shrinkToFit="false"/>
      <protection locked="true" hidden="false"/>
    </xf>
    <xf numFmtId="164" fontId="46" fillId="0" borderId="56" xfId="0" applyFont="true" applyBorder="true" applyAlignment="true" applyProtection="false">
      <alignment horizontal="left" vertical="center" textRotation="0" wrapText="false" indent="0" shrinkToFit="false"/>
      <protection locked="true" hidden="false"/>
    </xf>
    <xf numFmtId="164" fontId="46" fillId="0" borderId="87" xfId="0" applyFont="true" applyBorder="true" applyAlignment="true" applyProtection="false">
      <alignment horizontal="center" vertical="bottom" textRotation="0" wrapText="false" indent="0" shrinkToFit="false"/>
      <protection locked="true" hidden="false"/>
    </xf>
    <xf numFmtId="171" fontId="46" fillId="2" borderId="7" xfId="0" applyFont="true" applyBorder="true" applyAlignment="true" applyProtection="false">
      <alignment horizontal="center" vertical="bottom" textRotation="0" wrapText="false" indent="0" shrinkToFit="false"/>
      <protection locked="true" hidden="false"/>
    </xf>
    <xf numFmtId="171" fontId="46" fillId="15" borderId="7" xfId="0" applyFont="true" applyBorder="true" applyAlignment="true" applyProtection="false">
      <alignment horizontal="center" vertical="bottom" textRotation="0" wrapText="false" indent="0" shrinkToFit="false"/>
      <protection locked="true" hidden="false"/>
    </xf>
    <xf numFmtId="164" fontId="54" fillId="0" borderId="7" xfId="0" applyFont="true" applyBorder="true" applyAlignment="true" applyProtection="false">
      <alignment horizontal="center" vertical="center" textRotation="0" wrapText="false" indent="0" shrinkToFit="false"/>
      <protection locked="true" hidden="false"/>
    </xf>
    <xf numFmtId="164" fontId="50" fillId="0" borderId="7" xfId="0" applyFont="true" applyBorder="true" applyAlignment="true" applyProtection="false">
      <alignment horizontal="center" vertical="center" textRotation="0" wrapText="true" indent="0" shrinkToFit="false"/>
      <protection locked="true" hidden="false"/>
    </xf>
    <xf numFmtId="164" fontId="46" fillId="0" borderId="16" xfId="0" applyFont="true" applyBorder="true" applyAlignment="true" applyProtection="false">
      <alignment horizontal="center" vertical="center" textRotation="0" wrapText="false" indent="0" shrinkToFit="false"/>
      <protection locked="true" hidden="false"/>
    </xf>
    <xf numFmtId="164" fontId="46" fillId="0" borderId="17" xfId="0" applyFont="true" applyBorder="true" applyAlignment="true" applyProtection="false">
      <alignment horizontal="general" vertical="bottom" textRotation="0" wrapText="false" indent="0" shrinkToFit="false"/>
      <protection locked="true" hidden="false"/>
    </xf>
    <xf numFmtId="164" fontId="46" fillId="0" borderId="42" xfId="0" applyFont="true" applyBorder="true" applyAlignment="true" applyProtection="false">
      <alignment horizontal="center" vertical="bottom" textRotation="0" wrapText="false" indent="0" shrinkToFit="false"/>
      <protection locked="true" hidden="false"/>
    </xf>
    <xf numFmtId="164" fontId="46" fillId="0" borderId="27" xfId="0" applyFont="true" applyBorder="true" applyAlignment="true" applyProtection="false">
      <alignment horizontal="general" vertical="bottom" textRotation="0" wrapText="false" indent="0" shrinkToFit="false"/>
      <protection locked="true" hidden="false"/>
    </xf>
    <xf numFmtId="164" fontId="46" fillId="0" borderId="84" xfId="0" applyFont="true" applyBorder="true" applyAlignment="true" applyProtection="false">
      <alignment horizontal="center" vertical="bottom" textRotation="0" wrapText="false" indent="0" shrinkToFit="false"/>
      <protection locked="true" hidden="false"/>
    </xf>
    <xf numFmtId="168" fontId="0" fillId="2" borderId="0" xfId="0" applyFont="false" applyBorder="false" applyAlignment="true" applyProtection="false">
      <alignment horizontal="general" vertical="bottom" textRotation="0" wrapText="false" indent="0" shrinkToFit="false"/>
      <protection locked="true" hidden="false"/>
    </xf>
    <xf numFmtId="164" fontId="46" fillId="0" borderId="7" xfId="0" applyFont="true" applyBorder="true" applyAlignment="true" applyProtection="false">
      <alignment horizontal="center" vertical="bottom" textRotation="0" wrapText="false" indent="0" shrinkToFit="false"/>
      <protection locked="true" hidden="false"/>
    </xf>
    <xf numFmtId="164" fontId="46" fillId="12" borderId="5" xfId="0" applyFont="true" applyBorder="true" applyAlignment="true" applyProtection="false">
      <alignment horizontal="left" vertical="bottom" textRotation="0" wrapText="false" indent="0" shrinkToFit="false"/>
      <protection locked="true" hidden="false"/>
    </xf>
    <xf numFmtId="164" fontId="46" fillId="12" borderId="82" xfId="0" applyFont="true" applyBorder="true" applyAlignment="true" applyProtection="false">
      <alignment horizontal="center" vertical="bottom" textRotation="0" wrapText="false" indent="0" shrinkToFit="false"/>
      <protection locked="true" hidden="false"/>
    </xf>
    <xf numFmtId="171" fontId="46" fillId="12" borderId="83" xfId="0" applyFont="true" applyBorder="true" applyAlignment="true" applyProtection="false">
      <alignment horizontal="center" vertical="bottom" textRotation="0" wrapText="false" indent="0" shrinkToFit="false"/>
      <protection locked="true" hidden="false"/>
    </xf>
    <xf numFmtId="164" fontId="46" fillId="0" borderId="88" xfId="0" applyFont="true" applyBorder="true" applyAlignment="true" applyProtection="false">
      <alignment horizontal="general" vertical="bottom" textRotation="0" wrapText="false" indent="0" shrinkToFit="false"/>
      <protection locked="true" hidden="false"/>
    </xf>
    <xf numFmtId="168" fontId="46" fillId="0" borderId="89" xfId="0" applyFont="true" applyBorder="true" applyAlignment="true" applyProtection="false">
      <alignment horizontal="general" vertical="bottom" textRotation="0" wrapText="false" indent="0" shrinkToFit="false"/>
      <protection locked="true" hidden="false"/>
    </xf>
    <xf numFmtId="171" fontId="46" fillId="0" borderId="6" xfId="0" applyFont="true" applyBorder="true" applyAlignment="true" applyProtection="false">
      <alignment horizontal="center" vertical="bottom" textRotation="0" wrapText="false" indent="0" shrinkToFit="false"/>
      <protection locked="true" hidden="false"/>
    </xf>
    <xf numFmtId="171" fontId="46" fillId="0" borderId="37" xfId="0" applyFont="true" applyBorder="true" applyAlignment="true" applyProtection="false">
      <alignment horizontal="center" vertical="bottom" textRotation="0" wrapText="false" indent="0" shrinkToFit="false"/>
      <protection locked="true" hidden="false"/>
    </xf>
    <xf numFmtId="164" fontId="46" fillId="0" borderId="28" xfId="0" applyFont="true" applyBorder="true" applyAlignment="true" applyProtection="false">
      <alignment horizontal="left" vertical="bottom" textRotation="0" wrapText="false" indent="0" shrinkToFit="false"/>
      <protection locked="true" hidden="false"/>
    </xf>
    <xf numFmtId="171" fontId="46" fillId="0" borderId="7" xfId="0" applyFont="true" applyBorder="true" applyAlignment="true" applyProtection="false">
      <alignment horizontal="center" vertical="bottom" textRotation="0" wrapText="false" indent="0" shrinkToFit="false"/>
      <protection locked="true" hidden="false"/>
    </xf>
    <xf numFmtId="164" fontId="46" fillId="0" borderId="59" xfId="0" applyFont="true" applyBorder="true" applyAlignment="true" applyProtection="false">
      <alignment horizontal="left" vertical="bottom" textRotation="0" wrapText="false" indent="0" shrinkToFit="false"/>
      <protection locked="true" hidden="false"/>
    </xf>
    <xf numFmtId="171" fontId="46" fillId="0" borderId="62" xfId="0" applyFont="true" applyBorder="true" applyAlignment="true" applyProtection="false">
      <alignment horizontal="center" vertical="bottom" textRotation="0" wrapText="false" indent="0" shrinkToFit="false"/>
      <protection locked="true" hidden="false"/>
    </xf>
    <xf numFmtId="171" fontId="46" fillId="0" borderId="27" xfId="0" applyFont="true" applyBorder="true" applyAlignment="true" applyProtection="false">
      <alignment horizontal="center" vertical="bottom" textRotation="0" wrapText="false" indent="0" shrinkToFit="false"/>
      <protection locked="true" hidden="false"/>
    </xf>
    <xf numFmtId="164" fontId="46" fillId="0" borderId="48" xfId="0" applyFont="true" applyBorder="true" applyAlignment="true" applyProtection="false">
      <alignment horizontal="left" vertical="bottom" textRotation="0" wrapText="false" indent="0" shrinkToFit="false"/>
      <protection locked="true" hidden="false"/>
    </xf>
    <xf numFmtId="171" fontId="46" fillId="0" borderId="86" xfId="0" applyFont="true" applyBorder="true" applyAlignment="true" applyProtection="false">
      <alignment horizontal="center" vertical="bottom" textRotation="0" wrapText="false" indent="0" shrinkToFit="false"/>
      <protection locked="true" hidden="false"/>
    </xf>
    <xf numFmtId="171" fontId="46" fillId="0" borderId="11" xfId="0" applyFont="true" applyBorder="true" applyAlignment="true" applyProtection="false">
      <alignment horizontal="center" vertical="bottom" textRotation="0" wrapText="false" indent="0" shrinkToFit="false"/>
      <protection locked="true" hidden="false"/>
    </xf>
    <xf numFmtId="171" fontId="46" fillId="2" borderId="11" xfId="0" applyFont="true" applyBorder="true" applyAlignment="true" applyProtection="false">
      <alignment horizontal="center" vertical="bottom" textRotation="0" wrapText="false" indent="0" shrinkToFit="false"/>
      <protection locked="true" hidden="false"/>
    </xf>
    <xf numFmtId="171" fontId="46" fillId="0" borderId="12" xfId="0" applyFont="true" applyBorder="true" applyAlignment="true" applyProtection="false">
      <alignment horizontal="center" vertical="bottom" textRotation="0" wrapText="false" indent="0" shrinkToFit="false"/>
      <protection locked="true" hidden="false"/>
    </xf>
    <xf numFmtId="164" fontId="46" fillId="27" borderId="5" xfId="0" applyFont="true" applyBorder="true" applyAlignment="true" applyProtection="false">
      <alignment horizontal="left" vertical="bottom" textRotation="0" wrapText="false" indent="0" shrinkToFit="false"/>
      <protection locked="true" hidden="false"/>
    </xf>
    <xf numFmtId="171" fontId="46" fillId="27" borderId="82" xfId="0" applyFont="true" applyBorder="true" applyAlignment="true" applyProtection="false">
      <alignment horizontal="center" vertical="bottom" textRotation="0" wrapText="false" indent="0" shrinkToFit="false"/>
      <protection locked="true" hidden="false"/>
    </xf>
    <xf numFmtId="171" fontId="46" fillId="27" borderId="83" xfId="0" applyFont="true" applyBorder="true" applyAlignment="true" applyProtection="false">
      <alignment horizontal="center" vertical="bottom" textRotation="0" wrapText="false" indent="0" shrinkToFit="false"/>
      <protection locked="true" hidden="false"/>
    </xf>
    <xf numFmtId="171" fontId="54" fillId="12" borderId="13" xfId="0" applyFont="true" applyBorder="true" applyAlignment="true" applyProtection="false">
      <alignment horizontal="general" vertical="bottom" textRotation="0" wrapText="false" indent="0" shrinkToFit="false"/>
      <protection locked="true" hidden="false"/>
    </xf>
    <xf numFmtId="167" fontId="54" fillId="10" borderId="15" xfId="0" applyFont="true" applyBorder="true" applyAlignment="true" applyProtection="false">
      <alignment horizontal="center" vertical="bottom" textRotation="0" wrapText="false" indent="0" shrinkToFit="false"/>
      <protection locked="true" hidden="false"/>
    </xf>
    <xf numFmtId="171" fontId="54" fillId="12" borderId="16" xfId="0" applyFont="true" applyBorder="true" applyAlignment="true" applyProtection="false">
      <alignment horizontal="general" vertical="bottom" textRotation="0" wrapText="false" indent="0" shrinkToFit="false"/>
      <protection locked="true" hidden="false"/>
    </xf>
    <xf numFmtId="187" fontId="54" fillId="10" borderId="17" xfId="0" applyFont="true" applyBorder="true" applyAlignment="true" applyProtection="false">
      <alignment horizontal="center" vertical="bottom" textRotation="0" wrapText="false" indent="0" shrinkToFit="false"/>
      <protection locked="true" hidden="false"/>
    </xf>
    <xf numFmtId="171" fontId="54" fillId="12" borderId="18" xfId="0" applyFont="true" applyBorder="true" applyAlignment="true" applyProtection="false">
      <alignment horizontal="general" vertical="bottom" textRotation="0" wrapText="false" indent="0" shrinkToFit="false"/>
      <protection locked="true" hidden="false"/>
    </xf>
    <xf numFmtId="173" fontId="54" fillId="10" borderId="20" xfId="0" applyFont="true" applyBorder="true" applyAlignment="true" applyProtection="false">
      <alignment horizontal="center" vertical="bottom" textRotation="0" wrapText="false" indent="0" shrinkToFit="false"/>
      <protection locked="true" hidden="false"/>
    </xf>
    <xf numFmtId="164" fontId="56" fillId="3" borderId="7" xfId="0" applyFont="true" applyBorder="true" applyAlignment="true" applyProtection="false">
      <alignment horizontal="center" vertical="bottom" textRotation="0" wrapText="false" indent="0" shrinkToFit="false"/>
      <protection locked="true" hidden="false"/>
    </xf>
    <xf numFmtId="164" fontId="57" fillId="0" borderId="7" xfId="0" applyFont="true" applyBorder="true" applyAlignment="true" applyProtection="false">
      <alignment horizontal="general" vertical="bottom" textRotation="0" wrapText="true" indent="0" shrinkToFit="false"/>
      <protection locked="true" hidden="false"/>
    </xf>
    <xf numFmtId="164" fontId="48" fillId="0" borderId="7" xfId="0" applyFont="true" applyBorder="true" applyAlignment="true" applyProtection="false">
      <alignment horizontal="general" vertical="bottom" textRotation="0" wrapText="true" indent="0" shrinkToFit="false"/>
      <protection locked="true" hidden="false"/>
    </xf>
    <xf numFmtId="171" fontId="46" fillId="29" borderId="7" xfId="0" applyFont="true" applyBorder="true" applyAlignment="true" applyProtection="false">
      <alignment horizontal="center" vertical="bottom" textRotation="0" wrapText="false" indent="0" shrinkToFit="false"/>
      <protection locked="true" hidden="false"/>
    </xf>
    <xf numFmtId="164" fontId="54" fillId="4" borderId="5" xfId="0" applyFont="true" applyBorder="true" applyAlignment="true" applyProtection="false">
      <alignment horizontal="center" vertical="bottom" textRotation="0" wrapText="false" indent="0" shrinkToFit="false"/>
      <protection locked="true" hidden="false"/>
    </xf>
    <xf numFmtId="164" fontId="46" fillId="29" borderId="8"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A8D08D"/>
      <rgbColor rgb="FFF3F5F3"/>
      <rgbColor rgb="FFFFFF00"/>
      <rgbColor rgb="FFFF1F7F"/>
      <rgbColor rgb="FFB5E5E8"/>
      <rgbColor rgb="FFFEF2CB"/>
      <rgbColor rgb="FFDADADA"/>
      <rgbColor rgb="FF1A141B"/>
      <rgbColor rgb="FF70AD47"/>
      <rgbColor rgb="FFFBE4D5"/>
      <rgbColor rgb="FFCCCCCC"/>
      <rgbColor rgb="FFBBBBBB"/>
      <rgbColor rgb="FF79724C"/>
      <rgbColor rgb="FF619BD5"/>
      <rgbColor rgb="FFEA4335"/>
      <rgbColor rgb="FFFFF2CC"/>
      <rgbColor rgb="FFDAF2F4"/>
      <rgbColor rgb="FFECECEC"/>
      <rgbColor rgb="FFED7D31"/>
      <rgbColor rgb="FF1155CC"/>
      <rgbColor rgb="FFC9DAF8"/>
      <rgbColor rgb="FF211508"/>
      <rgbColor rgb="FFF5CCCB"/>
      <rgbColor rgb="FFFFD34D"/>
      <rgbColor rgb="FFB6DDEB"/>
      <rgbColor rgb="FFFCE5CD"/>
      <rgbColor rgb="FFEEF4FB"/>
      <rgbColor rgb="FFC5E0B3"/>
      <rgbColor rgb="FFFFF8E9"/>
      <rgbColor rgb="FF00B0F0"/>
      <rgbColor rgb="FFDEEAF6"/>
      <rgbColor rgb="FFE2EFD9"/>
      <rgbColor rgb="FFFFE699"/>
      <rgbColor rgb="FFA0C2E6"/>
      <rgbColor rgb="FFEA9999"/>
      <rgbColor rgb="FFB3B3B3"/>
      <rgbColor rgb="FFFDC87E"/>
      <rgbColor rgb="FF4472C4"/>
      <rgbColor rgb="FF46BDC6"/>
      <rgbColor rgb="FF92D050"/>
      <rgbColor rgb="FFFFC000"/>
      <rgbColor rgb="FFFF9900"/>
      <rgbColor rgb="FFFF6D01"/>
      <rgbColor rgb="FF4285F4"/>
      <rgbColor rgb="FFA5A5A5"/>
      <rgbColor rgb="FF0F333F"/>
      <rgbColor rgb="FF34A853"/>
      <rgbColor rgb="FF061317"/>
      <rgbColor rgb="FF573816"/>
      <rgbColor rgb="FFFBBC04"/>
      <rgbColor rgb="FFF4B07C"/>
      <rgbColor rgb="FFD9E2F3"/>
      <rgbColor rgb="FF42374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s-AR" sz="1600"/>
              <a:t>Evolución de la participación en el mercado</a:t>
            </a:r>
          </a:p>
        </c:rich>
      </c:tx>
      <c:overlay val="0"/>
    </c:title>
    <c:autoTitleDeleted val="0"/>
    <c:plotArea>
      <c:layout>
        <c:manualLayout>
          <c:layoutTarget val="inner"/>
          <c:xMode val="edge"/>
          <c:yMode val="edge"/>
          <c:x val="0.1575443122801139"/>
          <c:y val="0.13800000000000001"/>
          <c:w val="0.80841313452839669"/>
          <c:h val="0.71608346456692917"/>
        </c:manualLayout>
      </c:layout>
      <c:barChart>
        <c:barDir val="col"/>
        <c:grouping val="clustered"/>
        <c:varyColors val="1"/>
        <c:ser>
          <c:idx val="0"/>
          <c:order val="0"/>
          <c:tx>
            <c:v>2026</c:v>
          </c:tx>
          <c:spPr>
            <a:solidFill>
              <a:srgbClr val="4472C4"/>
            </a:solidFill>
            <a:ln cmpd="sng">
              <a:solidFill>
                <a:srgbClr val="000000"/>
              </a:solidFill>
              <a:prstDash val="solid"/>
            </a:ln>
          </c:spPr>
          <c:invertIfNegative val="1"/>
          <c:cat>
            <c:strRef>
              <c:f>Hipótesis!$D$23</c:f>
              <c:strCache>
                <c:ptCount val="1"/>
                <c:pt idx="0">
                  <c:v>Total (USD)</c:v>
                </c:pt>
              </c:strCache>
            </c:strRef>
          </c:cat>
          <c:val>
            <c:numRef>
              <c:f>Hipótesis!$D$24</c:f>
              <c:numCache>
                <c:formatCode>_-"$"\ * #,##0.00_-;\-"$"\ * #,##0.00_-;_-"$"\ * "-"??_-;_-@</c:formatCode>
                <c:ptCount val="1"/>
                <c:pt idx="0">
                  <c:v>48960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3431-4E01-9F17-5C4F51BB9C4A}"/>
            </c:ext>
          </c:extLst>
        </c:ser>
        <c:ser>
          <c:idx val="1"/>
          <c:order val="1"/>
          <c:tx>
            <c:v>2027</c:v>
          </c:tx>
          <c:spPr>
            <a:solidFill>
              <a:srgbClr val="ED7D31"/>
            </a:solidFill>
            <a:ln cmpd="sng">
              <a:solidFill>
                <a:srgbClr val="000000"/>
              </a:solidFill>
              <a:prstDash val="solid"/>
            </a:ln>
          </c:spPr>
          <c:invertIfNegative val="1"/>
          <c:cat>
            <c:strRef>
              <c:f>Hipótesis!$D$23</c:f>
              <c:strCache>
                <c:ptCount val="1"/>
                <c:pt idx="0">
                  <c:v>Total (USD)</c:v>
                </c:pt>
              </c:strCache>
            </c:strRef>
          </c:cat>
          <c:val>
            <c:numRef>
              <c:f>Hipótesis!$D$25</c:f>
              <c:numCache>
                <c:formatCode>_-"$"\ * #,##0.00_-;\-"$"\ * #,##0.00_-;_-"$"\ * "-"??_-;_-@</c:formatCode>
                <c:ptCount val="1"/>
                <c:pt idx="0">
                  <c:v>130560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1-3431-4E01-9F17-5C4F51BB9C4A}"/>
            </c:ext>
          </c:extLst>
        </c:ser>
        <c:ser>
          <c:idx val="2"/>
          <c:order val="2"/>
          <c:tx>
            <c:v>2028</c:v>
          </c:tx>
          <c:spPr>
            <a:solidFill>
              <a:srgbClr val="A5A5A5"/>
            </a:solidFill>
            <a:ln cmpd="sng">
              <a:solidFill>
                <a:srgbClr val="000000"/>
              </a:solidFill>
              <a:prstDash val="solid"/>
            </a:ln>
          </c:spPr>
          <c:invertIfNegative val="1"/>
          <c:cat>
            <c:strRef>
              <c:f>Hipótesis!$D$23</c:f>
              <c:strCache>
                <c:ptCount val="1"/>
                <c:pt idx="0">
                  <c:v>Total (USD)</c:v>
                </c:pt>
              </c:strCache>
            </c:strRef>
          </c:cat>
          <c:val>
            <c:numRef>
              <c:f>Hipótesis!$D$26</c:f>
              <c:numCache>
                <c:formatCode>_-"$"\ * #,##0.00_-;\-"$"\ * #,##0.00_-;_-"$"\ * "-"??_-;_-@</c:formatCode>
                <c:ptCount val="1"/>
                <c:pt idx="0">
                  <c:v>244800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2-3431-4E01-9F17-5C4F51BB9C4A}"/>
            </c:ext>
          </c:extLst>
        </c:ser>
        <c:dLbls>
          <c:showLegendKey val="0"/>
          <c:showVal val="0"/>
          <c:showCatName val="0"/>
          <c:showSerName val="0"/>
          <c:showPercent val="0"/>
          <c:showBubbleSize val="0"/>
        </c:dLbls>
        <c:gapWidth val="150"/>
        <c:axId val="1709438832"/>
        <c:axId val="1709429040"/>
      </c:barChart>
      <c:catAx>
        <c:axId val="1709438832"/>
        <c:scaling>
          <c:orientation val="minMax"/>
        </c:scaling>
        <c:delete val="0"/>
        <c:axPos val="b"/>
        <c:numFmt formatCode="General" sourceLinked="1"/>
        <c:majorTickMark val="none"/>
        <c:minorTickMark val="none"/>
        <c:tickLblPos val="nextTo"/>
        <c:crossAx val="1709429040"/>
        <c:crosses val="autoZero"/>
        <c:auto val="1"/>
        <c:lblAlgn val="ctr"/>
        <c:lblOffset val="100"/>
        <c:noMultiLvlLbl val="1"/>
      </c:catAx>
      <c:valAx>
        <c:axId val="1709429040"/>
        <c:scaling>
          <c:orientation val="minMax"/>
        </c:scaling>
        <c:delete val="0"/>
        <c:axPos val="l"/>
        <c:majorGridlines>
          <c:spPr>
            <a:ln>
              <a:solidFill>
                <a:srgbClr val="B7B7B7"/>
              </a:solidFill>
              <a:prstDash val="solid"/>
            </a:ln>
          </c:spPr>
        </c:majorGridlines>
        <c:numFmt formatCode="_-&quot;$&quot;\ * #,##0.00_-;\-&quot;$&quot;\ * #,##0.00_-;_-&quot;$&quot;\ * &quot;-&quot;??_-;_-@" sourceLinked="1"/>
        <c:majorTickMark val="none"/>
        <c:minorTickMark val="none"/>
        <c:tickLblPos val="nextTo"/>
        <c:spPr>
          <a:ln>
            <a:prstDash val="solid"/>
          </a:ln>
        </c:spPr>
        <c:crossAx val="1709438832"/>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i="0">
                <a:solidFill>
                  <a:srgbClr val="757575"/>
                </a:solidFill>
                <a:latin typeface="+mn-lt"/>
              </a:defRPr>
            </a:pPr>
            <a:r>
              <a:rPr lang="es-AR" sz="1600" b="1" i="0">
                <a:solidFill>
                  <a:srgbClr val="757575"/>
                </a:solidFill>
                <a:latin typeface="+mn-lt"/>
              </a:rPr>
              <a:t>Proyección mensual de ventas 2026</a:t>
            </a:r>
          </a:p>
        </c:rich>
      </c:tx>
      <c:overlay val="0"/>
    </c:title>
    <c:autoTitleDeleted val="0"/>
    <c:plotArea>
      <c:layout>
        <c:manualLayout>
          <c:xMode val="edge"/>
          <c:yMode val="edge"/>
          <c:x val="0.1007234739119099"/>
          <c:y val="8.3947929945699024E-2"/>
          <c:w val="0.88416923240132761"/>
          <c:h val="0.78659194141361466"/>
        </c:manualLayout>
      </c:layout>
      <c:barChart>
        <c:barDir val="col"/>
        <c:grouping val="clustered"/>
        <c:varyColors val="1"/>
        <c:ser>
          <c:idx val="0"/>
          <c:order val="0"/>
          <c:tx>
            <c:v>Enero</c:v>
          </c:tx>
          <c:spPr>
            <a:solidFill>
              <a:srgbClr val="4472C4"/>
            </a:solidFill>
            <a:ln cmpd="sng">
              <a:solidFill>
                <a:srgbClr val="000000"/>
              </a:solidFill>
              <a:prstDash val="solid"/>
            </a:ln>
          </c:spPr>
          <c:invertIfNegative val="1"/>
          <c:val>
            <c:numRef>
              <c:f>'Proy. ventas'!$F$32</c:f>
              <c:numCache>
                <c:formatCode>_-"$"\ * #,##0.00_-;\-"$"\ * #,##0.00_-;_-"$"\ * "-"??_-;_-@</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BE1B-41EF-B5CE-83AA97CAC13C}"/>
            </c:ext>
          </c:extLst>
        </c:ser>
        <c:ser>
          <c:idx val="1"/>
          <c:order val="1"/>
          <c:tx>
            <c:v>Febrero</c:v>
          </c:tx>
          <c:spPr>
            <a:solidFill>
              <a:srgbClr val="ED7D31"/>
            </a:solidFill>
            <a:ln cmpd="sng">
              <a:solidFill>
                <a:srgbClr val="000000"/>
              </a:solidFill>
              <a:prstDash val="solid"/>
            </a:ln>
          </c:spPr>
          <c:invertIfNegative val="1"/>
          <c:val>
            <c:numRef>
              <c:f>'Proy. ventas'!$H$32</c:f>
              <c:numCache>
                <c:formatCode>_-"$"\ * #,##0.00_-;\-"$"\ * #,##0.00_-;_-"$"\ * "-"??_-;_-@</c:formatCode>
                <c:ptCount val="1"/>
                <c:pt idx="0">
                  <c:v>129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1-BE1B-41EF-B5CE-83AA97CAC13C}"/>
            </c:ext>
          </c:extLst>
        </c:ser>
        <c:ser>
          <c:idx val="2"/>
          <c:order val="2"/>
          <c:tx>
            <c:v>Marzo</c:v>
          </c:tx>
          <c:spPr>
            <a:solidFill>
              <a:srgbClr val="A5A5A5"/>
            </a:solidFill>
            <a:ln cmpd="sng">
              <a:solidFill>
                <a:srgbClr val="000000"/>
              </a:solidFill>
              <a:prstDash val="solid"/>
            </a:ln>
          </c:spPr>
          <c:invertIfNegative val="1"/>
          <c:val>
            <c:numRef>
              <c:f>'Proy. ventas'!$J$32</c:f>
              <c:numCache>
                <c:formatCode>_-"$"\ * #,##0.00_-;\-"$"\ * #,##0.00_-;_-"$"\ * "-"??_-;_-@</c:formatCode>
                <c:ptCount val="1"/>
                <c:pt idx="0">
                  <c:v>351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2-BE1B-41EF-B5CE-83AA97CAC13C}"/>
            </c:ext>
          </c:extLst>
        </c:ser>
        <c:ser>
          <c:idx val="3"/>
          <c:order val="3"/>
          <c:tx>
            <c:v>Abril</c:v>
          </c:tx>
          <c:spPr>
            <a:solidFill>
              <a:srgbClr val="FFC000"/>
            </a:solidFill>
            <a:ln cmpd="sng">
              <a:solidFill>
                <a:srgbClr val="000000"/>
              </a:solidFill>
              <a:prstDash val="solid"/>
            </a:ln>
          </c:spPr>
          <c:invertIfNegative val="1"/>
          <c:val>
            <c:numRef>
              <c:f>'Proy. ventas'!$L$32</c:f>
              <c:numCache>
                <c:formatCode>_-"$"\ * #,##0.00_-;\-"$"\ * #,##0.00_-;_-"$"\ * "-"??_-;_-@</c:formatCode>
                <c:ptCount val="1"/>
                <c:pt idx="0">
                  <c:v>582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3-BE1B-41EF-B5CE-83AA97CAC13C}"/>
            </c:ext>
          </c:extLst>
        </c:ser>
        <c:ser>
          <c:idx val="4"/>
          <c:order val="4"/>
          <c:tx>
            <c:v>Mayo</c:v>
          </c:tx>
          <c:spPr>
            <a:solidFill>
              <a:srgbClr val="5B9BD5"/>
            </a:solidFill>
            <a:ln cmpd="sng">
              <a:solidFill>
                <a:srgbClr val="000000"/>
              </a:solidFill>
              <a:prstDash val="solid"/>
            </a:ln>
          </c:spPr>
          <c:invertIfNegative val="1"/>
          <c:val>
            <c:numRef>
              <c:f>'Proy. ventas'!$N$32</c:f>
              <c:numCache>
                <c:formatCode>_-"$"\ * #,##0.00_-;\-"$"\ * #,##0.00_-;_-"$"\ * "-"??_-;_-@</c:formatCode>
                <c:ptCount val="1"/>
                <c:pt idx="0">
                  <c:v>1146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4-BE1B-41EF-B5CE-83AA97CAC13C}"/>
            </c:ext>
          </c:extLst>
        </c:ser>
        <c:ser>
          <c:idx val="5"/>
          <c:order val="5"/>
          <c:tx>
            <c:v>Junio</c:v>
          </c:tx>
          <c:spPr>
            <a:solidFill>
              <a:srgbClr val="70AD47"/>
            </a:solidFill>
            <a:ln cmpd="sng">
              <a:solidFill>
                <a:srgbClr val="000000"/>
              </a:solidFill>
              <a:prstDash val="solid"/>
            </a:ln>
          </c:spPr>
          <c:invertIfNegative val="1"/>
          <c:val>
            <c:numRef>
              <c:f>'Proy. ventas'!$P$32</c:f>
              <c:numCache>
                <c:formatCode>_-"$"\ * #,##0.00_-;\-"$"\ * #,##0.00_-;_-"$"\ * "-"??_-;_-@</c:formatCode>
                <c:ptCount val="1"/>
                <c:pt idx="0">
                  <c:v>1440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5-BE1B-41EF-B5CE-83AA97CAC13C}"/>
            </c:ext>
          </c:extLst>
        </c:ser>
        <c:ser>
          <c:idx val="6"/>
          <c:order val="6"/>
          <c:tx>
            <c:v>Julio</c:v>
          </c:tx>
          <c:spPr>
            <a:solidFill>
              <a:srgbClr val="4472C4"/>
            </a:solidFill>
            <a:ln cmpd="sng">
              <a:solidFill>
                <a:srgbClr val="000000"/>
              </a:solidFill>
              <a:prstDash val="solid"/>
            </a:ln>
          </c:spPr>
          <c:invertIfNegative val="1"/>
          <c:val>
            <c:numRef>
              <c:f>'Proy. ventas'!$R$32</c:f>
              <c:numCache>
                <c:formatCode>_-"$"\ * #,##0.00_-;\-"$"\ * #,##0.00_-;_-"$"\ * "-"??_-;_-@</c:formatCode>
                <c:ptCount val="1"/>
                <c:pt idx="0">
                  <c:v>1798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6-BE1B-41EF-B5CE-83AA97CAC13C}"/>
            </c:ext>
          </c:extLst>
        </c:ser>
        <c:ser>
          <c:idx val="7"/>
          <c:order val="7"/>
          <c:tx>
            <c:v>Agosto</c:v>
          </c:tx>
          <c:spPr>
            <a:solidFill>
              <a:srgbClr val="ED7D31"/>
            </a:solidFill>
            <a:ln cmpd="sng">
              <a:solidFill>
                <a:srgbClr val="000000"/>
              </a:solidFill>
              <a:prstDash val="solid"/>
            </a:ln>
          </c:spPr>
          <c:invertIfNegative val="1"/>
          <c:val>
            <c:numRef>
              <c:f>'Proy. ventas'!$T$32</c:f>
              <c:numCache>
                <c:formatCode>_-"$"\ * #,##0.00_-;\-"$"\ * #,##0.00_-;_-"$"\ * "-"??_-;_-@</c:formatCode>
                <c:ptCount val="1"/>
                <c:pt idx="0">
                  <c:v>2185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7-BE1B-41EF-B5CE-83AA97CAC13C}"/>
            </c:ext>
          </c:extLst>
        </c:ser>
        <c:ser>
          <c:idx val="8"/>
          <c:order val="8"/>
          <c:tx>
            <c:v>Septiembre</c:v>
          </c:tx>
          <c:spPr>
            <a:solidFill>
              <a:srgbClr val="A5A5A5"/>
            </a:solidFill>
            <a:ln cmpd="sng">
              <a:solidFill>
                <a:srgbClr val="000000"/>
              </a:solidFill>
              <a:prstDash val="solid"/>
            </a:ln>
          </c:spPr>
          <c:invertIfNegative val="1"/>
          <c:val>
            <c:numRef>
              <c:f>'Proy. ventas'!$V$32</c:f>
              <c:numCache>
                <c:formatCode>_-"$"\ * #,##0.00_-;\-"$"\ * #,##0.00_-;_-"$"\ * "-"??_-;_-@</c:formatCode>
                <c:ptCount val="1"/>
                <c:pt idx="0">
                  <c:v>2552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8-BE1B-41EF-B5CE-83AA97CAC13C}"/>
            </c:ext>
          </c:extLst>
        </c:ser>
        <c:ser>
          <c:idx val="9"/>
          <c:order val="9"/>
          <c:tx>
            <c:v>Octubre</c:v>
          </c:tx>
          <c:spPr>
            <a:solidFill>
              <a:srgbClr val="FFC000"/>
            </a:solidFill>
            <a:ln cmpd="sng">
              <a:solidFill>
                <a:srgbClr val="000000"/>
              </a:solidFill>
              <a:prstDash val="solid"/>
            </a:ln>
          </c:spPr>
          <c:invertIfNegative val="1"/>
          <c:val>
            <c:numRef>
              <c:f>'Proy. ventas'!$X$32</c:f>
              <c:numCache>
                <c:formatCode>_-"$"\ * #,##0.00_-;\-"$"\ * #,##0.00_-;_-"$"\ * "-"??_-;_-@</c:formatCode>
                <c:ptCount val="1"/>
                <c:pt idx="0">
                  <c:v>2983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9-BE1B-41EF-B5CE-83AA97CAC13C}"/>
            </c:ext>
          </c:extLst>
        </c:ser>
        <c:ser>
          <c:idx val="10"/>
          <c:order val="10"/>
          <c:tx>
            <c:v>Noviembre</c:v>
          </c:tx>
          <c:spPr>
            <a:solidFill>
              <a:srgbClr val="5B9BD5"/>
            </a:solidFill>
            <a:ln cmpd="sng">
              <a:solidFill>
                <a:srgbClr val="000000"/>
              </a:solidFill>
              <a:prstDash val="solid"/>
            </a:ln>
          </c:spPr>
          <c:invertIfNegative val="1"/>
          <c:val>
            <c:numRef>
              <c:f>'Proy. ventas'!$Z$32</c:f>
              <c:numCache>
                <c:formatCode>_-"$"\ * #,##0.00_-;\-"$"\ * #,##0.00_-;_-"$"\ * "-"??_-;_-@</c:formatCode>
                <c:ptCount val="1"/>
                <c:pt idx="0">
                  <c:v>3354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A-BE1B-41EF-B5CE-83AA97CAC13C}"/>
            </c:ext>
          </c:extLst>
        </c:ser>
        <c:ser>
          <c:idx val="11"/>
          <c:order val="11"/>
          <c:tx>
            <c:v>Diciembre</c:v>
          </c:tx>
          <c:spPr>
            <a:solidFill>
              <a:srgbClr val="70AD47"/>
            </a:solidFill>
            <a:ln cmpd="sng">
              <a:solidFill>
                <a:srgbClr val="000000"/>
              </a:solidFill>
              <a:prstDash val="solid"/>
            </a:ln>
          </c:spPr>
          <c:invertIfNegative val="1"/>
          <c:val>
            <c:numRef>
              <c:f>'Proy. ventas'!$AB$32</c:f>
              <c:numCache>
                <c:formatCode>_-"$"\ * #,##0.00_-;\-"$"\ * #,##0.00_-;_-"$"\ * "-"??_-;_-@</c:formatCode>
                <c:ptCount val="1"/>
                <c:pt idx="0">
                  <c:v>4343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B-BE1B-41EF-B5CE-83AA97CAC13C}"/>
            </c:ext>
          </c:extLst>
        </c:ser>
        <c:dLbls>
          <c:showLegendKey val="0"/>
          <c:showVal val="0"/>
          <c:showCatName val="0"/>
          <c:showSerName val="0"/>
          <c:showPercent val="0"/>
          <c:showBubbleSize val="0"/>
        </c:dLbls>
        <c:gapWidth val="150"/>
        <c:axId val="1709424144"/>
        <c:axId val="1709433936"/>
      </c:barChart>
      <c:catAx>
        <c:axId val="1709424144"/>
        <c:scaling>
          <c:orientation val="minMax"/>
        </c:scaling>
        <c:delete val="0"/>
        <c:axPos val="b"/>
        <c:title>
          <c:tx>
            <c:rich>
              <a:bodyPr/>
              <a:lstStyle/>
              <a:p>
                <a:pPr lvl="0">
                  <a:defRPr b="0">
                    <a:solidFill>
                      <a:srgbClr val="000000"/>
                    </a:solidFill>
                    <a:latin typeface="+mn-lt"/>
                  </a:defRPr>
                </a:pPr>
                <a:r>
                  <a:rPr lang="es-AR"/>
                  <a:t>None</a:t>
                </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AR"/>
          </a:p>
        </c:txPr>
        <c:crossAx val="1709433936"/>
        <c:crosses val="autoZero"/>
        <c:auto val="1"/>
        <c:lblAlgn val="ctr"/>
        <c:lblOffset val="100"/>
        <c:noMultiLvlLbl val="1"/>
      </c:catAx>
      <c:valAx>
        <c:axId val="1709433936"/>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rPr lang="es-AR"/>
                  <a:t>None</a:t>
                </a:r>
              </a:p>
            </c:rich>
          </c:tx>
          <c:overlay val="0"/>
        </c:title>
        <c:numFmt formatCode="_-&quot;$&quot;\ * #,##0.00_-;\-&quot;$&quot;\ * #,##0.00_-;_-&quot;$&quot;\ * &quot;-&quot;??_-;_-@" sourceLinked="1"/>
        <c:majorTickMark val="none"/>
        <c:minorTickMark val="none"/>
        <c:tickLblPos val="nextTo"/>
        <c:spPr>
          <a:ln>
            <a:prstDash val="solid"/>
          </a:ln>
        </c:spPr>
        <c:txPr>
          <a:bodyPr/>
          <a:lstStyle/>
          <a:p>
            <a:pPr lvl="0">
              <a:defRPr sz="1200" b="0" i="0">
                <a:solidFill>
                  <a:srgbClr val="000000"/>
                </a:solidFill>
                <a:latin typeface="+mn-lt"/>
              </a:defRPr>
            </a:pPr>
            <a:endParaRPr lang="es-AR"/>
          </a:p>
        </c:txPr>
        <c:crossAx val="1709424144"/>
        <c:crosses val="autoZero"/>
        <c:crossBetween val="between"/>
      </c:valAx>
    </c:plotArea>
    <c:legend>
      <c:legendPos val="b"/>
      <c:overlay val="0"/>
      <c:txPr>
        <a:bodyPr/>
        <a:lstStyle/>
        <a:p>
          <a:pPr lvl="0">
            <a:defRPr sz="1600" b="0" i="0">
              <a:solidFill>
                <a:srgbClr val="1A1A1A"/>
              </a:solidFill>
              <a:latin typeface="+mn-lt"/>
            </a:defRPr>
          </a:pPr>
          <a:endParaRPr lang="es-AR"/>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i="0">
                <a:solidFill>
                  <a:srgbClr val="757575"/>
                </a:solidFill>
                <a:latin typeface="+mn-lt"/>
              </a:defRPr>
            </a:pPr>
            <a:r>
              <a:rPr lang="es-AR" sz="1600" b="1" i="0">
                <a:solidFill>
                  <a:srgbClr val="757575"/>
                </a:solidFill>
                <a:latin typeface="+mn-lt"/>
              </a:rPr>
              <a:t>Proyección mensual de ventas 2026</a:t>
            </a:r>
          </a:p>
        </c:rich>
      </c:tx>
      <c:overlay val="0"/>
    </c:title>
    <c:autoTitleDeleted val="0"/>
    <c:plotArea>
      <c:layout/>
      <c:barChart>
        <c:barDir val="col"/>
        <c:grouping val="clustered"/>
        <c:varyColors val="1"/>
        <c:ser>
          <c:idx val="0"/>
          <c:order val="0"/>
          <c:tx>
            <c:v>Enero</c:v>
          </c:tx>
          <c:spPr>
            <a:solidFill>
              <a:srgbClr val="4472C4"/>
            </a:solidFill>
            <a:ln cmpd="sng">
              <a:solidFill>
                <a:srgbClr val="000000"/>
              </a:solidFill>
              <a:prstDash val="solid"/>
            </a:ln>
          </c:spPr>
          <c:invertIfNegative val="1"/>
          <c:val>
            <c:numRef>
              <c:f>'Proy. ventas'!$F$95</c:f>
              <c:numCache>
                <c:formatCode>_-"$"\ * #,##0.00_-;\-"$"\ * #,##0.00_-;_-"$"\ * "-"??_-;_-@</c:formatCode>
                <c:ptCount val="1"/>
                <c:pt idx="0">
                  <c:v>4239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C764-46E6-8350-442B308FB4A8}"/>
            </c:ext>
          </c:extLst>
        </c:ser>
        <c:ser>
          <c:idx val="1"/>
          <c:order val="1"/>
          <c:tx>
            <c:v>Febrero</c:v>
          </c:tx>
          <c:spPr>
            <a:solidFill>
              <a:srgbClr val="ED7D31"/>
            </a:solidFill>
            <a:ln cmpd="sng">
              <a:solidFill>
                <a:srgbClr val="000000"/>
              </a:solidFill>
              <a:prstDash val="solid"/>
            </a:ln>
          </c:spPr>
          <c:invertIfNegative val="1"/>
          <c:val>
            <c:numRef>
              <c:f>'Proy. ventas'!$H$95</c:f>
              <c:numCache>
                <c:formatCode>_-"$"\ * #,##0.00_-;\-"$"\ * #,##0.00_-;_-"$"\ * "-"??_-;_-@</c:formatCode>
                <c:ptCount val="1"/>
                <c:pt idx="0">
                  <c:v>4610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1-C764-46E6-8350-442B308FB4A8}"/>
            </c:ext>
          </c:extLst>
        </c:ser>
        <c:ser>
          <c:idx val="2"/>
          <c:order val="2"/>
          <c:tx>
            <c:v>Marzo</c:v>
          </c:tx>
          <c:spPr>
            <a:solidFill>
              <a:srgbClr val="A5A5A5"/>
            </a:solidFill>
            <a:ln cmpd="sng">
              <a:solidFill>
                <a:srgbClr val="000000"/>
              </a:solidFill>
              <a:prstDash val="solid"/>
            </a:ln>
          </c:spPr>
          <c:invertIfNegative val="1"/>
          <c:val>
            <c:numRef>
              <c:f>'Proy. ventas'!$J$95</c:f>
              <c:numCache>
                <c:formatCode>_-"$"\ * #,##0.00_-;\-"$"\ * #,##0.00_-;_-"$"\ * "-"??_-;_-@</c:formatCode>
                <c:ptCount val="1"/>
                <c:pt idx="0">
                  <c:v>4981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2-C764-46E6-8350-442B308FB4A8}"/>
            </c:ext>
          </c:extLst>
        </c:ser>
        <c:ser>
          <c:idx val="3"/>
          <c:order val="3"/>
          <c:tx>
            <c:v>Abril</c:v>
          </c:tx>
          <c:spPr>
            <a:solidFill>
              <a:srgbClr val="FFC000"/>
            </a:solidFill>
            <a:ln cmpd="sng">
              <a:solidFill>
                <a:srgbClr val="000000"/>
              </a:solidFill>
              <a:prstDash val="solid"/>
            </a:ln>
          </c:spPr>
          <c:invertIfNegative val="1"/>
          <c:val>
            <c:numRef>
              <c:f>'Proy. ventas'!$L$95</c:f>
              <c:numCache>
                <c:formatCode>_-"$"\ * #,##0.00_-;\-"$"\ * #,##0.00_-;_-"$"\ * "-"??_-;_-@</c:formatCode>
                <c:ptCount val="1"/>
                <c:pt idx="0">
                  <c:v>5352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3-C764-46E6-8350-442B308FB4A8}"/>
            </c:ext>
          </c:extLst>
        </c:ser>
        <c:ser>
          <c:idx val="4"/>
          <c:order val="4"/>
          <c:tx>
            <c:v>Mayo</c:v>
          </c:tx>
          <c:spPr>
            <a:solidFill>
              <a:srgbClr val="5B9BD5"/>
            </a:solidFill>
            <a:ln cmpd="sng">
              <a:solidFill>
                <a:srgbClr val="000000"/>
              </a:solidFill>
              <a:prstDash val="solid"/>
            </a:ln>
          </c:spPr>
          <c:invertIfNegative val="1"/>
          <c:val>
            <c:numRef>
              <c:f>'Proy. ventas'!$N$95</c:f>
              <c:numCache>
                <c:formatCode>_-"$"\ * #,##0.00_-;\-"$"\ * #,##0.00_-;_-"$"\ * "-"??_-;_-@</c:formatCode>
                <c:ptCount val="1"/>
                <c:pt idx="0">
                  <c:v>5723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4-C764-46E6-8350-442B308FB4A8}"/>
            </c:ext>
          </c:extLst>
        </c:ser>
        <c:ser>
          <c:idx val="5"/>
          <c:order val="5"/>
          <c:tx>
            <c:v>Junio</c:v>
          </c:tx>
          <c:spPr>
            <a:solidFill>
              <a:srgbClr val="70AD47"/>
            </a:solidFill>
            <a:ln cmpd="sng">
              <a:solidFill>
                <a:srgbClr val="000000"/>
              </a:solidFill>
              <a:prstDash val="solid"/>
            </a:ln>
          </c:spPr>
          <c:invertIfNegative val="1"/>
          <c:val>
            <c:numRef>
              <c:f>'Proy. ventas'!$P$95</c:f>
              <c:numCache>
                <c:formatCode>_-"$"\ * #,##0.00_-;\-"$"\ * #,##0.00_-;_-"$"\ * "-"??_-;_-@</c:formatCode>
                <c:ptCount val="1"/>
                <c:pt idx="0">
                  <c:v>6423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5-C764-46E6-8350-442B308FB4A8}"/>
            </c:ext>
          </c:extLst>
        </c:ser>
        <c:ser>
          <c:idx val="6"/>
          <c:order val="6"/>
          <c:tx>
            <c:v>Julio</c:v>
          </c:tx>
          <c:spPr>
            <a:solidFill>
              <a:srgbClr val="4472C4"/>
            </a:solidFill>
            <a:ln cmpd="sng">
              <a:solidFill>
                <a:srgbClr val="000000"/>
              </a:solidFill>
              <a:prstDash val="solid"/>
            </a:ln>
          </c:spPr>
          <c:invertIfNegative val="1"/>
          <c:val>
            <c:numRef>
              <c:f>'Proy. ventas'!$R$95</c:f>
              <c:numCache>
                <c:formatCode>_-"$"\ * #,##0.00_-;\-"$"\ * #,##0.00_-;_-"$"\ * "-"??_-;_-@</c:formatCode>
                <c:ptCount val="1"/>
                <c:pt idx="0">
                  <c:v>6633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6-C764-46E6-8350-442B308FB4A8}"/>
            </c:ext>
          </c:extLst>
        </c:ser>
        <c:ser>
          <c:idx val="7"/>
          <c:order val="7"/>
          <c:tx>
            <c:v>Agosto</c:v>
          </c:tx>
          <c:spPr>
            <a:solidFill>
              <a:srgbClr val="ED7D31"/>
            </a:solidFill>
            <a:ln cmpd="sng">
              <a:solidFill>
                <a:srgbClr val="000000"/>
              </a:solidFill>
              <a:prstDash val="solid"/>
            </a:ln>
          </c:spPr>
          <c:invertIfNegative val="1"/>
          <c:val>
            <c:numRef>
              <c:f>'Proy. ventas'!$T$95</c:f>
              <c:numCache>
                <c:formatCode>_-"$"\ * #,##0.00_-;\-"$"\ * #,##0.00_-;_-"$"\ * "-"??_-;_-@</c:formatCode>
                <c:ptCount val="1"/>
                <c:pt idx="0">
                  <c:v>7362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7-C764-46E6-8350-442B308FB4A8}"/>
            </c:ext>
          </c:extLst>
        </c:ser>
        <c:ser>
          <c:idx val="8"/>
          <c:order val="8"/>
          <c:tx>
            <c:v>Septiembre</c:v>
          </c:tx>
          <c:spPr>
            <a:solidFill>
              <a:srgbClr val="A5A5A5"/>
            </a:solidFill>
            <a:ln cmpd="sng">
              <a:solidFill>
                <a:srgbClr val="000000"/>
              </a:solidFill>
              <a:prstDash val="solid"/>
            </a:ln>
          </c:spPr>
          <c:invertIfNegative val="1"/>
          <c:val>
            <c:numRef>
              <c:f>'Proy. ventas'!$V$95</c:f>
              <c:numCache>
                <c:formatCode>_-"$"\ * #,##0.00_-;\-"$"\ * #,##0.00_-;_-"$"\ * "-"??_-;_-@</c:formatCode>
                <c:ptCount val="1"/>
                <c:pt idx="0">
                  <c:v>7512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8-C764-46E6-8350-442B308FB4A8}"/>
            </c:ext>
          </c:extLst>
        </c:ser>
        <c:ser>
          <c:idx val="9"/>
          <c:order val="9"/>
          <c:tx>
            <c:v>Octubre</c:v>
          </c:tx>
          <c:spPr>
            <a:solidFill>
              <a:srgbClr val="FFC000"/>
            </a:solidFill>
            <a:ln cmpd="sng">
              <a:solidFill>
                <a:srgbClr val="000000"/>
              </a:solidFill>
              <a:prstDash val="solid"/>
            </a:ln>
          </c:spPr>
          <c:invertIfNegative val="1"/>
          <c:val>
            <c:numRef>
              <c:f>'Proy. ventas'!$X$95</c:f>
              <c:numCache>
                <c:formatCode>_-"$"\ * #,##0.00_-;\-"$"\ * #,##0.00_-;_-"$"\ * "-"??_-;_-@</c:formatCode>
                <c:ptCount val="1"/>
                <c:pt idx="0">
                  <c:v>8241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9-C764-46E6-8350-442B308FB4A8}"/>
            </c:ext>
          </c:extLst>
        </c:ser>
        <c:ser>
          <c:idx val="10"/>
          <c:order val="10"/>
          <c:tx>
            <c:v>Noviembre</c:v>
          </c:tx>
          <c:spPr>
            <a:solidFill>
              <a:srgbClr val="5B9BD5"/>
            </a:solidFill>
            <a:ln cmpd="sng">
              <a:solidFill>
                <a:srgbClr val="000000"/>
              </a:solidFill>
              <a:prstDash val="solid"/>
            </a:ln>
          </c:spPr>
          <c:invertIfNegative val="1"/>
          <c:val>
            <c:numRef>
              <c:f>'Proy. ventas'!$Z$95</c:f>
              <c:numCache>
                <c:formatCode>_-"$"\ * #,##0.00_-;\-"$"\ * #,##0.00_-;_-"$"\ * "-"??_-;_-@</c:formatCode>
                <c:ptCount val="1"/>
                <c:pt idx="0">
                  <c:v>8760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A-C764-46E6-8350-442B308FB4A8}"/>
            </c:ext>
          </c:extLst>
        </c:ser>
        <c:ser>
          <c:idx val="11"/>
          <c:order val="11"/>
          <c:tx>
            <c:v>Diciembre</c:v>
          </c:tx>
          <c:spPr>
            <a:solidFill>
              <a:srgbClr val="70AD47"/>
            </a:solidFill>
            <a:ln cmpd="sng">
              <a:solidFill>
                <a:srgbClr val="000000"/>
              </a:solidFill>
              <a:prstDash val="solid"/>
            </a:ln>
          </c:spPr>
          <c:invertIfNegative val="1"/>
          <c:val>
            <c:numRef>
              <c:f>'Proy. ventas'!$AB$95</c:f>
              <c:numCache>
                <c:formatCode>_-"$"\ * #,##0.00_-;\-"$"\ * #,##0.00_-;_-"$"\ * "-"??_-;_-@</c:formatCode>
                <c:ptCount val="1"/>
                <c:pt idx="0">
                  <c:v>9294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B-C764-46E6-8350-442B308FB4A8}"/>
            </c:ext>
          </c:extLst>
        </c:ser>
        <c:dLbls>
          <c:showLegendKey val="0"/>
          <c:showVal val="0"/>
          <c:showCatName val="0"/>
          <c:showSerName val="0"/>
          <c:showPercent val="0"/>
          <c:showBubbleSize val="0"/>
        </c:dLbls>
        <c:gapWidth val="150"/>
        <c:axId val="1709426320"/>
        <c:axId val="1709429584"/>
      </c:barChart>
      <c:catAx>
        <c:axId val="1709426320"/>
        <c:scaling>
          <c:orientation val="minMax"/>
        </c:scaling>
        <c:delete val="0"/>
        <c:axPos val="b"/>
        <c:title>
          <c:tx>
            <c:rich>
              <a:bodyPr/>
              <a:lstStyle/>
              <a:p>
                <a:pPr lvl="0">
                  <a:defRPr b="0">
                    <a:solidFill>
                      <a:srgbClr val="000000"/>
                    </a:solidFill>
                    <a:latin typeface="+mn-lt"/>
                  </a:defRPr>
                </a:pPr>
                <a:r>
                  <a:rPr lang="es-AR"/>
                  <a:t>None</a:t>
                </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AR"/>
          </a:p>
        </c:txPr>
        <c:crossAx val="1709429584"/>
        <c:crosses val="autoZero"/>
        <c:auto val="1"/>
        <c:lblAlgn val="ctr"/>
        <c:lblOffset val="100"/>
        <c:noMultiLvlLbl val="1"/>
      </c:catAx>
      <c:valAx>
        <c:axId val="1709429584"/>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rPr lang="es-AR"/>
                  <a:t>None</a:t>
                </a:r>
              </a:p>
            </c:rich>
          </c:tx>
          <c:overlay val="0"/>
        </c:title>
        <c:numFmt formatCode="_-&quot;$&quot;\ * #,##0.00_-;\-&quot;$&quot;\ * #,##0.00_-;_-&quot;$&quot;\ * &quot;-&quot;??_-;_-@" sourceLinked="1"/>
        <c:majorTickMark val="none"/>
        <c:minorTickMark val="none"/>
        <c:tickLblPos val="nextTo"/>
        <c:spPr>
          <a:ln>
            <a:prstDash val="solid"/>
          </a:ln>
        </c:spPr>
        <c:txPr>
          <a:bodyPr/>
          <a:lstStyle/>
          <a:p>
            <a:pPr lvl="0">
              <a:defRPr sz="1400" b="0" i="0">
                <a:solidFill>
                  <a:srgbClr val="000000"/>
                </a:solidFill>
                <a:latin typeface="+mn-lt"/>
              </a:defRPr>
            </a:pPr>
            <a:endParaRPr lang="es-AR"/>
          </a:p>
        </c:txPr>
        <c:crossAx val="1709426320"/>
        <c:crosses val="autoZero"/>
        <c:crossBetween val="between"/>
      </c:valAx>
    </c:plotArea>
    <c:legend>
      <c:legendPos val="b"/>
      <c:overlay val="0"/>
      <c:txPr>
        <a:bodyPr/>
        <a:lstStyle/>
        <a:p>
          <a:pPr lvl="0">
            <a:defRPr sz="1600" b="0" i="0">
              <a:solidFill>
                <a:srgbClr val="1A1A1A"/>
              </a:solidFill>
              <a:latin typeface="+mn-lt"/>
            </a:defRPr>
          </a:pPr>
          <a:endParaRPr lang="es-AR"/>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rgbClr val="757575"/>
                </a:solidFill>
                <a:latin typeface="+mn-lt"/>
              </a:defRPr>
            </a:pPr>
            <a:r>
              <a:rPr lang="es-AR" sz="1800" b="1" i="0">
                <a:solidFill>
                  <a:srgbClr val="757575"/>
                </a:solidFill>
                <a:latin typeface="+mn-lt"/>
              </a:rPr>
              <a:t>Proyección mensual de ventas 2027</a:t>
            </a:r>
          </a:p>
        </c:rich>
      </c:tx>
      <c:overlay val="0"/>
    </c:title>
    <c:autoTitleDeleted val="0"/>
    <c:plotArea>
      <c:layout/>
      <c:barChart>
        <c:barDir val="col"/>
        <c:grouping val="clustered"/>
        <c:varyColors val="1"/>
        <c:ser>
          <c:idx val="0"/>
          <c:order val="0"/>
          <c:tx>
            <c:v>Enero</c:v>
          </c:tx>
          <c:spPr>
            <a:solidFill>
              <a:srgbClr val="4472C4"/>
            </a:solidFill>
            <a:ln cmpd="sng">
              <a:solidFill>
                <a:srgbClr val="000000"/>
              </a:solidFill>
              <a:prstDash val="solid"/>
            </a:ln>
          </c:spPr>
          <c:invertIfNegative val="1"/>
          <c:val>
            <c:numRef>
              <c:f>'Proy. ventas'!$F$157</c:f>
              <c:numCache>
                <c:formatCode>_-"$"\ * #,##0.00_-;\-"$"\ * #,##0.00_-;_-"$"\ * "-"??_-;_-@</c:formatCode>
                <c:ptCount val="1"/>
                <c:pt idx="0">
                  <c:v>10070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AA30-4720-9767-185AC4CDDD3A}"/>
            </c:ext>
          </c:extLst>
        </c:ser>
        <c:ser>
          <c:idx val="1"/>
          <c:order val="1"/>
          <c:tx>
            <c:v>Febrero</c:v>
          </c:tx>
          <c:spPr>
            <a:solidFill>
              <a:srgbClr val="ED7D31"/>
            </a:solidFill>
            <a:ln cmpd="sng">
              <a:solidFill>
                <a:srgbClr val="000000"/>
              </a:solidFill>
              <a:prstDash val="solid"/>
            </a:ln>
          </c:spPr>
          <c:invertIfNegative val="1"/>
          <c:val>
            <c:numRef>
              <c:f>'Proy. ventas'!$H$157</c:f>
              <c:numCache>
                <c:formatCode>_-"$"\ * #,##0.00_-;\-"$"\ * #,##0.00_-;_-"$"\ * "-"??_-;_-@</c:formatCode>
                <c:ptCount val="1"/>
                <c:pt idx="0">
                  <c:v>10666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1-AA30-4720-9767-185AC4CDDD3A}"/>
            </c:ext>
          </c:extLst>
        </c:ser>
        <c:ser>
          <c:idx val="2"/>
          <c:order val="2"/>
          <c:tx>
            <c:v>Marzo</c:v>
          </c:tx>
          <c:spPr>
            <a:solidFill>
              <a:srgbClr val="A5A5A5"/>
            </a:solidFill>
            <a:ln cmpd="sng">
              <a:solidFill>
                <a:srgbClr val="000000"/>
              </a:solidFill>
              <a:prstDash val="solid"/>
            </a:ln>
          </c:spPr>
          <c:invertIfNegative val="1"/>
          <c:val>
            <c:numRef>
              <c:f>'Proy. ventas'!$J$157</c:f>
              <c:numCache>
                <c:formatCode>_-"$"\ * #,##0.00_-;\-"$"\ * #,##0.00_-;_-"$"\ * "-"??_-;_-@</c:formatCode>
                <c:ptCount val="1"/>
                <c:pt idx="0">
                  <c:v>11262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2-AA30-4720-9767-185AC4CDDD3A}"/>
            </c:ext>
          </c:extLst>
        </c:ser>
        <c:ser>
          <c:idx val="3"/>
          <c:order val="3"/>
          <c:tx>
            <c:v>Abril</c:v>
          </c:tx>
          <c:spPr>
            <a:solidFill>
              <a:srgbClr val="FFC000"/>
            </a:solidFill>
            <a:ln cmpd="sng">
              <a:solidFill>
                <a:srgbClr val="000000"/>
              </a:solidFill>
              <a:prstDash val="solid"/>
            </a:ln>
          </c:spPr>
          <c:invertIfNegative val="1"/>
          <c:val>
            <c:numRef>
              <c:f>'Proy. ventas'!$L$157</c:f>
              <c:numCache>
                <c:formatCode>_-"$"\ * #,##0.00_-;\-"$"\ * #,##0.00_-;_-"$"\ * "-"??_-;_-@</c:formatCode>
                <c:ptCount val="1"/>
                <c:pt idx="0">
                  <c:v>11858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3-AA30-4720-9767-185AC4CDDD3A}"/>
            </c:ext>
          </c:extLst>
        </c:ser>
        <c:ser>
          <c:idx val="4"/>
          <c:order val="4"/>
          <c:tx>
            <c:v>Mayo</c:v>
          </c:tx>
          <c:spPr>
            <a:solidFill>
              <a:srgbClr val="5B9BD5"/>
            </a:solidFill>
            <a:ln cmpd="sng">
              <a:solidFill>
                <a:srgbClr val="000000"/>
              </a:solidFill>
              <a:prstDash val="solid"/>
            </a:ln>
          </c:spPr>
          <c:invertIfNegative val="1"/>
          <c:val>
            <c:numRef>
              <c:f>'Proy. ventas'!$N$157</c:f>
              <c:numCache>
                <c:formatCode>_-"$"\ * #,##0.00_-;\-"$"\ * #,##0.00_-;_-"$"\ * "-"??_-;_-@</c:formatCode>
                <c:ptCount val="1"/>
                <c:pt idx="0">
                  <c:v>12454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4-AA30-4720-9767-185AC4CDDD3A}"/>
            </c:ext>
          </c:extLst>
        </c:ser>
        <c:ser>
          <c:idx val="5"/>
          <c:order val="5"/>
          <c:tx>
            <c:v>Junio</c:v>
          </c:tx>
          <c:spPr>
            <a:solidFill>
              <a:srgbClr val="70AD47"/>
            </a:solidFill>
            <a:ln cmpd="sng">
              <a:solidFill>
                <a:srgbClr val="000000"/>
              </a:solidFill>
              <a:prstDash val="solid"/>
            </a:ln>
          </c:spPr>
          <c:invertIfNegative val="1"/>
          <c:val>
            <c:numRef>
              <c:f>'Proy. ventas'!$P$157</c:f>
              <c:numCache>
                <c:formatCode>_-"$"\ * #,##0.00_-;\-"$"\ * #,##0.00_-;_-"$"\ * "-"??_-;_-@</c:formatCode>
                <c:ptCount val="1"/>
                <c:pt idx="0">
                  <c:v>13050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5-AA30-4720-9767-185AC4CDDD3A}"/>
            </c:ext>
          </c:extLst>
        </c:ser>
        <c:ser>
          <c:idx val="6"/>
          <c:order val="6"/>
          <c:tx>
            <c:v>Julio</c:v>
          </c:tx>
          <c:spPr>
            <a:solidFill>
              <a:srgbClr val="4472C4"/>
            </a:solidFill>
            <a:ln cmpd="sng">
              <a:solidFill>
                <a:srgbClr val="000000"/>
              </a:solidFill>
              <a:prstDash val="solid"/>
            </a:ln>
          </c:spPr>
          <c:invertIfNegative val="1"/>
          <c:val>
            <c:numRef>
              <c:f>'Proy. ventas'!$R$157</c:f>
              <c:numCache>
                <c:formatCode>_-"$"\ * #,##0.00_-;\-"$"\ * #,##0.00_-;_-"$"\ * "-"??_-;_-@</c:formatCode>
                <c:ptCount val="1"/>
                <c:pt idx="0">
                  <c:v>13646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6-AA30-4720-9767-185AC4CDDD3A}"/>
            </c:ext>
          </c:extLst>
        </c:ser>
        <c:ser>
          <c:idx val="7"/>
          <c:order val="7"/>
          <c:tx>
            <c:v>Agosto</c:v>
          </c:tx>
          <c:spPr>
            <a:solidFill>
              <a:srgbClr val="ED7D31"/>
            </a:solidFill>
            <a:ln cmpd="sng">
              <a:solidFill>
                <a:srgbClr val="000000"/>
              </a:solidFill>
              <a:prstDash val="solid"/>
            </a:ln>
          </c:spPr>
          <c:invertIfNegative val="1"/>
          <c:val>
            <c:numRef>
              <c:f>'Proy. ventas'!$T$157</c:f>
              <c:numCache>
                <c:formatCode>_-"$"\ * #,##0.00_-;\-"$"\ * #,##0.00_-;_-"$"\ * "-"??_-;_-@</c:formatCode>
                <c:ptCount val="1"/>
                <c:pt idx="0">
                  <c:v>14242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7-AA30-4720-9767-185AC4CDDD3A}"/>
            </c:ext>
          </c:extLst>
        </c:ser>
        <c:ser>
          <c:idx val="8"/>
          <c:order val="8"/>
          <c:tx>
            <c:v>Septiembre</c:v>
          </c:tx>
          <c:spPr>
            <a:solidFill>
              <a:srgbClr val="A5A5A5"/>
            </a:solidFill>
            <a:ln cmpd="sng">
              <a:solidFill>
                <a:srgbClr val="000000"/>
              </a:solidFill>
              <a:prstDash val="solid"/>
            </a:ln>
          </c:spPr>
          <c:invertIfNegative val="1"/>
          <c:val>
            <c:numRef>
              <c:f>'Proy. ventas'!$V$157</c:f>
              <c:numCache>
                <c:formatCode>_-"$"\ * #,##0.00_-;\-"$"\ * #,##0.00_-;_-"$"\ * "-"??_-;_-@</c:formatCode>
                <c:ptCount val="1"/>
                <c:pt idx="0">
                  <c:v>14838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8-AA30-4720-9767-185AC4CDDD3A}"/>
            </c:ext>
          </c:extLst>
        </c:ser>
        <c:ser>
          <c:idx val="9"/>
          <c:order val="9"/>
          <c:tx>
            <c:v>Octubre</c:v>
          </c:tx>
          <c:spPr>
            <a:solidFill>
              <a:srgbClr val="FFC000"/>
            </a:solidFill>
            <a:ln cmpd="sng">
              <a:solidFill>
                <a:srgbClr val="000000"/>
              </a:solidFill>
              <a:prstDash val="solid"/>
            </a:ln>
          </c:spPr>
          <c:invertIfNegative val="1"/>
          <c:val>
            <c:numRef>
              <c:f>'Proy. ventas'!$X$157</c:f>
              <c:numCache>
                <c:formatCode>_-"$"\ * #,##0.00_-;\-"$"\ * #,##0.00_-;_-"$"\ * "-"??_-;_-@</c:formatCode>
                <c:ptCount val="1"/>
                <c:pt idx="0">
                  <c:v>15434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9-AA30-4720-9767-185AC4CDDD3A}"/>
            </c:ext>
          </c:extLst>
        </c:ser>
        <c:ser>
          <c:idx val="10"/>
          <c:order val="10"/>
          <c:tx>
            <c:v>Noviembre</c:v>
          </c:tx>
          <c:spPr>
            <a:solidFill>
              <a:srgbClr val="5B9BD5"/>
            </a:solidFill>
            <a:ln cmpd="sng">
              <a:solidFill>
                <a:srgbClr val="000000"/>
              </a:solidFill>
              <a:prstDash val="solid"/>
            </a:ln>
          </c:spPr>
          <c:invertIfNegative val="1"/>
          <c:val>
            <c:numRef>
              <c:f>'Proy. ventas'!$Z$157</c:f>
              <c:numCache>
                <c:formatCode>_-"$"\ * #,##0.00_-;\-"$"\ * #,##0.00_-;_-"$"\ * "-"??_-;_-@</c:formatCode>
                <c:ptCount val="1"/>
                <c:pt idx="0">
                  <c:v>16030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A-AA30-4720-9767-185AC4CDDD3A}"/>
            </c:ext>
          </c:extLst>
        </c:ser>
        <c:ser>
          <c:idx val="11"/>
          <c:order val="11"/>
          <c:tx>
            <c:v>Diciembre</c:v>
          </c:tx>
          <c:spPr>
            <a:solidFill>
              <a:srgbClr val="70AD47"/>
            </a:solidFill>
            <a:ln cmpd="sng">
              <a:solidFill>
                <a:srgbClr val="000000"/>
              </a:solidFill>
              <a:prstDash val="solid"/>
            </a:ln>
          </c:spPr>
          <c:invertIfNegative val="1"/>
          <c:val>
            <c:numRef>
              <c:f>'Proy. ventas'!$AB$157</c:f>
              <c:numCache>
                <c:formatCode>_-"$"\ * #,##0.00_-;\-"$"\ * #,##0.00_-;_-"$"\ * "-"??_-;_-@</c:formatCode>
                <c:ptCount val="1"/>
                <c:pt idx="0">
                  <c:v>16497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B-AA30-4720-9767-185AC4CDDD3A}"/>
            </c:ext>
          </c:extLst>
        </c:ser>
        <c:dLbls>
          <c:showLegendKey val="0"/>
          <c:showVal val="0"/>
          <c:showCatName val="0"/>
          <c:showSerName val="0"/>
          <c:showPercent val="0"/>
          <c:showBubbleSize val="0"/>
        </c:dLbls>
        <c:gapWidth val="150"/>
        <c:axId val="1818113616"/>
        <c:axId val="1818103280"/>
      </c:barChart>
      <c:catAx>
        <c:axId val="1818113616"/>
        <c:scaling>
          <c:orientation val="minMax"/>
        </c:scaling>
        <c:delete val="0"/>
        <c:axPos val="b"/>
        <c:title>
          <c:tx>
            <c:rich>
              <a:bodyPr/>
              <a:lstStyle/>
              <a:p>
                <a:pPr lvl="0">
                  <a:defRPr b="0">
                    <a:solidFill>
                      <a:srgbClr val="000000"/>
                    </a:solidFill>
                    <a:latin typeface="+mn-lt"/>
                  </a:defRPr>
                </a:pPr>
                <a:r>
                  <a:rPr lang="es-AR"/>
                  <a:t>None</a:t>
                </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AR"/>
          </a:p>
        </c:txPr>
        <c:crossAx val="1818103280"/>
        <c:crosses val="autoZero"/>
        <c:auto val="1"/>
        <c:lblAlgn val="ctr"/>
        <c:lblOffset val="100"/>
        <c:noMultiLvlLbl val="1"/>
      </c:catAx>
      <c:valAx>
        <c:axId val="1818103280"/>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rPr lang="es-AR"/>
                  <a:t>None</a:t>
                </a:r>
              </a:p>
            </c:rich>
          </c:tx>
          <c:overlay val="0"/>
        </c:title>
        <c:numFmt formatCode="_-&quot;$&quot;\ * #,##0.00_-;\-&quot;$&quot;\ * #,##0.00_-;_-&quot;$&quot;\ * &quot;-&quot;??_-;_-@" sourceLinked="1"/>
        <c:majorTickMark val="none"/>
        <c:minorTickMark val="none"/>
        <c:tickLblPos val="nextTo"/>
        <c:spPr>
          <a:ln>
            <a:prstDash val="solid"/>
          </a:ln>
        </c:spPr>
        <c:txPr>
          <a:bodyPr/>
          <a:lstStyle/>
          <a:p>
            <a:pPr lvl="0">
              <a:defRPr sz="1400" b="0" i="0">
                <a:solidFill>
                  <a:srgbClr val="000000"/>
                </a:solidFill>
                <a:latin typeface="+mn-lt"/>
              </a:defRPr>
            </a:pPr>
            <a:endParaRPr lang="es-AR"/>
          </a:p>
        </c:txPr>
        <c:crossAx val="1818113616"/>
        <c:crosses val="autoZero"/>
        <c:crossBetween val="between"/>
      </c:valAx>
    </c:plotArea>
    <c:legend>
      <c:legendPos val="b"/>
      <c:overlay val="0"/>
      <c:txPr>
        <a:bodyPr/>
        <a:lstStyle/>
        <a:p>
          <a:pPr lvl="0">
            <a:defRPr sz="1600" b="0" i="0">
              <a:solidFill>
                <a:srgbClr val="1A1A1A"/>
              </a:solidFill>
              <a:latin typeface="+mn-lt"/>
            </a:defRPr>
          </a:pPr>
          <a:endParaRPr lang="es-AR"/>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chemeClr val="dk1"/>
                </a:solidFill>
                <a:latin typeface="+mn-lt"/>
              </a:defRPr>
            </a:pPr>
            <a:r>
              <a:rPr lang="es-AR" sz="1800" b="1" i="0">
                <a:solidFill>
                  <a:schemeClr val="dk1"/>
                </a:solidFill>
                <a:latin typeface="+mn-lt"/>
              </a:rPr>
              <a:t>Cantidad de ventas en 2025 de productos fabricados en nuestra empresa</a:t>
            </a:r>
          </a:p>
        </c:rich>
      </c:tx>
      <c:overlay val="0"/>
    </c:title>
    <c:autoTitleDeleted val="0"/>
    <c:plotArea>
      <c:layout/>
      <c:lineChart>
        <c:grouping val="standard"/>
        <c:varyColors val="1"/>
        <c:ser>
          <c:idx val="0"/>
          <c:order val="0"/>
          <c:spPr>
            <a:ln w="28575" cmpd="sng">
              <a:solidFill>
                <a:schemeClr val="accent1"/>
              </a:solidFill>
              <a:prstDash val="solid"/>
            </a:ln>
          </c:spPr>
          <c:marker>
            <c:symbol val="circle"/>
            <c:size val="17"/>
            <c:spPr>
              <a:solidFill>
                <a:schemeClr val="accent1"/>
              </a:solidFill>
              <a:ln cmpd="sng">
                <a:solidFill>
                  <a:schemeClr val="accent1"/>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ventas'!$E$19</c:f>
              <c:numCache>
                <c:formatCode>_-* #,##0\ _€_-;\-* #,##0\ _€_-;_-* "-"??\ _€_-;_-@</c:formatCode>
                <c:ptCount val="1"/>
                <c:pt idx="0">
                  <c:v>0</c:v>
                </c:pt>
              </c:numCache>
            </c:numRef>
          </c:val>
          <c:smooth val="0"/>
          <c:extLst>
            <c:ext xmlns:c16="http://schemas.microsoft.com/office/drawing/2014/chart" uri="{C3380CC4-5D6E-409C-BE32-E72D297353CC}">
              <c16:uniqueId val="{00000000-EE08-48BF-98A2-A845265E91FB}"/>
            </c:ext>
          </c:extLst>
        </c:ser>
        <c:ser>
          <c:idx val="1"/>
          <c:order val="1"/>
          <c:spPr>
            <a:ln w="28575" cmpd="sng">
              <a:solidFill>
                <a:schemeClr val="accent2"/>
              </a:solidFill>
              <a:prstDash val="solid"/>
            </a:ln>
          </c:spPr>
          <c:marker>
            <c:symbol val="circle"/>
            <c:size val="17"/>
            <c:spPr>
              <a:solidFill>
                <a:schemeClr val="accent2"/>
              </a:solidFill>
              <a:ln cmpd="sng">
                <a:solidFill>
                  <a:schemeClr val="accent2"/>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ventas'!$G$19</c:f>
              <c:numCache>
                <c:formatCode>_-* #,##0\ _€_-;\-* #,##0\ _€_-;_-* "-"??\ _€_-;_-@</c:formatCode>
                <c:ptCount val="1"/>
                <c:pt idx="0">
                  <c:v>1</c:v>
                </c:pt>
              </c:numCache>
            </c:numRef>
          </c:val>
          <c:smooth val="0"/>
          <c:extLst>
            <c:ext xmlns:c16="http://schemas.microsoft.com/office/drawing/2014/chart" uri="{C3380CC4-5D6E-409C-BE32-E72D297353CC}">
              <c16:uniqueId val="{00000001-EE08-48BF-98A2-A845265E91FB}"/>
            </c:ext>
          </c:extLst>
        </c:ser>
        <c:ser>
          <c:idx val="2"/>
          <c:order val="2"/>
          <c:spPr>
            <a:ln w="28575" cmpd="sng">
              <a:solidFill>
                <a:schemeClr val="accent3"/>
              </a:solidFill>
              <a:prstDash val="solid"/>
            </a:ln>
          </c:spPr>
          <c:marker>
            <c:symbol val="circle"/>
            <c:size val="17"/>
            <c:spPr>
              <a:solidFill>
                <a:schemeClr val="accent3"/>
              </a:solidFill>
              <a:ln cmpd="sng">
                <a:solidFill>
                  <a:schemeClr val="accent3"/>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ventas'!$I$19</c:f>
              <c:numCache>
                <c:formatCode>_-* #,##0\ _€_-;\-* #,##0\ _€_-;_-* "-"??\ _€_-;_-@</c:formatCode>
                <c:ptCount val="1"/>
                <c:pt idx="0">
                  <c:v>1</c:v>
                </c:pt>
              </c:numCache>
            </c:numRef>
          </c:val>
          <c:smooth val="0"/>
          <c:extLst>
            <c:ext xmlns:c16="http://schemas.microsoft.com/office/drawing/2014/chart" uri="{C3380CC4-5D6E-409C-BE32-E72D297353CC}">
              <c16:uniqueId val="{00000002-EE08-48BF-98A2-A845265E91FB}"/>
            </c:ext>
          </c:extLst>
        </c:ser>
        <c:ser>
          <c:idx val="3"/>
          <c:order val="3"/>
          <c:spPr>
            <a:ln cmpd="sng">
              <a:solidFill>
                <a:srgbClr val="FFC000"/>
              </a:solidFill>
              <a:prstDash val="solid"/>
            </a:ln>
          </c:spPr>
          <c:marker>
            <c:symbol val="none"/>
          </c:marker>
          <c:val>
            <c:numRef>
              <c:f>'Proy. ventas'!$K$19</c:f>
              <c:numCache>
                <c:formatCode>_-* #,##0\ _€_-;\-* #,##0\ _€_-;_-* "-"??\ _€_-;_-@</c:formatCode>
                <c:ptCount val="1"/>
                <c:pt idx="0">
                  <c:v>2</c:v>
                </c:pt>
              </c:numCache>
            </c:numRef>
          </c:val>
          <c:smooth val="0"/>
          <c:extLst>
            <c:ext xmlns:c16="http://schemas.microsoft.com/office/drawing/2014/chart" uri="{C3380CC4-5D6E-409C-BE32-E72D297353CC}">
              <c16:uniqueId val="{00000003-EE08-48BF-98A2-A845265E91FB}"/>
            </c:ext>
          </c:extLst>
        </c:ser>
        <c:ser>
          <c:idx val="4"/>
          <c:order val="4"/>
          <c:spPr>
            <a:ln cmpd="sng">
              <a:solidFill>
                <a:srgbClr val="5B9BD5"/>
              </a:solidFill>
              <a:prstDash val="solid"/>
            </a:ln>
          </c:spPr>
          <c:marker>
            <c:symbol val="none"/>
          </c:marker>
          <c:val>
            <c:numRef>
              <c:f>'Proy. ventas'!$M$19</c:f>
              <c:numCache>
                <c:formatCode>_-* #,##0\ _€_-;\-* #,##0\ _€_-;_-* "-"??\ _€_-;_-@</c:formatCode>
                <c:ptCount val="1"/>
                <c:pt idx="0">
                  <c:v>2</c:v>
                </c:pt>
              </c:numCache>
            </c:numRef>
          </c:val>
          <c:smooth val="0"/>
          <c:extLst>
            <c:ext xmlns:c16="http://schemas.microsoft.com/office/drawing/2014/chart" uri="{C3380CC4-5D6E-409C-BE32-E72D297353CC}">
              <c16:uniqueId val="{00000004-EE08-48BF-98A2-A845265E91FB}"/>
            </c:ext>
          </c:extLst>
        </c:ser>
        <c:ser>
          <c:idx val="5"/>
          <c:order val="5"/>
          <c:spPr>
            <a:ln cmpd="sng">
              <a:solidFill>
                <a:srgbClr val="70AD47"/>
              </a:solidFill>
              <a:prstDash val="solid"/>
            </a:ln>
          </c:spPr>
          <c:marker>
            <c:symbol val="none"/>
          </c:marker>
          <c:val>
            <c:numRef>
              <c:f>'Proy. ventas'!$O$19</c:f>
              <c:numCache>
                <c:formatCode>_-* #,##0\ _€_-;\-* #,##0\ _€_-;_-* "-"??\ _€_-;_-@</c:formatCode>
                <c:ptCount val="1"/>
                <c:pt idx="0">
                  <c:v>3</c:v>
                </c:pt>
              </c:numCache>
            </c:numRef>
          </c:val>
          <c:smooth val="0"/>
          <c:extLst>
            <c:ext xmlns:c16="http://schemas.microsoft.com/office/drawing/2014/chart" uri="{C3380CC4-5D6E-409C-BE32-E72D297353CC}">
              <c16:uniqueId val="{00000005-EE08-48BF-98A2-A845265E91FB}"/>
            </c:ext>
          </c:extLst>
        </c:ser>
        <c:ser>
          <c:idx val="6"/>
          <c:order val="6"/>
          <c:spPr>
            <a:ln cmpd="sng">
              <a:solidFill>
                <a:srgbClr val="7C9CD6"/>
              </a:solidFill>
              <a:prstDash val="solid"/>
            </a:ln>
          </c:spPr>
          <c:marker>
            <c:symbol val="none"/>
          </c:marker>
          <c:val>
            <c:numRef>
              <c:f>'Proy. ventas'!$Q$19</c:f>
              <c:numCache>
                <c:formatCode>_-* #,##0\ _€_-;\-* #,##0\ _€_-;_-* "-"??\ _€_-;_-@</c:formatCode>
                <c:ptCount val="1"/>
                <c:pt idx="0">
                  <c:v>3</c:v>
                </c:pt>
              </c:numCache>
            </c:numRef>
          </c:val>
          <c:smooth val="0"/>
          <c:extLst>
            <c:ext xmlns:c16="http://schemas.microsoft.com/office/drawing/2014/chart" uri="{C3380CC4-5D6E-409C-BE32-E72D297353CC}">
              <c16:uniqueId val="{00000006-EE08-48BF-98A2-A845265E91FB}"/>
            </c:ext>
          </c:extLst>
        </c:ser>
        <c:ser>
          <c:idx val="7"/>
          <c:order val="7"/>
          <c:spPr>
            <a:ln cmpd="sng">
              <a:solidFill>
                <a:srgbClr val="F2A46F"/>
              </a:solidFill>
              <a:prstDash val="solid"/>
            </a:ln>
          </c:spPr>
          <c:marker>
            <c:symbol val="none"/>
          </c:marker>
          <c:val>
            <c:numRef>
              <c:f>'Proy. ventas'!$S$19</c:f>
              <c:numCache>
                <c:formatCode>_-* #,##0\ _€_-;\-* #,##0\ _€_-;_-* "-"??\ _€_-;_-@</c:formatCode>
                <c:ptCount val="1"/>
                <c:pt idx="0">
                  <c:v>3</c:v>
                </c:pt>
              </c:numCache>
            </c:numRef>
          </c:val>
          <c:smooth val="0"/>
          <c:extLst>
            <c:ext xmlns:c16="http://schemas.microsoft.com/office/drawing/2014/chart" uri="{C3380CC4-5D6E-409C-BE32-E72D297353CC}">
              <c16:uniqueId val="{00000007-EE08-48BF-98A2-A845265E91FB}"/>
            </c:ext>
          </c:extLst>
        </c:ser>
        <c:ser>
          <c:idx val="8"/>
          <c:order val="8"/>
          <c:spPr>
            <a:ln cmpd="sng">
              <a:solidFill>
                <a:srgbClr val="C0C0C0"/>
              </a:solidFill>
              <a:prstDash val="solid"/>
            </a:ln>
          </c:spPr>
          <c:marker>
            <c:symbol val="none"/>
          </c:marker>
          <c:val>
            <c:numRef>
              <c:f>'Proy. ventas'!$U$19</c:f>
              <c:numCache>
                <c:formatCode>_-* #,##0\ _€_-;\-* #,##0\ _€_-;_-* "-"??\ _€_-;_-@</c:formatCode>
                <c:ptCount val="1"/>
                <c:pt idx="0">
                  <c:v>4</c:v>
                </c:pt>
              </c:numCache>
            </c:numRef>
          </c:val>
          <c:smooth val="0"/>
          <c:extLst>
            <c:ext xmlns:c16="http://schemas.microsoft.com/office/drawing/2014/chart" uri="{C3380CC4-5D6E-409C-BE32-E72D297353CC}">
              <c16:uniqueId val="{00000008-EE08-48BF-98A2-A845265E91FB}"/>
            </c:ext>
          </c:extLst>
        </c:ser>
        <c:ser>
          <c:idx val="9"/>
          <c:order val="9"/>
          <c:spPr>
            <a:ln cmpd="sng">
              <a:solidFill>
                <a:srgbClr val="FFD34D"/>
              </a:solidFill>
              <a:prstDash val="solid"/>
            </a:ln>
          </c:spPr>
          <c:marker>
            <c:symbol val="none"/>
          </c:marker>
          <c:val>
            <c:numRef>
              <c:f>'Proy. ventas'!$W$19</c:f>
              <c:numCache>
                <c:formatCode>_-* #,##0\ _€_-;\-* #,##0\ _€_-;_-* "-"??\ _€_-;_-@</c:formatCode>
                <c:ptCount val="1"/>
                <c:pt idx="0">
                  <c:v>4</c:v>
                </c:pt>
              </c:numCache>
            </c:numRef>
          </c:val>
          <c:smooth val="0"/>
          <c:extLst>
            <c:ext xmlns:c16="http://schemas.microsoft.com/office/drawing/2014/chart" uri="{C3380CC4-5D6E-409C-BE32-E72D297353CC}">
              <c16:uniqueId val="{00000009-EE08-48BF-98A2-A845265E91FB}"/>
            </c:ext>
          </c:extLst>
        </c:ser>
        <c:ser>
          <c:idx val="10"/>
          <c:order val="10"/>
          <c:spPr>
            <a:ln cmpd="sng">
              <a:solidFill>
                <a:srgbClr val="8CB9E2"/>
              </a:solidFill>
              <a:prstDash val="solid"/>
            </a:ln>
          </c:spPr>
          <c:marker>
            <c:symbol val="none"/>
          </c:marker>
          <c:val>
            <c:numRef>
              <c:f>'Proy. ventas'!$Y$19</c:f>
              <c:numCache>
                <c:formatCode>_-* #,##0\ _€_-;\-* #,##0\ _€_-;_-* "-"??\ _€_-;_-@</c:formatCode>
                <c:ptCount val="1"/>
                <c:pt idx="0">
                  <c:v>4</c:v>
                </c:pt>
              </c:numCache>
            </c:numRef>
          </c:val>
          <c:smooth val="0"/>
          <c:extLst>
            <c:ext xmlns:c16="http://schemas.microsoft.com/office/drawing/2014/chart" uri="{C3380CC4-5D6E-409C-BE32-E72D297353CC}">
              <c16:uniqueId val="{0000000A-EE08-48BF-98A2-A845265E91FB}"/>
            </c:ext>
          </c:extLst>
        </c:ser>
        <c:ser>
          <c:idx val="11"/>
          <c:order val="11"/>
          <c:spPr>
            <a:ln cmpd="sng">
              <a:solidFill>
                <a:srgbClr val="9BC67E"/>
              </a:solidFill>
              <a:prstDash val="solid"/>
            </a:ln>
          </c:spPr>
          <c:marker>
            <c:symbol val="none"/>
          </c:marker>
          <c:val>
            <c:numRef>
              <c:f>'Proy. ventas'!$AA$19</c:f>
              <c:numCache>
                <c:formatCode>_-* #,##0\ _€_-;\-* #,##0\ _€_-;_-* "-"??\ _€_-;_-@</c:formatCode>
                <c:ptCount val="1"/>
                <c:pt idx="0">
                  <c:v>3</c:v>
                </c:pt>
              </c:numCache>
            </c:numRef>
          </c:val>
          <c:smooth val="0"/>
          <c:extLst>
            <c:ext xmlns:c16="http://schemas.microsoft.com/office/drawing/2014/chart" uri="{C3380CC4-5D6E-409C-BE32-E72D297353CC}">
              <c16:uniqueId val="{0000000B-EE08-48BF-98A2-A845265E91FB}"/>
            </c:ext>
          </c:extLst>
        </c:ser>
        <c:ser>
          <c:idx val="12"/>
          <c:order val="12"/>
          <c:spPr>
            <a:ln cmpd="sng">
              <a:solidFill>
                <a:srgbClr val="B4C7E7"/>
              </a:solidFill>
              <a:prstDash val="solid"/>
            </a:ln>
          </c:spPr>
          <c:marker>
            <c:symbol val="none"/>
          </c:marker>
          <c:val>
            <c:numRef>
              <c:f>'Proy. ventas'!$E$20</c:f>
              <c:numCache>
                <c:formatCode>_-* #,##0\ _€_-;\-* #,##0\ _€_-;_-* "-"??\ _€_-;_-@</c:formatCode>
                <c:ptCount val="1"/>
                <c:pt idx="0">
                  <c:v>0</c:v>
                </c:pt>
              </c:numCache>
            </c:numRef>
          </c:val>
          <c:smooth val="0"/>
          <c:extLst>
            <c:ext xmlns:c16="http://schemas.microsoft.com/office/drawing/2014/chart" uri="{C3380CC4-5D6E-409C-BE32-E72D297353CC}">
              <c16:uniqueId val="{0000000C-EE08-48BF-98A2-A845265E91FB}"/>
            </c:ext>
          </c:extLst>
        </c:ser>
        <c:ser>
          <c:idx val="13"/>
          <c:order val="13"/>
          <c:spPr>
            <a:ln cmpd="sng">
              <a:solidFill>
                <a:srgbClr val="F8CBAD"/>
              </a:solidFill>
              <a:prstDash val="solid"/>
            </a:ln>
          </c:spPr>
          <c:marker>
            <c:symbol val="none"/>
          </c:marker>
          <c:val>
            <c:numRef>
              <c:f>'Proy. ventas'!$G$20</c:f>
              <c:numCache>
                <c:formatCode>_-* #,##0\ _€_-;\-* #,##0\ _€_-;_-* "-"??\ _€_-;_-@</c:formatCode>
                <c:ptCount val="1"/>
                <c:pt idx="0">
                  <c:v>1</c:v>
                </c:pt>
              </c:numCache>
            </c:numRef>
          </c:val>
          <c:smooth val="0"/>
          <c:extLst>
            <c:ext xmlns:c16="http://schemas.microsoft.com/office/drawing/2014/chart" uri="{C3380CC4-5D6E-409C-BE32-E72D297353CC}">
              <c16:uniqueId val="{0000000D-EE08-48BF-98A2-A845265E91FB}"/>
            </c:ext>
          </c:extLst>
        </c:ser>
        <c:ser>
          <c:idx val="14"/>
          <c:order val="14"/>
          <c:spPr>
            <a:ln cmpd="sng">
              <a:solidFill>
                <a:srgbClr val="DBDBDB"/>
              </a:solidFill>
              <a:prstDash val="solid"/>
            </a:ln>
          </c:spPr>
          <c:marker>
            <c:symbol val="none"/>
          </c:marker>
          <c:val>
            <c:numRef>
              <c:f>'Proy. ventas'!$G$21</c:f>
              <c:numCache>
                <c:formatCode>_-* #,##0\ _€_-;\-* #,##0\ _€_-;_-* "-"??\ _€_-;_-@</c:formatCode>
                <c:ptCount val="1"/>
                <c:pt idx="0">
                  <c:v>0</c:v>
                </c:pt>
              </c:numCache>
            </c:numRef>
          </c:val>
          <c:smooth val="0"/>
          <c:extLst>
            <c:ext xmlns:c16="http://schemas.microsoft.com/office/drawing/2014/chart" uri="{C3380CC4-5D6E-409C-BE32-E72D297353CC}">
              <c16:uniqueId val="{0000000E-EE08-48BF-98A2-A845265E91FB}"/>
            </c:ext>
          </c:extLst>
        </c:ser>
        <c:ser>
          <c:idx val="15"/>
          <c:order val="15"/>
          <c:spPr>
            <a:ln cmpd="sng">
              <a:solidFill>
                <a:srgbClr val="FFE699"/>
              </a:solidFill>
              <a:prstDash val="solid"/>
            </a:ln>
          </c:spPr>
          <c:marker>
            <c:symbol val="none"/>
          </c:marker>
          <c:val>
            <c:numRef>
              <c:f>'Proy. ventas'!$I$20</c:f>
              <c:numCache>
                <c:formatCode>_-* #,##0\ _€_-;\-* #,##0\ _€_-;_-* "-"??\ _€_-;_-@</c:formatCode>
                <c:ptCount val="1"/>
                <c:pt idx="0">
                  <c:v>3</c:v>
                </c:pt>
              </c:numCache>
            </c:numRef>
          </c:val>
          <c:smooth val="0"/>
          <c:extLst>
            <c:ext xmlns:c16="http://schemas.microsoft.com/office/drawing/2014/chart" uri="{C3380CC4-5D6E-409C-BE32-E72D297353CC}">
              <c16:uniqueId val="{0000000F-EE08-48BF-98A2-A845265E91FB}"/>
            </c:ext>
          </c:extLst>
        </c:ser>
        <c:ser>
          <c:idx val="16"/>
          <c:order val="16"/>
          <c:spPr>
            <a:ln cmpd="sng">
              <a:solidFill>
                <a:srgbClr val="BDD7EE"/>
              </a:solidFill>
              <a:prstDash val="solid"/>
            </a:ln>
          </c:spPr>
          <c:marker>
            <c:symbol val="none"/>
          </c:marker>
          <c:val>
            <c:numRef>
              <c:f>'Proy. ventas'!$K$20</c:f>
              <c:numCache>
                <c:formatCode>_-* #,##0\ _€_-;\-* #,##0\ _€_-;_-* "-"??\ _€_-;_-@</c:formatCode>
                <c:ptCount val="1"/>
                <c:pt idx="0">
                  <c:v>4</c:v>
                </c:pt>
              </c:numCache>
            </c:numRef>
          </c:val>
          <c:smooth val="0"/>
          <c:extLst>
            <c:ext xmlns:c16="http://schemas.microsoft.com/office/drawing/2014/chart" uri="{C3380CC4-5D6E-409C-BE32-E72D297353CC}">
              <c16:uniqueId val="{00000010-EE08-48BF-98A2-A845265E91FB}"/>
            </c:ext>
          </c:extLst>
        </c:ser>
        <c:ser>
          <c:idx val="17"/>
          <c:order val="17"/>
          <c:spPr>
            <a:ln cmpd="sng">
              <a:solidFill>
                <a:srgbClr val="C6DEB5"/>
              </a:solidFill>
              <a:prstDash val="solid"/>
            </a:ln>
          </c:spPr>
          <c:marker>
            <c:symbol val="none"/>
          </c:marker>
          <c:val>
            <c:numRef>
              <c:f>'Proy. ventas'!$M$20</c:f>
              <c:numCache>
                <c:formatCode>_-* #,##0\ _€_-;\-* #,##0\ _€_-;_-* "-"??\ _€_-;_-@</c:formatCode>
                <c:ptCount val="1"/>
                <c:pt idx="0">
                  <c:v>5</c:v>
                </c:pt>
              </c:numCache>
            </c:numRef>
          </c:val>
          <c:smooth val="0"/>
          <c:extLst>
            <c:ext xmlns:c16="http://schemas.microsoft.com/office/drawing/2014/chart" uri="{C3380CC4-5D6E-409C-BE32-E72D297353CC}">
              <c16:uniqueId val="{00000011-EE08-48BF-98A2-A845265E91FB}"/>
            </c:ext>
          </c:extLst>
        </c:ser>
        <c:ser>
          <c:idx val="18"/>
          <c:order val="18"/>
          <c:spPr>
            <a:ln cmpd="sng">
              <a:solidFill>
                <a:srgbClr val="ECF1F9"/>
              </a:solidFill>
              <a:prstDash val="solid"/>
            </a:ln>
          </c:spPr>
          <c:marker>
            <c:symbol val="none"/>
          </c:marker>
          <c:val>
            <c:numRef>
              <c:f>'Proy. ventas'!$O$20</c:f>
              <c:numCache>
                <c:formatCode>_-* #,##0\ _€_-;\-* #,##0\ _€_-;_-* "-"??\ _€_-;_-@</c:formatCode>
                <c:ptCount val="1"/>
                <c:pt idx="0">
                  <c:v>5</c:v>
                </c:pt>
              </c:numCache>
            </c:numRef>
          </c:val>
          <c:smooth val="0"/>
          <c:extLst>
            <c:ext xmlns:c16="http://schemas.microsoft.com/office/drawing/2014/chart" uri="{C3380CC4-5D6E-409C-BE32-E72D297353CC}">
              <c16:uniqueId val="{00000012-EE08-48BF-98A2-A845265E91FB}"/>
            </c:ext>
          </c:extLst>
        </c:ser>
        <c:ser>
          <c:idx val="19"/>
          <c:order val="19"/>
          <c:spPr>
            <a:ln cmpd="sng">
              <a:solidFill>
                <a:srgbClr val="FDF2EA"/>
              </a:solidFill>
              <a:prstDash val="solid"/>
            </a:ln>
          </c:spPr>
          <c:marker>
            <c:symbol val="none"/>
          </c:marker>
          <c:val>
            <c:numRef>
              <c:f>'Proy. ventas'!$Q$20</c:f>
              <c:numCache>
                <c:formatCode>_-* #,##0\ _€_-;\-* #,##0\ _€_-;_-* "-"??\ _€_-;_-@</c:formatCode>
                <c:ptCount val="1"/>
                <c:pt idx="0">
                  <c:v>6</c:v>
                </c:pt>
              </c:numCache>
            </c:numRef>
          </c:val>
          <c:smooth val="0"/>
          <c:extLst>
            <c:ext xmlns:c16="http://schemas.microsoft.com/office/drawing/2014/chart" uri="{C3380CC4-5D6E-409C-BE32-E72D297353CC}">
              <c16:uniqueId val="{00000013-EE08-48BF-98A2-A845265E91FB}"/>
            </c:ext>
          </c:extLst>
        </c:ser>
        <c:ser>
          <c:idx val="20"/>
          <c:order val="20"/>
          <c:spPr>
            <a:ln cmpd="sng">
              <a:solidFill>
                <a:srgbClr val="F6F6F6"/>
              </a:solidFill>
              <a:prstDash val="solid"/>
            </a:ln>
          </c:spPr>
          <c:marker>
            <c:symbol val="none"/>
          </c:marker>
          <c:val>
            <c:numRef>
              <c:f>'Proy. ventas'!$S$20</c:f>
              <c:numCache>
                <c:formatCode>_-* #,##0\ _€_-;\-* #,##0\ _€_-;_-* "-"??\ _€_-;_-@</c:formatCode>
                <c:ptCount val="1"/>
                <c:pt idx="0">
                  <c:v>7</c:v>
                </c:pt>
              </c:numCache>
            </c:numRef>
          </c:val>
          <c:smooth val="0"/>
          <c:extLst>
            <c:ext xmlns:c16="http://schemas.microsoft.com/office/drawing/2014/chart" uri="{C3380CC4-5D6E-409C-BE32-E72D297353CC}">
              <c16:uniqueId val="{00000014-EE08-48BF-98A2-A845265E91FB}"/>
            </c:ext>
          </c:extLst>
        </c:ser>
        <c:ser>
          <c:idx val="21"/>
          <c:order val="21"/>
          <c:spPr>
            <a:ln cmpd="sng">
              <a:solidFill>
                <a:srgbClr val="FFF9E6"/>
              </a:solidFill>
              <a:prstDash val="solid"/>
            </a:ln>
          </c:spPr>
          <c:marker>
            <c:symbol val="none"/>
          </c:marker>
          <c:val>
            <c:numRef>
              <c:f>'Proy. ventas'!$U$20</c:f>
              <c:numCache>
                <c:formatCode>_-* #,##0\ _€_-;\-* #,##0\ _€_-;_-* "-"??\ _€_-;_-@</c:formatCode>
                <c:ptCount val="1"/>
                <c:pt idx="0">
                  <c:v>7</c:v>
                </c:pt>
              </c:numCache>
            </c:numRef>
          </c:val>
          <c:smooth val="0"/>
          <c:extLst>
            <c:ext xmlns:c16="http://schemas.microsoft.com/office/drawing/2014/chart" uri="{C3380CC4-5D6E-409C-BE32-E72D297353CC}">
              <c16:uniqueId val="{00000015-EE08-48BF-98A2-A845265E91FB}"/>
            </c:ext>
          </c:extLst>
        </c:ser>
        <c:ser>
          <c:idx val="22"/>
          <c:order val="22"/>
          <c:spPr>
            <a:ln cmpd="sng">
              <a:solidFill>
                <a:srgbClr val="EFF5FB"/>
              </a:solidFill>
              <a:prstDash val="solid"/>
            </a:ln>
          </c:spPr>
          <c:marker>
            <c:symbol val="none"/>
          </c:marker>
          <c:val>
            <c:numRef>
              <c:f>'Proy. ventas'!$W$20</c:f>
              <c:numCache>
                <c:formatCode>_-* #,##0\ _€_-;\-* #,##0\ _€_-;_-* "-"??\ _€_-;_-@</c:formatCode>
                <c:ptCount val="1"/>
                <c:pt idx="0">
                  <c:v>8</c:v>
                </c:pt>
              </c:numCache>
            </c:numRef>
          </c:val>
          <c:smooth val="0"/>
          <c:extLst>
            <c:ext xmlns:c16="http://schemas.microsoft.com/office/drawing/2014/chart" uri="{C3380CC4-5D6E-409C-BE32-E72D297353CC}">
              <c16:uniqueId val="{00000016-EE08-48BF-98A2-A845265E91FB}"/>
            </c:ext>
          </c:extLst>
        </c:ser>
        <c:ser>
          <c:idx val="23"/>
          <c:order val="23"/>
          <c:spPr>
            <a:ln cmpd="sng">
              <a:solidFill>
                <a:srgbClr val="F1F7ED"/>
              </a:solidFill>
              <a:prstDash val="solid"/>
            </a:ln>
          </c:spPr>
          <c:marker>
            <c:symbol val="none"/>
          </c:marker>
          <c:val>
            <c:numRef>
              <c:f>'Proy. ventas'!$Y$20</c:f>
              <c:numCache>
                <c:formatCode>_-* #,##0\ _€_-;\-* #,##0\ _€_-;_-* "-"??\ _€_-;_-@</c:formatCode>
                <c:ptCount val="1"/>
                <c:pt idx="0">
                  <c:v>8</c:v>
                </c:pt>
              </c:numCache>
            </c:numRef>
          </c:val>
          <c:smooth val="0"/>
          <c:extLst>
            <c:ext xmlns:c16="http://schemas.microsoft.com/office/drawing/2014/chart" uri="{C3380CC4-5D6E-409C-BE32-E72D297353CC}">
              <c16:uniqueId val="{00000017-EE08-48BF-98A2-A845265E91FB}"/>
            </c:ext>
          </c:extLst>
        </c:ser>
        <c:ser>
          <c:idx val="24"/>
          <c:order val="24"/>
          <c:spPr>
            <a:ln cmpd="sng">
              <a:solidFill>
                <a:srgbClr val="241B0B"/>
              </a:solidFill>
              <a:prstDash val="solid"/>
            </a:ln>
          </c:spPr>
          <c:marker>
            <c:symbol val="none"/>
          </c:marker>
          <c:val>
            <c:numRef>
              <c:f>'Proy. ventas'!$AA$20</c:f>
              <c:numCache>
                <c:formatCode>_-* #,##0\ _€_-;\-* #,##0\ _€_-;_-* "-"??\ _€_-;_-@</c:formatCode>
                <c:ptCount val="1"/>
                <c:pt idx="0">
                  <c:v>8</c:v>
                </c:pt>
              </c:numCache>
            </c:numRef>
          </c:val>
          <c:smooth val="0"/>
          <c:extLst>
            <c:ext xmlns:c16="http://schemas.microsoft.com/office/drawing/2014/chart" uri="{C3380CC4-5D6E-409C-BE32-E72D297353CC}">
              <c16:uniqueId val="{00000018-EE08-48BF-98A2-A845265E91FB}"/>
            </c:ext>
          </c:extLst>
        </c:ser>
        <c:ser>
          <c:idx val="25"/>
          <c:order val="25"/>
          <c:spPr>
            <a:ln cmpd="sng">
              <a:solidFill>
                <a:srgbClr val="031928"/>
              </a:solidFill>
              <a:prstDash val="solid"/>
            </a:ln>
          </c:spPr>
          <c:marker>
            <c:symbol val="none"/>
          </c:marker>
          <c:val>
            <c:numRef>
              <c:f>'Proy. ventas'!$E$21</c:f>
              <c:numCache>
                <c:formatCode>_-* #,##0\ _€_-;\-* #,##0\ _€_-;_-* "-"??\ _€_-;_-@</c:formatCode>
                <c:ptCount val="1"/>
                <c:pt idx="0">
                  <c:v>0</c:v>
                </c:pt>
              </c:numCache>
            </c:numRef>
          </c:val>
          <c:smooth val="0"/>
          <c:extLst>
            <c:ext xmlns:c16="http://schemas.microsoft.com/office/drawing/2014/chart" uri="{C3380CC4-5D6E-409C-BE32-E72D297353CC}">
              <c16:uniqueId val="{00000019-EE08-48BF-98A2-A845265E91FB}"/>
            </c:ext>
          </c:extLst>
        </c:ser>
        <c:ser>
          <c:idx val="26"/>
          <c:order val="26"/>
          <c:spPr>
            <a:ln cmpd="sng">
              <a:solidFill>
                <a:srgbClr val="111111"/>
              </a:solidFill>
              <a:prstDash val="solid"/>
            </a:ln>
          </c:spPr>
          <c:marker>
            <c:symbol val="none"/>
          </c:marker>
          <c:val>
            <c:numRef>
              <c:f>'Proy. ventas'!$G$21</c:f>
              <c:numCache>
                <c:formatCode>_-* #,##0\ _€_-;\-* #,##0\ _€_-;_-* "-"??\ _€_-;_-@</c:formatCode>
                <c:ptCount val="1"/>
                <c:pt idx="0">
                  <c:v>0</c:v>
                </c:pt>
              </c:numCache>
            </c:numRef>
          </c:val>
          <c:smooth val="0"/>
          <c:extLst>
            <c:ext xmlns:c16="http://schemas.microsoft.com/office/drawing/2014/chart" uri="{C3380CC4-5D6E-409C-BE32-E72D297353CC}">
              <c16:uniqueId val="{0000001A-EE08-48BF-98A2-A845265E91FB}"/>
            </c:ext>
          </c:extLst>
        </c:ser>
        <c:ser>
          <c:idx val="27"/>
          <c:order val="27"/>
          <c:spPr>
            <a:ln cmpd="sng">
              <a:solidFill>
                <a:srgbClr val="FF0C32"/>
              </a:solidFill>
              <a:prstDash val="solid"/>
            </a:ln>
          </c:spPr>
          <c:marker>
            <c:symbol val="none"/>
          </c:marker>
          <c:val>
            <c:numRef>
              <c:f>'Proy. ventas'!$I$21</c:f>
              <c:numCache>
                <c:formatCode>_-* #,##0\ _€_-;\-* #,##0\ _€_-;_-* "-"??\ _€_-;_-@</c:formatCode>
                <c:ptCount val="1"/>
                <c:pt idx="0">
                  <c:v>0</c:v>
                </c:pt>
              </c:numCache>
            </c:numRef>
          </c:val>
          <c:smooth val="0"/>
          <c:extLst>
            <c:ext xmlns:c16="http://schemas.microsoft.com/office/drawing/2014/chart" uri="{C3380CC4-5D6E-409C-BE32-E72D297353CC}">
              <c16:uniqueId val="{0000001B-EE08-48BF-98A2-A845265E91FB}"/>
            </c:ext>
          </c:extLst>
        </c:ser>
        <c:ser>
          <c:idx val="28"/>
          <c:order val="28"/>
          <c:spPr>
            <a:ln cmpd="sng">
              <a:solidFill>
                <a:srgbClr val="201307"/>
              </a:solidFill>
              <a:prstDash val="solid"/>
            </a:ln>
          </c:spPr>
          <c:marker>
            <c:symbol val="none"/>
          </c:marker>
          <c:val>
            <c:numRef>
              <c:f>'Proy. ventas'!$K$21</c:f>
              <c:numCache>
                <c:formatCode>_-* #,##0\ _€_-;\-* #,##0\ _€_-;_-* "-"??\ _€_-;_-@</c:formatCode>
                <c:ptCount val="1"/>
                <c:pt idx="0">
                  <c:v>0</c:v>
                </c:pt>
              </c:numCache>
            </c:numRef>
          </c:val>
          <c:smooth val="0"/>
          <c:extLst>
            <c:ext xmlns:c16="http://schemas.microsoft.com/office/drawing/2014/chart" uri="{C3380CC4-5D6E-409C-BE32-E72D297353CC}">
              <c16:uniqueId val="{0000001C-EE08-48BF-98A2-A845265E91FB}"/>
            </c:ext>
          </c:extLst>
        </c:ser>
        <c:ser>
          <c:idx val="29"/>
          <c:order val="29"/>
          <c:spPr>
            <a:ln cmpd="sng">
              <a:solidFill>
                <a:srgbClr val="1C0F24"/>
              </a:solidFill>
              <a:prstDash val="solid"/>
            </a:ln>
          </c:spPr>
          <c:marker>
            <c:symbol val="none"/>
          </c:marker>
          <c:val>
            <c:numRef>
              <c:f>'Proy. ventas'!$M$21</c:f>
              <c:numCache>
                <c:formatCode>_-* #,##0\ _€_-;\-* #,##0\ _€_-;_-* "-"??\ _€_-;_-@</c:formatCode>
                <c:ptCount val="1"/>
                <c:pt idx="0">
                  <c:v>1</c:v>
                </c:pt>
              </c:numCache>
            </c:numRef>
          </c:val>
          <c:smooth val="0"/>
          <c:extLst>
            <c:ext xmlns:c16="http://schemas.microsoft.com/office/drawing/2014/chart" uri="{C3380CC4-5D6E-409C-BE32-E72D297353CC}">
              <c16:uniqueId val="{0000001D-EE08-48BF-98A2-A845265E91FB}"/>
            </c:ext>
          </c:extLst>
        </c:ser>
        <c:ser>
          <c:idx val="30"/>
          <c:order val="30"/>
          <c:spPr>
            <a:ln cmpd="sng">
              <a:solidFill>
                <a:srgbClr val="5D461D"/>
              </a:solidFill>
              <a:prstDash val="solid"/>
            </a:ln>
          </c:spPr>
          <c:marker>
            <c:symbol val="none"/>
          </c:marker>
          <c:val>
            <c:numRef>
              <c:f>'Proy. ventas'!$O$21</c:f>
              <c:numCache>
                <c:formatCode>_-* #,##0\ _€_-;\-* #,##0\ _€_-;_-* "-"??\ _€_-;_-@</c:formatCode>
                <c:ptCount val="1"/>
                <c:pt idx="0">
                  <c:v>1</c:v>
                </c:pt>
              </c:numCache>
            </c:numRef>
          </c:val>
          <c:smooth val="0"/>
          <c:extLst>
            <c:ext xmlns:c16="http://schemas.microsoft.com/office/drawing/2014/chart" uri="{C3380CC4-5D6E-409C-BE32-E72D297353CC}">
              <c16:uniqueId val="{0000001E-EE08-48BF-98A2-A845265E91FB}"/>
            </c:ext>
          </c:extLst>
        </c:ser>
        <c:ser>
          <c:idx val="31"/>
          <c:order val="31"/>
          <c:spPr>
            <a:ln cmpd="sng">
              <a:solidFill>
                <a:srgbClr val="084066"/>
              </a:solidFill>
              <a:prstDash val="solid"/>
            </a:ln>
          </c:spPr>
          <c:marker>
            <c:symbol val="none"/>
          </c:marker>
          <c:val>
            <c:numRef>
              <c:f>'Proy. ventas'!$Q$21</c:f>
              <c:numCache>
                <c:formatCode>_-* #,##0\ _€_-;\-* #,##0\ _€_-;_-* "-"??\ _€_-;_-@</c:formatCode>
                <c:ptCount val="1"/>
                <c:pt idx="0">
                  <c:v>1</c:v>
                </c:pt>
              </c:numCache>
            </c:numRef>
          </c:val>
          <c:smooth val="0"/>
          <c:extLst>
            <c:ext xmlns:c16="http://schemas.microsoft.com/office/drawing/2014/chart" uri="{C3380CC4-5D6E-409C-BE32-E72D297353CC}">
              <c16:uniqueId val="{0000001F-EE08-48BF-98A2-A845265E91FB}"/>
            </c:ext>
          </c:extLst>
        </c:ser>
        <c:ser>
          <c:idx val="32"/>
          <c:order val="32"/>
          <c:spPr>
            <a:ln cmpd="sng">
              <a:solidFill>
                <a:srgbClr val="2C2C2C"/>
              </a:solidFill>
              <a:prstDash val="solid"/>
            </a:ln>
          </c:spPr>
          <c:marker>
            <c:symbol val="none"/>
          </c:marker>
          <c:val>
            <c:numRef>
              <c:f>'Proy. ventas'!$S$21</c:f>
              <c:numCache>
                <c:formatCode>_-* #,##0\ _€_-;\-* #,##0\ _€_-;_-* "-"??\ _€_-;_-@</c:formatCode>
                <c:ptCount val="1"/>
                <c:pt idx="0">
                  <c:v>1</c:v>
                </c:pt>
              </c:numCache>
            </c:numRef>
          </c:val>
          <c:smooth val="0"/>
          <c:extLst>
            <c:ext xmlns:c16="http://schemas.microsoft.com/office/drawing/2014/chart" uri="{C3380CC4-5D6E-409C-BE32-E72D297353CC}">
              <c16:uniqueId val="{00000020-EE08-48BF-98A2-A845265E91FB}"/>
            </c:ext>
          </c:extLst>
        </c:ser>
        <c:ser>
          <c:idx val="33"/>
          <c:order val="33"/>
          <c:spPr>
            <a:ln cmpd="sng">
              <a:solidFill>
                <a:srgbClr val="FF1F7F"/>
              </a:solidFill>
              <a:prstDash val="solid"/>
            </a:ln>
          </c:spPr>
          <c:marker>
            <c:symbol val="none"/>
          </c:marker>
          <c:val>
            <c:numRef>
              <c:f>'Proy. ventas'!$U$21</c:f>
              <c:numCache>
                <c:formatCode>_-* #,##0\ _€_-;\-* #,##0\ _€_-;_-* "-"??\ _€_-;_-@</c:formatCode>
                <c:ptCount val="1"/>
                <c:pt idx="0">
                  <c:v>1</c:v>
                </c:pt>
              </c:numCache>
            </c:numRef>
          </c:val>
          <c:smooth val="0"/>
          <c:extLst>
            <c:ext xmlns:c16="http://schemas.microsoft.com/office/drawing/2014/chart" uri="{C3380CC4-5D6E-409C-BE32-E72D297353CC}">
              <c16:uniqueId val="{00000021-EE08-48BF-98A2-A845265E91FB}"/>
            </c:ext>
          </c:extLst>
        </c:ser>
        <c:ser>
          <c:idx val="34"/>
          <c:order val="34"/>
          <c:spPr>
            <a:ln cmpd="sng">
              <a:solidFill>
                <a:srgbClr val="513114"/>
              </a:solidFill>
              <a:prstDash val="solid"/>
            </a:ln>
          </c:spPr>
          <c:marker>
            <c:symbol val="none"/>
          </c:marker>
          <c:val>
            <c:numRef>
              <c:f>'Proy. ventas'!$W$21</c:f>
              <c:numCache>
                <c:formatCode>_-* #,##0\ _€_-;\-* #,##0\ _€_-;_-* "-"??\ _€_-;_-@</c:formatCode>
                <c:ptCount val="1"/>
                <c:pt idx="0">
                  <c:v>1</c:v>
                </c:pt>
              </c:numCache>
            </c:numRef>
          </c:val>
          <c:smooth val="0"/>
          <c:extLst>
            <c:ext xmlns:c16="http://schemas.microsoft.com/office/drawing/2014/chart" uri="{C3380CC4-5D6E-409C-BE32-E72D297353CC}">
              <c16:uniqueId val="{00000022-EE08-48BF-98A2-A845265E91FB}"/>
            </c:ext>
          </c:extLst>
        </c:ser>
        <c:ser>
          <c:idx val="35"/>
          <c:order val="35"/>
          <c:spPr>
            <a:ln cmpd="sng">
              <a:solidFill>
                <a:srgbClr val="47285B"/>
              </a:solidFill>
              <a:prstDash val="solid"/>
            </a:ln>
          </c:spPr>
          <c:marker>
            <c:symbol val="none"/>
          </c:marker>
          <c:val>
            <c:numRef>
              <c:f>'Proy. ventas'!$Y$21</c:f>
              <c:numCache>
                <c:formatCode>_-* #,##0\ _€_-;\-* #,##0\ _€_-;_-* "-"??\ _€_-;_-@</c:formatCode>
                <c:ptCount val="1"/>
                <c:pt idx="0">
                  <c:v>1</c:v>
                </c:pt>
              </c:numCache>
            </c:numRef>
          </c:val>
          <c:smooth val="0"/>
          <c:extLst>
            <c:ext xmlns:c16="http://schemas.microsoft.com/office/drawing/2014/chart" uri="{C3380CC4-5D6E-409C-BE32-E72D297353CC}">
              <c16:uniqueId val="{00000023-EE08-48BF-98A2-A845265E91FB}"/>
            </c:ext>
          </c:extLst>
        </c:ser>
        <c:ser>
          <c:idx val="36"/>
          <c:order val="36"/>
          <c:spPr>
            <a:ln cmpd="sng">
              <a:solidFill>
                <a:srgbClr val="966108"/>
              </a:solidFill>
              <a:prstDash val="solid"/>
            </a:ln>
          </c:spPr>
          <c:marker>
            <c:symbol val="none"/>
          </c:marker>
          <c:val>
            <c:numRef>
              <c:f>'Proy. ventas'!$AA$21</c:f>
              <c:numCache>
                <c:formatCode>_-* #,##0\ _€_-;\-* #,##0\ _€_-;_-* "-"??\ _€_-;_-@</c:formatCode>
                <c:ptCount val="1"/>
                <c:pt idx="0">
                  <c:v>3</c:v>
                </c:pt>
              </c:numCache>
            </c:numRef>
          </c:val>
          <c:smooth val="0"/>
          <c:extLst>
            <c:ext xmlns:c16="http://schemas.microsoft.com/office/drawing/2014/chart" uri="{C3380CC4-5D6E-409C-BE32-E72D297353CC}">
              <c16:uniqueId val="{00000024-EE08-48BF-98A2-A845265E91FB}"/>
            </c:ext>
          </c:extLst>
        </c:ser>
        <c:dLbls>
          <c:showLegendKey val="0"/>
          <c:showVal val="0"/>
          <c:showCatName val="0"/>
          <c:showSerName val="0"/>
          <c:showPercent val="0"/>
          <c:showBubbleSize val="0"/>
        </c:dLbls>
        <c:marker val="1"/>
        <c:smooth val="0"/>
        <c:axId val="1818101104"/>
        <c:axId val="1818108720"/>
      </c:lineChart>
      <c:catAx>
        <c:axId val="1818101104"/>
        <c:scaling>
          <c:orientation val="minMax"/>
        </c:scaling>
        <c:delete val="0"/>
        <c:axPos val="b"/>
        <c:title>
          <c:tx>
            <c:rich>
              <a:bodyPr/>
              <a:lstStyle/>
              <a:p>
                <a:pPr lvl="0">
                  <a:defRPr b="0">
                    <a:solidFill>
                      <a:srgbClr val="000000"/>
                    </a:solidFill>
                    <a:latin typeface="+mn-lt"/>
                  </a:defRPr>
                </a:pPr>
                <a:r>
                  <a:rPr lang="es-AR"/>
                  <a:t>None</a:t>
                </a:r>
              </a:p>
            </c:rich>
          </c:tx>
          <c:overlay val="0"/>
        </c:title>
        <c:numFmt formatCode="General" sourceLinked="1"/>
        <c:majorTickMark val="out"/>
        <c:minorTickMark val="none"/>
        <c:tickLblPos val="nextTo"/>
        <c:txPr>
          <a:bodyPr/>
          <a:lstStyle/>
          <a:p>
            <a:pPr lvl="0">
              <a:defRPr sz="2400" b="0" i="0">
                <a:solidFill>
                  <a:schemeClr val="dk1"/>
                </a:solidFill>
                <a:latin typeface="+mn-lt"/>
              </a:defRPr>
            </a:pPr>
            <a:endParaRPr lang="es-AR"/>
          </a:p>
        </c:txPr>
        <c:crossAx val="1818108720"/>
        <c:crosses val="autoZero"/>
        <c:auto val="1"/>
        <c:lblAlgn val="ctr"/>
        <c:lblOffset val="100"/>
        <c:noMultiLvlLbl val="1"/>
      </c:catAx>
      <c:valAx>
        <c:axId val="1818108720"/>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rPr lang="es-AR"/>
                  <a:t>None</a:t>
                </a:r>
              </a:p>
            </c:rich>
          </c:tx>
          <c:overlay val="0"/>
        </c:title>
        <c:numFmt formatCode="_-* #,##0\ _€_-;\-* #,##0\ _€_-;_-* &quot;-&quot;??\ _€_-;_-@" sourceLinked="1"/>
        <c:majorTickMark val="out"/>
        <c:minorTickMark val="none"/>
        <c:tickLblPos val="nextTo"/>
        <c:spPr>
          <a:ln>
            <a:prstDash val="solid"/>
          </a:ln>
        </c:spPr>
        <c:txPr>
          <a:bodyPr/>
          <a:lstStyle/>
          <a:p>
            <a:pPr lvl="0">
              <a:defRPr sz="900" b="0" i="0">
                <a:solidFill>
                  <a:schemeClr val="dk1"/>
                </a:solidFill>
                <a:latin typeface="+mn-lt"/>
              </a:defRPr>
            </a:pPr>
            <a:endParaRPr lang="es-AR"/>
          </a:p>
        </c:txPr>
        <c:crossAx val="1818101104"/>
        <c:crosses val="autoZero"/>
        <c:crossBetween val="between"/>
      </c:valAx>
    </c:plotArea>
    <c:legend>
      <c:legendPos val="b"/>
      <c:overlay val="0"/>
      <c:txPr>
        <a:bodyPr/>
        <a:lstStyle/>
        <a:p>
          <a:pPr lvl="0">
            <a:defRPr sz="2000" b="0" i="0">
              <a:solidFill>
                <a:schemeClr val="dk1"/>
              </a:solidFill>
              <a:latin typeface="+mn-lt"/>
            </a:defRPr>
          </a:pPr>
          <a:endParaRPr lang="es-AR"/>
        </a:p>
      </c:txPr>
    </c:legend>
    <c:plotVisOnly val="1"/>
    <c:dispBlanksAs val="zero"/>
    <c:showDLblsOverMax val="1"/>
  </c:chart>
  <c:spPr>
    <a:solidFill>
      <a:schemeClr val="lt1"/>
    </a:solidFill>
    <a:ln>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spPr>
            <a:ln w="28575" cmpd="sng">
              <a:solidFill>
                <a:schemeClr val="accent1"/>
              </a:solidFill>
              <a:prstDash val="solid"/>
            </a:ln>
          </c:spPr>
          <c:marker>
            <c:symbol val="circle"/>
            <c:size val="17"/>
            <c:spPr>
              <a:solidFill>
                <a:schemeClr val="accent1"/>
              </a:solidFill>
              <a:ln cmpd="sng">
                <a:solidFill>
                  <a:schemeClr val="accent1"/>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ventas'!$E$82</c:f>
              <c:numCache>
                <c:formatCode>_-* #,##0\ _€_-;\-* #,##0\ _€_-;_-* "-"??\ _€_-;_-@</c:formatCode>
                <c:ptCount val="1"/>
                <c:pt idx="0">
                  <c:v>4</c:v>
                </c:pt>
              </c:numCache>
            </c:numRef>
          </c:val>
          <c:smooth val="0"/>
          <c:extLst>
            <c:ext xmlns:c16="http://schemas.microsoft.com/office/drawing/2014/chart" uri="{C3380CC4-5D6E-409C-BE32-E72D297353CC}">
              <c16:uniqueId val="{00000000-0C1F-4460-BB7E-E57A915EF16D}"/>
            </c:ext>
          </c:extLst>
        </c:ser>
        <c:ser>
          <c:idx val="1"/>
          <c:order val="1"/>
          <c:spPr>
            <a:ln w="28575" cmpd="sng">
              <a:solidFill>
                <a:schemeClr val="accent2"/>
              </a:solidFill>
              <a:prstDash val="solid"/>
            </a:ln>
          </c:spPr>
          <c:marker>
            <c:symbol val="circle"/>
            <c:size val="17"/>
            <c:spPr>
              <a:solidFill>
                <a:schemeClr val="accent2"/>
              </a:solidFill>
              <a:ln cmpd="sng">
                <a:solidFill>
                  <a:schemeClr val="accent2"/>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ventas'!$G$82</c:f>
              <c:numCache>
                <c:formatCode>_-* #,##0\ _€_-;\-* #,##0\ _€_-;_-* "-"??\ _€_-;_-@</c:formatCode>
                <c:ptCount val="1"/>
                <c:pt idx="0">
                  <c:v>4</c:v>
                </c:pt>
              </c:numCache>
            </c:numRef>
          </c:val>
          <c:smooth val="0"/>
          <c:extLst>
            <c:ext xmlns:c16="http://schemas.microsoft.com/office/drawing/2014/chart" uri="{C3380CC4-5D6E-409C-BE32-E72D297353CC}">
              <c16:uniqueId val="{00000001-0C1F-4460-BB7E-E57A915EF16D}"/>
            </c:ext>
          </c:extLst>
        </c:ser>
        <c:ser>
          <c:idx val="2"/>
          <c:order val="2"/>
          <c:spPr>
            <a:ln w="28575" cmpd="sng">
              <a:solidFill>
                <a:schemeClr val="accent3"/>
              </a:solidFill>
              <a:prstDash val="solid"/>
            </a:ln>
          </c:spPr>
          <c:marker>
            <c:symbol val="circle"/>
            <c:size val="17"/>
            <c:spPr>
              <a:solidFill>
                <a:schemeClr val="accent3"/>
              </a:solidFill>
              <a:ln cmpd="sng">
                <a:solidFill>
                  <a:schemeClr val="accent3"/>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ventas'!$I$82</c:f>
              <c:numCache>
                <c:formatCode>_-* #,##0\ _€_-;\-* #,##0\ _€_-;_-* "-"??\ _€_-;_-@</c:formatCode>
                <c:ptCount val="1"/>
                <c:pt idx="0">
                  <c:v>4</c:v>
                </c:pt>
              </c:numCache>
            </c:numRef>
          </c:val>
          <c:smooth val="0"/>
          <c:extLst>
            <c:ext xmlns:c16="http://schemas.microsoft.com/office/drawing/2014/chart" uri="{C3380CC4-5D6E-409C-BE32-E72D297353CC}">
              <c16:uniqueId val="{00000002-0C1F-4460-BB7E-E57A915EF16D}"/>
            </c:ext>
          </c:extLst>
        </c:ser>
        <c:ser>
          <c:idx val="3"/>
          <c:order val="3"/>
          <c:spPr>
            <a:ln cmpd="sng">
              <a:solidFill>
                <a:srgbClr val="FFC000"/>
              </a:solidFill>
              <a:prstDash val="solid"/>
            </a:ln>
          </c:spPr>
          <c:marker>
            <c:symbol val="none"/>
          </c:marker>
          <c:val>
            <c:numRef>
              <c:f>'Proy. ventas'!$K$82</c:f>
              <c:numCache>
                <c:formatCode>_-* #,##0\ _€_-;\-* #,##0\ _€_-;_-* "-"??\ _€_-;_-@</c:formatCode>
                <c:ptCount val="1"/>
                <c:pt idx="0">
                  <c:v>4</c:v>
                </c:pt>
              </c:numCache>
            </c:numRef>
          </c:val>
          <c:smooth val="0"/>
          <c:extLst>
            <c:ext xmlns:c16="http://schemas.microsoft.com/office/drawing/2014/chart" uri="{C3380CC4-5D6E-409C-BE32-E72D297353CC}">
              <c16:uniqueId val="{00000003-0C1F-4460-BB7E-E57A915EF16D}"/>
            </c:ext>
          </c:extLst>
        </c:ser>
        <c:ser>
          <c:idx val="4"/>
          <c:order val="4"/>
          <c:spPr>
            <a:ln cmpd="sng">
              <a:solidFill>
                <a:srgbClr val="5B9BD5"/>
              </a:solidFill>
              <a:prstDash val="solid"/>
            </a:ln>
          </c:spPr>
          <c:marker>
            <c:symbol val="none"/>
          </c:marker>
          <c:val>
            <c:numRef>
              <c:f>'Proy. ventas'!$M$82</c:f>
              <c:numCache>
                <c:formatCode>_-* #,##0\ _€_-;\-* #,##0\ _€_-;_-* "-"??\ _€_-;_-@</c:formatCode>
                <c:ptCount val="1"/>
                <c:pt idx="0">
                  <c:v>4</c:v>
                </c:pt>
              </c:numCache>
            </c:numRef>
          </c:val>
          <c:smooth val="0"/>
          <c:extLst>
            <c:ext xmlns:c16="http://schemas.microsoft.com/office/drawing/2014/chart" uri="{C3380CC4-5D6E-409C-BE32-E72D297353CC}">
              <c16:uniqueId val="{00000004-0C1F-4460-BB7E-E57A915EF16D}"/>
            </c:ext>
          </c:extLst>
        </c:ser>
        <c:ser>
          <c:idx val="5"/>
          <c:order val="5"/>
          <c:spPr>
            <a:ln cmpd="sng">
              <a:solidFill>
                <a:srgbClr val="70AD47"/>
              </a:solidFill>
              <a:prstDash val="solid"/>
            </a:ln>
          </c:spPr>
          <c:marker>
            <c:symbol val="none"/>
          </c:marker>
          <c:val>
            <c:numRef>
              <c:f>'Proy. ventas'!$O$82</c:f>
              <c:numCache>
                <c:formatCode>_-* #,##0\ _€_-;\-* #,##0\ _€_-;_-* "-"??\ _€_-;_-@</c:formatCode>
                <c:ptCount val="1"/>
                <c:pt idx="0">
                  <c:v>4</c:v>
                </c:pt>
              </c:numCache>
            </c:numRef>
          </c:val>
          <c:smooth val="0"/>
          <c:extLst>
            <c:ext xmlns:c16="http://schemas.microsoft.com/office/drawing/2014/chart" uri="{C3380CC4-5D6E-409C-BE32-E72D297353CC}">
              <c16:uniqueId val="{00000005-0C1F-4460-BB7E-E57A915EF16D}"/>
            </c:ext>
          </c:extLst>
        </c:ser>
        <c:ser>
          <c:idx val="6"/>
          <c:order val="6"/>
          <c:spPr>
            <a:ln cmpd="sng">
              <a:solidFill>
                <a:srgbClr val="7C9CD6"/>
              </a:solidFill>
              <a:prstDash val="solid"/>
            </a:ln>
          </c:spPr>
          <c:marker>
            <c:symbol val="none"/>
          </c:marker>
          <c:val>
            <c:numRef>
              <c:f>'Proy. ventas'!$Q$82</c:f>
              <c:numCache>
                <c:formatCode>_-* #,##0\ _€_-;\-* #,##0\ _€_-;_-* "-"??\ _€_-;_-@</c:formatCode>
                <c:ptCount val="1"/>
                <c:pt idx="0">
                  <c:v>4</c:v>
                </c:pt>
              </c:numCache>
            </c:numRef>
          </c:val>
          <c:smooth val="0"/>
          <c:extLst>
            <c:ext xmlns:c16="http://schemas.microsoft.com/office/drawing/2014/chart" uri="{C3380CC4-5D6E-409C-BE32-E72D297353CC}">
              <c16:uniqueId val="{00000006-0C1F-4460-BB7E-E57A915EF16D}"/>
            </c:ext>
          </c:extLst>
        </c:ser>
        <c:ser>
          <c:idx val="7"/>
          <c:order val="7"/>
          <c:spPr>
            <a:ln cmpd="sng">
              <a:solidFill>
                <a:srgbClr val="F2A46F"/>
              </a:solidFill>
              <a:prstDash val="solid"/>
            </a:ln>
          </c:spPr>
          <c:marker>
            <c:symbol val="none"/>
          </c:marker>
          <c:val>
            <c:numRef>
              <c:f>'Proy. ventas'!$S$82</c:f>
              <c:numCache>
                <c:formatCode>_-* #,##0\ _€_-;\-* #,##0\ _€_-;_-* "-"??\ _€_-;_-@</c:formatCode>
                <c:ptCount val="1"/>
                <c:pt idx="0">
                  <c:v>4</c:v>
                </c:pt>
              </c:numCache>
            </c:numRef>
          </c:val>
          <c:smooth val="0"/>
          <c:extLst>
            <c:ext xmlns:c16="http://schemas.microsoft.com/office/drawing/2014/chart" uri="{C3380CC4-5D6E-409C-BE32-E72D297353CC}">
              <c16:uniqueId val="{00000007-0C1F-4460-BB7E-E57A915EF16D}"/>
            </c:ext>
          </c:extLst>
        </c:ser>
        <c:ser>
          <c:idx val="8"/>
          <c:order val="8"/>
          <c:spPr>
            <a:ln cmpd="sng">
              <a:solidFill>
                <a:srgbClr val="C0C0C0"/>
              </a:solidFill>
              <a:prstDash val="solid"/>
            </a:ln>
          </c:spPr>
          <c:marker>
            <c:symbol val="none"/>
          </c:marker>
          <c:val>
            <c:numRef>
              <c:f>'Proy. ventas'!$U$82</c:f>
              <c:numCache>
                <c:formatCode>_-* #,##0\ _€_-;\-* #,##0\ _€_-;_-* "-"??\ _€_-;_-@</c:formatCode>
                <c:ptCount val="1"/>
                <c:pt idx="0">
                  <c:v>4</c:v>
                </c:pt>
              </c:numCache>
            </c:numRef>
          </c:val>
          <c:smooth val="0"/>
          <c:extLst>
            <c:ext xmlns:c16="http://schemas.microsoft.com/office/drawing/2014/chart" uri="{C3380CC4-5D6E-409C-BE32-E72D297353CC}">
              <c16:uniqueId val="{00000008-0C1F-4460-BB7E-E57A915EF16D}"/>
            </c:ext>
          </c:extLst>
        </c:ser>
        <c:ser>
          <c:idx val="9"/>
          <c:order val="9"/>
          <c:spPr>
            <a:ln cmpd="sng">
              <a:solidFill>
                <a:srgbClr val="FFD34D"/>
              </a:solidFill>
              <a:prstDash val="solid"/>
            </a:ln>
          </c:spPr>
          <c:marker>
            <c:symbol val="none"/>
          </c:marker>
          <c:val>
            <c:numRef>
              <c:f>'Proy. ventas'!$W$82</c:f>
              <c:numCache>
                <c:formatCode>_-* #,##0\ _€_-;\-* #,##0\ _€_-;_-* "-"??\ _€_-;_-@</c:formatCode>
                <c:ptCount val="1"/>
                <c:pt idx="0">
                  <c:v>4</c:v>
                </c:pt>
              </c:numCache>
            </c:numRef>
          </c:val>
          <c:smooth val="0"/>
          <c:extLst>
            <c:ext xmlns:c16="http://schemas.microsoft.com/office/drawing/2014/chart" uri="{C3380CC4-5D6E-409C-BE32-E72D297353CC}">
              <c16:uniqueId val="{00000009-0C1F-4460-BB7E-E57A915EF16D}"/>
            </c:ext>
          </c:extLst>
        </c:ser>
        <c:ser>
          <c:idx val="10"/>
          <c:order val="10"/>
          <c:spPr>
            <a:ln cmpd="sng">
              <a:solidFill>
                <a:srgbClr val="8CB9E2"/>
              </a:solidFill>
              <a:prstDash val="solid"/>
            </a:ln>
          </c:spPr>
          <c:marker>
            <c:symbol val="none"/>
          </c:marker>
          <c:val>
            <c:numRef>
              <c:f>'Proy. ventas'!$Y$82</c:f>
              <c:numCache>
                <c:formatCode>_-* #,##0\ _€_-;\-* #,##0\ _€_-;_-* "-"??\ _€_-;_-@</c:formatCode>
                <c:ptCount val="1"/>
                <c:pt idx="0">
                  <c:v>5</c:v>
                </c:pt>
              </c:numCache>
            </c:numRef>
          </c:val>
          <c:smooth val="0"/>
          <c:extLst>
            <c:ext xmlns:c16="http://schemas.microsoft.com/office/drawing/2014/chart" uri="{C3380CC4-5D6E-409C-BE32-E72D297353CC}">
              <c16:uniqueId val="{0000000A-0C1F-4460-BB7E-E57A915EF16D}"/>
            </c:ext>
          </c:extLst>
        </c:ser>
        <c:ser>
          <c:idx val="11"/>
          <c:order val="11"/>
          <c:spPr>
            <a:ln cmpd="sng">
              <a:solidFill>
                <a:srgbClr val="9BC67E"/>
              </a:solidFill>
              <a:prstDash val="solid"/>
            </a:ln>
          </c:spPr>
          <c:marker>
            <c:symbol val="none"/>
          </c:marker>
          <c:val>
            <c:numRef>
              <c:f>'Proy. ventas'!$AA$82</c:f>
              <c:numCache>
                <c:formatCode>_-* #,##0\ _€_-;\-* #,##0\ _€_-;_-* "-"??\ _€_-;_-@</c:formatCode>
                <c:ptCount val="1"/>
                <c:pt idx="0">
                  <c:v>6</c:v>
                </c:pt>
              </c:numCache>
            </c:numRef>
          </c:val>
          <c:smooth val="0"/>
          <c:extLst>
            <c:ext xmlns:c16="http://schemas.microsoft.com/office/drawing/2014/chart" uri="{C3380CC4-5D6E-409C-BE32-E72D297353CC}">
              <c16:uniqueId val="{0000000B-0C1F-4460-BB7E-E57A915EF16D}"/>
            </c:ext>
          </c:extLst>
        </c:ser>
        <c:ser>
          <c:idx val="12"/>
          <c:order val="12"/>
          <c:spPr>
            <a:ln cmpd="sng">
              <a:solidFill>
                <a:srgbClr val="B4C7E7"/>
              </a:solidFill>
              <a:prstDash val="solid"/>
            </a:ln>
          </c:spPr>
          <c:marker>
            <c:symbol val="none"/>
          </c:marker>
          <c:val>
            <c:numRef>
              <c:f>'Proy. ventas'!$E$83</c:f>
              <c:numCache>
                <c:formatCode>_-* #,##0\ _€_-;\-* #,##0\ _€_-;_-* "-"??\ _€_-;_-@</c:formatCode>
                <c:ptCount val="1"/>
                <c:pt idx="0">
                  <c:v>8</c:v>
                </c:pt>
              </c:numCache>
            </c:numRef>
          </c:val>
          <c:smooth val="0"/>
          <c:extLst>
            <c:ext xmlns:c16="http://schemas.microsoft.com/office/drawing/2014/chart" uri="{C3380CC4-5D6E-409C-BE32-E72D297353CC}">
              <c16:uniqueId val="{0000000C-0C1F-4460-BB7E-E57A915EF16D}"/>
            </c:ext>
          </c:extLst>
        </c:ser>
        <c:ser>
          <c:idx val="13"/>
          <c:order val="13"/>
          <c:spPr>
            <a:ln cmpd="sng">
              <a:solidFill>
                <a:srgbClr val="F8CBAD"/>
              </a:solidFill>
              <a:prstDash val="solid"/>
            </a:ln>
          </c:spPr>
          <c:marker>
            <c:symbol val="none"/>
          </c:marker>
          <c:val>
            <c:numRef>
              <c:f>'Proy. ventas'!$G$83</c:f>
              <c:numCache>
                <c:formatCode>_-* #,##0\ _€_-;\-* #,##0\ _€_-;_-* "-"??\ _€_-;_-@</c:formatCode>
                <c:ptCount val="1"/>
                <c:pt idx="0">
                  <c:v>8</c:v>
                </c:pt>
              </c:numCache>
            </c:numRef>
          </c:val>
          <c:smooth val="0"/>
          <c:extLst>
            <c:ext xmlns:c16="http://schemas.microsoft.com/office/drawing/2014/chart" uri="{C3380CC4-5D6E-409C-BE32-E72D297353CC}">
              <c16:uniqueId val="{0000000D-0C1F-4460-BB7E-E57A915EF16D}"/>
            </c:ext>
          </c:extLst>
        </c:ser>
        <c:ser>
          <c:idx val="14"/>
          <c:order val="14"/>
          <c:spPr>
            <a:ln cmpd="sng">
              <a:solidFill>
                <a:srgbClr val="DBDBDB"/>
              </a:solidFill>
              <a:prstDash val="solid"/>
            </a:ln>
          </c:spPr>
          <c:marker>
            <c:symbol val="none"/>
          </c:marker>
          <c:val>
            <c:numRef>
              <c:f>'Proy. ventas'!$I$83</c:f>
              <c:numCache>
                <c:formatCode>_-* #,##0\ _€_-;\-* #,##0\ _€_-;_-* "-"??\ _€_-;_-@</c:formatCode>
                <c:ptCount val="1"/>
                <c:pt idx="0">
                  <c:v>8</c:v>
                </c:pt>
              </c:numCache>
            </c:numRef>
          </c:val>
          <c:smooth val="0"/>
          <c:extLst>
            <c:ext xmlns:c16="http://schemas.microsoft.com/office/drawing/2014/chart" uri="{C3380CC4-5D6E-409C-BE32-E72D297353CC}">
              <c16:uniqueId val="{0000000E-0C1F-4460-BB7E-E57A915EF16D}"/>
            </c:ext>
          </c:extLst>
        </c:ser>
        <c:ser>
          <c:idx val="15"/>
          <c:order val="15"/>
          <c:spPr>
            <a:ln cmpd="sng">
              <a:solidFill>
                <a:srgbClr val="FFE699"/>
              </a:solidFill>
              <a:prstDash val="solid"/>
            </a:ln>
          </c:spPr>
          <c:marker>
            <c:symbol val="none"/>
          </c:marker>
          <c:val>
            <c:numRef>
              <c:f>'Proy. ventas'!$K$83</c:f>
              <c:numCache>
                <c:formatCode>_-* #,##0\ _€_-;\-* #,##0\ _€_-;_-* "-"??\ _€_-;_-@</c:formatCode>
                <c:ptCount val="1"/>
                <c:pt idx="0">
                  <c:v>8</c:v>
                </c:pt>
              </c:numCache>
            </c:numRef>
          </c:val>
          <c:smooth val="0"/>
          <c:extLst>
            <c:ext xmlns:c16="http://schemas.microsoft.com/office/drawing/2014/chart" uri="{C3380CC4-5D6E-409C-BE32-E72D297353CC}">
              <c16:uniqueId val="{0000000F-0C1F-4460-BB7E-E57A915EF16D}"/>
            </c:ext>
          </c:extLst>
        </c:ser>
        <c:ser>
          <c:idx val="16"/>
          <c:order val="16"/>
          <c:spPr>
            <a:ln cmpd="sng">
              <a:solidFill>
                <a:srgbClr val="BDD7EE"/>
              </a:solidFill>
              <a:prstDash val="solid"/>
            </a:ln>
          </c:spPr>
          <c:marker>
            <c:symbol val="none"/>
          </c:marker>
          <c:val>
            <c:numRef>
              <c:f>'Proy. ventas'!$M$83</c:f>
              <c:numCache>
                <c:formatCode>_-* #,##0\ _€_-;\-* #,##0\ _€_-;_-* "-"??\ _€_-;_-@</c:formatCode>
                <c:ptCount val="1"/>
                <c:pt idx="0">
                  <c:v>8</c:v>
                </c:pt>
              </c:numCache>
            </c:numRef>
          </c:val>
          <c:smooth val="0"/>
          <c:extLst>
            <c:ext xmlns:c16="http://schemas.microsoft.com/office/drawing/2014/chart" uri="{C3380CC4-5D6E-409C-BE32-E72D297353CC}">
              <c16:uniqueId val="{00000010-0C1F-4460-BB7E-E57A915EF16D}"/>
            </c:ext>
          </c:extLst>
        </c:ser>
        <c:ser>
          <c:idx val="17"/>
          <c:order val="17"/>
          <c:spPr>
            <a:ln cmpd="sng">
              <a:solidFill>
                <a:srgbClr val="C6DEB5"/>
              </a:solidFill>
              <a:prstDash val="solid"/>
            </a:ln>
          </c:spPr>
          <c:marker>
            <c:symbol val="none"/>
          </c:marker>
          <c:val>
            <c:numRef>
              <c:f>'Proy. ventas'!$O$83</c:f>
              <c:numCache>
                <c:formatCode>_-* #,##0\ _€_-;\-* #,##0\ _€_-;_-* "-"??\ _€_-;_-@</c:formatCode>
                <c:ptCount val="1"/>
                <c:pt idx="0">
                  <c:v>8</c:v>
                </c:pt>
              </c:numCache>
            </c:numRef>
          </c:val>
          <c:smooth val="0"/>
          <c:extLst>
            <c:ext xmlns:c16="http://schemas.microsoft.com/office/drawing/2014/chart" uri="{C3380CC4-5D6E-409C-BE32-E72D297353CC}">
              <c16:uniqueId val="{00000011-0C1F-4460-BB7E-E57A915EF16D}"/>
            </c:ext>
          </c:extLst>
        </c:ser>
        <c:ser>
          <c:idx val="18"/>
          <c:order val="18"/>
          <c:spPr>
            <a:ln cmpd="sng">
              <a:solidFill>
                <a:srgbClr val="ECF1F9"/>
              </a:solidFill>
              <a:prstDash val="solid"/>
            </a:ln>
          </c:spPr>
          <c:marker>
            <c:symbol val="none"/>
          </c:marker>
          <c:val>
            <c:numRef>
              <c:f>'Proy. ventas'!$Q$83</c:f>
              <c:numCache>
                <c:formatCode>_-* #,##0\ _€_-;\-* #,##0\ _€_-;_-* "-"??\ _€_-;_-@</c:formatCode>
                <c:ptCount val="1"/>
                <c:pt idx="0">
                  <c:v>9</c:v>
                </c:pt>
              </c:numCache>
            </c:numRef>
          </c:val>
          <c:smooth val="0"/>
          <c:extLst>
            <c:ext xmlns:c16="http://schemas.microsoft.com/office/drawing/2014/chart" uri="{C3380CC4-5D6E-409C-BE32-E72D297353CC}">
              <c16:uniqueId val="{00000012-0C1F-4460-BB7E-E57A915EF16D}"/>
            </c:ext>
          </c:extLst>
        </c:ser>
        <c:ser>
          <c:idx val="19"/>
          <c:order val="19"/>
          <c:spPr>
            <a:ln cmpd="sng">
              <a:solidFill>
                <a:srgbClr val="FDF2EA"/>
              </a:solidFill>
              <a:prstDash val="solid"/>
            </a:ln>
          </c:spPr>
          <c:marker>
            <c:symbol val="none"/>
          </c:marker>
          <c:val>
            <c:numRef>
              <c:f>'Proy. ventas'!$S$83</c:f>
              <c:numCache>
                <c:formatCode>_-* #,##0\ _€_-;\-* #,##0\ _€_-;_-* "-"??\ _€_-;_-@</c:formatCode>
                <c:ptCount val="1"/>
                <c:pt idx="0">
                  <c:v>9</c:v>
                </c:pt>
              </c:numCache>
            </c:numRef>
          </c:val>
          <c:smooth val="0"/>
          <c:extLst>
            <c:ext xmlns:c16="http://schemas.microsoft.com/office/drawing/2014/chart" uri="{C3380CC4-5D6E-409C-BE32-E72D297353CC}">
              <c16:uniqueId val="{00000013-0C1F-4460-BB7E-E57A915EF16D}"/>
            </c:ext>
          </c:extLst>
        </c:ser>
        <c:ser>
          <c:idx val="20"/>
          <c:order val="20"/>
          <c:spPr>
            <a:ln cmpd="sng">
              <a:solidFill>
                <a:srgbClr val="F6F6F6"/>
              </a:solidFill>
              <a:prstDash val="solid"/>
            </a:ln>
          </c:spPr>
          <c:marker>
            <c:symbol val="none"/>
          </c:marker>
          <c:val>
            <c:numRef>
              <c:f>'Proy. ventas'!$U$83</c:f>
              <c:numCache>
                <c:formatCode>_-* #,##0\ _€_-;\-* #,##0\ _€_-;_-* "-"??\ _€_-;_-@</c:formatCode>
                <c:ptCount val="1"/>
                <c:pt idx="0">
                  <c:v>9</c:v>
                </c:pt>
              </c:numCache>
            </c:numRef>
          </c:val>
          <c:smooth val="0"/>
          <c:extLst>
            <c:ext xmlns:c16="http://schemas.microsoft.com/office/drawing/2014/chart" uri="{C3380CC4-5D6E-409C-BE32-E72D297353CC}">
              <c16:uniqueId val="{00000014-0C1F-4460-BB7E-E57A915EF16D}"/>
            </c:ext>
          </c:extLst>
        </c:ser>
        <c:ser>
          <c:idx val="21"/>
          <c:order val="21"/>
          <c:spPr>
            <a:ln cmpd="sng">
              <a:solidFill>
                <a:srgbClr val="FFF9E6"/>
              </a:solidFill>
              <a:prstDash val="solid"/>
            </a:ln>
          </c:spPr>
          <c:marker>
            <c:symbol val="none"/>
          </c:marker>
          <c:val>
            <c:numRef>
              <c:f>'Proy. ventas'!$W$83</c:f>
              <c:numCache>
                <c:formatCode>_-* #,##0\ _€_-;\-* #,##0\ _€_-;_-* "-"??\ _€_-;_-@</c:formatCode>
                <c:ptCount val="1"/>
                <c:pt idx="0">
                  <c:v>9</c:v>
                </c:pt>
              </c:numCache>
            </c:numRef>
          </c:val>
          <c:smooth val="0"/>
          <c:extLst>
            <c:ext xmlns:c16="http://schemas.microsoft.com/office/drawing/2014/chart" uri="{C3380CC4-5D6E-409C-BE32-E72D297353CC}">
              <c16:uniqueId val="{00000015-0C1F-4460-BB7E-E57A915EF16D}"/>
            </c:ext>
          </c:extLst>
        </c:ser>
        <c:ser>
          <c:idx val="22"/>
          <c:order val="22"/>
          <c:spPr>
            <a:ln cmpd="sng">
              <a:solidFill>
                <a:srgbClr val="EFF5FB"/>
              </a:solidFill>
              <a:prstDash val="solid"/>
            </a:ln>
          </c:spPr>
          <c:marker>
            <c:symbol val="none"/>
          </c:marker>
          <c:val>
            <c:numRef>
              <c:f>'Proy. ventas'!$Y$83</c:f>
              <c:numCache>
                <c:formatCode>_-* #,##0\ _€_-;\-* #,##0\ _€_-;_-* "-"??\ _€_-;_-@</c:formatCode>
                <c:ptCount val="1"/>
                <c:pt idx="0">
                  <c:v>9</c:v>
                </c:pt>
              </c:numCache>
            </c:numRef>
          </c:val>
          <c:smooth val="0"/>
          <c:extLst>
            <c:ext xmlns:c16="http://schemas.microsoft.com/office/drawing/2014/chart" uri="{C3380CC4-5D6E-409C-BE32-E72D297353CC}">
              <c16:uniqueId val="{00000016-0C1F-4460-BB7E-E57A915EF16D}"/>
            </c:ext>
          </c:extLst>
        </c:ser>
        <c:ser>
          <c:idx val="23"/>
          <c:order val="23"/>
          <c:spPr>
            <a:ln cmpd="sng">
              <a:solidFill>
                <a:srgbClr val="F1F7ED"/>
              </a:solidFill>
              <a:prstDash val="solid"/>
            </a:ln>
          </c:spPr>
          <c:marker>
            <c:symbol val="none"/>
          </c:marker>
          <c:val>
            <c:numRef>
              <c:f>'Proy. ventas'!$AA$83</c:f>
              <c:numCache>
                <c:formatCode>_-* #,##0\ _€_-;\-* #,##0\ _€_-;_-* "-"??\ _€_-;_-@</c:formatCode>
                <c:ptCount val="1"/>
                <c:pt idx="0">
                  <c:v>9</c:v>
                </c:pt>
              </c:numCache>
            </c:numRef>
          </c:val>
          <c:smooth val="0"/>
          <c:extLst>
            <c:ext xmlns:c16="http://schemas.microsoft.com/office/drawing/2014/chart" uri="{C3380CC4-5D6E-409C-BE32-E72D297353CC}">
              <c16:uniqueId val="{00000017-0C1F-4460-BB7E-E57A915EF16D}"/>
            </c:ext>
          </c:extLst>
        </c:ser>
        <c:ser>
          <c:idx val="24"/>
          <c:order val="24"/>
          <c:spPr>
            <a:ln cmpd="sng">
              <a:solidFill>
                <a:srgbClr val="241B0B"/>
              </a:solidFill>
              <a:prstDash val="solid"/>
            </a:ln>
          </c:spPr>
          <c:marker>
            <c:symbol val="none"/>
          </c:marker>
          <c:val>
            <c:numRef>
              <c:f>'Proy. ventas'!$E$84</c:f>
              <c:numCache>
                <c:formatCode>_-* #,##0\ _€_-;\-* #,##0\ _€_-;_-* "-"??\ _€_-;_-@</c:formatCode>
                <c:ptCount val="1"/>
                <c:pt idx="0">
                  <c:v>1</c:v>
                </c:pt>
              </c:numCache>
            </c:numRef>
          </c:val>
          <c:smooth val="0"/>
          <c:extLst>
            <c:ext xmlns:c16="http://schemas.microsoft.com/office/drawing/2014/chart" uri="{C3380CC4-5D6E-409C-BE32-E72D297353CC}">
              <c16:uniqueId val="{00000018-0C1F-4460-BB7E-E57A915EF16D}"/>
            </c:ext>
          </c:extLst>
        </c:ser>
        <c:ser>
          <c:idx val="25"/>
          <c:order val="25"/>
          <c:spPr>
            <a:ln cmpd="sng">
              <a:solidFill>
                <a:srgbClr val="031928"/>
              </a:solidFill>
              <a:prstDash val="solid"/>
            </a:ln>
          </c:spPr>
          <c:marker>
            <c:symbol val="none"/>
          </c:marker>
          <c:val>
            <c:numRef>
              <c:f>'Proy. ventas'!$G$84</c:f>
              <c:numCache>
                <c:formatCode>_-* #,##0\ _€_-;\-* #,##0\ _€_-;_-* "-"??\ _€_-;_-@</c:formatCode>
                <c:ptCount val="1"/>
                <c:pt idx="0">
                  <c:v>1</c:v>
                </c:pt>
              </c:numCache>
            </c:numRef>
          </c:val>
          <c:smooth val="0"/>
          <c:extLst>
            <c:ext xmlns:c16="http://schemas.microsoft.com/office/drawing/2014/chart" uri="{C3380CC4-5D6E-409C-BE32-E72D297353CC}">
              <c16:uniqueId val="{00000019-0C1F-4460-BB7E-E57A915EF16D}"/>
            </c:ext>
          </c:extLst>
        </c:ser>
        <c:ser>
          <c:idx val="26"/>
          <c:order val="26"/>
          <c:spPr>
            <a:ln cmpd="sng">
              <a:solidFill>
                <a:srgbClr val="111111"/>
              </a:solidFill>
              <a:prstDash val="solid"/>
            </a:ln>
          </c:spPr>
          <c:marker>
            <c:symbol val="none"/>
          </c:marker>
          <c:val>
            <c:numRef>
              <c:f>'Proy. ventas'!$I$84</c:f>
              <c:numCache>
                <c:formatCode>_-* #,##0\ _€_-;\-* #,##0\ _€_-;_-* "-"??\ _€_-;_-@</c:formatCode>
                <c:ptCount val="1"/>
                <c:pt idx="0">
                  <c:v>1</c:v>
                </c:pt>
              </c:numCache>
            </c:numRef>
          </c:val>
          <c:smooth val="0"/>
          <c:extLst>
            <c:ext xmlns:c16="http://schemas.microsoft.com/office/drawing/2014/chart" uri="{C3380CC4-5D6E-409C-BE32-E72D297353CC}">
              <c16:uniqueId val="{0000001A-0C1F-4460-BB7E-E57A915EF16D}"/>
            </c:ext>
          </c:extLst>
        </c:ser>
        <c:ser>
          <c:idx val="27"/>
          <c:order val="27"/>
          <c:spPr>
            <a:ln cmpd="sng">
              <a:solidFill>
                <a:srgbClr val="FF0C32"/>
              </a:solidFill>
              <a:prstDash val="solid"/>
            </a:ln>
          </c:spPr>
          <c:marker>
            <c:symbol val="none"/>
          </c:marker>
          <c:val>
            <c:numRef>
              <c:f>'Proy. ventas'!$K$84</c:f>
              <c:numCache>
                <c:formatCode>_-* #,##0\ _€_-;\-* #,##0\ _€_-;_-* "-"??\ _€_-;_-@</c:formatCode>
                <c:ptCount val="1"/>
                <c:pt idx="0">
                  <c:v>1</c:v>
                </c:pt>
              </c:numCache>
            </c:numRef>
          </c:val>
          <c:smooth val="0"/>
          <c:extLst>
            <c:ext xmlns:c16="http://schemas.microsoft.com/office/drawing/2014/chart" uri="{C3380CC4-5D6E-409C-BE32-E72D297353CC}">
              <c16:uniqueId val="{0000001B-0C1F-4460-BB7E-E57A915EF16D}"/>
            </c:ext>
          </c:extLst>
        </c:ser>
        <c:ser>
          <c:idx val="28"/>
          <c:order val="28"/>
          <c:spPr>
            <a:ln cmpd="sng">
              <a:solidFill>
                <a:srgbClr val="201307"/>
              </a:solidFill>
              <a:prstDash val="solid"/>
            </a:ln>
          </c:spPr>
          <c:marker>
            <c:symbol val="none"/>
          </c:marker>
          <c:val>
            <c:numRef>
              <c:f>'Proy. ventas'!$M$84</c:f>
              <c:numCache>
                <c:formatCode>_-* #,##0\ _€_-;\-* #,##0\ _€_-;_-* "-"??\ _€_-;_-@</c:formatCode>
                <c:ptCount val="1"/>
                <c:pt idx="0">
                  <c:v>1</c:v>
                </c:pt>
              </c:numCache>
            </c:numRef>
          </c:val>
          <c:smooth val="0"/>
          <c:extLst>
            <c:ext xmlns:c16="http://schemas.microsoft.com/office/drawing/2014/chart" uri="{C3380CC4-5D6E-409C-BE32-E72D297353CC}">
              <c16:uniqueId val="{0000001C-0C1F-4460-BB7E-E57A915EF16D}"/>
            </c:ext>
          </c:extLst>
        </c:ser>
        <c:ser>
          <c:idx val="29"/>
          <c:order val="29"/>
          <c:spPr>
            <a:ln cmpd="sng">
              <a:solidFill>
                <a:srgbClr val="1C0F24"/>
              </a:solidFill>
              <a:prstDash val="solid"/>
            </a:ln>
          </c:spPr>
          <c:marker>
            <c:symbol val="none"/>
          </c:marker>
          <c:val>
            <c:numRef>
              <c:f>'Proy. ventas'!$M$85</c:f>
              <c:numCache>
                <c:formatCode>_-* #,##0\ _€_-;\-* #,##0\ _€_-;_-* "-"??\ _€_-;_-@</c:formatCode>
                <c:ptCount val="1"/>
                <c:pt idx="0">
                  <c:v>50</c:v>
                </c:pt>
              </c:numCache>
            </c:numRef>
          </c:val>
          <c:smooth val="0"/>
          <c:extLst>
            <c:ext xmlns:c16="http://schemas.microsoft.com/office/drawing/2014/chart" uri="{C3380CC4-5D6E-409C-BE32-E72D297353CC}">
              <c16:uniqueId val="{0000001D-0C1F-4460-BB7E-E57A915EF16D}"/>
            </c:ext>
          </c:extLst>
        </c:ser>
        <c:ser>
          <c:idx val="30"/>
          <c:order val="30"/>
          <c:spPr>
            <a:ln cmpd="sng">
              <a:solidFill>
                <a:srgbClr val="5D461D"/>
              </a:solidFill>
              <a:prstDash val="solid"/>
            </a:ln>
          </c:spPr>
          <c:marker>
            <c:symbol val="none"/>
          </c:marker>
          <c:val>
            <c:numRef>
              <c:f>'Proy. ventas'!$O$84</c:f>
              <c:numCache>
                <c:formatCode>_-* #,##0\ _€_-;\-* #,##0\ _€_-;_-* "-"??\ _€_-;_-@</c:formatCode>
                <c:ptCount val="1"/>
                <c:pt idx="0">
                  <c:v>2</c:v>
                </c:pt>
              </c:numCache>
            </c:numRef>
          </c:val>
          <c:smooth val="0"/>
          <c:extLst>
            <c:ext xmlns:c16="http://schemas.microsoft.com/office/drawing/2014/chart" uri="{C3380CC4-5D6E-409C-BE32-E72D297353CC}">
              <c16:uniqueId val="{0000001E-0C1F-4460-BB7E-E57A915EF16D}"/>
            </c:ext>
          </c:extLst>
        </c:ser>
        <c:ser>
          <c:idx val="31"/>
          <c:order val="31"/>
          <c:spPr>
            <a:ln cmpd="sng">
              <a:solidFill>
                <a:srgbClr val="084066"/>
              </a:solidFill>
              <a:prstDash val="solid"/>
            </a:ln>
          </c:spPr>
          <c:marker>
            <c:symbol val="none"/>
          </c:marker>
          <c:val>
            <c:numRef>
              <c:f>'Proy. ventas'!$Q$84</c:f>
              <c:numCache>
                <c:formatCode>_-* #,##0\ _€_-;\-* #,##0\ _€_-;_-* "-"??\ _€_-;_-@</c:formatCode>
                <c:ptCount val="1"/>
                <c:pt idx="0">
                  <c:v>1</c:v>
                </c:pt>
              </c:numCache>
            </c:numRef>
          </c:val>
          <c:smooth val="0"/>
          <c:extLst>
            <c:ext xmlns:c16="http://schemas.microsoft.com/office/drawing/2014/chart" uri="{C3380CC4-5D6E-409C-BE32-E72D297353CC}">
              <c16:uniqueId val="{0000001F-0C1F-4460-BB7E-E57A915EF16D}"/>
            </c:ext>
          </c:extLst>
        </c:ser>
        <c:ser>
          <c:idx val="32"/>
          <c:order val="32"/>
          <c:spPr>
            <a:ln cmpd="sng">
              <a:solidFill>
                <a:srgbClr val="2C2C2C"/>
              </a:solidFill>
              <a:prstDash val="solid"/>
            </a:ln>
          </c:spPr>
          <c:marker>
            <c:symbol val="none"/>
          </c:marker>
          <c:val>
            <c:numRef>
              <c:f>'Proy. ventas'!$S$84</c:f>
              <c:numCache>
                <c:formatCode>_-* #,##0\ _€_-;\-* #,##0\ _€_-;_-* "-"??\ _€_-;_-@</c:formatCode>
                <c:ptCount val="1"/>
                <c:pt idx="0">
                  <c:v>2</c:v>
                </c:pt>
              </c:numCache>
            </c:numRef>
          </c:val>
          <c:smooth val="0"/>
          <c:extLst>
            <c:ext xmlns:c16="http://schemas.microsoft.com/office/drawing/2014/chart" uri="{C3380CC4-5D6E-409C-BE32-E72D297353CC}">
              <c16:uniqueId val="{00000020-0C1F-4460-BB7E-E57A915EF16D}"/>
            </c:ext>
          </c:extLst>
        </c:ser>
        <c:ser>
          <c:idx val="33"/>
          <c:order val="33"/>
          <c:spPr>
            <a:ln cmpd="sng">
              <a:solidFill>
                <a:srgbClr val="FF1F7F"/>
              </a:solidFill>
              <a:prstDash val="solid"/>
            </a:ln>
          </c:spPr>
          <c:marker>
            <c:symbol val="none"/>
          </c:marker>
          <c:val>
            <c:numRef>
              <c:f>'Proy. ventas'!$U$84</c:f>
              <c:numCache>
                <c:formatCode>_-* #,##0\ _€_-;\-* #,##0\ _€_-;_-* "-"??\ _€_-;_-@</c:formatCode>
                <c:ptCount val="1"/>
                <c:pt idx="0">
                  <c:v>1</c:v>
                </c:pt>
              </c:numCache>
            </c:numRef>
          </c:val>
          <c:smooth val="0"/>
          <c:extLst>
            <c:ext xmlns:c16="http://schemas.microsoft.com/office/drawing/2014/chart" uri="{C3380CC4-5D6E-409C-BE32-E72D297353CC}">
              <c16:uniqueId val="{00000021-0C1F-4460-BB7E-E57A915EF16D}"/>
            </c:ext>
          </c:extLst>
        </c:ser>
        <c:ser>
          <c:idx val="34"/>
          <c:order val="34"/>
          <c:spPr>
            <a:ln cmpd="sng">
              <a:solidFill>
                <a:srgbClr val="513114"/>
              </a:solidFill>
              <a:prstDash val="solid"/>
            </a:ln>
          </c:spPr>
          <c:marker>
            <c:symbol val="none"/>
          </c:marker>
          <c:val>
            <c:numRef>
              <c:f>'Proy. ventas'!$W$84</c:f>
              <c:numCache>
                <c:formatCode>_-* #,##0\ _€_-;\-* #,##0\ _€_-;_-* "-"??\ _€_-;_-@</c:formatCode>
                <c:ptCount val="1"/>
                <c:pt idx="0">
                  <c:v>2</c:v>
                </c:pt>
              </c:numCache>
            </c:numRef>
          </c:val>
          <c:smooth val="0"/>
          <c:extLst>
            <c:ext xmlns:c16="http://schemas.microsoft.com/office/drawing/2014/chart" uri="{C3380CC4-5D6E-409C-BE32-E72D297353CC}">
              <c16:uniqueId val="{00000022-0C1F-4460-BB7E-E57A915EF16D}"/>
            </c:ext>
          </c:extLst>
        </c:ser>
        <c:ser>
          <c:idx val="35"/>
          <c:order val="35"/>
          <c:spPr>
            <a:ln cmpd="sng">
              <a:solidFill>
                <a:srgbClr val="47285B"/>
              </a:solidFill>
              <a:prstDash val="solid"/>
            </a:ln>
          </c:spPr>
          <c:marker>
            <c:symbol val="none"/>
          </c:marker>
          <c:val>
            <c:numRef>
              <c:f>'Proy. ventas'!$Y$84</c:f>
              <c:numCache>
                <c:formatCode>_-* #,##0\ _€_-;\-* #,##0\ _€_-;_-* "-"??\ _€_-;_-@</c:formatCode>
                <c:ptCount val="1"/>
                <c:pt idx="0">
                  <c:v>2</c:v>
                </c:pt>
              </c:numCache>
            </c:numRef>
          </c:val>
          <c:smooth val="0"/>
          <c:extLst>
            <c:ext xmlns:c16="http://schemas.microsoft.com/office/drawing/2014/chart" uri="{C3380CC4-5D6E-409C-BE32-E72D297353CC}">
              <c16:uniqueId val="{00000023-0C1F-4460-BB7E-E57A915EF16D}"/>
            </c:ext>
          </c:extLst>
        </c:ser>
        <c:ser>
          <c:idx val="36"/>
          <c:order val="36"/>
          <c:spPr>
            <a:ln cmpd="sng">
              <a:solidFill>
                <a:srgbClr val="966108"/>
              </a:solidFill>
              <a:prstDash val="solid"/>
            </a:ln>
          </c:spPr>
          <c:marker>
            <c:symbol val="none"/>
          </c:marker>
          <c:val>
            <c:numRef>
              <c:f>'Proy. ventas'!$AA$84</c:f>
              <c:numCache>
                <c:formatCode>_-* #,##0\ _€_-;\-* #,##0\ _€_-;_-* "-"??\ _€_-;_-@</c:formatCode>
                <c:ptCount val="1"/>
                <c:pt idx="0">
                  <c:v>2</c:v>
                </c:pt>
              </c:numCache>
            </c:numRef>
          </c:val>
          <c:smooth val="0"/>
          <c:extLst>
            <c:ext xmlns:c16="http://schemas.microsoft.com/office/drawing/2014/chart" uri="{C3380CC4-5D6E-409C-BE32-E72D297353CC}">
              <c16:uniqueId val="{00000024-0C1F-4460-BB7E-E57A915EF16D}"/>
            </c:ext>
          </c:extLst>
        </c:ser>
        <c:dLbls>
          <c:showLegendKey val="0"/>
          <c:showVal val="0"/>
          <c:showCatName val="0"/>
          <c:showSerName val="0"/>
          <c:showPercent val="0"/>
          <c:showBubbleSize val="0"/>
        </c:dLbls>
        <c:marker val="1"/>
        <c:smooth val="0"/>
        <c:axId val="1818103824"/>
        <c:axId val="1818110352"/>
      </c:lineChart>
      <c:catAx>
        <c:axId val="1818103824"/>
        <c:scaling>
          <c:orientation val="minMax"/>
        </c:scaling>
        <c:delete val="0"/>
        <c:axPos val="b"/>
        <c:title>
          <c:tx>
            <c:rich>
              <a:bodyPr/>
              <a:lstStyle/>
              <a:p>
                <a:pPr lvl="0">
                  <a:defRPr b="0">
                    <a:solidFill>
                      <a:srgbClr val="000000"/>
                    </a:solidFill>
                    <a:latin typeface="+mn-lt"/>
                  </a:defRPr>
                </a:pPr>
                <a:r>
                  <a:t>None</a:t>
                </a:r>
                <a:endParaRPr lang="es-AR"/>
              </a:p>
            </c:rich>
          </c:tx>
          <c:overlay val="0"/>
        </c:title>
        <c:numFmt formatCode="General" sourceLinked="1"/>
        <c:majorTickMark val="out"/>
        <c:minorTickMark val="none"/>
        <c:tickLblPos val="nextTo"/>
        <c:txPr>
          <a:bodyPr/>
          <a:lstStyle/>
          <a:p>
            <a:pPr lvl="0">
              <a:defRPr sz="900" b="0" i="0">
                <a:solidFill>
                  <a:schemeClr val="dk1"/>
                </a:solidFill>
                <a:latin typeface="+mn-lt"/>
              </a:defRPr>
            </a:pPr>
            <a:endParaRPr lang="es-AR"/>
          </a:p>
        </c:txPr>
        <c:crossAx val="1818110352"/>
        <c:crosses val="autoZero"/>
        <c:auto val="1"/>
        <c:lblAlgn val="ctr"/>
        <c:lblOffset val="100"/>
        <c:noMultiLvlLbl val="1"/>
      </c:catAx>
      <c:valAx>
        <c:axId val="1818110352"/>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t>None</a:t>
                </a:r>
                <a:endParaRPr lang="es-AR"/>
              </a:p>
            </c:rich>
          </c:tx>
          <c:overlay val="0"/>
        </c:title>
        <c:numFmt formatCode="_-* #,##0\ _€_-;\-* #,##0\ _€_-;_-* &quot;-&quot;??\ _€_-;_-@" sourceLinked="1"/>
        <c:majorTickMark val="out"/>
        <c:minorTickMark val="none"/>
        <c:tickLblPos val="nextTo"/>
        <c:spPr>
          <a:ln>
            <a:prstDash val="solid"/>
          </a:ln>
        </c:spPr>
        <c:txPr>
          <a:bodyPr/>
          <a:lstStyle/>
          <a:p>
            <a:pPr lvl="0">
              <a:defRPr sz="900" b="0" i="0">
                <a:solidFill>
                  <a:schemeClr val="dk1"/>
                </a:solidFill>
                <a:latin typeface="+mn-lt"/>
              </a:defRPr>
            </a:pPr>
            <a:endParaRPr lang="es-AR"/>
          </a:p>
        </c:txPr>
        <c:crossAx val="1818103824"/>
        <c:crosses val="autoZero"/>
        <c:crossBetween val="between"/>
      </c:valAx>
    </c:plotArea>
    <c:legend>
      <c:legendPos val="b"/>
      <c:overlay val="0"/>
      <c:txPr>
        <a:bodyPr/>
        <a:lstStyle/>
        <a:p>
          <a:pPr lvl="0">
            <a:defRPr sz="1800" b="0" i="0">
              <a:solidFill>
                <a:schemeClr val="dk1"/>
              </a:solidFill>
              <a:latin typeface="+mn-lt"/>
            </a:defRPr>
          </a:pPr>
          <a:endParaRPr lang="es-AR"/>
        </a:p>
      </c:txPr>
    </c:legend>
    <c:plotVisOnly val="1"/>
    <c:dispBlanksAs val="zero"/>
    <c:showDLblsOverMax val="1"/>
  </c:chart>
  <c:spPr>
    <a:solidFill>
      <a:schemeClr val="lt1"/>
    </a:solidFill>
    <a:ln>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spPr>
            <a:ln w="28575" cmpd="sng">
              <a:solidFill>
                <a:schemeClr val="accent1"/>
              </a:solidFill>
              <a:prstDash val="solid"/>
            </a:ln>
          </c:spPr>
          <c:marker>
            <c:symbol val="circle"/>
            <c:size val="17"/>
            <c:spPr>
              <a:solidFill>
                <a:schemeClr val="accent1"/>
              </a:solidFill>
              <a:ln cmpd="sng">
                <a:solidFill>
                  <a:schemeClr val="accent1"/>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ventas'!$E$144</c:f>
              <c:numCache>
                <c:formatCode>_-* #,##0\ _€_-;\-* #,##0\ _€_-;_-* "-"??\ _€_-;_-@</c:formatCode>
                <c:ptCount val="1"/>
                <c:pt idx="0">
                  <c:v>6</c:v>
                </c:pt>
              </c:numCache>
            </c:numRef>
          </c:val>
          <c:smooth val="0"/>
          <c:extLst>
            <c:ext xmlns:c16="http://schemas.microsoft.com/office/drawing/2014/chart" uri="{C3380CC4-5D6E-409C-BE32-E72D297353CC}">
              <c16:uniqueId val="{00000000-8F5D-44D4-8D56-75319B5DC802}"/>
            </c:ext>
          </c:extLst>
        </c:ser>
        <c:ser>
          <c:idx val="1"/>
          <c:order val="1"/>
          <c:spPr>
            <a:ln w="28575" cmpd="sng">
              <a:solidFill>
                <a:schemeClr val="accent2"/>
              </a:solidFill>
              <a:prstDash val="solid"/>
            </a:ln>
          </c:spPr>
          <c:marker>
            <c:symbol val="circle"/>
            <c:size val="17"/>
            <c:spPr>
              <a:solidFill>
                <a:schemeClr val="accent2"/>
              </a:solidFill>
              <a:ln cmpd="sng">
                <a:solidFill>
                  <a:schemeClr val="accent2"/>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ventas'!$G$144</c:f>
              <c:numCache>
                <c:formatCode>_-* #,##0\ _€_-;\-* #,##0\ _€_-;_-* "-"??\ _€_-;_-@</c:formatCode>
                <c:ptCount val="1"/>
                <c:pt idx="0">
                  <c:v>6</c:v>
                </c:pt>
              </c:numCache>
            </c:numRef>
          </c:val>
          <c:smooth val="0"/>
          <c:extLst>
            <c:ext xmlns:c16="http://schemas.microsoft.com/office/drawing/2014/chart" uri="{C3380CC4-5D6E-409C-BE32-E72D297353CC}">
              <c16:uniqueId val="{00000001-8F5D-44D4-8D56-75319B5DC802}"/>
            </c:ext>
          </c:extLst>
        </c:ser>
        <c:ser>
          <c:idx val="2"/>
          <c:order val="2"/>
          <c:spPr>
            <a:ln w="28575" cmpd="sng">
              <a:solidFill>
                <a:schemeClr val="accent3"/>
              </a:solidFill>
              <a:prstDash val="solid"/>
            </a:ln>
          </c:spPr>
          <c:marker>
            <c:symbol val="circle"/>
            <c:size val="17"/>
            <c:spPr>
              <a:solidFill>
                <a:schemeClr val="accent3"/>
              </a:solidFill>
              <a:ln cmpd="sng">
                <a:solidFill>
                  <a:schemeClr val="accent3"/>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ventas'!$I$144</c:f>
              <c:numCache>
                <c:formatCode>_-* #,##0\ _€_-;\-* #,##0\ _€_-;_-* "-"??\ _€_-;_-@</c:formatCode>
                <c:ptCount val="1"/>
                <c:pt idx="0">
                  <c:v>6</c:v>
                </c:pt>
              </c:numCache>
            </c:numRef>
          </c:val>
          <c:smooth val="0"/>
          <c:extLst>
            <c:ext xmlns:c16="http://schemas.microsoft.com/office/drawing/2014/chart" uri="{C3380CC4-5D6E-409C-BE32-E72D297353CC}">
              <c16:uniqueId val="{00000002-8F5D-44D4-8D56-75319B5DC802}"/>
            </c:ext>
          </c:extLst>
        </c:ser>
        <c:ser>
          <c:idx val="3"/>
          <c:order val="3"/>
          <c:spPr>
            <a:ln cmpd="sng">
              <a:solidFill>
                <a:srgbClr val="FFC000"/>
              </a:solidFill>
              <a:prstDash val="solid"/>
            </a:ln>
          </c:spPr>
          <c:marker>
            <c:symbol val="none"/>
          </c:marker>
          <c:val>
            <c:numRef>
              <c:f>'Proy. ventas'!$K$144</c:f>
              <c:numCache>
                <c:formatCode>_-* #,##0\ _€_-;\-* #,##0\ _€_-;_-* "-"??\ _€_-;_-@</c:formatCode>
                <c:ptCount val="1"/>
                <c:pt idx="0">
                  <c:v>6</c:v>
                </c:pt>
              </c:numCache>
            </c:numRef>
          </c:val>
          <c:smooth val="0"/>
          <c:extLst>
            <c:ext xmlns:c16="http://schemas.microsoft.com/office/drawing/2014/chart" uri="{C3380CC4-5D6E-409C-BE32-E72D297353CC}">
              <c16:uniqueId val="{00000003-8F5D-44D4-8D56-75319B5DC802}"/>
            </c:ext>
          </c:extLst>
        </c:ser>
        <c:ser>
          <c:idx val="4"/>
          <c:order val="4"/>
          <c:spPr>
            <a:ln cmpd="sng">
              <a:solidFill>
                <a:srgbClr val="5B9BD5"/>
              </a:solidFill>
              <a:prstDash val="solid"/>
            </a:ln>
          </c:spPr>
          <c:marker>
            <c:symbol val="none"/>
          </c:marker>
          <c:val>
            <c:numRef>
              <c:f>'Proy. ventas'!$M$144</c:f>
              <c:numCache>
                <c:formatCode>_-* #,##0\ _€_-;\-* #,##0\ _€_-;_-* "-"??\ _€_-;_-@</c:formatCode>
                <c:ptCount val="1"/>
                <c:pt idx="0">
                  <c:v>6</c:v>
                </c:pt>
              </c:numCache>
            </c:numRef>
          </c:val>
          <c:smooth val="0"/>
          <c:extLst>
            <c:ext xmlns:c16="http://schemas.microsoft.com/office/drawing/2014/chart" uri="{C3380CC4-5D6E-409C-BE32-E72D297353CC}">
              <c16:uniqueId val="{00000004-8F5D-44D4-8D56-75319B5DC802}"/>
            </c:ext>
          </c:extLst>
        </c:ser>
        <c:ser>
          <c:idx val="5"/>
          <c:order val="5"/>
          <c:spPr>
            <a:ln cmpd="sng">
              <a:solidFill>
                <a:srgbClr val="70AD47"/>
              </a:solidFill>
              <a:prstDash val="solid"/>
            </a:ln>
          </c:spPr>
          <c:marker>
            <c:symbol val="none"/>
          </c:marker>
          <c:val>
            <c:numRef>
              <c:f>'Proy. ventas'!$O$144</c:f>
              <c:numCache>
                <c:formatCode>_-* #,##0\ _€_-;\-* #,##0\ _€_-;_-* "-"??\ _€_-;_-@</c:formatCode>
                <c:ptCount val="1"/>
                <c:pt idx="0">
                  <c:v>6</c:v>
                </c:pt>
              </c:numCache>
            </c:numRef>
          </c:val>
          <c:smooth val="0"/>
          <c:extLst>
            <c:ext xmlns:c16="http://schemas.microsoft.com/office/drawing/2014/chart" uri="{C3380CC4-5D6E-409C-BE32-E72D297353CC}">
              <c16:uniqueId val="{00000005-8F5D-44D4-8D56-75319B5DC802}"/>
            </c:ext>
          </c:extLst>
        </c:ser>
        <c:ser>
          <c:idx val="6"/>
          <c:order val="6"/>
          <c:spPr>
            <a:ln cmpd="sng">
              <a:solidFill>
                <a:srgbClr val="7C9CD6"/>
              </a:solidFill>
              <a:prstDash val="solid"/>
            </a:ln>
          </c:spPr>
          <c:marker>
            <c:symbol val="none"/>
          </c:marker>
          <c:val>
            <c:numRef>
              <c:f>'Proy. ventas'!$Q$144</c:f>
              <c:numCache>
                <c:formatCode>_-* #,##0\ _€_-;\-* #,##0\ _€_-;_-* "-"??\ _€_-;_-@</c:formatCode>
                <c:ptCount val="1"/>
                <c:pt idx="0">
                  <c:v>6</c:v>
                </c:pt>
              </c:numCache>
            </c:numRef>
          </c:val>
          <c:smooth val="0"/>
          <c:extLst>
            <c:ext xmlns:c16="http://schemas.microsoft.com/office/drawing/2014/chart" uri="{C3380CC4-5D6E-409C-BE32-E72D297353CC}">
              <c16:uniqueId val="{00000006-8F5D-44D4-8D56-75319B5DC802}"/>
            </c:ext>
          </c:extLst>
        </c:ser>
        <c:ser>
          <c:idx val="7"/>
          <c:order val="7"/>
          <c:spPr>
            <a:ln cmpd="sng">
              <a:solidFill>
                <a:srgbClr val="F2A46F"/>
              </a:solidFill>
              <a:prstDash val="solid"/>
            </a:ln>
          </c:spPr>
          <c:marker>
            <c:symbol val="none"/>
          </c:marker>
          <c:val>
            <c:numRef>
              <c:f>'Proy. ventas'!$S$144</c:f>
              <c:numCache>
                <c:formatCode>_-* #,##0\ _€_-;\-* #,##0\ _€_-;_-* "-"??\ _€_-;_-@</c:formatCode>
                <c:ptCount val="1"/>
                <c:pt idx="0">
                  <c:v>6</c:v>
                </c:pt>
              </c:numCache>
            </c:numRef>
          </c:val>
          <c:smooth val="0"/>
          <c:extLst>
            <c:ext xmlns:c16="http://schemas.microsoft.com/office/drawing/2014/chart" uri="{C3380CC4-5D6E-409C-BE32-E72D297353CC}">
              <c16:uniqueId val="{00000007-8F5D-44D4-8D56-75319B5DC802}"/>
            </c:ext>
          </c:extLst>
        </c:ser>
        <c:ser>
          <c:idx val="8"/>
          <c:order val="8"/>
          <c:spPr>
            <a:ln cmpd="sng">
              <a:solidFill>
                <a:srgbClr val="C0C0C0"/>
              </a:solidFill>
              <a:prstDash val="solid"/>
            </a:ln>
          </c:spPr>
          <c:marker>
            <c:symbol val="none"/>
          </c:marker>
          <c:val>
            <c:numRef>
              <c:f>'Proy. ventas'!$U$144</c:f>
              <c:numCache>
                <c:formatCode>_-* #,##0\ _€_-;\-* #,##0\ _€_-;_-* "-"??\ _€_-;_-@</c:formatCode>
                <c:ptCount val="1"/>
                <c:pt idx="0">
                  <c:v>6</c:v>
                </c:pt>
              </c:numCache>
            </c:numRef>
          </c:val>
          <c:smooth val="0"/>
          <c:extLst>
            <c:ext xmlns:c16="http://schemas.microsoft.com/office/drawing/2014/chart" uri="{C3380CC4-5D6E-409C-BE32-E72D297353CC}">
              <c16:uniqueId val="{00000008-8F5D-44D4-8D56-75319B5DC802}"/>
            </c:ext>
          </c:extLst>
        </c:ser>
        <c:ser>
          <c:idx val="9"/>
          <c:order val="9"/>
          <c:spPr>
            <a:ln cmpd="sng">
              <a:solidFill>
                <a:srgbClr val="FFD34D"/>
              </a:solidFill>
              <a:prstDash val="solid"/>
            </a:ln>
          </c:spPr>
          <c:marker>
            <c:symbol val="none"/>
          </c:marker>
          <c:val>
            <c:numRef>
              <c:f>'Proy. ventas'!$W$144</c:f>
              <c:numCache>
                <c:formatCode>_-* #,##0\ _€_-;\-* #,##0\ _€_-;_-* "-"??\ _€_-;_-@</c:formatCode>
                <c:ptCount val="1"/>
                <c:pt idx="0">
                  <c:v>6</c:v>
                </c:pt>
              </c:numCache>
            </c:numRef>
          </c:val>
          <c:smooth val="0"/>
          <c:extLst>
            <c:ext xmlns:c16="http://schemas.microsoft.com/office/drawing/2014/chart" uri="{C3380CC4-5D6E-409C-BE32-E72D297353CC}">
              <c16:uniqueId val="{00000009-8F5D-44D4-8D56-75319B5DC802}"/>
            </c:ext>
          </c:extLst>
        </c:ser>
        <c:ser>
          <c:idx val="10"/>
          <c:order val="10"/>
          <c:spPr>
            <a:ln cmpd="sng">
              <a:solidFill>
                <a:srgbClr val="8CB9E2"/>
              </a:solidFill>
              <a:prstDash val="solid"/>
            </a:ln>
          </c:spPr>
          <c:marker>
            <c:symbol val="none"/>
          </c:marker>
          <c:val>
            <c:numRef>
              <c:f>'Proy. ventas'!$Y$144</c:f>
              <c:numCache>
                <c:formatCode>_-* #,##0\ _€_-;\-* #,##0\ _€_-;_-* "-"??\ _€_-;_-@</c:formatCode>
                <c:ptCount val="1"/>
                <c:pt idx="0">
                  <c:v>6</c:v>
                </c:pt>
              </c:numCache>
            </c:numRef>
          </c:val>
          <c:smooth val="0"/>
          <c:extLst>
            <c:ext xmlns:c16="http://schemas.microsoft.com/office/drawing/2014/chart" uri="{C3380CC4-5D6E-409C-BE32-E72D297353CC}">
              <c16:uniqueId val="{0000000A-8F5D-44D4-8D56-75319B5DC802}"/>
            </c:ext>
          </c:extLst>
        </c:ser>
        <c:ser>
          <c:idx val="11"/>
          <c:order val="11"/>
          <c:spPr>
            <a:ln cmpd="sng">
              <a:solidFill>
                <a:srgbClr val="9BC67E"/>
              </a:solidFill>
              <a:prstDash val="solid"/>
            </a:ln>
          </c:spPr>
          <c:marker>
            <c:symbol val="none"/>
          </c:marker>
          <c:val>
            <c:numRef>
              <c:f>'Proy. ventas'!$AA$144</c:f>
              <c:numCache>
                <c:formatCode>_-* #,##0\ _€_-;\-* #,##0\ _€_-;_-* "-"??\ _€_-;_-@</c:formatCode>
                <c:ptCount val="1"/>
                <c:pt idx="0">
                  <c:v>5</c:v>
                </c:pt>
              </c:numCache>
            </c:numRef>
          </c:val>
          <c:smooth val="0"/>
          <c:extLst>
            <c:ext xmlns:c16="http://schemas.microsoft.com/office/drawing/2014/chart" uri="{C3380CC4-5D6E-409C-BE32-E72D297353CC}">
              <c16:uniqueId val="{0000000B-8F5D-44D4-8D56-75319B5DC802}"/>
            </c:ext>
          </c:extLst>
        </c:ser>
        <c:ser>
          <c:idx val="12"/>
          <c:order val="12"/>
          <c:spPr>
            <a:ln cmpd="sng">
              <a:solidFill>
                <a:srgbClr val="B4C7E7"/>
              </a:solidFill>
              <a:prstDash val="solid"/>
            </a:ln>
          </c:spPr>
          <c:marker>
            <c:symbol val="none"/>
          </c:marker>
          <c:val>
            <c:numRef>
              <c:f>'Proy. ventas'!$E$145</c:f>
              <c:numCache>
                <c:formatCode>_-* #,##0\ _€_-;\-* #,##0\ _€_-;_-* "-"??\ _€_-;_-@</c:formatCode>
                <c:ptCount val="1"/>
                <c:pt idx="0">
                  <c:v>12</c:v>
                </c:pt>
              </c:numCache>
            </c:numRef>
          </c:val>
          <c:smooth val="0"/>
          <c:extLst>
            <c:ext xmlns:c16="http://schemas.microsoft.com/office/drawing/2014/chart" uri="{C3380CC4-5D6E-409C-BE32-E72D297353CC}">
              <c16:uniqueId val="{0000000C-8F5D-44D4-8D56-75319B5DC802}"/>
            </c:ext>
          </c:extLst>
        </c:ser>
        <c:ser>
          <c:idx val="13"/>
          <c:order val="13"/>
          <c:spPr>
            <a:ln cmpd="sng">
              <a:solidFill>
                <a:srgbClr val="F8CBAD"/>
              </a:solidFill>
              <a:prstDash val="solid"/>
            </a:ln>
          </c:spPr>
          <c:marker>
            <c:symbol val="none"/>
          </c:marker>
          <c:val>
            <c:numRef>
              <c:f>'Proy. ventas'!$G$145</c:f>
              <c:numCache>
                <c:formatCode>_-* #,##0\ _€_-;\-* #,##0\ _€_-;_-* "-"??\ _€_-;_-@</c:formatCode>
                <c:ptCount val="1"/>
                <c:pt idx="0">
                  <c:v>12</c:v>
                </c:pt>
              </c:numCache>
            </c:numRef>
          </c:val>
          <c:smooth val="0"/>
          <c:extLst>
            <c:ext xmlns:c16="http://schemas.microsoft.com/office/drawing/2014/chart" uri="{C3380CC4-5D6E-409C-BE32-E72D297353CC}">
              <c16:uniqueId val="{0000000D-8F5D-44D4-8D56-75319B5DC802}"/>
            </c:ext>
          </c:extLst>
        </c:ser>
        <c:ser>
          <c:idx val="14"/>
          <c:order val="14"/>
          <c:spPr>
            <a:ln cmpd="sng">
              <a:solidFill>
                <a:srgbClr val="DBDBDB"/>
              </a:solidFill>
              <a:prstDash val="solid"/>
            </a:ln>
          </c:spPr>
          <c:marker>
            <c:symbol val="none"/>
          </c:marker>
          <c:val>
            <c:numRef>
              <c:f>'Proy. ventas'!$I$145</c:f>
              <c:numCache>
                <c:formatCode>_-* #,##0\ _€_-;\-* #,##0\ _€_-;_-* "-"??\ _€_-;_-@</c:formatCode>
                <c:ptCount val="1"/>
                <c:pt idx="0">
                  <c:v>12</c:v>
                </c:pt>
              </c:numCache>
            </c:numRef>
          </c:val>
          <c:smooth val="0"/>
          <c:extLst>
            <c:ext xmlns:c16="http://schemas.microsoft.com/office/drawing/2014/chart" uri="{C3380CC4-5D6E-409C-BE32-E72D297353CC}">
              <c16:uniqueId val="{0000000E-8F5D-44D4-8D56-75319B5DC802}"/>
            </c:ext>
          </c:extLst>
        </c:ser>
        <c:ser>
          <c:idx val="15"/>
          <c:order val="15"/>
          <c:spPr>
            <a:ln cmpd="sng">
              <a:solidFill>
                <a:srgbClr val="FFE699"/>
              </a:solidFill>
              <a:prstDash val="solid"/>
            </a:ln>
          </c:spPr>
          <c:marker>
            <c:symbol val="none"/>
          </c:marker>
          <c:val>
            <c:numRef>
              <c:f>'Proy. ventas'!$K$145</c:f>
              <c:numCache>
                <c:formatCode>_-* #,##0\ _€_-;\-* #,##0\ _€_-;_-* "-"??\ _€_-;_-@</c:formatCode>
                <c:ptCount val="1"/>
                <c:pt idx="0">
                  <c:v>12</c:v>
                </c:pt>
              </c:numCache>
            </c:numRef>
          </c:val>
          <c:smooth val="0"/>
          <c:extLst>
            <c:ext xmlns:c16="http://schemas.microsoft.com/office/drawing/2014/chart" uri="{C3380CC4-5D6E-409C-BE32-E72D297353CC}">
              <c16:uniqueId val="{0000000F-8F5D-44D4-8D56-75319B5DC802}"/>
            </c:ext>
          </c:extLst>
        </c:ser>
        <c:ser>
          <c:idx val="16"/>
          <c:order val="16"/>
          <c:spPr>
            <a:ln cmpd="sng">
              <a:solidFill>
                <a:srgbClr val="BDD7EE"/>
              </a:solidFill>
              <a:prstDash val="solid"/>
            </a:ln>
          </c:spPr>
          <c:marker>
            <c:symbol val="none"/>
          </c:marker>
          <c:val>
            <c:numRef>
              <c:f>'Proy. ventas'!$M$145</c:f>
              <c:numCache>
                <c:formatCode>_-* #,##0\ _€_-;\-* #,##0\ _€_-;_-* "-"??\ _€_-;_-@</c:formatCode>
                <c:ptCount val="1"/>
                <c:pt idx="0">
                  <c:v>12</c:v>
                </c:pt>
              </c:numCache>
            </c:numRef>
          </c:val>
          <c:smooth val="0"/>
          <c:extLst>
            <c:ext xmlns:c16="http://schemas.microsoft.com/office/drawing/2014/chart" uri="{C3380CC4-5D6E-409C-BE32-E72D297353CC}">
              <c16:uniqueId val="{00000010-8F5D-44D4-8D56-75319B5DC802}"/>
            </c:ext>
          </c:extLst>
        </c:ser>
        <c:ser>
          <c:idx val="17"/>
          <c:order val="17"/>
          <c:spPr>
            <a:ln cmpd="sng">
              <a:solidFill>
                <a:srgbClr val="C6DEB5"/>
              </a:solidFill>
              <a:prstDash val="solid"/>
            </a:ln>
          </c:spPr>
          <c:marker>
            <c:symbol val="none"/>
          </c:marker>
          <c:val>
            <c:numRef>
              <c:f>'Proy. ventas'!$O$145</c:f>
              <c:numCache>
                <c:formatCode>_-* #,##0\ _€_-;\-* #,##0\ _€_-;_-* "-"??\ _€_-;_-@</c:formatCode>
                <c:ptCount val="1"/>
                <c:pt idx="0">
                  <c:v>12</c:v>
                </c:pt>
              </c:numCache>
            </c:numRef>
          </c:val>
          <c:smooth val="0"/>
          <c:extLst>
            <c:ext xmlns:c16="http://schemas.microsoft.com/office/drawing/2014/chart" uri="{C3380CC4-5D6E-409C-BE32-E72D297353CC}">
              <c16:uniqueId val="{00000011-8F5D-44D4-8D56-75319B5DC802}"/>
            </c:ext>
          </c:extLst>
        </c:ser>
        <c:ser>
          <c:idx val="18"/>
          <c:order val="18"/>
          <c:spPr>
            <a:ln cmpd="sng">
              <a:solidFill>
                <a:srgbClr val="ECF1F9"/>
              </a:solidFill>
              <a:prstDash val="solid"/>
            </a:ln>
          </c:spPr>
          <c:marker>
            <c:symbol val="none"/>
          </c:marker>
          <c:val>
            <c:numRef>
              <c:f>'Proy. ventas'!$Q$145</c:f>
              <c:numCache>
                <c:formatCode>_-* #,##0\ _€_-;\-* #,##0\ _€_-;_-* "-"??\ _€_-;_-@</c:formatCode>
                <c:ptCount val="1"/>
                <c:pt idx="0">
                  <c:v>12</c:v>
                </c:pt>
              </c:numCache>
            </c:numRef>
          </c:val>
          <c:smooth val="0"/>
          <c:extLst>
            <c:ext xmlns:c16="http://schemas.microsoft.com/office/drawing/2014/chart" uri="{C3380CC4-5D6E-409C-BE32-E72D297353CC}">
              <c16:uniqueId val="{00000012-8F5D-44D4-8D56-75319B5DC802}"/>
            </c:ext>
          </c:extLst>
        </c:ser>
        <c:ser>
          <c:idx val="19"/>
          <c:order val="19"/>
          <c:spPr>
            <a:ln cmpd="sng">
              <a:solidFill>
                <a:srgbClr val="FDF2EA"/>
              </a:solidFill>
              <a:prstDash val="solid"/>
            </a:ln>
          </c:spPr>
          <c:marker>
            <c:symbol val="none"/>
          </c:marker>
          <c:val>
            <c:numRef>
              <c:f>'Proy. ventas'!$S$145</c:f>
              <c:numCache>
                <c:formatCode>_-* #,##0\ _€_-;\-* #,##0\ _€_-;_-* "-"??\ _€_-;_-@</c:formatCode>
                <c:ptCount val="1"/>
                <c:pt idx="0">
                  <c:v>12</c:v>
                </c:pt>
              </c:numCache>
            </c:numRef>
          </c:val>
          <c:smooth val="0"/>
          <c:extLst>
            <c:ext xmlns:c16="http://schemas.microsoft.com/office/drawing/2014/chart" uri="{C3380CC4-5D6E-409C-BE32-E72D297353CC}">
              <c16:uniqueId val="{00000013-8F5D-44D4-8D56-75319B5DC802}"/>
            </c:ext>
          </c:extLst>
        </c:ser>
        <c:ser>
          <c:idx val="20"/>
          <c:order val="20"/>
          <c:spPr>
            <a:ln cmpd="sng">
              <a:solidFill>
                <a:srgbClr val="F6F6F6"/>
              </a:solidFill>
              <a:prstDash val="solid"/>
            </a:ln>
          </c:spPr>
          <c:marker>
            <c:symbol val="none"/>
          </c:marker>
          <c:val>
            <c:numRef>
              <c:f>'Proy. ventas'!$U$145</c:f>
              <c:numCache>
                <c:formatCode>_-* #,##0\ _€_-;\-* #,##0\ _€_-;_-* "-"??\ _€_-;_-@</c:formatCode>
                <c:ptCount val="1"/>
                <c:pt idx="0">
                  <c:v>12</c:v>
                </c:pt>
              </c:numCache>
            </c:numRef>
          </c:val>
          <c:smooth val="0"/>
          <c:extLst>
            <c:ext xmlns:c16="http://schemas.microsoft.com/office/drawing/2014/chart" uri="{C3380CC4-5D6E-409C-BE32-E72D297353CC}">
              <c16:uniqueId val="{00000014-8F5D-44D4-8D56-75319B5DC802}"/>
            </c:ext>
          </c:extLst>
        </c:ser>
        <c:ser>
          <c:idx val="21"/>
          <c:order val="21"/>
          <c:spPr>
            <a:ln cmpd="sng">
              <a:solidFill>
                <a:srgbClr val="FFF9E6"/>
              </a:solidFill>
              <a:prstDash val="solid"/>
            </a:ln>
          </c:spPr>
          <c:marker>
            <c:symbol val="none"/>
          </c:marker>
          <c:val>
            <c:numRef>
              <c:f>'Proy. ventas'!$W$145</c:f>
              <c:numCache>
                <c:formatCode>_-* #,##0\ _€_-;\-* #,##0\ _€_-;_-* "-"??\ _€_-;_-@</c:formatCode>
                <c:ptCount val="1"/>
                <c:pt idx="0">
                  <c:v>12</c:v>
                </c:pt>
              </c:numCache>
            </c:numRef>
          </c:val>
          <c:smooth val="0"/>
          <c:extLst>
            <c:ext xmlns:c16="http://schemas.microsoft.com/office/drawing/2014/chart" uri="{C3380CC4-5D6E-409C-BE32-E72D297353CC}">
              <c16:uniqueId val="{00000015-8F5D-44D4-8D56-75319B5DC802}"/>
            </c:ext>
          </c:extLst>
        </c:ser>
        <c:ser>
          <c:idx val="22"/>
          <c:order val="22"/>
          <c:spPr>
            <a:ln cmpd="sng">
              <a:solidFill>
                <a:srgbClr val="EFF5FB"/>
              </a:solidFill>
              <a:prstDash val="solid"/>
            </a:ln>
          </c:spPr>
          <c:marker>
            <c:symbol val="none"/>
          </c:marker>
          <c:val>
            <c:numRef>
              <c:f>'Proy. ventas'!$W$146</c:f>
              <c:numCache>
                <c:formatCode>_-* #,##0\ _€_-;\-* #,##0\ _€_-;_-* "-"??\ _€_-;_-@</c:formatCode>
                <c:ptCount val="1"/>
                <c:pt idx="0">
                  <c:v>2</c:v>
                </c:pt>
              </c:numCache>
            </c:numRef>
          </c:val>
          <c:smooth val="0"/>
          <c:extLst>
            <c:ext xmlns:c16="http://schemas.microsoft.com/office/drawing/2014/chart" uri="{C3380CC4-5D6E-409C-BE32-E72D297353CC}">
              <c16:uniqueId val="{00000016-8F5D-44D4-8D56-75319B5DC802}"/>
            </c:ext>
          </c:extLst>
        </c:ser>
        <c:ser>
          <c:idx val="23"/>
          <c:order val="23"/>
          <c:spPr>
            <a:ln cmpd="sng">
              <a:solidFill>
                <a:srgbClr val="F1F7ED"/>
              </a:solidFill>
              <a:prstDash val="solid"/>
            </a:ln>
          </c:spPr>
          <c:marker>
            <c:symbol val="none"/>
          </c:marker>
          <c:val>
            <c:numRef>
              <c:f>'Proy. ventas'!$Y$145</c:f>
              <c:numCache>
                <c:formatCode>_-* #,##0\ _€_-;\-* #,##0\ _€_-;_-* "-"??\ _€_-;_-@</c:formatCode>
                <c:ptCount val="1"/>
                <c:pt idx="0">
                  <c:v>12</c:v>
                </c:pt>
              </c:numCache>
            </c:numRef>
          </c:val>
          <c:smooth val="0"/>
          <c:extLst>
            <c:ext xmlns:c16="http://schemas.microsoft.com/office/drawing/2014/chart" uri="{C3380CC4-5D6E-409C-BE32-E72D297353CC}">
              <c16:uniqueId val="{00000017-8F5D-44D4-8D56-75319B5DC802}"/>
            </c:ext>
          </c:extLst>
        </c:ser>
        <c:ser>
          <c:idx val="24"/>
          <c:order val="24"/>
          <c:spPr>
            <a:ln cmpd="sng">
              <a:solidFill>
                <a:srgbClr val="241B0B"/>
              </a:solidFill>
              <a:prstDash val="solid"/>
            </a:ln>
          </c:spPr>
          <c:marker>
            <c:symbol val="none"/>
          </c:marker>
          <c:val>
            <c:numRef>
              <c:f>'Proy. ventas'!$AA$145</c:f>
              <c:numCache>
                <c:formatCode>_-* #,##0\ _€_-;\-* #,##0\ _€_-;_-* "-"??\ _€_-;_-@</c:formatCode>
                <c:ptCount val="1"/>
                <c:pt idx="0">
                  <c:v>11</c:v>
                </c:pt>
              </c:numCache>
            </c:numRef>
          </c:val>
          <c:smooth val="0"/>
          <c:extLst>
            <c:ext xmlns:c16="http://schemas.microsoft.com/office/drawing/2014/chart" uri="{C3380CC4-5D6E-409C-BE32-E72D297353CC}">
              <c16:uniqueId val="{00000018-8F5D-44D4-8D56-75319B5DC802}"/>
            </c:ext>
          </c:extLst>
        </c:ser>
        <c:ser>
          <c:idx val="25"/>
          <c:order val="25"/>
          <c:spPr>
            <a:ln cmpd="sng">
              <a:solidFill>
                <a:srgbClr val="031928"/>
              </a:solidFill>
              <a:prstDash val="solid"/>
            </a:ln>
          </c:spPr>
          <c:marker>
            <c:symbol val="none"/>
          </c:marker>
          <c:val>
            <c:numRef>
              <c:f>'Proy. ventas'!$E$146</c:f>
              <c:numCache>
                <c:formatCode>_-* #,##0\ _€_-;\-* #,##0\ _€_-;_-* "-"??\ _€_-;_-@</c:formatCode>
                <c:ptCount val="1"/>
                <c:pt idx="0">
                  <c:v>2</c:v>
                </c:pt>
              </c:numCache>
            </c:numRef>
          </c:val>
          <c:smooth val="0"/>
          <c:extLst>
            <c:ext xmlns:c16="http://schemas.microsoft.com/office/drawing/2014/chart" uri="{C3380CC4-5D6E-409C-BE32-E72D297353CC}">
              <c16:uniqueId val="{00000019-8F5D-44D4-8D56-75319B5DC802}"/>
            </c:ext>
          </c:extLst>
        </c:ser>
        <c:ser>
          <c:idx val="26"/>
          <c:order val="26"/>
          <c:spPr>
            <a:ln cmpd="sng">
              <a:solidFill>
                <a:srgbClr val="111111"/>
              </a:solidFill>
              <a:prstDash val="solid"/>
            </a:ln>
          </c:spPr>
          <c:marker>
            <c:symbol val="none"/>
          </c:marker>
          <c:val>
            <c:numRef>
              <c:f>'Proy. ventas'!$G$146</c:f>
              <c:numCache>
                <c:formatCode>_-* #,##0\ _€_-;\-* #,##0\ _€_-;_-* "-"??\ _€_-;_-@</c:formatCode>
                <c:ptCount val="1"/>
                <c:pt idx="0">
                  <c:v>2</c:v>
                </c:pt>
              </c:numCache>
            </c:numRef>
          </c:val>
          <c:smooth val="0"/>
          <c:extLst>
            <c:ext xmlns:c16="http://schemas.microsoft.com/office/drawing/2014/chart" uri="{C3380CC4-5D6E-409C-BE32-E72D297353CC}">
              <c16:uniqueId val="{0000001A-8F5D-44D4-8D56-75319B5DC802}"/>
            </c:ext>
          </c:extLst>
        </c:ser>
        <c:ser>
          <c:idx val="27"/>
          <c:order val="27"/>
          <c:spPr>
            <a:ln cmpd="sng">
              <a:solidFill>
                <a:srgbClr val="FF0C32"/>
              </a:solidFill>
              <a:prstDash val="solid"/>
            </a:ln>
          </c:spPr>
          <c:marker>
            <c:symbol val="none"/>
          </c:marker>
          <c:val>
            <c:numRef>
              <c:f>'Proy. ventas'!$I$146</c:f>
              <c:numCache>
                <c:formatCode>_-* #,##0\ _€_-;\-* #,##0\ _€_-;_-* "-"??\ _€_-;_-@</c:formatCode>
                <c:ptCount val="1"/>
                <c:pt idx="0">
                  <c:v>2</c:v>
                </c:pt>
              </c:numCache>
            </c:numRef>
          </c:val>
          <c:smooth val="0"/>
          <c:extLst>
            <c:ext xmlns:c16="http://schemas.microsoft.com/office/drawing/2014/chart" uri="{C3380CC4-5D6E-409C-BE32-E72D297353CC}">
              <c16:uniqueId val="{0000001B-8F5D-44D4-8D56-75319B5DC802}"/>
            </c:ext>
          </c:extLst>
        </c:ser>
        <c:ser>
          <c:idx val="28"/>
          <c:order val="28"/>
          <c:spPr>
            <a:ln cmpd="sng">
              <a:solidFill>
                <a:srgbClr val="201307"/>
              </a:solidFill>
              <a:prstDash val="solid"/>
            </a:ln>
          </c:spPr>
          <c:marker>
            <c:symbol val="none"/>
          </c:marker>
          <c:val>
            <c:numRef>
              <c:f>'Proy. ventas'!$K$146</c:f>
              <c:numCache>
                <c:formatCode>_-* #,##0\ _€_-;\-* #,##0\ _€_-;_-* "-"??\ _€_-;_-@</c:formatCode>
                <c:ptCount val="1"/>
                <c:pt idx="0">
                  <c:v>2</c:v>
                </c:pt>
              </c:numCache>
            </c:numRef>
          </c:val>
          <c:smooth val="0"/>
          <c:extLst>
            <c:ext xmlns:c16="http://schemas.microsoft.com/office/drawing/2014/chart" uri="{C3380CC4-5D6E-409C-BE32-E72D297353CC}">
              <c16:uniqueId val="{0000001C-8F5D-44D4-8D56-75319B5DC802}"/>
            </c:ext>
          </c:extLst>
        </c:ser>
        <c:ser>
          <c:idx val="29"/>
          <c:order val="29"/>
          <c:spPr>
            <a:ln cmpd="sng">
              <a:solidFill>
                <a:srgbClr val="1C0F24"/>
              </a:solidFill>
              <a:prstDash val="solid"/>
            </a:ln>
          </c:spPr>
          <c:marker>
            <c:symbol val="none"/>
          </c:marker>
          <c:val>
            <c:numRef>
              <c:f>'Proy. ventas'!$M$146</c:f>
              <c:numCache>
                <c:formatCode>_-* #,##0\ _€_-;\-* #,##0\ _€_-;_-* "-"??\ _€_-;_-@</c:formatCode>
                <c:ptCount val="1"/>
                <c:pt idx="0">
                  <c:v>2</c:v>
                </c:pt>
              </c:numCache>
            </c:numRef>
          </c:val>
          <c:smooth val="0"/>
          <c:extLst>
            <c:ext xmlns:c16="http://schemas.microsoft.com/office/drawing/2014/chart" uri="{C3380CC4-5D6E-409C-BE32-E72D297353CC}">
              <c16:uniqueId val="{0000001D-8F5D-44D4-8D56-75319B5DC802}"/>
            </c:ext>
          </c:extLst>
        </c:ser>
        <c:ser>
          <c:idx val="30"/>
          <c:order val="30"/>
          <c:spPr>
            <a:ln cmpd="sng">
              <a:solidFill>
                <a:srgbClr val="5D461D"/>
              </a:solidFill>
              <a:prstDash val="solid"/>
            </a:ln>
          </c:spPr>
          <c:marker>
            <c:symbol val="none"/>
          </c:marker>
          <c:val>
            <c:numRef>
              <c:f>'Proy. ventas'!$O$146</c:f>
              <c:numCache>
                <c:formatCode>_-* #,##0\ _€_-;\-* #,##0\ _€_-;_-* "-"??\ _€_-;_-@</c:formatCode>
                <c:ptCount val="1"/>
                <c:pt idx="0">
                  <c:v>2</c:v>
                </c:pt>
              </c:numCache>
            </c:numRef>
          </c:val>
          <c:smooth val="0"/>
          <c:extLst>
            <c:ext xmlns:c16="http://schemas.microsoft.com/office/drawing/2014/chart" uri="{C3380CC4-5D6E-409C-BE32-E72D297353CC}">
              <c16:uniqueId val="{0000001E-8F5D-44D4-8D56-75319B5DC802}"/>
            </c:ext>
          </c:extLst>
        </c:ser>
        <c:ser>
          <c:idx val="31"/>
          <c:order val="31"/>
          <c:spPr>
            <a:ln cmpd="sng">
              <a:solidFill>
                <a:srgbClr val="084066"/>
              </a:solidFill>
              <a:prstDash val="solid"/>
            </a:ln>
          </c:spPr>
          <c:marker>
            <c:symbol val="none"/>
          </c:marker>
          <c:val>
            <c:numRef>
              <c:f>'Proy. ventas'!$Q$146</c:f>
              <c:numCache>
                <c:formatCode>_-* #,##0\ _€_-;\-* #,##0\ _€_-;_-* "-"??\ _€_-;_-@</c:formatCode>
                <c:ptCount val="1"/>
                <c:pt idx="0">
                  <c:v>2</c:v>
                </c:pt>
              </c:numCache>
            </c:numRef>
          </c:val>
          <c:smooth val="0"/>
          <c:extLst>
            <c:ext xmlns:c16="http://schemas.microsoft.com/office/drawing/2014/chart" uri="{C3380CC4-5D6E-409C-BE32-E72D297353CC}">
              <c16:uniqueId val="{0000001F-8F5D-44D4-8D56-75319B5DC802}"/>
            </c:ext>
          </c:extLst>
        </c:ser>
        <c:ser>
          <c:idx val="32"/>
          <c:order val="32"/>
          <c:spPr>
            <a:ln cmpd="sng">
              <a:solidFill>
                <a:srgbClr val="2C2C2C"/>
              </a:solidFill>
              <a:prstDash val="solid"/>
            </a:ln>
          </c:spPr>
          <c:marker>
            <c:symbol val="none"/>
          </c:marker>
          <c:val>
            <c:numRef>
              <c:f>'Proy. ventas'!$S$146</c:f>
              <c:numCache>
                <c:formatCode>_-* #,##0\ _€_-;\-* #,##0\ _€_-;_-* "-"??\ _€_-;_-@</c:formatCode>
                <c:ptCount val="1"/>
                <c:pt idx="0">
                  <c:v>2</c:v>
                </c:pt>
              </c:numCache>
            </c:numRef>
          </c:val>
          <c:smooth val="0"/>
          <c:extLst>
            <c:ext xmlns:c16="http://schemas.microsoft.com/office/drawing/2014/chart" uri="{C3380CC4-5D6E-409C-BE32-E72D297353CC}">
              <c16:uniqueId val="{00000020-8F5D-44D4-8D56-75319B5DC802}"/>
            </c:ext>
          </c:extLst>
        </c:ser>
        <c:ser>
          <c:idx val="33"/>
          <c:order val="33"/>
          <c:spPr>
            <a:ln cmpd="sng">
              <a:solidFill>
                <a:srgbClr val="FF1F7F"/>
              </a:solidFill>
              <a:prstDash val="solid"/>
            </a:ln>
          </c:spPr>
          <c:marker>
            <c:symbol val="none"/>
          </c:marker>
          <c:val>
            <c:numRef>
              <c:f>'Proy. ventas'!$U$146</c:f>
              <c:numCache>
                <c:formatCode>_-* #,##0\ _€_-;\-* #,##0\ _€_-;_-* "-"??\ _€_-;_-@</c:formatCode>
                <c:ptCount val="1"/>
                <c:pt idx="0">
                  <c:v>2</c:v>
                </c:pt>
              </c:numCache>
            </c:numRef>
          </c:val>
          <c:smooth val="0"/>
          <c:extLst>
            <c:ext xmlns:c16="http://schemas.microsoft.com/office/drawing/2014/chart" uri="{C3380CC4-5D6E-409C-BE32-E72D297353CC}">
              <c16:uniqueId val="{00000021-8F5D-44D4-8D56-75319B5DC802}"/>
            </c:ext>
          </c:extLst>
        </c:ser>
        <c:ser>
          <c:idx val="34"/>
          <c:order val="34"/>
          <c:spPr>
            <a:ln cmpd="sng">
              <a:solidFill>
                <a:srgbClr val="513114"/>
              </a:solidFill>
              <a:prstDash val="solid"/>
            </a:ln>
          </c:spPr>
          <c:marker>
            <c:symbol val="none"/>
          </c:marker>
          <c:val>
            <c:numRef>
              <c:f>'Proy. ventas'!$W$146</c:f>
              <c:numCache>
                <c:formatCode>_-* #,##0\ _€_-;\-* #,##0\ _€_-;_-* "-"??\ _€_-;_-@</c:formatCode>
                <c:ptCount val="1"/>
                <c:pt idx="0">
                  <c:v>2</c:v>
                </c:pt>
              </c:numCache>
            </c:numRef>
          </c:val>
          <c:smooth val="0"/>
          <c:extLst>
            <c:ext xmlns:c16="http://schemas.microsoft.com/office/drawing/2014/chart" uri="{C3380CC4-5D6E-409C-BE32-E72D297353CC}">
              <c16:uniqueId val="{00000022-8F5D-44D4-8D56-75319B5DC802}"/>
            </c:ext>
          </c:extLst>
        </c:ser>
        <c:ser>
          <c:idx val="35"/>
          <c:order val="35"/>
          <c:spPr>
            <a:ln cmpd="sng">
              <a:solidFill>
                <a:srgbClr val="47285B"/>
              </a:solidFill>
              <a:prstDash val="solid"/>
            </a:ln>
          </c:spPr>
          <c:marker>
            <c:symbol val="none"/>
          </c:marker>
          <c:val>
            <c:numRef>
              <c:f>'Proy. ventas'!$Y$146</c:f>
              <c:numCache>
                <c:formatCode>_-* #,##0\ _€_-;\-* #,##0\ _€_-;_-* "-"??\ _€_-;_-@</c:formatCode>
                <c:ptCount val="1"/>
                <c:pt idx="0">
                  <c:v>2</c:v>
                </c:pt>
              </c:numCache>
            </c:numRef>
          </c:val>
          <c:smooth val="0"/>
          <c:extLst>
            <c:ext xmlns:c16="http://schemas.microsoft.com/office/drawing/2014/chart" uri="{C3380CC4-5D6E-409C-BE32-E72D297353CC}">
              <c16:uniqueId val="{00000023-8F5D-44D4-8D56-75319B5DC802}"/>
            </c:ext>
          </c:extLst>
        </c:ser>
        <c:ser>
          <c:idx val="36"/>
          <c:order val="36"/>
          <c:spPr>
            <a:ln cmpd="sng">
              <a:solidFill>
                <a:srgbClr val="966108"/>
              </a:solidFill>
              <a:prstDash val="solid"/>
            </a:ln>
          </c:spPr>
          <c:marker>
            <c:symbol val="none"/>
          </c:marker>
          <c:val>
            <c:numRef>
              <c:f>'Proy. ventas'!$AA$146</c:f>
              <c:numCache>
                <c:formatCode>_-* #,##0\ _€_-;\-* #,##0\ _€_-;_-* "-"??\ _€_-;_-@</c:formatCode>
                <c:ptCount val="1"/>
                <c:pt idx="0">
                  <c:v>2</c:v>
                </c:pt>
              </c:numCache>
            </c:numRef>
          </c:val>
          <c:smooth val="0"/>
          <c:extLst>
            <c:ext xmlns:c16="http://schemas.microsoft.com/office/drawing/2014/chart" uri="{C3380CC4-5D6E-409C-BE32-E72D297353CC}">
              <c16:uniqueId val="{00000024-8F5D-44D4-8D56-75319B5DC802}"/>
            </c:ext>
          </c:extLst>
        </c:ser>
        <c:dLbls>
          <c:showLegendKey val="0"/>
          <c:showVal val="0"/>
          <c:showCatName val="0"/>
          <c:showSerName val="0"/>
          <c:showPercent val="0"/>
          <c:showBubbleSize val="0"/>
        </c:dLbls>
        <c:marker val="1"/>
        <c:smooth val="0"/>
        <c:axId val="1818101648"/>
        <c:axId val="1818106544"/>
      </c:lineChart>
      <c:catAx>
        <c:axId val="1818101648"/>
        <c:scaling>
          <c:orientation val="minMax"/>
        </c:scaling>
        <c:delete val="0"/>
        <c:axPos val="b"/>
        <c:title>
          <c:tx>
            <c:rich>
              <a:bodyPr/>
              <a:lstStyle/>
              <a:p>
                <a:pPr lvl="0">
                  <a:defRPr b="0">
                    <a:solidFill>
                      <a:srgbClr val="000000"/>
                    </a:solidFill>
                    <a:latin typeface="+mn-lt"/>
                  </a:defRPr>
                </a:pPr>
                <a:r>
                  <a:t>None</a:t>
                </a:r>
                <a:endParaRPr lang="es-AR"/>
              </a:p>
            </c:rich>
          </c:tx>
          <c:overlay val="0"/>
        </c:title>
        <c:numFmt formatCode="General" sourceLinked="1"/>
        <c:majorTickMark val="none"/>
        <c:minorTickMark val="none"/>
        <c:tickLblPos val="nextTo"/>
        <c:txPr>
          <a:bodyPr/>
          <a:lstStyle/>
          <a:p>
            <a:pPr lvl="0">
              <a:defRPr sz="900" b="0" i="0">
                <a:solidFill>
                  <a:schemeClr val="dk1"/>
                </a:solidFill>
                <a:latin typeface="+mn-lt"/>
              </a:defRPr>
            </a:pPr>
            <a:endParaRPr lang="es-AR"/>
          </a:p>
        </c:txPr>
        <c:crossAx val="1818106544"/>
        <c:crosses val="autoZero"/>
        <c:auto val="1"/>
        <c:lblAlgn val="ctr"/>
        <c:lblOffset val="100"/>
        <c:noMultiLvlLbl val="1"/>
      </c:catAx>
      <c:valAx>
        <c:axId val="1818106544"/>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t>None</a:t>
                </a:r>
                <a:endParaRPr lang="es-AR"/>
              </a:p>
            </c:rich>
          </c:tx>
          <c:overlay val="0"/>
        </c:title>
        <c:numFmt formatCode="_-* #,##0\ _€_-;\-* #,##0\ _€_-;_-* &quot;-&quot;??\ _€_-;_-@" sourceLinked="1"/>
        <c:majorTickMark val="out"/>
        <c:minorTickMark val="none"/>
        <c:tickLblPos val="nextTo"/>
        <c:spPr>
          <a:ln>
            <a:prstDash val="solid"/>
          </a:ln>
        </c:spPr>
        <c:txPr>
          <a:bodyPr/>
          <a:lstStyle/>
          <a:p>
            <a:pPr lvl="0">
              <a:defRPr sz="900" b="0" i="0">
                <a:solidFill>
                  <a:schemeClr val="dk1"/>
                </a:solidFill>
                <a:latin typeface="+mn-lt"/>
              </a:defRPr>
            </a:pPr>
            <a:endParaRPr lang="es-AR"/>
          </a:p>
        </c:txPr>
        <c:crossAx val="1818101648"/>
        <c:crosses val="autoZero"/>
        <c:crossBetween val="between"/>
      </c:valAx>
    </c:plotArea>
    <c:legend>
      <c:legendPos val="r"/>
      <c:overlay val="0"/>
      <c:txPr>
        <a:bodyPr/>
        <a:lstStyle/>
        <a:p>
          <a:pPr lvl="0">
            <a:defRPr sz="900" b="0" i="0">
              <a:solidFill>
                <a:schemeClr val="dk1"/>
              </a:solidFill>
              <a:latin typeface="+mn-lt"/>
            </a:defRPr>
          </a:pPr>
          <a:endParaRPr lang="es-AR"/>
        </a:p>
      </c:txPr>
    </c:legend>
    <c:plotVisOnly val="1"/>
    <c:dispBlanksAs val="zero"/>
    <c:showDLblsOverMax val="1"/>
  </c:chart>
  <c:spPr>
    <a:solidFill>
      <a:schemeClr val="lt1"/>
    </a:solidFill>
    <a:ln>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s-AR" sz="1600"/>
              <a:t>Distribucion ingresos 2026</a:t>
            </a:r>
          </a:p>
        </c:rich>
      </c:tx>
      <c:overlay val="0"/>
    </c:title>
    <c:autoTitleDeleted val="0"/>
    <c:plotArea>
      <c:layout/>
      <c:pieChart>
        <c:varyColors val="1"/>
        <c:ser>
          <c:idx val="0"/>
          <c:order val="0"/>
          <c:tx>
            <c:strRef>
              <c:f>'Mod. ingresos'!$C$16</c:f>
              <c:strCache>
                <c:ptCount val="1"/>
                <c:pt idx="0">
                  <c:v> Ingresos 2026</c:v>
                </c:pt>
              </c:strCache>
            </c:strRef>
          </c:tx>
          <c:spPr>
            <a:ln>
              <a:prstDash val="solid"/>
            </a:ln>
          </c:spPr>
          <c:dPt>
            <c:idx val="0"/>
            <c:bubble3D val="0"/>
            <c:spPr>
              <a:solidFill>
                <a:schemeClr val="accent1"/>
              </a:solidFill>
              <a:ln>
                <a:prstDash val="solid"/>
              </a:ln>
            </c:spPr>
            <c:extLst>
              <c:ext xmlns:c16="http://schemas.microsoft.com/office/drawing/2014/chart" uri="{C3380CC4-5D6E-409C-BE32-E72D297353CC}">
                <c16:uniqueId val="{00000001-E10E-4EBE-8717-9B2FF55A3146}"/>
              </c:ext>
            </c:extLst>
          </c:dPt>
          <c:dPt>
            <c:idx val="1"/>
            <c:bubble3D val="0"/>
            <c:spPr>
              <a:solidFill>
                <a:schemeClr val="accent2"/>
              </a:solidFill>
              <a:ln>
                <a:prstDash val="solid"/>
              </a:ln>
            </c:spPr>
            <c:extLst>
              <c:ext xmlns:c16="http://schemas.microsoft.com/office/drawing/2014/chart" uri="{C3380CC4-5D6E-409C-BE32-E72D297353CC}">
                <c16:uniqueId val="{00000003-E10E-4EBE-8717-9B2FF55A3146}"/>
              </c:ext>
            </c:extLst>
          </c:dPt>
          <c:dPt>
            <c:idx val="2"/>
            <c:bubble3D val="0"/>
            <c:spPr>
              <a:solidFill>
                <a:schemeClr val="accent3"/>
              </a:solidFill>
              <a:ln>
                <a:prstDash val="solid"/>
              </a:ln>
            </c:spPr>
            <c:extLst>
              <c:ext xmlns:c16="http://schemas.microsoft.com/office/drawing/2014/chart" uri="{C3380CC4-5D6E-409C-BE32-E72D297353CC}">
                <c16:uniqueId val="{00000005-E10E-4EBE-8717-9B2FF55A3146}"/>
              </c:ext>
            </c:extLst>
          </c:dPt>
          <c:dPt>
            <c:idx val="3"/>
            <c:bubble3D val="0"/>
            <c:spPr>
              <a:solidFill>
                <a:schemeClr val="accent4"/>
              </a:solidFill>
              <a:ln>
                <a:prstDash val="solid"/>
              </a:ln>
            </c:spPr>
            <c:extLst>
              <c:ext xmlns:c16="http://schemas.microsoft.com/office/drawing/2014/chart" uri="{C3380CC4-5D6E-409C-BE32-E72D297353CC}">
                <c16:uniqueId val="{00000007-E10E-4EBE-8717-9B2FF55A3146}"/>
              </c:ext>
            </c:extLst>
          </c:dPt>
          <c:dPt>
            <c:idx val="4"/>
            <c:bubble3D val="0"/>
            <c:spPr>
              <a:solidFill>
                <a:schemeClr val="accent5"/>
              </a:solidFill>
              <a:ln>
                <a:prstDash val="solid"/>
              </a:ln>
            </c:spPr>
            <c:extLst>
              <c:ext xmlns:c16="http://schemas.microsoft.com/office/drawing/2014/chart" uri="{C3380CC4-5D6E-409C-BE32-E72D297353CC}">
                <c16:uniqueId val="{00000009-E10E-4EBE-8717-9B2FF55A3146}"/>
              </c:ext>
            </c:extLst>
          </c:dPt>
          <c:dPt>
            <c:idx val="5"/>
            <c:bubble3D val="0"/>
            <c:spPr>
              <a:solidFill>
                <a:schemeClr val="accent6"/>
              </a:solidFill>
              <a:ln>
                <a:prstDash val="solid"/>
              </a:ln>
            </c:spPr>
            <c:extLst>
              <c:ext xmlns:c16="http://schemas.microsoft.com/office/drawing/2014/chart" uri="{C3380CC4-5D6E-409C-BE32-E72D297353CC}">
                <c16:uniqueId val="{0000000B-E10E-4EBE-8717-9B2FF55A3146}"/>
              </c:ext>
            </c:extLst>
          </c:dPt>
          <c:dPt>
            <c:idx val="6"/>
            <c:bubble3D val="0"/>
            <c:spPr>
              <a:solidFill>
                <a:schemeClr val="accent1"/>
              </a:solidFill>
              <a:ln>
                <a:prstDash val="solid"/>
              </a:ln>
            </c:spPr>
            <c:extLst>
              <c:ext xmlns:c16="http://schemas.microsoft.com/office/drawing/2014/chart" uri="{C3380CC4-5D6E-409C-BE32-E72D297353CC}">
                <c16:uniqueId val="{0000000D-E10E-4EBE-8717-9B2FF55A3146}"/>
              </c:ext>
            </c:extLst>
          </c:dPt>
          <c:dPt>
            <c:idx val="7"/>
            <c:bubble3D val="0"/>
            <c:spPr>
              <a:solidFill>
                <a:schemeClr val="accent2"/>
              </a:solidFill>
              <a:ln>
                <a:prstDash val="solid"/>
              </a:ln>
            </c:spPr>
            <c:extLst>
              <c:ext xmlns:c16="http://schemas.microsoft.com/office/drawing/2014/chart" uri="{C3380CC4-5D6E-409C-BE32-E72D297353CC}">
                <c16:uniqueId val="{0000000F-E10E-4EBE-8717-9B2FF55A3146}"/>
              </c:ext>
            </c:extLst>
          </c:dPt>
          <c:dPt>
            <c:idx val="8"/>
            <c:bubble3D val="0"/>
            <c:spPr>
              <a:solidFill>
                <a:schemeClr val="accent3"/>
              </a:solidFill>
              <a:ln>
                <a:prstDash val="solid"/>
              </a:ln>
            </c:spPr>
            <c:extLst>
              <c:ext xmlns:c16="http://schemas.microsoft.com/office/drawing/2014/chart" uri="{C3380CC4-5D6E-409C-BE32-E72D297353CC}">
                <c16:uniqueId val="{00000011-E10E-4EBE-8717-9B2FF55A3146}"/>
              </c:ext>
            </c:extLst>
          </c:dPt>
          <c:dPt>
            <c:idx val="9"/>
            <c:bubble3D val="0"/>
            <c:spPr>
              <a:solidFill>
                <a:schemeClr val="accent4"/>
              </a:solidFill>
              <a:ln>
                <a:prstDash val="solid"/>
              </a:ln>
            </c:spPr>
            <c:extLst>
              <c:ext xmlns:c16="http://schemas.microsoft.com/office/drawing/2014/chart" uri="{C3380CC4-5D6E-409C-BE32-E72D297353CC}">
                <c16:uniqueId val="{00000013-E10E-4EBE-8717-9B2FF55A3146}"/>
              </c:ext>
            </c:extLst>
          </c:dPt>
          <c:dPt>
            <c:idx val="10"/>
            <c:bubble3D val="0"/>
            <c:spPr>
              <a:solidFill>
                <a:schemeClr val="accent5"/>
              </a:solidFill>
              <a:ln>
                <a:prstDash val="solid"/>
              </a:ln>
            </c:spPr>
            <c:extLst>
              <c:ext xmlns:c16="http://schemas.microsoft.com/office/drawing/2014/chart" uri="{C3380CC4-5D6E-409C-BE32-E72D297353CC}">
                <c16:uniqueId val="{00000015-E10E-4EBE-8717-9B2FF55A3146}"/>
              </c:ext>
            </c:extLst>
          </c:dPt>
          <c:dPt>
            <c:idx val="11"/>
            <c:bubble3D val="0"/>
            <c:spPr>
              <a:solidFill>
                <a:schemeClr val="accent6"/>
              </a:solidFill>
              <a:ln>
                <a:prstDash val="solid"/>
              </a:ln>
            </c:spPr>
            <c:extLst>
              <c:ext xmlns:c16="http://schemas.microsoft.com/office/drawing/2014/chart" uri="{C3380CC4-5D6E-409C-BE32-E72D297353CC}">
                <c16:uniqueId val="{00000017-E10E-4EBE-8717-9B2FF55A3146}"/>
              </c:ext>
            </c:extLst>
          </c:dPt>
          <c:dPt>
            <c:idx val="12"/>
            <c:bubble3D val="0"/>
            <c:spPr>
              <a:solidFill>
                <a:schemeClr val="accent1"/>
              </a:solidFill>
              <a:ln>
                <a:prstDash val="solid"/>
              </a:ln>
            </c:spPr>
            <c:extLst>
              <c:ext xmlns:c16="http://schemas.microsoft.com/office/drawing/2014/chart" uri="{C3380CC4-5D6E-409C-BE32-E72D297353CC}">
                <c16:uniqueId val="{00000019-E10E-4EBE-8717-9B2FF55A3146}"/>
              </c:ext>
            </c:extLst>
          </c:dPt>
          <c:dLbls>
            <c:dLbl>
              <c:idx val="0"/>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1-E10E-4EBE-8717-9B2FF55A3146}"/>
                </c:ext>
              </c:extLst>
            </c:dLbl>
            <c:dLbl>
              <c:idx val="1"/>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3-E10E-4EBE-8717-9B2FF55A3146}"/>
                </c:ext>
              </c:extLst>
            </c:dLbl>
            <c:dLbl>
              <c:idx val="2"/>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5-E10E-4EBE-8717-9B2FF55A3146}"/>
                </c:ext>
              </c:extLst>
            </c:dLbl>
            <c:dLbl>
              <c:idx val="3"/>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7-E10E-4EBE-8717-9B2FF55A3146}"/>
                </c:ext>
              </c:extLst>
            </c:dLbl>
            <c:dLbl>
              <c:idx val="4"/>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9-E10E-4EBE-8717-9B2FF55A3146}"/>
                </c:ext>
              </c:extLst>
            </c:dLbl>
            <c:dLbl>
              <c:idx val="5"/>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B-E10E-4EBE-8717-9B2FF55A3146}"/>
                </c:ext>
              </c:extLst>
            </c:dLbl>
            <c:dLbl>
              <c:idx val="6"/>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D-E10E-4EBE-8717-9B2FF55A3146}"/>
                </c:ext>
              </c:extLst>
            </c:dLbl>
            <c:dLbl>
              <c:idx val="7"/>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F-E10E-4EBE-8717-9B2FF55A3146}"/>
                </c:ext>
              </c:extLst>
            </c:dLbl>
            <c:dLbl>
              <c:idx val="8"/>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1-E10E-4EBE-8717-9B2FF55A3146}"/>
                </c:ext>
              </c:extLst>
            </c:dLbl>
            <c:dLbl>
              <c:idx val="9"/>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3-E10E-4EBE-8717-9B2FF55A3146}"/>
                </c:ext>
              </c:extLst>
            </c:dLbl>
            <c:dLbl>
              <c:idx val="10"/>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5-E10E-4EBE-8717-9B2FF55A3146}"/>
                </c:ext>
              </c:extLst>
            </c:dLbl>
            <c:dLbl>
              <c:idx val="11"/>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7-E10E-4EBE-8717-9B2FF55A3146}"/>
                </c:ext>
              </c:extLst>
            </c:dLbl>
            <c:dLbl>
              <c:idx val="12"/>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9-E10E-4EBE-8717-9B2FF55A3146}"/>
                </c:ext>
              </c:extLst>
            </c:dLbl>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'Mod. ingresos'!$B$17:$B$29</c:f>
              <c:strCache>
                <c:ptCount val="6"/>
                <c:pt idx="0">
                  <c:v> Alta e instalación Plan Básico</c:v>
                </c:pt>
                <c:pt idx="1">
                  <c:v> Alta e instalación Plan Vidriera</c:v>
                </c:pt>
                <c:pt idx="2">
                  <c:v> Alta e instalación Plan Cadena</c:v>
                </c:pt>
                <c:pt idx="3">
                  <c:v> Abono Plan Básico</c:v>
                </c:pt>
                <c:pt idx="4">
                  <c:v> Abono Plan Vidriera</c:v>
                </c:pt>
                <c:pt idx="5">
                  <c:v> Abono Plan Cadena</c:v>
                </c:pt>
              </c:strCache>
            </c:strRef>
          </c:cat>
          <c:val>
            <c:numRef>
              <c:f>'Mod. ingresos'!$C$17:$C$29</c:f>
              <c:numCache>
                <c:formatCode>_-"$"\ * #,##0.00_-;\-"$"\ * #,##0.00_-;_-"$"\ * "-"??_-;_-@</c:formatCode>
                <c:ptCount val="6"/>
                <c:pt idx="0">
                  <c:v>750</c:v>
                </c:pt>
                <c:pt idx="1">
                  <c:v>3720</c:v>
                </c:pt>
                <c:pt idx="2">
                  <c:v>2500</c:v>
                </c:pt>
                <c:pt idx="3">
                  <c:v>2220</c:v>
                </c:pt>
                <c:pt idx="4">
                  <c:v>8671</c:v>
                </c:pt>
                <c:pt idx="5">
                  <c:v>3002</c:v>
                </c:pt>
              </c:numCache>
            </c:numRef>
          </c:val>
          <c:extLst>
            <c:ext xmlns:c16="http://schemas.microsoft.com/office/drawing/2014/chart" uri="{C3380CC4-5D6E-409C-BE32-E72D297353CC}">
              <c16:uniqueId val="{0000001A-E10E-4EBE-8717-9B2FF55A3146}"/>
            </c:ext>
          </c:extLst>
        </c:ser>
        <c:dLbls>
          <c:showLegendKey val="0"/>
          <c:showVal val="0"/>
          <c:showCatName val="0"/>
          <c:showSerName val="0"/>
          <c:showPercent val="0"/>
          <c:showBubbleSize val="0"/>
          <c:showLeaderLines val="1"/>
        </c:dLbls>
        <c:firstSliceAng val="0"/>
      </c:pieChart>
    </c:plotArea>
    <c:legend>
      <c:legendPos val="b"/>
      <c:overlay val="0"/>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s-AR" sz="1600"/>
              <a:t>Distribucion ingresos 2028</a:t>
            </a:r>
          </a:p>
        </c:rich>
      </c:tx>
      <c:overlay val="0"/>
    </c:title>
    <c:autoTitleDeleted val="0"/>
    <c:plotArea>
      <c:layout/>
      <c:pieChart>
        <c:varyColors val="1"/>
        <c:ser>
          <c:idx val="0"/>
          <c:order val="0"/>
          <c:tx>
            <c:strRef>
              <c:f>'Mod. ingresos'!$E$16</c:f>
              <c:strCache>
                <c:ptCount val="1"/>
                <c:pt idx="0">
                  <c:v> Ingresos 2028</c:v>
                </c:pt>
              </c:strCache>
            </c:strRef>
          </c:tx>
          <c:spPr>
            <a:ln>
              <a:prstDash val="solid"/>
            </a:ln>
          </c:spPr>
          <c:dPt>
            <c:idx val="0"/>
            <c:bubble3D val="0"/>
            <c:spPr>
              <a:solidFill>
                <a:schemeClr val="accent1"/>
              </a:solidFill>
              <a:ln>
                <a:prstDash val="solid"/>
              </a:ln>
            </c:spPr>
            <c:extLst>
              <c:ext xmlns:c16="http://schemas.microsoft.com/office/drawing/2014/chart" uri="{C3380CC4-5D6E-409C-BE32-E72D297353CC}">
                <c16:uniqueId val="{00000001-3FFA-4849-B1AE-9009A8C5759E}"/>
              </c:ext>
            </c:extLst>
          </c:dPt>
          <c:dPt>
            <c:idx val="1"/>
            <c:bubble3D val="0"/>
            <c:spPr>
              <a:solidFill>
                <a:schemeClr val="accent2"/>
              </a:solidFill>
              <a:ln>
                <a:prstDash val="solid"/>
              </a:ln>
            </c:spPr>
            <c:extLst>
              <c:ext xmlns:c16="http://schemas.microsoft.com/office/drawing/2014/chart" uri="{C3380CC4-5D6E-409C-BE32-E72D297353CC}">
                <c16:uniqueId val="{00000003-3FFA-4849-B1AE-9009A8C5759E}"/>
              </c:ext>
            </c:extLst>
          </c:dPt>
          <c:dPt>
            <c:idx val="2"/>
            <c:bubble3D val="0"/>
            <c:spPr>
              <a:solidFill>
                <a:schemeClr val="accent3"/>
              </a:solidFill>
              <a:ln>
                <a:prstDash val="solid"/>
              </a:ln>
            </c:spPr>
            <c:extLst>
              <c:ext xmlns:c16="http://schemas.microsoft.com/office/drawing/2014/chart" uri="{C3380CC4-5D6E-409C-BE32-E72D297353CC}">
                <c16:uniqueId val="{00000005-3FFA-4849-B1AE-9009A8C5759E}"/>
              </c:ext>
            </c:extLst>
          </c:dPt>
          <c:dPt>
            <c:idx val="3"/>
            <c:bubble3D val="0"/>
            <c:spPr>
              <a:solidFill>
                <a:schemeClr val="accent4"/>
              </a:solidFill>
              <a:ln>
                <a:prstDash val="solid"/>
              </a:ln>
            </c:spPr>
            <c:extLst>
              <c:ext xmlns:c16="http://schemas.microsoft.com/office/drawing/2014/chart" uri="{C3380CC4-5D6E-409C-BE32-E72D297353CC}">
                <c16:uniqueId val="{00000007-3FFA-4849-B1AE-9009A8C5759E}"/>
              </c:ext>
            </c:extLst>
          </c:dPt>
          <c:dPt>
            <c:idx val="4"/>
            <c:bubble3D val="0"/>
            <c:spPr>
              <a:solidFill>
                <a:schemeClr val="accent5"/>
              </a:solidFill>
              <a:ln>
                <a:prstDash val="solid"/>
              </a:ln>
            </c:spPr>
            <c:extLst>
              <c:ext xmlns:c16="http://schemas.microsoft.com/office/drawing/2014/chart" uri="{C3380CC4-5D6E-409C-BE32-E72D297353CC}">
                <c16:uniqueId val="{00000009-3FFA-4849-B1AE-9009A8C5759E}"/>
              </c:ext>
            </c:extLst>
          </c:dPt>
          <c:dPt>
            <c:idx val="5"/>
            <c:bubble3D val="0"/>
            <c:spPr>
              <a:solidFill>
                <a:schemeClr val="accent6"/>
              </a:solidFill>
              <a:ln>
                <a:prstDash val="solid"/>
              </a:ln>
            </c:spPr>
            <c:extLst>
              <c:ext xmlns:c16="http://schemas.microsoft.com/office/drawing/2014/chart" uri="{C3380CC4-5D6E-409C-BE32-E72D297353CC}">
                <c16:uniqueId val="{0000000B-3FFA-4849-B1AE-9009A8C5759E}"/>
              </c:ext>
            </c:extLst>
          </c:dPt>
          <c:dPt>
            <c:idx val="6"/>
            <c:bubble3D val="0"/>
            <c:spPr>
              <a:solidFill>
                <a:schemeClr val="accent1"/>
              </a:solidFill>
              <a:ln>
                <a:prstDash val="solid"/>
              </a:ln>
            </c:spPr>
            <c:extLst>
              <c:ext xmlns:c16="http://schemas.microsoft.com/office/drawing/2014/chart" uri="{C3380CC4-5D6E-409C-BE32-E72D297353CC}">
                <c16:uniqueId val="{0000000D-3FFA-4849-B1AE-9009A8C5759E}"/>
              </c:ext>
            </c:extLst>
          </c:dPt>
          <c:dPt>
            <c:idx val="7"/>
            <c:bubble3D val="0"/>
            <c:spPr>
              <a:solidFill>
                <a:schemeClr val="accent2"/>
              </a:solidFill>
              <a:ln>
                <a:prstDash val="solid"/>
              </a:ln>
            </c:spPr>
            <c:extLst>
              <c:ext xmlns:c16="http://schemas.microsoft.com/office/drawing/2014/chart" uri="{C3380CC4-5D6E-409C-BE32-E72D297353CC}">
                <c16:uniqueId val="{0000000F-3FFA-4849-B1AE-9009A8C5759E}"/>
              </c:ext>
            </c:extLst>
          </c:dPt>
          <c:dPt>
            <c:idx val="8"/>
            <c:bubble3D val="0"/>
            <c:spPr>
              <a:solidFill>
                <a:schemeClr val="accent3"/>
              </a:solidFill>
              <a:ln>
                <a:prstDash val="solid"/>
              </a:ln>
            </c:spPr>
            <c:extLst>
              <c:ext xmlns:c16="http://schemas.microsoft.com/office/drawing/2014/chart" uri="{C3380CC4-5D6E-409C-BE32-E72D297353CC}">
                <c16:uniqueId val="{00000011-3FFA-4849-B1AE-9009A8C5759E}"/>
              </c:ext>
            </c:extLst>
          </c:dPt>
          <c:dPt>
            <c:idx val="9"/>
            <c:bubble3D val="0"/>
            <c:spPr>
              <a:solidFill>
                <a:schemeClr val="accent4"/>
              </a:solidFill>
              <a:ln>
                <a:prstDash val="solid"/>
              </a:ln>
            </c:spPr>
            <c:extLst>
              <c:ext xmlns:c16="http://schemas.microsoft.com/office/drawing/2014/chart" uri="{C3380CC4-5D6E-409C-BE32-E72D297353CC}">
                <c16:uniqueId val="{00000013-3FFA-4849-B1AE-9009A8C5759E}"/>
              </c:ext>
            </c:extLst>
          </c:dPt>
          <c:dPt>
            <c:idx val="10"/>
            <c:bubble3D val="0"/>
            <c:spPr>
              <a:solidFill>
                <a:schemeClr val="accent5"/>
              </a:solidFill>
              <a:ln>
                <a:prstDash val="solid"/>
              </a:ln>
            </c:spPr>
            <c:extLst>
              <c:ext xmlns:c16="http://schemas.microsoft.com/office/drawing/2014/chart" uri="{C3380CC4-5D6E-409C-BE32-E72D297353CC}">
                <c16:uniqueId val="{00000015-3FFA-4849-B1AE-9009A8C5759E}"/>
              </c:ext>
            </c:extLst>
          </c:dPt>
          <c:dPt>
            <c:idx val="11"/>
            <c:bubble3D val="0"/>
            <c:spPr>
              <a:solidFill>
                <a:schemeClr val="accent6"/>
              </a:solidFill>
              <a:ln>
                <a:prstDash val="solid"/>
              </a:ln>
            </c:spPr>
            <c:extLst>
              <c:ext xmlns:c16="http://schemas.microsoft.com/office/drawing/2014/chart" uri="{C3380CC4-5D6E-409C-BE32-E72D297353CC}">
                <c16:uniqueId val="{00000017-3FFA-4849-B1AE-9009A8C5759E}"/>
              </c:ext>
            </c:extLst>
          </c:dPt>
          <c:dPt>
            <c:idx val="12"/>
            <c:bubble3D val="0"/>
            <c:spPr>
              <a:solidFill>
                <a:schemeClr val="accent1"/>
              </a:solidFill>
              <a:ln>
                <a:prstDash val="solid"/>
              </a:ln>
            </c:spPr>
            <c:extLst>
              <c:ext xmlns:c16="http://schemas.microsoft.com/office/drawing/2014/chart" uri="{C3380CC4-5D6E-409C-BE32-E72D297353CC}">
                <c16:uniqueId val="{00000019-3FFA-4849-B1AE-9009A8C5759E}"/>
              </c:ext>
            </c:extLst>
          </c:dPt>
          <c:dLbls>
            <c:dLbl>
              <c:idx val="0"/>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1-3FFA-4849-B1AE-9009A8C5759E}"/>
                </c:ext>
              </c:extLst>
            </c:dLbl>
            <c:dLbl>
              <c:idx val="1"/>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3-3FFA-4849-B1AE-9009A8C5759E}"/>
                </c:ext>
              </c:extLst>
            </c:dLbl>
            <c:dLbl>
              <c:idx val="2"/>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5-3FFA-4849-B1AE-9009A8C5759E}"/>
                </c:ext>
              </c:extLst>
            </c:dLbl>
            <c:dLbl>
              <c:idx val="3"/>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7-3FFA-4849-B1AE-9009A8C5759E}"/>
                </c:ext>
              </c:extLst>
            </c:dLbl>
            <c:dLbl>
              <c:idx val="4"/>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9-3FFA-4849-B1AE-9009A8C5759E}"/>
                </c:ext>
              </c:extLst>
            </c:dLbl>
            <c:dLbl>
              <c:idx val="5"/>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B-3FFA-4849-B1AE-9009A8C5759E}"/>
                </c:ext>
              </c:extLst>
            </c:dLbl>
            <c:dLbl>
              <c:idx val="6"/>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D-3FFA-4849-B1AE-9009A8C5759E}"/>
                </c:ext>
              </c:extLst>
            </c:dLbl>
            <c:dLbl>
              <c:idx val="7"/>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F-3FFA-4849-B1AE-9009A8C5759E}"/>
                </c:ext>
              </c:extLst>
            </c:dLbl>
            <c:dLbl>
              <c:idx val="8"/>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1-3FFA-4849-B1AE-9009A8C5759E}"/>
                </c:ext>
              </c:extLst>
            </c:dLbl>
            <c:dLbl>
              <c:idx val="9"/>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3-3FFA-4849-B1AE-9009A8C5759E}"/>
                </c:ext>
              </c:extLst>
            </c:dLbl>
            <c:dLbl>
              <c:idx val="10"/>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5-3FFA-4849-B1AE-9009A8C5759E}"/>
                </c:ext>
              </c:extLst>
            </c:dLbl>
            <c:dLbl>
              <c:idx val="11"/>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7-3FFA-4849-B1AE-9009A8C5759E}"/>
                </c:ext>
              </c:extLst>
            </c:dLbl>
            <c:dLbl>
              <c:idx val="12"/>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9-3FFA-4849-B1AE-9009A8C5759E}"/>
                </c:ext>
              </c:extLst>
            </c:dLbl>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'Mod. ingresos'!$B$17:$B$29</c:f>
              <c:strCache>
                <c:ptCount val="6"/>
                <c:pt idx="0">
                  <c:v> Alta e instalación Plan Básico</c:v>
                </c:pt>
                <c:pt idx="1">
                  <c:v> Alta e instalación Plan Vidriera</c:v>
                </c:pt>
                <c:pt idx="2">
                  <c:v> Alta e instalación Plan Cadena</c:v>
                </c:pt>
                <c:pt idx="3">
                  <c:v> Abono Plan Básico</c:v>
                </c:pt>
                <c:pt idx="4">
                  <c:v> Abono Plan Vidriera</c:v>
                </c:pt>
                <c:pt idx="5">
                  <c:v> Abono Plan Cadena</c:v>
                </c:pt>
              </c:strCache>
            </c:strRef>
          </c:cat>
          <c:val>
            <c:numRef>
              <c:f>'Mod. ingresos'!$E$17:$E$29</c:f>
              <c:numCache>
                <c:formatCode>_-"$"\ * #,##0.00_-;\-"$"\ * #,##0.00_-;_-"$"\ * "-"??_-;_-@</c:formatCode>
                <c:ptCount val="6"/>
                <c:pt idx="0">
                  <c:v>1775</c:v>
                </c:pt>
                <c:pt idx="1">
                  <c:v>8580</c:v>
                </c:pt>
                <c:pt idx="2">
                  <c:v>6000</c:v>
                </c:pt>
                <c:pt idx="3">
                  <c:v>21585</c:v>
                </c:pt>
                <c:pt idx="4">
                  <c:v>84187</c:v>
                </c:pt>
                <c:pt idx="5">
                  <c:v>37920</c:v>
                </c:pt>
              </c:numCache>
            </c:numRef>
          </c:val>
          <c:extLst>
            <c:ext xmlns:c16="http://schemas.microsoft.com/office/drawing/2014/chart" uri="{C3380CC4-5D6E-409C-BE32-E72D297353CC}">
              <c16:uniqueId val="{0000001A-3FFA-4849-B1AE-9009A8C5759E}"/>
            </c:ext>
          </c:extLst>
        </c:ser>
        <c:dLbls>
          <c:showLegendKey val="0"/>
          <c:showVal val="0"/>
          <c:showCatName val="0"/>
          <c:showSerName val="0"/>
          <c:showPercent val="0"/>
          <c:showBubbleSize val="0"/>
          <c:showLeaderLines val="1"/>
        </c:dLbls>
        <c:firstSliceAng val="0"/>
      </c:pieChart>
    </c:plotArea>
    <c:legend>
      <c:legendPos val="b"/>
      <c:overlay val="0"/>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s-AR" sz="1600"/>
              <a:t>Distribucion ingresos 2027</a:t>
            </a:r>
          </a:p>
        </c:rich>
      </c:tx>
      <c:overlay val="0"/>
    </c:title>
    <c:autoTitleDeleted val="0"/>
    <c:plotArea>
      <c:layout/>
      <c:pieChart>
        <c:varyColors val="1"/>
        <c:ser>
          <c:idx val="0"/>
          <c:order val="0"/>
          <c:tx>
            <c:strRef>
              <c:f>'Mod. ingresos'!$D$16</c:f>
              <c:strCache>
                <c:ptCount val="1"/>
                <c:pt idx="0">
                  <c:v> Ingresos 2027</c:v>
                </c:pt>
              </c:strCache>
            </c:strRef>
          </c:tx>
          <c:spPr>
            <a:ln>
              <a:prstDash val="solid"/>
            </a:ln>
          </c:spPr>
          <c:dPt>
            <c:idx val="0"/>
            <c:bubble3D val="0"/>
            <c:spPr>
              <a:solidFill>
                <a:schemeClr val="accent1"/>
              </a:solidFill>
              <a:ln>
                <a:prstDash val="solid"/>
              </a:ln>
            </c:spPr>
            <c:extLst>
              <c:ext xmlns:c16="http://schemas.microsoft.com/office/drawing/2014/chart" uri="{C3380CC4-5D6E-409C-BE32-E72D297353CC}">
                <c16:uniqueId val="{00000001-4A50-4BA6-9E4D-D67C122EF9FD}"/>
              </c:ext>
            </c:extLst>
          </c:dPt>
          <c:dPt>
            <c:idx val="1"/>
            <c:bubble3D val="0"/>
            <c:spPr>
              <a:solidFill>
                <a:schemeClr val="accent2"/>
              </a:solidFill>
              <a:ln>
                <a:prstDash val="solid"/>
              </a:ln>
            </c:spPr>
            <c:extLst>
              <c:ext xmlns:c16="http://schemas.microsoft.com/office/drawing/2014/chart" uri="{C3380CC4-5D6E-409C-BE32-E72D297353CC}">
                <c16:uniqueId val="{00000003-4A50-4BA6-9E4D-D67C122EF9FD}"/>
              </c:ext>
            </c:extLst>
          </c:dPt>
          <c:dPt>
            <c:idx val="2"/>
            <c:bubble3D val="0"/>
            <c:spPr>
              <a:solidFill>
                <a:schemeClr val="accent3"/>
              </a:solidFill>
              <a:ln>
                <a:prstDash val="solid"/>
              </a:ln>
            </c:spPr>
            <c:extLst>
              <c:ext xmlns:c16="http://schemas.microsoft.com/office/drawing/2014/chart" uri="{C3380CC4-5D6E-409C-BE32-E72D297353CC}">
                <c16:uniqueId val="{00000005-4A50-4BA6-9E4D-D67C122EF9FD}"/>
              </c:ext>
            </c:extLst>
          </c:dPt>
          <c:dPt>
            <c:idx val="3"/>
            <c:bubble3D val="0"/>
            <c:spPr>
              <a:solidFill>
                <a:schemeClr val="accent4"/>
              </a:solidFill>
              <a:ln>
                <a:prstDash val="solid"/>
              </a:ln>
            </c:spPr>
            <c:extLst>
              <c:ext xmlns:c16="http://schemas.microsoft.com/office/drawing/2014/chart" uri="{C3380CC4-5D6E-409C-BE32-E72D297353CC}">
                <c16:uniqueId val="{00000007-4A50-4BA6-9E4D-D67C122EF9FD}"/>
              </c:ext>
            </c:extLst>
          </c:dPt>
          <c:dPt>
            <c:idx val="4"/>
            <c:bubble3D val="0"/>
            <c:spPr>
              <a:solidFill>
                <a:schemeClr val="accent5"/>
              </a:solidFill>
              <a:ln>
                <a:prstDash val="solid"/>
              </a:ln>
            </c:spPr>
            <c:extLst>
              <c:ext xmlns:c16="http://schemas.microsoft.com/office/drawing/2014/chart" uri="{C3380CC4-5D6E-409C-BE32-E72D297353CC}">
                <c16:uniqueId val="{00000009-4A50-4BA6-9E4D-D67C122EF9FD}"/>
              </c:ext>
            </c:extLst>
          </c:dPt>
          <c:dPt>
            <c:idx val="5"/>
            <c:bubble3D val="0"/>
            <c:spPr>
              <a:solidFill>
                <a:schemeClr val="accent6"/>
              </a:solidFill>
              <a:ln>
                <a:prstDash val="solid"/>
              </a:ln>
            </c:spPr>
            <c:extLst>
              <c:ext xmlns:c16="http://schemas.microsoft.com/office/drawing/2014/chart" uri="{C3380CC4-5D6E-409C-BE32-E72D297353CC}">
                <c16:uniqueId val="{0000000B-4A50-4BA6-9E4D-D67C122EF9FD}"/>
              </c:ext>
            </c:extLst>
          </c:dPt>
          <c:dPt>
            <c:idx val="6"/>
            <c:bubble3D val="0"/>
            <c:spPr>
              <a:solidFill>
                <a:schemeClr val="accent1"/>
              </a:solidFill>
              <a:ln>
                <a:prstDash val="solid"/>
              </a:ln>
            </c:spPr>
            <c:extLst>
              <c:ext xmlns:c16="http://schemas.microsoft.com/office/drawing/2014/chart" uri="{C3380CC4-5D6E-409C-BE32-E72D297353CC}">
                <c16:uniqueId val="{0000000D-4A50-4BA6-9E4D-D67C122EF9FD}"/>
              </c:ext>
            </c:extLst>
          </c:dPt>
          <c:dPt>
            <c:idx val="7"/>
            <c:bubble3D val="0"/>
            <c:spPr>
              <a:solidFill>
                <a:schemeClr val="accent2"/>
              </a:solidFill>
              <a:ln>
                <a:prstDash val="solid"/>
              </a:ln>
            </c:spPr>
            <c:extLst>
              <c:ext xmlns:c16="http://schemas.microsoft.com/office/drawing/2014/chart" uri="{C3380CC4-5D6E-409C-BE32-E72D297353CC}">
                <c16:uniqueId val="{0000000F-4A50-4BA6-9E4D-D67C122EF9FD}"/>
              </c:ext>
            </c:extLst>
          </c:dPt>
          <c:dPt>
            <c:idx val="8"/>
            <c:bubble3D val="0"/>
            <c:spPr>
              <a:solidFill>
                <a:schemeClr val="accent3"/>
              </a:solidFill>
              <a:ln>
                <a:prstDash val="solid"/>
              </a:ln>
            </c:spPr>
            <c:extLst>
              <c:ext xmlns:c16="http://schemas.microsoft.com/office/drawing/2014/chart" uri="{C3380CC4-5D6E-409C-BE32-E72D297353CC}">
                <c16:uniqueId val="{00000011-4A50-4BA6-9E4D-D67C122EF9FD}"/>
              </c:ext>
            </c:extLst>
          </c:dPt>
          <c:dPt>
            <c:idx val="9"/>
            <c:bubble3D val="0"/>
            <c:spPr>
              <a:solidFill>
                <a:schemeClr val="accent4"/>
              </a:solidFill>
              <a:ln>
                <a:prstDash val="solid"/>
              </a:ln>
            </c:spPr>
            <c:extLst>
              <c:ext xmlns:c16="http://schemas.microsoft.com/office/drawing/2014/chart" uri="{C3380CC4-5D6E-409C-BE32-E72D297353CC}">
                <c16:uniqueId val="{00000013-4A50-4BA6-9E4D-D67C122EF9FD}"/>
              </c:ext>
            </c:extLst>
          </c:dPt>
          <c:dPt>
            <c:idx val="10"/>
            <c:bubble3D val="0"/>
            <c:spPr>
              <a:solidFill>
                <a:schemeClr val="accent5"/>
              </a:solidFill>
              <a:ln>
                <a:prstDash val="solid"/>
              </a:ln>
            </c:spPr>
            <c:extLst>
              <c:ext xmlns:c16="http://schemas.microsoft.com/office/drawing/2014/chart" uri="{C3380CC4-5D6E-409C-BE32-E72D297353CC}">
                <c16:uniqueId val="{00000015-4A50-4BA6-9E4D-D67C122EF9FD}"/>
              </c:ext>
            </c:extLst>
          </c:dPt>
          <c:dPt>
            <c:idx val="11"/>
            <c:bubble3D val="0"/>
            <c:spPr>
              <a:solidFill>
                <a:schemeClr val="accent6"/>
              </a:solidFill>
              <a:ln>
                <a:prstDash val="solid"/>
              </a:ln>
            </c:spPr>
            <c:extLst>
              <c:ext xmlns:c16="http://schemas.microsoft.com/office/drawing/2014/chart" uri="{C3380CC4-5D6E-409C-BE32-E72D297353CC}">
                <c16:uniqueId val="{00000017-4A50-4BA6-9E4D-D67C122EF9FD}"/>
              </c:ext>
            </c:extLst>
          </c:dPt>
          <c:dPt>
            <c:idx val="12"/>
            <c:bubble3D val="0"/>
            <c:spPr>
              <a:solidFill>
                <a:schemeClr val="accent1"/>
              </a:solidFill>
              <a:ln>
                <a:prstDash val="solid"/>
              </a:ln>
            </c:spPr>
            <c:extLst>
              <c:ext xmlns:c16="http://schemas.microsoft.com/office/drawing/2014/chart" uri="{C3380CC4-5D6E-409C-BE32-E72D297353CC}">
                <c16:uniqueId val="{00000019-4A50-4BA6-9E4D-D67C122EF9FD}"/>
              </c:ext>
            </c:extLst>
          </c:dPt>
          <c:dLbls>
            <c:dLbl>
              <c:idx val="0"/>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1-4A50-4BA6-9E4D-D67C122EF9FD}"/>
                </c:ext>
              </c:extLst>
            </c:dLbl>
            <c:dLbl>
              <c:idx val="1"/>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3-4A50-4BA6-9E4D-D67C122EF9FD}"/>
                </c:ext>
              </c:extLst>
            </c:dLbl>
            <c:dLbl>
              <c:idx val="2"/>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5-4A50-4BA6-9E4D-D67C122EF9FD}"/>
                </c:ext>
              </c:extLst>
            </c:dLbl>
            <c:dLbl>
              <c:idx val="3"/>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7-4A50-4BA6-9E4D-D67C122EF9FD}"/>
                </c:ext>
              </c:extLst>
            </c:dLbl>
            <c:dLbl>
              <c:idx val="4"/>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9-4A50-4BA6-9E4D-D67C122EF9FD}"/>
                </c:ext>
              </c:extLst>
            </c:dLbl>
            <c:dLbl>
              <c:idx val="5"/>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B-4A50-4BA6-9E4D-D67C122EF9FD}"/>
                </c:ext>
              </c:extLst>
            </c:dLbl>
            <c:dLbl>
              <c:idx val="6"/>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D-4A50-4BA6-9E4D-D67C122EF9FD}"/>
                </c:ext>
              </c:extLst>
            </c:dLbl>
            <c:dLbl>
              <c:idx val="7"/>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F-4A50-4BA6-9E4D-D67C122EF9FD}"/>
                </c:ext>
              </c:extLst>
            </c:dLbl>
            <c:dLbl>
              <c:idx val="8"/>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1-4A50-4BA6-9E4D-D67C122EF9FD}"/>
                </c:ext>
              </c:extLst>
            </c:dLbl>
            <c:dLbl>
              <c:idx val="9"/>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3-4A50-4BA6-9E4D-D67C122EF9FD}"/>
                </c:ext>
              </c:extLst>
            </c:dLbl>
            <c:dLbl>
              <c:idx val="10"/>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5-4A50-4BA6-9E4D-D67C122EF9FD}"/>
                </c:ext>
              </c:extLst>
            </c:dLbl>
            <c:dLbl>
              <c:idx val="11"/>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7-4A50-4BA6-9E4D-D67C122EF9FD}"/>
                </c:ext>
              </c:extLst>
            </c:dLbl>
            <c:dLbl>
              <c:idx val="12"/>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9-4A50-4BA6-9E4D-D67C122EF9FD}"/>
                </c:ext>
              </c:extLst>
            </c:dLbl>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'Mod. ingresos'!$B$17:$B$29</c:f>
              <c:strCache>
                <c:ptCount val="6"/>
                <c:pt idx="0">
                  <c:v> Alta e instalación Plan Básico</c:v>
                </c:pt>
                <c:pt idx="1">
                  <c:v> Alta e instalación Plan Vidriera</c:v>
                </c:pt>
                <c:pt idx="2">
                  <c:v> Alta e instalación Plan Cadena</c:v>
                </c:pt>
                <c:pt idx="3">
                  <c:v> Abono Plan Básico</c:v>
                </c:pt>
                <c:pt idx="4">
                  <c:v> Abono Plan Vidriera</c:v>
                </c:pt>
                <c:pt idx="5">
                  <c:v> Abono Plan Cadena</c:v>
                </c:pt>
              </c:strCache>
            </c:strRef>
          </c:cat>
          <c:val>
            <c:numRef>
              <c:f>'Mod. ingresos'!$D$17:$D$29</c:f>
              <c:numCache>
                <c:formatCode>_-"$"\ * #,##0.00_-;\-"$"\ * #,##0.00_-;_-"$"\ * "-"??_-;_-@</c:formatCode>
                <c:ptCount val="6"/>
                <c:pt idx="0">
                  <c:v>1275</c:v>
                </c:pt>
                <c:pt idx="1">
                  <c:v>6120</c:v>
                </c:pt>
                <c:pt idx="2">
                  <c:v>4250</c:v>
                </c:pt>
                <c:pt idx="3">
                  <c:v>10140</c:v>
                </c:pt>
                <c:pt idx="4">
                  <c:v>40281</c:v>
                </c:pt>
                <c:pt idx="5">
                  <c:v>17064</c:v>
                </c:pt>
              </c:numCache>
            </c:numRef>
          </c:val>
          <c:extLst>
            <c:ext xmlns:c16="http://schemas.microsoft.com/office/drawing/2014/chart" uri="{C3380CC4-5D6E-409C-BE32-E72D297353CC}">
              <c16:uniqueId val="{0000001A-4A50-4BA6-9E4D-D67C122EF9FD}"/>
            </c:ext>
          </c:extLst>
        </c:ser>
        <c:dLbls>
          <c:showLegendKey val="0"/>
          <c:showVal val="0"/>
          <c:showCatName val="0"/>
          <c:showSerName val="0"/>
          <c:showPercent val="0"/>
          <c:showBubbleSize val="0"/>
          <c:showLeaderLines val="1"/>
        </c:dLbls>
        <c:firstSliceAng val="0"/>
      </c:pieChart>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s-AR" sz="1600"/>
              <a:t>Modelo de egresos</a:t>
            </a:r>
          </a:p>
        </c:rich>
      </c:tx>
      <c:overlay val="0"/>
    </c:title>
    <c:autoTitleDeleted val="0"/>
    <c:plotArea>
      <c:layout/>
      <c:barChart>
        <c:barDir val="col"/>
        <c:grouping val="clustered"/>
        <c:varyColors val="1"/>
        <c:ser>
          <c:idx val="0"/>
          <c:order val="0"/>
          <c:tx>
            <c:v>Costos Fijos</c:v>
          </c:tx>
          <c:spPr>
            <a:solidFill>
              <a:srgbClr val="ED7D31"/>
            </a:solidFill>
            <a:ln cmpd="sng">
              <a:solidFill>
                <a:srgbClr val="000000"/>
              </a:solidFill>
              <a:prstDash val="solid"/>
            </a:ln>
          </c:spPr>
          <c:invertIfNegative val="1"/>
          <c:cat>
            <c:numRef>
              <c:f>'Mod. egresos'!$B$9:$D$9</c:f>
              <c:numCache>
                <c:formatCode>General</c:formatCode>
                <c:ptCount val="3"/>
                <c:pt idx="0">
                  <c:v>2026</c:v>
                </c:pt>
                <c:pt idx="1">
                  <c:v>2027</c:v>
                </c:pt>
                <c:pt idx="2">
                  <c:v>2028</c:v>
                </c:pt>
              </c:numCache>
            </c:numRef>
          </c:cat>
          <c:val>
            <c:numRef>
              <c:f>'Mod. egresos'!$B$10:$D$10</c:f>
              <c:numCache>
                <c:formatCode>_ [$$-2C0A]\ * #,##0.00_ ;_ [$$-2C0A]\ * \-#,##0.00_ ;_ [$$-2C0A]\ * "-"??_ ;_ @_ </c:formatCode>
                <c:ptCount val="3"/>
                <c:pt idx="0">
                  <c:v>25440</c:v>
                </c:pt>
                <c:pt idx="1">
                  <c:v>33300</c:v>
                </c:pt>
                <c:pt idx="2">
                  <c:v>37260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B5CC-4E70-8A05-EA3C3166975E}"/>
            </c:ext>
          </c:extLst>
        </c:ser>
        <c:ser>
          <c:idx val="1"/>
          <c:order val="1"/>
          <c:tx>
            <c:v>Costos variables</c:v>
          </c:tx>
          <c:spPr>
            <a:solidFill>
              <a:srgbClr val="FFC000"/>
            </a:solidFill>
            <a:ln cmpd="sng">
              <a:solidFill>
                <a:srgbClr val="000000"/>
              </a:solidFill>
              <a:prstDash val="solid"/>
            </a:ln>
          </c:spPr>
          <c:invertIfNegative val="1"/>
          <c:cat>
            <c:numRef>
              <c:f>'Mod. egresos'!$B$9:$D$9</c:f>
              <c:numCache>
                <c:formatCode>General</c:formatCode>
                <c:ptCount val="3"/>
                <c:pt idx="0">
                  <c:v>2026</c:v>
                </c:pt>
                <c:pt idx="1">
                  <c:v>2027</c:v>
                </c:pt>
                <c:pt idx="2">
                  <c:v>2028</c:v>
                </c:pt>
              </c:numCache>
            </c:numRef>
          </c:cat>
          <c:val>
            <c:numRef>
              <c:f>'Mod. egresos'!$B$11:$D$11</c:f>
              <c:numCache>
                <c:formatCode>_ [$$-2C0A]\ * #,##0.00_ ;_ [$$-2C0A]\ * \-#,##0.00_ ;_ [$$-2C0A]\ * "-"??_ ;_ @_ </c:formatCode>
                <c:ptCount val="3"/>
                <c:pt idx="0">
                  <c:v>5402</c:v>
                </c:pt>
                <c:pt idx="1">
                  <c:v>11065.9</c:v>
                </c:pt>
                <c:pt idx="2">
                  <c:v>17774.300000000003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1-B5CC-4E70-8A05-EA3C3166975E}"/>
            </c:ext>
          </c:extLst>
        </c:ser>
        <c:ser>
          <c:idx val="2"/>
          <c:order val="2"/>
          <c:tx>
            <c:v>Costos de RRHH</c:v>
          </c:tx>
          <c:spPr>
            <a:solidFill>
              <a:srgbClr val="70AD47"/>
            </a:solidFill>
            <a:ln cmpd="sng">
              <a:solidFill>
                <a:srgbClr val="000000"/>
              </a:solidFill>
              <a:prstDash val="solid"/>
            </a:ln>
          </c:spPr>
          <c:invertIfNegative val="1"/>
          <c:cat>
            <c:numRef>
              <c:f>'Mod. egresos'!$B$9:$D$9</c:f>
              <c:numCache>
                <c:formatCode>General</c:formatCode>
                <c:ptCount val="3"/>
                <c:pt idx="0">
                  <c:v>2026</c:v>
                </c:pt>
                <c:pt idx="1">
                  <c:v>2027</c:v>
                </c:pt>
                <c:pt idx="2">
                  <c:v>2028</c:v>
                </c:pt>
              </c:numCache>
            </c:numRef>
          </c:cat>
          <c:val>
            <c:numRef>
              <c:f>'Mod. egresos'!$B$12:$D$12</c:f>
              <c:numCache>
                <c:formatCode>_ [$$-2C0A]\ * #,##0.00_ ;_ [$$-2C0A]\ * \-#,##0.00_ ;_ [$$-2C0A]\ * "-"??_ ;_ @_ </c:formatCode>
                <c:ptCount val="3"/>
                <c:pt idx="0">
                  <c:v>122984.64000000001</c:v>
                </c:pt>
                <c:pt idx="1">
                  <c:v>150323.35999999999</c:v>
                </c:pt>
                <c:pt idx="2">
                  <c:v>183152.53000000003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2-B5CC-4E70-8A05-EA3C3166975E}"/>
            </c:ext>
          </c:extLst>
        </c:ser>
        <c:dLbls>
          <c:showLegendKey val="0"/>
          <c:showVal val="0"/>
          <c:showCatName val="0"/>
          <c:showSerName val="0"/>
          <c:showPercent val="0"/>
          <c:showBubbleSize val="0"/>
        </c:dLbls>
        <c:gapWidth val="150"/>
        <c:axId val="1818111440"/>
        <c:axId val="1818111984"/>
      </c:barChart>
      <c:lineChart>
        <c:grouping val="standard"/>
        <c:varyColors val="0"/>
        <c:ser>
          <c:idx val="3"/>
          <c:order val="3"/>
          <c:tx>
            <c:v>Costos totales</c:v>
          </c:tx>
          <c:spPr>
            <a:ln w="28575" cmpd="sng">
              <a:solidFill>
                <a:schemeClr val="accent2"/>
              </a:solidFill>
              <a:prstDash val="solid"/>
            </a:ln>
          </c:spPr>
          <c:marker>
            <c:symbol val="circle"/>
            <c:size val="5"/>
            <c:spPr>
              <a:solidFill>
                <a:schemeClr val="accent2"/>
              </a:solidFill>
              <a:ln cmpd="sng">
                <a:solidFill>
                  <a:schemeClr val="accent2"/>
                </a:solidFill>
                <a:prstDash val="solid"/>
              </a:ln>
            </c:spPr>
          </c:marker>
          <c:cat>
            <c:numRef>
              <c:f>'Mod. egresos'!$B$9:$D$9</c:f>
              <c:numCache>
                <c:formatCode>General</c:formatCode>
                <c:ptCount val="3"/>
                <c:pt idx="0">
                  <c:v>2026</c:v>
                </c:pt>
                <c:pt idx="1">
                  <c:v>2027</c:v>
                </c:pt>
                <c:pt idx="2">
                  <c:v>2028</c:v>
                </c:pt>
              </c:numCache>
            </c:numRef>
          </c:cat>
          <c:val>
            <c:numRef>
              <c:f>'Mod. egresos'!$B$13:$D$13</c:f>
              <c:numCache>
                <c:formatCode>_ [$$-2C0A]\ * #,##0.00_ ;_ [$$-2C0A]\ * \-#,##0.00_ ;_ [$$-2C0A]\ * "-"??_ ;_ @_ </c:formatCode>
                <c:ptCount val="3"/>
                <c:pt idx="0">
                  <c:v>153826.64000000001</c:v>
                </c:pt>
                <c:pt idx="1">
                  <c:v>194689.25999999998</c:v>
                </c:pt>
                <c:pt idx="2">
                  <c:v>238186.83000000002</c:v>
                </c:pt>
              </c:numCache>
            </c:numRef>
          </c:val>
          <c:smooth val="0"/>
          <c:extLst>
            <c:ext xmlns:c16="http://schemas.microsoft.com/office/drawing/2014/chart" uri="{C3380CC4-5D6E-409C-BE32-E72D297353CC}">
              <c16:uniqueId val="{00000003-B5CC-4E70-8A05-EA3C3166975E}"/>
            </c:ext>
          </c:extLst>
        </c:ser>
        <c:dLbls>
          <c:showLegendKey val="0"/>
          <c:showVal val="0"/>
          <c:showCatName val="0"/>
          <c:showSerName val="0"/>
          <c:showPercent val="0"/>
          <c:showBubbleSize val="0"/>
        </c:dLbls>
        <c:marker val="1"/>
        <c:smooth val="0"/>
        <c:axId val="1818111440"/>
        <c:axId val="1818111984"/>
      </c:lineChart>
      <c:catAx>
        <c:axId val="1818111440"/>
        <c:scaling>
          <c:orientation val="minMax"/>
        </c:scaling>
        <c:delete val="0"/>
        <c:axPos val="b"/>
        <c:numFmt formatCode="General" sourceLinked="1"/>
        <c:majorTickMark val="none"/>
        <c:minorTickMark val="none"/>
        <c:tickLblPos val="nextTo"/>
        <c:crossAx val="1818111984"/>
        <c:crosses val="autoZero"/>
        <c:auto val="1"/>
        <c:lblAlgn val="ctr"/>
        <c:lblOffset val="100"/>
        <c:noMultiLvlLbl val="1"/>
      </c:catAx>
      <c:valAx>
        <c:axId val="1818111984"/>
        <c:scaling>
          <c:orientation val="minMax"/>
        </c:scaling>
        <c:delete val="0"/>
        <c:axPos val="l"/>
        <c:majorGridlines>
          <c:spPr>
            <a:ln>
              <a:solidFill>
                <a:srgbClr val="B7B7B7"/>
              </a:solidFill>
              <a:prstDash val="solid"/>
            </a:ln>
          </c:spPr>
        </c:majorGridlines>
        <c:numFmt formatCode="_ [$$-2C0A]\ * #,##0.00_ ;_ [$$-2C0A]\ * \-#,##0.00_ ;_ [$$-2C0A]\ * &quot;-&quot;??_ ;_ @_ " sourceLinked="1"/>
        <c:majorTickMark val="none"/>
        <c:minorTickMark val="none"/>
        <c:tickLblPos val="nextTo"/>
        <c:spPr>
          <a:ln>
            <a:prstDash val="solid"/>
          </a:ln>
        </c:spPr>
        <c:crossAx val="1818111440"/>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s-AR" sz="1600"/>
              <a:t>Ingresos vs Egresos</a:t>
            </a:r>
          </a:p>
        </c:rich>
      </c:tx>
      <c:overlay val="0"/>
    </c:title>
    <c:autoTitleDeleted val="0"/>
    <c:plotArea>
      <c:layout/>
      <c:lineChart>
        <c:grouping val="standard"/>
        <c:varyColors val="1"/>
        <c:ser>
          <c:idx val="0"/>
          <c:order val="0"/>
          <c:tx>
            <c:v>Costos totales</c:v>
          </c:tx>
          <c:spPr>
            <a:ln w="38100" cmpd="sng">
              <a:solidFill>
                <a:schemeClr val="accent1"/>
              </a:solidFill>
              <a:prstDash val="solid"/>
            </a:ln>
          </c:spPr>
          <c:marker>
            <c:symbol val="none"/>
          </c:marker>
          <c:cat>
            <c:numRef>
              <c:f>'Mod. egresos'!$B$9:$D$9</c:f>
              <c:numCache>
                <c:formatCode>General</c:formatCode>
                <c:ptCount val="3"/>
                <c:pt idx="0">
                  <c:v>2026</c:v>
                </c:pt>
                <c:pt idx="1">
                  <c:v>2027</c:v>
                </c:pt>
                <c:pt idx="2">
                  <c:v>2028</c:v>
                </c:pt>
              </c:numCache>
            </c:numRef>
          </c:cat>
          <c:val>
            <c:numRef>
              <c:f>'Mod. egresos'!$B$13:$D$13</c:f>
              <c:numCache>
                <c:formatCode>_ [$$-2C0A]\ * #,##0.00_ ;_ [$$-2C0A]\ * \-#,##0.00_ ;_ [$$-2C0A]\ * "-"??_ ;_ @_ </c:formatCode>
                <c:ptCount val="3"/>
                <c:pt idx="0">
                  <c:v>153826.64000000001</c:v>
                </c:pt>
                <c:pt idx="1">
                  <c:v>194689.25999999998</c:v>
                </c:pt>
                <c:pt idx="2">
                  <c:v>238186.83000000002</c:v>
                </c:pt>
              </c:numCache>
            </c:numRef>
          </c:val>
          <c:smooth val="0"/>
          <c:extLst>
            <c:ext xmlns:c16="http://schemas.microsoft.com/office/drawing/2014/chart" uri="{C3380CC4-5D6E-409C-BE32-E72D297353CC}">
              <c16:uniqueId val="{00000000-3BE8-4A21-B784-916A4E1AC3C3}"/>
            </c:ext>
          </c:extLst>
        </c:ser>
        <c:ser>
          <c:idx val="1"/>
          <c:order val="1"/>
          <c:tx>
            <c:v>Objetivo ingresos</c:v>
          </c:tx>
          <c:spPr>
            <a:ln w="38100" cmpd="sng">
              <a:solidFill>
                <a:schemeClr val="accent2"/>
              </a:solidFill>
              <a:prstDash val="solid"/>
            </a:ln>
          </c:spPr>
          <c:marker>
            <c:symbol val="none"/>
          </c:marker>
          <c:cat>
            <c:numRef>
              <c:f>'Mod. egresos'!$B$9:$D$9</c:f>
              <c:numCache>
                <c:formatCode>General</c:formatCode>
                <c:ptCount val="3"/>
                <c:pt idx="0">
                  <c:v>2026</c:v>
                </c:pt>
                <c:pt idx="1">
                  <c:v>2027</c:v>
                </c:pt>
                <c:pt idx="2">
                  <c:v>2028</c:v>
                </c:pt>
              </c:numCache>
            </c:numRef>
          </c:cat>
          <c:val>
            <c:numRef>
              <c:f>'Mod. egresos'!$B$14:$D$14</c:f>
              <c:numCache>
                <c:formatCode>_ [$$-2C0A]\ * #,##0.00_ ;_ [$$-2C0A]\ * \-#,##0.00_ ;_ [$$-2C0A]\ * "-"??_ ;_ @_ </c:formatCode>
                <c:ptCount val="3"/>
                <c:pt idx="0">
                  <c:v>20863</c:v>
                </c:pt>
                <c:pt idx="1">
                  <c:v>79130</c:v>
                </c:pt>
                <c:pt idx="2">
                  <c:v>160047</c:v>
                </c:pt>
              </c:numCache>
            </c:numRef>
          </c:val>
          <c:smooth val="0"/>
          <c:extLst>
            <c:ext xmlns:c16="http://schemas.microsoft.com/office/drawing/2014/chart" uri="{C3380CC4-5D6E-409C-BE32-E72D297353CC}">
              <c16:uniqueId val="{00000001-3BE8-4A21-B784-916A4E1AC3C3}"/>
            </c:ext>
          </c:extLst>
        </c:ser>
        <c:dLbls>
          <c:showLegendKey val="0"/>
          <c:showVal val="0"/>
          <c:showCatName val="0"/>
          <c:showSerName val="0"/>
          <c:showPercent val="0"/>
          <c:showBubbleSize val="0"/>
        </c:dLbls>
        <c:smooth val="0"/>
        <c:axId val="1818113072"/>
        <c:axId val="1820185744"/>
      </c:lineChart>
      <c:catAx>
        <c:axId val="1818113072"/>
        <c:scaling>
          <c:orientation val="minMax"/>
        </c:scaling>
        <c:delete val="0"/>
        <c:axPos val="b"/>
        <c:numFmt formatCode="General" sourceLinked="1"/>
        <c:majorTickMark val="none"/>
        <c:minorTickMark val="none"/>
        <c:tickLblPos val="nextTo"/>
        <c:crossAx val="1820185744"/>
        <c:crosses val="autoZero"/>
        <c:auto val="1"/>
        <c:lblAlgn val="ctr"/>
        <c:lblOffset val="100"/>
        <c:noMultiLvlLbl val="1"/>
      </c:catAx>
      <c:valAx>
        <c:axId val="1820185744"/>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numFmt formatCode="_ [$$-2C0A]\ * #,##0.00_ ;_ [$$-2C0A]\ * \-#,##0.00_ ;_ [$$-2C0A]\ * &quot;-&quot;??_ ;_ @_ " sourceLinked="1"/>
        <c:majorTickMark val="none"/>
        <c:minorTickMark val="none"/>
        <c:tickLblPos val="nextTo"/>
        <c:spPr>
          <a:ln>
            <a:prstDash val="solid"/>
          </a:ln>
        </c:spPr>
        <c:crossAx val="1818113072"/>
        <c:crosses val="autoZero"/>
        <c:crossBetween val="between"/>
      </c:valAx>
    </c:plotArea>
    <c:legend>
      <c:legendPos val="t"/>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hyperlink" Target="#Indice!A1"/><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hyperlink" Target="#'Proy.%20ventas'!A1"/></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hyperlink" Target="#Indice!A1"/></Relationships>
</file>

<file path=xl/drawings/_rels/drawing6.xml.rels><?xml version="1.0" encoding="UTF-8" standalone="yes"?>
<Relationships xmlns="http://schemas.openxmlformats.org/package/2006/relationships"><Relationship Id="rId1" Type="http://schemas.openxmlformats.org/officeDocument/2006/relationships/hyperlink" Target="#Indice!A1"/></Relationships>
</file>

<file path=xl/drawings/_rels/drawing7.xml.rels><?xml version="1.0" encoding="UTF-8" standalone="yes"?>
<Relationships xmlns="http://schemas.openxmlformats.org/package/2006/relationships"><Relationship Id="rId1" Type="http://schemas.openxmlformats.org/officeDocument/2006/relationships/hyperlink" Target="#Indice!A1"/></Relationships>
</file>

<file path=xl/drawings/_rels/drawing8.xml.rels><?xml version="1.0" encoding="UTF-8" standalone="yes"?>
<Relationships xmlns="http://schemas.openxmlformats.org/package/2006/relationships"><Relationship Id="rId1" Type="http://schemas.openxmlformats.org/officeDocument/2006/relationships/hyperlink" Target="#Indice!A1"/></Relationships>
</file>

<file path=xl/drawings/_rels/drawing9.xml.rels><?xml version="1.0" encoding="UTF-8" standalone="yes"?>
<Relationships xmlns="http://schemas.openxmlformats.org/package/2006/relationships"><Relationship Id="rId3" Type="http://schemas.openxmlformats.org/officeDocument/2006/relationships/hyperlink" Target="#Indice!A1"/><Relationship Id="rId2" Type="http://schemas.openxmlformats.org/officeDocument/2006/relationships/chart" Target="../charts/chart12.xml"/><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3" Type="http://schemas.openxmlformats.org/officeDocument/2006/relationships/hyperlink" Target="#Indice!A1"/><Relationship Id="rId4" Type="http://schemas.openxmlformats.org/officeDocument/2006/relationships/image" Target="../media/image2.png"/><Relationship Id="rId5"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hyperlink" Target="#Indice!A1"/></Relationships>
</file>

<file path=xl/drawings/_rels/drawing12.xml.rels><?xml version="1.0" encoding="UTF-8" standalone="yes"?>
<Relationships xmlns="http://schemas.openxmlformats.org/package/2006/relationships"><Relationship Id="rId1" Type="http://schemas.openxmlformats.org/officeDocument/2006/relationships/hyperlink" Target="#Indice!A1"/></Relationships>
</file>

<file path=xl/drawings/_rels/drawing13.xml.rels><?xml version="1.0" encoding="UTF-8" standalone="yes"?>
<Relationships xmlns="http://schemas.openxmlformats.org/package/2006/relationships"><Relationship Id="rId1" Type="http://schemas.openxmlformats.org/officeDocument/2006/relationships/hyperlink" Target="#Indice!A1"/></Relationships>
</file>

<file path=xl/drawings/_rels/drawing14.xml.rels><?xml version="1.0" encoding="UTF-8" standalone="yes"?>
<Relationships xmlns="http://schemas.openxmlformats.org/package/2006/relationships"><Relationship Id="rId1" Type="http://schemas.openxmlformats.org/officeDocument/2006/relationships/hyperlink" Target="#Indice!A1"/></Relationships>
</file>

<file path=xl/drawings/_rels/drawing15.xml.rels><?xml version="1.0" encoding="UTF-8" standalone="yes"?>
<Relationships xmlns="http://schemas.openxmlformats.org/package/2006/relationships"><Relationship Id="rId1" Type="http://schemas.openxmlformats.org/officeDocument/2006/relationships/hyperlink" Target="#Indice!A1"/></Relationships>
</file>

<file path=xl/drawings/_rels/drawing16.xml.rels><?xml version="1.0" encoding="UTF-8" standalone="yes"?>
<Relationships xmlns="http://schemas.openxmlformats.org/package/2006/relationships"><Relationship Id="rId1" Type="http://schemas.openxmlformats.org/officeDocument/2006/relationships/hyperlink" Target="#Indice!A1"/></Relationships>
</file>

<file path=xl/drawings/_rels/drawing17.xml.rels><?xml version="1.0" encoding="UTF-8" standalone="yes"?>
<Relationships xmlns="http://schemas.openxmlformats.org/package/2006/relationships"><Relationship Id="rId1" Type="http://schemas.openxmlformats.org/officeDocument/2006/relationships/hyperlink" Target="#Indice!A1"/></Relationships>
</file>

<file path=xl/drawings/_rels/drawing18.xml.rels><?xml version="1.0" encoding="UTF-8" standalone="yes"?>
<Relationships xmlns="http://schemas.openxmlformats.org/package/2006/relationships"><Relationship Id="rId1" Type="http://schemas.openxmlformats.org/officeDocument/2006/relationships/hyperlink" Target="#Indice!A1"/></Relationships>
</file>

<file path=xl/drawings/_rels/drawing19.xml.rels><?xml version="1.0" encoding="UTF-8" standalone="yes"?>
<Relationships xmlns="http://schemas.openxmlformats.org/package/2006/relationships"><Relationship Id="rId1" Type="http://schemas.openxmlformats.org/officeDocument/2006/relationships/hyperlink" Target="#Indice!A1"/></Relationships>
</file>

<file path=xl/drawings/_rels/drawing20.xml.rels><?xml version="1.0" encoding="UTF-8" standalone="yes"?>
<Relationships xmlns="http://schemas.openxmlformats.org/package/2006/relationships"><Relationship Id="rId1" Type="http://schemas.openxmlformats.org/officeDocument/2006/relationships/hyperlink" Target="#Indice!A1"/></Relationships>
</file>

<file path=xl/drawings/drawing1.xml><?xml version="1.0" encoding="utf-8"?>
<xdr:wsDr xmlns:xdr="http://schemas.openxmlformats.org/drawingml/2006/spreadsheetDrawing" xmlns:a="http://schemas.openxmlformats.org/drawingml/2006/main">
  <xdr:oneCellAnchor>
    <xdr:from>
      <xdr:col>0</xdr:col>
      <xdr:colOff>628650</xdr:colOff>
      <xdr:row>2</xdr:row>
      <xdr:rowOff>9525</xdr:rowOff>
    </xdr:from>
    <xdr:ext cx="5619750" cy="904875"/>
    <xdr:pic>
      <xdr:nvPicPr>
        <xdr:cNvPr id="2" name="image1.png" descr="Resultado de imagen para uai">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341219</xdr:colOff>
      <xdr:row>16</xdr:row>
      <xdr:rowOff>74518</xdr:rowOff>
    </xdr:from>
    <xdr:ext cx="5969000" cy="381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685800</xdr:colOff>
      <xdr:row>0</xdr:row>
      <xdr:rowOff>219075</xdr:rowOff>
    </xdr:from>
    <xdr:ext cx="1600200" cy="304800"/>
    <xdr:sp macro="" textlink="">
      <xdr:nvSpPr>
        <xdr:cNvPr id="3" name="Shape 3">
          <a:hlinkClick xmlns:r="http://schemas.openxmlformats.org/officeDocument/2006/relationships" r:id="rId2"/>
          <a:extLst>
            <a:ext uri="{FF2B5EF4-FFF2-40B4-BE49-F238E27FC236}">
              <a16:creationId xmlns:a16="http://schemas.microsoft.com/office/drawing/2014/main" id="{66059B80-D946-47DF-8607-29F8B2012FA9}"/>
            </a:ext>
          </a:extLst>
        </xdr:cNvPr>
        <xdr:cNvSpPr/>
      </xdr:nvSpPr>
      <xdr:spPr>
        <a:xfrm>
          <a:off x="685800" y="219075"/>
          <a:ext cx="1600200"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30</xdr:col>
      <xdr:colOff>438150</xdr:colOff>
      <xdr:row>17</xdr:row>
      <xdr:rowOff>0</xdr:rowOff>
    </xdr:from>
    <xdr:ext cx="9239250" cy="59055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29</xdr:col>
      <xdr:colOff>495300</xdr:colOff>
      <xdr:row>83</xdr:row>
      <xdr:rowOff>171450</xdr:rowOff>
    </xdr:from>
    <xdr:ext cx="10210800" cy="5686425"/>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29</xdr:col>
      <xdr:colOff>361950</xdr:colOff>
      <xdr:row>142</xdr:row>
      <xdr:rowOff>38100</xdr:rowOff>
    </xdr:from>
    <xdr:ext cx="10106025" cy="5724525"/>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30</xdr:col>
      <xdr:colOff>323850</xdr:colOff>
      <xdr:row>42</xdr:row>
      <xdr:rowOff>114300</xdr:rowOff>
    </xdr:from>
    <xdr:ext cx="10144125" cy="6057900"/>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29</xdr:col>
      <xdr:colOff>514350</xdr:colOff>
      <xdr:row>110</xdr:row>
      <xdr:rowOff>47625</xdr:rowOff>
    </xdr:from>
    <xdr:ext cx="9953625" cy="4533900"/>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29</xdr:col>
      <xdr:colOff>342900</xdr:colOff>
      <xdr:row>170</xdr:row>
      <xdr:rowOff>85725</xdr:rowOff>
    </xdr:from>
    <xdr:ext cx="10477500" cy="5705475"/>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0</xdr:col>
      <xdr:colOff>552450</xdr:colOff>
      <xdr:row>0</xdr:row>
      <xdr:rowOff>152400</xdr:rowOff>
    </xdr:from>
    <xdr:ext cx="1647825" cy="361950"/>
    <xdr:sp macro="" textlink="">
      <xdr:nvSpPr>
        <xdr:cNvPr id="8" name="Shape 4">
          <a:hlinkClick xmlns:r="http://schemas.openxmlformats.org/officeDocument/2006/relationships" r:id="rId7"/>
          <a:extLst>
            <a:ext uri="{FF2B5EF4-FFF2-40B4-BE49-F238E27FC236}">
              <a16:creationId xmlns:a16="http://schemas.microsoft.com/office/drawing/2014/main" id="{AC5D9CD9-F1EF-4967-9F58-BB7659957F23}"/>
            </a:ext>
          </a:extLst>
        </xdr:cNvPr>
        <xdr:cNvSpPr/>
      </xdr:nvSpPr>
      <xdr:spPr>
        <a:xfrm>
          <a:off x="552450" y="152400"/>
          <a:ext cx="1647825" cy="36195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76200</xdr:colOff>
      <xdr:row>0</xdr:row>
      <xdr:rowOff>188595</xdr:rowOff>
    </xdr:from>
    <xdr:ext cx="1504950" cy="304800"/>
    <xdr:sp macro="" textlink="">
      <xdr:nvSpPr>
        <xdr:cNvPr id="2" name="Shape 5">
          <a:hlinkClick xmlns:r="http://schemas.openxmlformats.org/officeDocument/2006/relationships" r:id="rId1"/>
          <a:extLst>
            <a:ext uri="{FF2B5EF4-FFF2-40B4-BE49-F238E27FC236}">
              <a16:creationId xmlns:a16="http://schemas.microsoft.com/office/drawing/2014/main" id="{162F052D-898A-462E-B370-F80CB08E641C}"/>
            </a:ext>
          </a:extLst>
        </xdr:cNvPr>
        <xdr:cNvSpPr/>
      </xdr:nvSpPr>
      <xdr:spPr>
        <a:xfrm>
          <a:off x="1958340" y="188595"/>
          <a:ext cx="1504950"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 Proy. ventas</a:t>
          </a:r>
          <a:endParaRPr sz="1400"/>
        </a:p>
      </xdr:txBody>
    </xdr:sp>
    <xdr:clientData fLocksWithSheet="0"/>
  </xdr:oneCellAnchor>
  <xdr:oneCellAnchor>
    <xdr:from>
      <xdr:col>0</xdr:col>
      <xdr:colOff>95250</xdr:colOff>
      <xdr:row>0</xdr:row>
      <xdr:rowOff>188595</xdr:rowOff>
    </xdr:from>
    <xdr:ext cx="1133475" cy="304800"/>
    <xdr:sp macro="" textlink="">
      <xdr:nvSpPr>
        <xdr:cNvPr id="3" name="Shape 6">
          <a:hlinkClick xmlns:r="http://schemas.openxmlformats.org/officeDocument/2006/relationships" r:id="rId2"/>
          <a:extLst>
            <a:ext uri="{FF2B5EF4-FFF2-40B4-BE49-F238E27FC236}">
              <a16:creationId xmlns:a16="http://schemas.microsoft.com/office/drawing/2014/main" id="{D5FBF434-6865-4774-BFD0-1CFCA5C1324C}"/>
            </a:ext>
          </a:extLst>
        </xdr:cNvPr>
        <xdr:cNvSpPr/>
      </xdr:nvSpPr>
      <xdr:spPr>
        <a:xfrm>
          <a:off x="95250" y="188595"/>
          <a:ext cx="113347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11</xdr:col>
      <xdr:colOff>295275</xdr:colOff>
      <xdr:row>2</xdr:row>
      <xdr:rowOff>180975</xdr:rowOff>
    </xdr:from>
    <xdr:ext cx="5969000" cy="4064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11</xdr:col>
      <xdr:colOff>285750</xdr:colOff>
      <xdr:row>41</xdr:row>
      <xdr:rowOff>9525</xdr:rowOff>
    </xdr:from>
    <xdr:ext cx="5969000" cy="406400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95250</xdr:colOff>
      <xdr:row>41</xdr:row>
      <xdr:rowOff>9525</xdr:rowOff>
    </xdr:from>
    <xdr:ext cx="5969000" cy="4064000"/>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733425</xdr:colOff>
      <xdr:row>0</xdr:row>
      <xdr:rowOff>188595</xdr:rowOff>
    </xdr:from>
    <xdr:ext cx="2409825" cy="304800"/>
    <xdr:sp macro="" textlink="">
      <xdr:nvSpPr>
        <xdr:cNvPr id="5" name="Shape 7">
          <a:hlinkClick xmlns:r="http://schemas.openxmlformats.org/officeDocument/2006/relationships" r:id="rId4"/>
          <a:extLst>
            <a:ext uri="{FF2B5EF4-FFF2-40B4-BE49-F238E27FC236}">
              <a16:creationId xmlns:a16="http://schemas.microsoft.com/office/drawing/2014/main" id="{BDFE8989-F658-4524-8061-C19691287BC6}"/>
            </a:ext>
          </a:extLst>
        </xdr:cNvPr>
        <xdr:cNvSpPr/>
      </xdr:nvSpPr>
      <xdr:spPr>
        <a:xfrm>
          <a:off x="733425" y="188595"/>
          <a:ext cx="24098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733425</xdr:colOff>
      <xdr:row>0</xdr:row>
      <xdr:rowOff>188595</xdr:rowOff>
    </xdr:from>
    <xdr:ext cx="1457325" cy="304800"/>
    <xdr:sp macro="" textlink="">
      <xdr:nvSpPr>
        <xdr:cNvPr id="2" name="Shape 8">
          <a:hlinkClick xmlns:r="http://schemas.openxmlformats.org/officeDocument/2006/relationships" r:id="rId1"/>
          <a:extLst>
            <a:ext uri="{FF2B5EF4-FFF2-40B4-BE49-F238E27FC236}">
              <a16:creationId xmlns:a16="http://schemas.microsoft.com/office/drawing/2014/main" id="{4F7696C8-F2BA-4F37-90CB-6EBBFD83E776}"/>
            </a:ext>
          </a:extLst>
        </xdr:cNvPr>
        <xdr:cNvSpPr/>
      </xdr:nvSpPr>
      <xdr:spPr>
        <a:xfrm>
          <a:off x="733425" y="188595"/>
          <a:ext cx="14573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733425</xdr:colOff>
      <xdr:row>0</xdr:row>
      <xdr:rowOff>188595</xdr:rowOff>
    </xdr:from>
    <xdr:ext cx="3752850" cy="304800"/>
    <xdr:sp macro="" textlink="">
      <xdr:nvSpPr>
        <xdr:cNvPr id="2" name="Shape 9">
          <a:hlinkClick xmlns:r="http://schemas.openxmlformats.org/officeDocument/2006/relationships" r:id="rId1"/>
          <a:extLst>
            <a:ext uri="{FF2B5EF4-FFF2-40B4-BE49-F238E27FC236}">
              <a16:creationId xmlns:a16="http://schemas.microsoft.com/office/drawing/2014/main" id="{7D53960E-0992-4F57-8406-A53326995A42}"/>
            </a:ext>
          </a:extLst>
        </xdr:cNvPr>
        <xdr:cNvSpPr/>
      </xdr:nvSpPr>
      <xdr:spPr>
        <a:xfrm>
          <a:off x="733425" y="188595"/>
          <a:ext cx="3752850"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2514600" cy="304800"/>
    <xdr:sp macro="" textlink="">
      <xdr:nvSpPr>
        <xdr:cNvPr id="2" name="Shape 10">
          <a:hlinkClick xmlns:r="http://schemas.openxmlformats.org/officeDocument/2006/relationships" r:id="rId1"/>
          <a:extLst>
            <a:ext uri="{FF2B5EF4-FFF2-40B4-BE49-F238E27FC236}">
              <a16:creationId xmlns:a16="http://schemas.microsoft.com/office/drawing/2014/main" id="{4976E140-C77B-4E7E-823B-D89E75BFDD55}"/>
            </a:ext>
          </a:extLst>
        </xdr:cNvPr>
        <xdr:cNvSpPr/>
      </xdr:nvSpPr>
      <xdr:spPr>
        <a:xfrm>
          <a:off x="0" y="0"/>
          <a:ext cx="2514600"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254000</xdr:colOff>
      <xdr:row>44</xdr:row>
      <xdr:rowOff>98425</xdr:rowOff>
    </xdr:from>
    <xdr:ext cx="5969000" cy="4064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457200</xdr:colOff>
      <xdr:row>44</xdr:row>
      <xdr:rowOff>98425</xdr:rowOff>
    </xdr:from>
    <xdr:ext cx="5969000" cy="4064000"/>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499110</xdr:colOff>
      <xdr:row>0</xdr:row>
      <xdr:rowOff>390525</xdr:rowOff>
    </xdr:from>
    <xdr:ext cx="1181100" cy="190500"/>
    <xdr:sp macro="" textlink="">
      <xdr:nvSpPr>
        <xdr:cNvPr id="4" name="Shape 11">
          <a:hlinkClick xmlns:r="http://schemas.openxmlformats.org/officeDocument/2006/relationships" r:id="rId3"/>
          <a:extLst>
            <a:ext uri="{FF2B5EF4-FFF2-40B4-BE49-F238E27FC236}">
              <a16:creationId xmlns:a16="http://schemas.microsoft.com/office/drawing/2014/main" id="{9B289220-0C1B-4159-804C-DEDFB858237D}"/>
            </a:ext>
          </a:extLst>
        </xdr:cNvPr>
        <xdr:cNvSpPr/>
      </xdr:nvSpPr>
      <xdr:spPr>
        <a:xfrm>
          <a:off x="4766310" y="390525"/>
          <a:ext cx="1181100" cy="1905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dr:from>
      <xdr:col>1</xdr:col>
      <xdr:colOff>180975</xdr:colOff>
      <xdr:row>0</xdr:row>
      <xdr:rowOff>190500</xdr:rowOff>
    </xdr:from>
    <xdr:ext cx="3638550" cy="304800"/>
    <xdr:sp macro="" textlink="">
      <xdr:nvSpPr>
        <xdr:cNvPr id="3" name="Shape 12">
          <a:hlinkClick xmlns:r="http://schemas.openxmlformats.org/officeDocument/2006/relationships" r:id="rId3"/>
          <a:extLst>
            <a:ext uri="{FF2B5EF4-FFF2-40B4-BE49-F238E27FC236}">
              <a16:creationId xmlns:a16="http://schemas.microsoft.com/office/drawing/2014/main" id="{3A371924-91B4-470B-932A-3D7D6B2D0A62}"/>
            </a:ext>
          </a:extLst>
        </xdr:cNvPr>
        <xdr:cNvSpPr/>
      </xdr:nvSpPr>
      <xdr:spPr>
        <a:xfrm>
          <a:off x="942975" y="190500"/>
          <a:ext cx="3638550"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oneCellAnchor>
    <xdr:from>
      <xdr:col>7</xdr:col>
      <xdr:colOff>0</xdr:colOff>
      <xdr:row>8</xdr:row>
      <xdr:rowOff>0</xdr:rowOff>
    </xdr:from>
    <xdr:ext cx="7920000" cy="911083"/>
    <xdr:pic>
      <xdr:nvPicPr>
        <xdr:cNvPr id="102" name="Informe de recursos de Microsoft Project"/>
        <xdr:cNvPicPr>
          <a:picLocks noChangeAspect="1"/>
        </xdr:cNvPicPr>
      </xdr:nvPicPr>
      <xdr:blipFill>
        <a:blip r:embed="rId4"/>
        <a:stretch>
          <a:fillRect/>
        </a:stretch>
      </xdr:blipFill>
      <xdr:spPr>
        <a:xfrm>
          <a:off x="0" y="0"/>
          <a:ext cx="7920000" cy="911083"/>
        </a:xfrm>
        <a:prstGeom prst="rect">
          <a:avLst/>
        </a:prstGeom>
      </xdr:spPr>
    </xdr:pic>
    <xdr:clientData/>
  </xdr:oneCellAnchor>
  <xdr:oneCellAnchor>
    <xdr:from>
      <xdr:col>7</xdr:col>
      <xdr:colOff>0</xdr:colOff>
      <xdr:row>29</xdr:row>
      <xdr:rowOff>0</xdr:rowOff>
    </xdr:from>
    <xdr:ext cx="4320000" cy="2592000"/>
    <xdr:pic>
      <xdr:nvPicPr>
        <xdr:cNvPr id="103" name="Inversión por año"/>
        <xdr:cNvPicPr>
          <a:picLocks noChangeAspect="1"/>
        </xdr:cNvPicPr>
      </xdr:nvPicPr>
      <xdr:blipFill>
        <a:blip r:embed="rId5"/>
        <a:stretch>
          <a:fillRect/>
        </a:stretch>
      </xdr:blipFill>
      <xdr:spPr>
        <a:xfrm>
          <a:off x="0" y="0"/>
          <a:ext cx="4320000" cy="25920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733425</xdr:colOff>
      <xdr:row>0</xdr:row>
      <xdr:rowOff>0</xdr:rowOff>
    </xdr:from>
    <xdr:ext cx="1733550" cy="304800"/>
    <xdr:sp macro="" textlink="">
      <xdr:nvSpPr>
        <xdr:cNvPr id="2" name="Shape 13">
          <a:hlinkClick xmlns:r="http://schemas.openxmlformats.org/officeDocument/2006/relationships" r:id="rId1"/>
          <a:extLst>
            <a:ext uri="{FF2B5EF4-FFF2-40B4-BE49-F238E27FC236}">
              <a16:creationId xmlns:a16="http://schemas.microsoft.com/office/drawing/2014/main" id="{D7E2B6A7-DFE5-4D73-9B29-068A037FE6D3}"/>
            </a:ext>
          </a:extLst>
        </xdr:cNvPr>
        <xdr:cNvSpPr/>
      </xdr:nvSpPr>
      <xdr:spPr>
        <a:xfrm>
          <a:off x="733425" y="0"/>
          <a:ext cx="1733550"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0</xdr:row>
      <xdr:rowOff>219075</xdr:rowOff>
    </xdr:from>
    <xdr:ext cx="828675" cy="304800"/>
    <xdr:sp macro="" textlink="">
      <xdr:nvSpPr>
        <xdr:cNvPr id="2" name="Shape 14">
          <a:hlinkClick xmlns:r="http://schemas.openxmlformats.org/officeDocument/2006/relationships" r:id="rId1"/>
          <a:extLst>
            <a:ext uri="{FF2B5EF4-FFF2-40B4-BE49-F238E27FC236}">
              <a16:creationId xmlns:a16="http://schemas.microsoft.com/office/drawing/2014/main" id="{CABCD5C0-BA28-40C9-9485-BC884308416B}"/>
            </a:ext>
          </a:extLst>
        </xdr:cNvPr>
        <xdr:cNvSpPr/>
      </xdr:nvSpPr>
      <xdr:spPr>
        <a:xfrm>
          <a:off x="0" y="219075"/>
          <a:ext cx="82867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0</xdr:col>
      <xdr:colOff>733425</xdr:colOff>
      <xdr:row>0</xdr:row>
      <xdr:rowOff>188595</xdr:rowOff>
    </xdr:from>
    <xdr:ext cx="1457325" cy="304800"/>
    <xdr:sp macro="" textlink="">
      <xdr:nvSpPr>
        <xdr:cNvPr id="2" name="Shape 8">
          <a:hlinkClick xmlns:r="http://schemas.openxmlformats.org/officeDocument/2006/relationships" r:id="rId1"/>
          <a:extLst>
            <a:ext uri="{FF2B5EF4-FFF2-40B4-BE49-F238E27FC236}">
              <a16:creationId xmlns:a16="http://schemas.microsoft.com/office/drawing/2014/main" id="{4F7696C8-F2BA-4F37-90CB-6EBBFD83E776}"/>
            </a:ext>
          </a:extLst>
        </xdr:cNvPr>
        <xdr:cNvSpPr/>
      </xdr:nvSpPr>
      <xdr:spPr>
        <a:xfrm>
          <a:off x="733425" y="188595"/>
          <a:ext cx="14573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0</xdr:col>
      <xdr:colOff>733425</xdr:colOff>
      <xdr:row>0</xdr:row>
      <xdr:rowOff>188595</xdr:rowOff>
    </xdr:from>
    <xdr:ext cx="1457325" cy="304800"/>
    <xdr:sp macro="" textlink="">
      <xdr:nvSpPr>
        <xdr:cNvPr id="2" name="Shape 8">
          <a:hlinkClick xmlns:r="http://schemas.openxmlformats.org/officeDocument/2006/relationships" r:id="rId1"/>
          <a:extLst>
            <a:ext uri="{FF2B5EF4-FFF2-40B4-BE49-F238E27FC236}">
              <a16:creationId xmlns:a16="http://schemas.microsoft.com/office/drawing/2014/main" id="{4F7696C8-F2BA-4F37-90CB-6EBBFD83E776}"/>
            </a:ext>
          </a:extLst>
        </xdr:cNvPr>
        <xdr:cNvSpPr/>
      </xdr:nvSpPr>
      <xdr:spPr>
        <a:xfrm>
          <a:off x="733425" y="188595"/>
          <a:ext cx="14573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0</xdr:col>
      <xdr:colOff>733425</xdr:colOff>
      <xdr:row>0</xdr:row>
      <xdr:rowOff>188595</xdr:rowOff>
    </xdr:from>
    <xdr:ext cx="1457325" cy="304800"/>
    <xdr:sp macro="" textlink="">
      <xdr:nvSpPr>
        <xdr:cNvPr id="2" name="Shape 8">
          <a:hlinkClick xmlns:r="http://schemas.openxmlformats.org/officeDocument/2006/relationships" r:id="rId1"/>
          <a:extLst>
            <a:ext uri="{FF2B5EF4-FFF2-40B4-BE49-F238E27FC236}">
              <a16:creationId xmlns:a16="http://schemas.microsoft.com/office/drawing/2014/main" id="{4F7696C8-F2BA-4F37-90CB-6EBBFD83E776}"/>
            </a:ext>
          </a:extLst>
        </xdr:cNvPr>
        <xdr:cNvSpPr/>
      </xdr:nvSpPr>
      <xdr:spPr>
        <a:xfrm>
          <a:off x="733425" y="188595"/>
          <a:ext cx="14573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6.xml><?xml version="1.0" encoding="utf-8"?>
<xdr:wsDr xmlns:xdr="http://schemas.openxmlformats.org/drawingml/2006/spreadsheetDrawing" xmlns:a="http://schemas.openxmlformats.org/drawingml/2006/main">
  <xdr:oneCellAnchor>
    <xdr:from>
      <xdr:col>0</xdr:col>
      <xdr:colOff>733425</xdr:colOff>
      <xdr:row>0</xdr:row>
      <xdr:rowOff>188595</xdr:rowOff>
    </xdr:from>
    <xdr:ext cx="1457325" cy="304800"/>
    <xdr:sp macro="" textlink="">
      <xdr:nvSpPr>
        <xdr:cNvPr id="2" name="Shape 8">
          <a:hlinkClick xmlns:r="http://schemas.openxmlformats.org/officeDocument/2006/relationships" r:id="rId1"/>
          <a:extLst>
            <a:ext uri="{FF2B5EF4-FFF2-40B4-BE49-F238E27FC236}">
              <a16:creationId xmlns:a16="http://schemas.microsoft.com/office/drawing/2014/main" id="{4F7696C8-F2BA-4F37-90CB-6EBBFD83E776}"/>
            </a:ext>
          </a:extLst>
        </xdr:cNvPr>
        <xdr:cNvSpPr/>
      </xdr:nvSpPr>
      <xdr:spPr>
        <a:xfrm>
          <a:off x="733425" y="188595"/>
          <a:ext cx="14573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7.xml><?xml version="1.0" encoding="utf-8"?>
<xdr:wsDr xmlns:xdr="http://schemas.openxmlformats.org/drawingml/2006/spreadsheetDrawing" xmlns:a="http://schemas.openxmlformats.org/drawingml/2006/main">
  <xdr:oneCellAnchor>
    <xdr:from>
      <xdr:col>0</xdr:col>
      <xdr:colOff>733425</xdr:colOff>
      <xdr:row>0</xdr:row>
      <xdr:rowOff>188595</xdr:rowOff>
    </xdr:from>
    <xdr:ext cx="1457325" cy="304800"/>
    <xdr:sp macro="" textlink="">
      <xdr:nvSpPr>
        <xdr:cNvPr id="2" name="Shape 8">
          <a:hlinkClick xmlns:r="http://schemas.openxmlformats.org/officeDocument/2006/relationships" r:id="rId1"/>
          <a:extLst>
            <a:ext uri="{FF2B5EF4-FFF2-40B4-BE49-F238E27FC236}">
              <a16:creationId xmlns:a16="http://schemas.microsoft.com/office/drawing/2014/main" id="{4F7696C8-F2BA-4F37-90CB-6EBBFD83E776}"/>
            </a:ext>
          </a:extLst>
        </xdr:cNvPr>
        <xdr:cNvSpPr/>
      </xdr:nvSpPr>
      <xdr:spPr>
        <a:xfrm>
          <a:off x="733425" y="188595"/>
          <a:ext cx="14573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8.xml><?xml version="1.0" encoding="utf-8"?>
<xdr:wsDr xmlns:xdr="http://schemas.openxmlformats.org/drawingml/2006/spreadsheetDrawing" xmlns:a="http://schemas.openxmlformats.org/drawingml/2006/main">
  <xdr:oneCellAnchor>
    <xdr:from>
      <xdr:col>0</xdr:col>
      <xdr:colOff>733425</xdr:colOff>
      <xdr:row>0</xdr:row>
      <xdr:rowOff>188595</xdr:rowOff>
    </xdr:from>
    <xdr:ext cx="1457325" cy="304800"/>
    <xdr:sp macro="" textlink="">
      <xdr:nvSpPr>
        <xdr:cNvPr id="2" name="Shape 8">
          <a:hlinkClick xmlns:r="http://schemas.openxmlformats.org/officeDocument/2006/relationships" r:id="rId1"/>
          <a:extLst>
            <a:ext uri="{FF2B5EF4-FFF2-40B4-BE49-F238E27FC236}">
              <a16:creationId xmlns:a16="http://schemas.microsoft.com/office/drawing/2014/main" id="{4F7696C8-F2BA-4F37-90CB-6EBBFD83E776}"/>
            </a:ext>
          </a:extLst>
        </xdr:cNvPr>
        <xdr:cNvSpPr/>
      </xdr:nvSpPr>
      <xdr:spPr>
        <a:xfrm>
          <a:off x="733425" y="188595"/>
          <a:ext cx="14573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9.xml><?xml version="1.0" encoding="utf-8"?>
<xdr:wsDr xmlns:xdr="http://schemas.openxmlformats.org/drawingml/2006/spreadsheetDrawing" xmlns:a="http://schemas.openxmlformats.org/drawingml/2006/main">
  <xdr:oneCellAnchor>
    <xdr:from>
      <xdr:col>0</xdr:col>
      <xdr:colOff>733425</xdr:colOff>
      <xdr:row>0</xdr:row>
      <xdr:rowOff>188595</xdr:rowOff>
    </xdr:from>
    <xdr:ext cx="1457325" cy="304800"/>
    <xdr:sp macro="" textlink="">
      <xdr:nvSpPr>
        <xdr:cNvPr id="2" name="Shape 8">
          <a:hlinkClick xmlns:r="http://schemas.openxmlformats.org/officeDocument/2006/relationships" r:id="rId1"/>
          <a:extLst>
            <a:ext uri="{FF2B5EF4-FFF2-40B4-BE49-F238E27FC236}">
              <a16:creationId xmlns:a16="http://schemas.microsoft.com/office/drawing/2014/main" id="{4F7696C8-F2BA-4F37-90CB-6EBBFD83E776}"/>
            </a:ext>
          </a:extLst>
        </xdr:cNvPr>
        <xdr:cNvSpPr/>
      </xdr:nvSpPr>
      <xdr:spPr>
        <a:xfrm>
          <a:off x="733425" y="188595"/>
          <a:ext cx="14573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20.xml><?xml version="1.0" encoding="utf-8"?>
<xdr:wsDr xmlns:xdr="http://schemas.openxmlformats.org/drawingml/2006/spreadsheetDrawing" xmlns:a="http://schemas.openxmlformats.org/drawingml/2006/main">
  <xdr:oneCellAnchor>
    <xdr:from>
      <xdr:col>0</xdr:col>
      <xdr:colOff>733425</xdr:colOff>
      <xdr:row>0</xdr:row>
      <xdr:rowOff>188595</xdr:rowOff>
    </xdr:from>
    <xdr:ext cx="1457325" cy="304800"/>
    <xdr:sp macro="" textlink="">
      <xdr:nvSpPr>
        <xdr:cNvPr id="2" name="Shape 8">
          <a:hlinkClick xmlns:r="http://schemas.openxmlformats.org/officeDocument/2006/relationships" r:id="rId1"/>
          <a:extLst>
            <a:ext uri="{FF2B5EF4-FFF2-40B4-BE49-F238E27FC236}">
              <a16:creationId xmlns:a16="http://schemas.microsoft.com/office/drawing/2014/main" id="{4F7696C8-F2BA-4F37-90CB-6EBBFD83E776}"/>
            </a:ext>
          </a:extLst>
        </xdr:cNvPr>
        <xdr:cNvSpPr/>
      </xdr:nvSpPr>
      <xdr:spPr>
        <a:xfrm>
          <a:off x="733425" y="188595"/>
          <a:ext cx="14573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
<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s>
</file>

<file path=xl/worksheets/_rels/sheet3.xml.rels><?xml version="1.0" encoding="UTF-8"?>
<Relationships xmlns="http://schemas.openxmlformats.org/package/2006/relationships">
<Relationship Id="rId1" Type="http://schemas.openxmlformats.org/officeDocument/2006/relationships/drawing" Target="../drawings/drawing2.xml"/></Relationships>
</file>

<file path=xl/worksheets/_rels/sheet4.xml.rels><?xml version="1.0" encoding="UTF-8"?>
<Relationships xmlns="http://schemas.openxmlformats.org/package/2006/relationships">
<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Relationships xmlns="http://schemas.openxmlformats.org/package/2006/relationships">
<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Relationships xmlns="http://schemas.openxmlformats.org/package/2006/relationships">
<Relationship Id="rId1" Type="http://schemas.openxmlformats.org/officeDocument/2006/relationships/drawing" Target="../drawings/drawing9.xml"/></Relationships>
</file>

<file path=xl/worksheets/_rels/sheet11.xml.rels><?xml version="1.0" encoding="UTF-8"?>
<Relationships xmlns="http://schemas.openxmlformats.org/package/2006/relationships">
<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7" activeCellId="0" sqref="C27"/>
    </sheetView>
  </sheetViews>
  <sheetFormatPr defaultColWidth="12.66796875" defaultRowHeight="15" customHeight="true" zeroHeight="false" outlineLevelRow="0" outlineLevelCol="0"/>
  <cols>
    <col collapsed="false" customWidth="true" hidden="false" outlineLevel="0" max="1" min="1" style="1" width="10"/>
    <col collapsed="false" customWidth="true" hidden="false" outlineLevel="0" max="2" min="2" style="1" width="11"/>
    <col collapsed="false" customWidth="true" hidden="false" outlineLevel="0" max="23" min="3" style="1" width="10"/>
  </cols>
  <sheetData>
    <row r="1" customFormat="false" ht="14.25"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row>
    <row r="2" customFormat="false" ht="14.25" hidden="false" customHeight="true" outlineLevel="0" collapsed="false">
      <c r="A2" s="2"/>
      <c r="B2" s="2"/>
      <c r="C2" s="2"/>
      <c r="D2" s="2"/>
      <c r="E2" s="2"/>
      <c r="F2" s="2"/>
      <c r="G2" s="2"/>
      <c r="H2" s="2"/>
      <c r="I2" s="2"/>
      <c r="J2" s="2"/>
      <c r="K2" s="2"/>
      <c r="L2" s="2"/>
      <c r="M2" s="2"/>
      <c r="N2" s="2"/>
      <c r="O2" s="2"/>
      <c r="P2" s="2"/>
      <c r="Q2" s="2"/>
      <c r="R2" s="2"/>
      <c r="S2" s="2"/>
      <c r="T2" s="2"/>
      <c r="U2" s="2"/>
      <c r="V2" s="2"/>
      <c r="W2" s="2"/>
      <c r="X2" s="2"/>
      <c r="Y2" s="2"/>
      <c r="Z2" s="2"/>
    </row>
    <row r="3" customFormat="false" ht="14.25" hidden="false" customHeight="tru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14.25" hidden="false" customHeight="true" outlineLevel="0" collapsed="false">
      <c r="A4" s="2"/>
      <c r="B4" s="2"/>
      <c r="C4" s="2"/>
      <c r="D4" s="2"/>
      <c r="E4" s="2"/>
      <c r="F4" s="2"/>
      <c r="G4" s="2"/>
      <c r="H4" s="2"/>
      <c r="I4" s="2"/>
      <c r="J4" s="2"/>
      <c r="K4" s="2"/>
      <c r="L4" s="2"/>
      <c r="M4" s="2"/>
      <c r="N4" s="2"/>
      <c r="O4" s="2"/>
      <c r="P4" s="2"/>
      <c r="Q4" s="2"/>
      <c r="R4" s="2"/>
      <c r="S4" s="2"/>
      <c r="T4" s="2"/>
      <c r="U4" s="2"/>
      <c r="V4" s="2"/>
      <c r="W4" s="2"/>
      <c r="X4" s="2"/>
      <c r="Y4" s="2"/>
      <c r="Z4" s="2"/>
    </row>
    <row r="5" customFormat="false" ht="14.25" hidden="false" customHeight="true" outlineLevel="0" collapsed="false">
      <c r="A5" s="2"/>
      <c r="B5" s="2"/>
      <c r="C5" s="2"/>
      <c r="D5" s="2"/>
      <c r="E5" s="2"/>
      <c r="F5" s="2"/>
      <c r="G5" s="2"/>
      <c r="H5" s="2"/>
      <c r="I5" s="2"/>
      <c r="J5" s="2"/>
      <c r="K5" s="2"/>
      <c r="L5" s="2"/>
      <c r="M5" s="2"/>
      <c r="N5" s="2"/>
      <c r="O5" s="2"/>
      <c r="P5" s="2"/>
      <c r="Q5" s="2"/>
      <c r="R5" s="2"/>
      <c r="S5" s="2"/>
      <c r="T5" s="2"/>
      <c r="U5" s="2"/>
      <c r="V5" s="2"/>
      <c r="W5" s="2"/>
      <c r="X5" s="2"/>
      <c r="Y5" s="2"/>
      <c r="Z5" s="2"/>
    </row>
    <row r="6" customFormat="false" ht="14.25" hidden="false" customHeight="true" outlineLevel="0" collapsed="false">
      <c r="A6" s="2"/>
      <c r="B6" s="2"/>
      <c r="C6" s="2"/>
      <c r="D6" s="2"/>
      <c r="E6" s="2"/>
      <c r="F6" s="2"/>
      <c r="G6" s="2"/>
      <c r="H6" s="2"/>
      <c r="I6" s="2"/>
      <c r="J6" s="2"/>
      <c r="K6" s="2"/>
      <c r="L6" s="2"/>
      <c r="M6" s="2"/>
      <c r="N6" s="2"/>
      <c r="O6" s="2"/>
      <c r="P6" s="2"/>
      <c r="Q6" s="2"/>
      <c r="R6" s="2"/>
      <c r="S6" s="2"/>
      <c r="T6" s="2"/>
      <c r="U6" s="2"/>
      <c r="V6" s="2"/>
      <c r="W6" s="2"/>
      <c r="X6" s="2"/>
      <c r="Y6" s="2"/>
      <c r="Z6" s="2"/>
    </row>
    <row r="7" customFormat="false" ht="14.25" hidden="false" customHeight="true" outlineLevel="0" collapsed="false">
      <c r="A7" s="2"/>
      <c r="B7" s="2"/>
      <c r="C7" s="2"/>
      <c r="D7" s="2"/>
      <c r="E7" s="2"/>
      <c r="F7" s="2"/>
      <c r="G7" s="2"/>
      <c r="H7" s="2"/>
      <c r="I7" s="2"/>
      <c r="J7" s="2"/>
      <c r="K7" s="2"/>
      <c r="L7" s="2"/>
      <c r="M7" s="2"/>
      <c r="N7" s="2"/>
      <c r="O7" s="2"/>
      <c r="P7" s="2"/>
      <c r="Q7" s="2"/>
      <c r="R7" s="2"/>
      <c r="S7" s="2"/>
      <c r="T7" s="2"/>
      <c r="U7" s="2"/>
      <c r="V7" s="2"/>
      <c r="W7" s="2"/>
      <c r="X7" s="2"/>
      <c r="Y7" s="2"/>
      <c r="Z7" s="2"/>
    </row>
    <row r="8" customFormat="false" ht="14.25" hidden="false" customHeight="true" outlineLevel="0" collapsed="false">
      <c r="A8" s="2"/>
      <c r="B8" s="2"/>
      <c r="C8" s="2"/>
      <c r="D8" s="2"/>
      <c r="E8" s="2"/>
      <c r="F8" s="2"/>
      <c r="G8" s="2"/>
      <c r="H8" s="2"/>
      <c r="I8" s="2"/>
      <c r="J8" s="2"/>
      <c r="K8" s="2"/>
      <c r="L8" s="2"/>
      <c r="M8" s="2"/>
      <c r="N8" s="2"/>
      <c r="O8" s="2"/>
      <c r="P8" s="2"/>
      <c r="Q8" s="2"/>
      <c r="R8" s="2"/>
      <c r="S8" s="2"/>
      <c r="T8" s="2"/>
      <c r="U8" s="2"/>
      <c r="V8" s="2"/>
      <c r="W8" s="2"/>
      <c r="X8" s="2"/>
      <c r="Y8" s="2"/>
      <c r="Z8" s="2"/>
    </row>
    <row r="9" customFormat="false" ht="28.5" hidden="false" customHeight="true" outlineLevel="0" collapsed="false">
      <c r="A9" s="2"/>
      <c r="B9" s="2"/>
      <c r="C9" s="3" t="s">
        <v>0</v>
      </c>
      <c r="D9" s="2"/>
      <c r="E9" s="2"/>
      <c r="F9" s="2"/>
      <c r="G9" s="2"/>
      <c r="H9" s="2"/>
      <c r="I9" s="2"/>
      <c r="J9" s="2"/>
      <c r="K9" s="2"/>
      <c r="L9" s="2"/>
      <c r="M9" s="2"/>
      <c r="N9" s="2"/>
      <c r="O9" s="2"/>
      <c r="P9" s="2"/>
      <c r="Q9" s="2"/>
      <c r="R9" s="2"/>
      <c r="S9" s="2"/>
      <c r="T9" s="2"/>
      <c r="U9" s="2"/>
      <c r="V9" s="2"/>
      <c r="W9" s="2"/>
      <c r="X9" s="2"/>
      <c r="Y9" s="2"/>
      <c r="Z9" s="2"/>
    </row>
    <row r="10" customFormat="false" ht="14.25" hidden="false" customHeight="true" outlineLevel="0" collapsed="false">
      <c r="A10" s="2"/>
      <c r="B10" s="2"/>
      <c r="C10" s="2"/>
      <c r="D10" s="2"/>
      <c r="E10" s="2"/>
      <c r="F10" s="2"/>
      <c r="G10" s="2"/>
      <c r="H10" s="2"/>
      <c r="I10" s="2"/>
      <c r="J10" s="2"/>
      <c r="K10" s="2"/>
      <c r="L10" s="2"/>
      <c r="M10" s="2"/>
      <c r="N10" s="2"/>
      <c r="O10" s="2"/>
      <c r="P10" s="2"/>
      <c r="Q10" s="2"/>
      <c r="R10" s="2"/>
      <c r="S10" s="2"/>
      <c r="T10" s="2"/>
      <c r="U10" s="2"/>
      <c r="V10" s="2"/>
      <c r="W10" s="2"/>
      <c r="X10" s="2"/>
      <c r="Y10" s="2"/>
      <c r="Z10" s="2"/>
    </row>
    <row r="11" customFormat="false" ht="14.25" hidden="false" customHeight="true" outlineLevel="0" collapsed="false">
      <c r="A11" s="2"/>
      <c r="B11" s="2"/>
      <c r="C11" s="2"/>
      <c r="D11" s="2"/>
      <c r="E11" s="2"/>
      <c r="F11" s="2"/>
      <c r="G11" s="2"/>
      <c r="H11" s="2"/>
      <c r="I11" s="2"/>
      <c r="J11" s="2"/>
      <c r="K11" s="2"/>
      <c r="L11" s="2"/>
      <c r="M11" s="2"/>
      <c r="N11" s="2"/>
      <c r="O11" s="2"/>
      <c r="P11" s="2"/>
      <c r="Q11" s="2"/>
      <c r="R11" s="2"/>
      <c r="S11" s="2"/>
      <c r="T11" s="2"/>
      <c r="U11" s="2"/>
      <c r="V11" s="2"/>
      <c r="W11" s="2"/>
      <c r="X11" s="2"/>
      <c r="Y11" s="2"/>
      <c r="Z11" s="2"/>
    </row>
    <row r="12" customFormat="false" ht="14.25" hidden="false" customHeight="true" outlineLevel="0" collapsed="false">
      <c r="A12" s="2"/>
      <c r="B12" s="2"/>
      <c r="C12" s="2"/>
      <c r="D12" s="2"/>
      <c r="E12" s="2"/>
      <c r="F12" s="2"/>
      <c r="G12" s="2"/>
      <c r="H12" s="2"/>
      <c r="I12" s="2"/>
      <c r="J12" s="2"/>
      <c r="K12" s="2"/>
      <c r="L12" s="2"/>
      <c r="M12" s="2"/>
      <c r="N12" s="2"/>
      <c r="O12" s="2"/>
      <c r="P12" s="2"/>
      <c r="Q12" s="2"/>
      <c r="R12" s="2"/>
      <c r="S12" s="2"/>
      <c r="T12" s="2"/>
      <c r="U12" s="2"/>
      <c r="V12" s="2"/>
      <c r="W12" s="2"/>
      <c r="X12" s="2"/>
      <c r="Y12" s="2"/>
      <c r="Z12" s="2"/>
    </row>
    <row r="13" customFormat="false" ht="14.25" hidden="false" customHeight="true" outlineLevel="0" collapsed="false">
      <c r="A13" s="2"/>
      <c r="B13" s="2"/>
      <c r="C13" s="2"/>
      <c r="D13" s="2"/>
      <c r="E13" s="2"/>
      <c r="F13" s="2"/>
      <c r="G13" s="2"/>
      <c r="H13" s="2"/>
      <c r="I13" s="2"/>
      <c r="J13" s="2"/>
      <c r="K13" s="2"/>
      <c r="L13" s="2"/>
      <c r="M13" s="2"/>
      <c r="N13" s="2"/>
      <c r="O13" s="2"/>
      <c r="P13" s="2"/>
      <c r="Q13" s="2"/>
      <c r="R13" s="2"/>
      <c r="S13" s="2"/>
      <c r="T13" s="2"/>
      <c r="U13" s="2"/>
      <c r="V13" s="2"/>
      <c r="W13" s="2"/>
      <c r="X13" s="2"/>
      <c r="Y13" s="2"/>
      <c r="Z13" s="2"/>
    </row>
    <row r="14" customFormat="false" ht="14.25" hidden="false" customHeight="true" outlineLevel="0" collapsed="false">
      <c r="A14" s="2"/>
      <c r="B14" s="2"/>
      <c r="C14" s="2"/>
      <c r="D14" s="2"/>
      <c r="E14" s="2"/>
      <c r="F14" s="2"/>
      <c r="G14" s="2"/>
      <c r="H14" s="2"/>
      <c r="I14" s="2"/>
      <c r="J14" s="2"/>
      <c r="K14" s="2"/>
      <c r="L14" s="2"/>
      <c r="M14" s="2"/>
      <c r="N14" s="2"/>
      <c r="O14" s="2"/>
      <c r="P14" s="2"/>
      <c r="Q14" s="2"/>
      <c r="R14" s="2"/>
      <c r="S14" s="2"/>
      <c r="T14" s="2"/>
      <c r="U14" s="2"/>
      <c r="V14" s="2"/>
      <c r="W14" s="2"/>
      <c r="X14" s="2"/>
      <c r="Y14" s="2"/>
      <c r="Z14" s="2"/>
    </row>
    <row r="15" customFormat="false" ht="14.25" hidden="false" customHeight="true" outlineLevel="0" collapsed="false">
      <c r="A15" s="2"/>
      <c r="B15" s="2"/>
      <c r="C15" s="2"/>
      <c r="D15" s="2"/>
      <c r="E15" s="2"/>
      <c r="F15" s="2"/>
      <c r="G15" s="2"/>
      <c r="H15" s="2"/>
      <c r="I15" s="2"/>
      <c r="J15" s="2"/>
      <c r="K15" s="2"/>
      <c r="L15" s="2"/>
      <c r="M15" s="2"/>
      <c r="N15" s="2"/>
      <c r="O15" s="2"/>
      <c r="P15" s="2"/>
      <c r="Q15" s="2"/>
      <c r="R15" s="2"/>
      <c r="S15" s="2"/>
      <c r="T15" s="2"/>
      <c r="U15" s="2"/>
      <c r="V15" s="2"/>
      <c r="W15" s="2"/>
      <c r="X15" s="2"/>
      <c r="Y15" s="2"/>
      <c r="Z15" s="2"/>
    </row>
    <row r="16" customFormat="false" ht="14.25" hidden="false" customHeight="true" outlineLevel="0" collapsed="false">
      <c r="A16" s="2"/>
      <c r="B16" s="2"/>
      <c r="C16" s="2"/>
      <c r="D16" s="2"/>
      <c r="E16" s="2"/>
      <c r="F16" s="2"/>
      <c r="G16" s="2"/>
      <c r="H16" s="2"/>
      <c r="I16" s="2"/>
      <c r="J16" s="2"/>
      <c r="K16" s="2"/>
      <c r="L16" s="2"/>
      <c r="M16" s="2"/>
      <c r="N16" s="2"/>
      <c r="O16" s="2"/>
      <c r="P16" s="2"/>
      <c r="Q16" s="2"/>
      <c r="R16" s="2"/>
      <c r="S16" s="2"/>
      <c r="T16" s="2"/>
      <c r="U16" s="2"/>
      <c r="V16" s="2"/>
      <c r="W16" s="2"/>
      <c r="X16" s="2"/>
      <c r="Y16" s="2"/>
      <c r="Z16" s="2"/>
    </row>
    <row r="17" customFormat="false" ht="14.25" hidden="false" customHeight="true" outlineLevel="0" collapsed="false">
      <c r="A17" s="2"/>
      <c r="B17" s="2"/>
      <c r="C17" s="2"/>
      <c r="D17" s="2"/>
      <c r="E17" s="2"/>
      <c r="F17" s="2"/>
      <c r="G17" s="2"/>
      <c r="H17" s="2"/>
      <c r="I17" s="2"/>
      <c r="J17" s="2"/>
      <c r="K17" s="2"/>
      <c r="L17" s="2"/>
      <c r="M17" s="2"/>
      <c r="N17" s="2"/>
      <c r="O17" s="2"/>
      <c r="P17" s="2"/>
      <c r="Q17" s="2"/>
      <c r="R17" s="2"/>
      <c r="S17" s="2"/>
      <c r="T17" s="2"/>
      <c r="U17" s="2"/>
      <c r="V17" s="2"/>
      <c r="W17" s="2"/>
      <c r="X17" s="2"/>
      <c r="Y17" s="2"/>
      <c r="Z17" s="2"/>
    </row>
    <row r="18" customFormat="false" ht="14.25" hidden="false" customHeight="true" outlineLevel="0" collapsed="false">
      <c r="A18" s="2"/>
      <c r="B18" s="2"/>
      <c r="C18" s="2"/>
      <c r="D18" s="2"/>
      <c r="E18" s="2"/>
      <c r="F18" s="2"/>
      <c r="G18" s="2"/>
      <c r="H18" s="2"/>
      <c r="I18" s="2"/>
      <c r="J18" s="2"/>
      <c r="K18" s="2"/>
      <c r="L18" s="2"/>
      <c r="M18" s="2"/>
      <c r="N18" s="2"/>
      <c r="O18" s="2"/>
      <c r="P18" s="2"/>
      <c r="Q18" s="2"/>
      <c r="R18" s="2"/>
      <c r="S18" s="2"/>
      <c r="T18" s="2"/>
      <c r="U18" s="2"/>
      <c r="V18" s="2"/>
      <c r="W18" s="2"/>
      <c r="X18" s="2"/>
      <c r="Y18" s="2"/>
      <c r="Z18" s="2"/>
    </row>
    <row r="19" customFormat="false" ht="14.25" hidden="false" customHeight="true" outlineLevel="0" collapsed="false">
      <c r="A19" s="2"/>
      <c r="B19" s="2"/>
      <c r="C19" s="2"/>
      <c r="D19" s="2"/>
      <c r="E19" s="2"/>
      <c r="F19" s="2"/>
      <c r="G19" s="2"/>
      <c r="H19" s="2"/>
      <c r="I19" s="2"/>
      <c r="J19" s="2"/>
      <c r="K19" s="2"/>
      <c r="L19" s="2"/>
      <c r="M19" s="2"/>
      <c r="N19" s="2"/>
      <c r="O19" s="2"/>
      <c r="P19" s="2"/>
      <c r="Q19" s="2"/>
      <c r="R19" s="2"/>
      <c r="S19" s="2"/>
      <c r="T19" s="2"/>
      <c r="U19" s="2"/>
      <c r="V19" s="2"/>
      <c r="W19" s="2"/>
      <c r="X19" s="2"/>
      <c r="Y19" s="2"/>
      <c r="Z19" s="2"/>
    </row>
    <row r="20" customFormat="false" ht="14.25" hidden="false" customHeight="tru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row>
    <row r="21" customFormat="false" ht="14.25" hidden="false" customHeight="true" outlineLevel="0" collapsed="false">
      <c r="A21" s="2"/>
      <c r="B21" s="2"/>
      <c r="C21" s="4" t="s">
        <v>1</v>
      </c>
      <c r="D21" s="2"/>
      <c r="E21" s="2"/>
      <c r="F21" s="2"/>
      <c r="G21" s="2"/>
      <c r="H21" s="2"/>
      <c r="I21" s="2"/>
      <c r="J21" s="2"/>
      <c r="K21" s="2"/>
      <c r="L21" s="2"/>
      <c r="M21" s="2"/>
      <c r="N21" s="2"/>
      <c r="O21" s="2"/>
      <c r="P21" s="2"/>
      <c r="Q21" s="2"/>
      <c r="R21" s="2"/>
      <c r="S21" s="2"/>
      <c r="T21" s="2"/>
      <c r="U21" s="2"/>
      <c r="V21" s="2"/>
      <c r="W21" s="2"/>
      <c r="X21" s="2"/>
      <c r="Y21" s="2"/>
      <c r="Z21" s="2"/>
    </row>
    <row r="22" customFormat="false" ht="14.25" hidden="false" customHeight="true" outlineLevel="0" collapsed="false">
      <c r="A22" s="2"/>
      <c r="B22" s="2"/>
      <c r="C22" s="4" t="s">
        <v>2</v>
      </c>
      <c r="D22" s="2"/>
      <c r="E22" s="2"/>
      <c r="F22" s="2"/>
      <c r="G22" s="2"/>
      <c r="H22" s="2"/>
      <c r="I22" s="2"/>
      <c r="J22" s="2"/>
      <c r="K22" s="2"/>
      <c r="L22" s="2"/>
      <c r="M22" s="2"/>
      <c r="N22" s="2"/>
      <c r="O22" s="2"/>
      <c r="P22" s="2"/>
      <c r="Q22" s="2"/>
      <c r="R22" s="2"/>
      <c r="S22" s="2"/>
      <c r="T22" s="2"/>
      <c r="U22" s="2"/>
      <c r="V22" s="2"/>
      <c r="W22" s="2"/>
      <c r="X22" s="2"/>
      <c r="Y22" s="2"/>
      <c r="Z22" s="2"/>
    </row>
    <row r="23" customFormat="false" ht="14.25" hidden="false" customHeight="true" outlineLevel="0" collapsed="false">
      <c r="A23" s="2"/>
      <c r="B23" s="2"/>
      <c r="C23" s="4" t="s">
        <v>3</v>
      </c>
      <c r="E23" s="2"/>
      <c r="F23" s="2"/>
      <c r="G23" s="2"/>
      <c r="H23" s="2"/>
      <c r="I23" s="2"/>
      <c r="J23" s="2"/>
      <c r="K23" s="2"/>
      <c r="L23" s="2"/>
      <c r="M23" s="2"/>
      <c r="N23" s="2"/>
      <c r="O23" s="2"/>
      <c r="P23" s="2"/>
      <c r="Q23" s="2"/>
      <c r="R23" s="2"/>
      <c r="S23" s="2"/>
      <c r="T23" s="2"/>
      <c r="U23" s="2"/>
      <c r="V23" s="2"/>
      <c r="W23" s="2"/>
      <c r="X23" s="2"/>
      <c r="Y23" s="2"/>
      <c r="Z23" s="2"/>
    </row>
    <row r="24" customFormat="false" ht="14.25" hidden="false" customHeight="true" outlineLevel="0" collapsed="false">
      <c r="A24" s="2"/>
      <c r="B24" s="2"/>
      <c r="C24" s="4" t="s">
        <v>4</v>
      </c>
      <c r="D24" s="2"/>
      <c r="E24" s="2"/>
      <c r="F24" s="2"/>
      <c r="G24" s="2"/>
      <c r="H24" s="2"/>
      <c r="I24" s="2"/>
      <c r="J24" s="2"/>
      <c r="K24" s="2"/>
      <c r="L24" s="2"/>
      <c r="M24" s="2"/>
      <c r="N24" s="2"/>
      <c r="O24" s="2"/>
      <c r="P24" s="2"/>
      <c r="Q24" s="2"/>
      <c r="R24" s="2"/>
      <c r="S24" s="2"/>
      <c r="T24" s="2"/>
      <c r="U24" s="2"/>
      <c r="V24" s="2"/>
      <c r="W24" s="2"/>
      <c r="X24" s="2"/>
      <c r="Y24" s="2"/>
      <c r="Z24" s="2"/>
    </row>
    <row r="25" customFormat="false" ht="14.25" hidden="false" customHeight="true" outlineLevel="0" collapsed="false">
      <c r="A25" s="2"/>
      <c r="B25" s="2"/>
      <c r="C25" s="4" t="s">
        <v>5</v>
      </c>
      <c r="D25" s="2"/>
      <c r="E25" s="2"/>
      <c r="F25" s="2"/>
      <c r="G25" s="2"/>
      <c r="H25" s="2"/>
      <c r="I25" s="2"/>
      <c r="J25" s="2"/>
      <c r="K25" s="2"/>
      <c r="L25" s="2"/>
      <c r="M25" s="2"/>
      <c r="N25" s="2"/>
      <c r="O25" s="2"/>
      <c r="P25" s="2"/>
      <c r="Q25" s="2"/>
      <c r="R25" s="2"/>
      <c r="S25" s="2"/>
      <c r="T25" s="2"/>
      <c r="U25" s="2"/>
      <c r="V25" s="2"/>
      <c r="W25" s="2"/>
      <c r="X25" s="2"/>
      <c r="Y25" s="2"/>
      <c r="Z25" s="2"/>
    </row>
    <row r="26" customFormat="false" ht="17.25" hidden="false" customHeight="true" outlineLevel="0" collapsed="false">
      <c r="A26" s="2"/>
      <c r="B26" s="2"/>
      <c r="C26" s="4" t="s">
        <v>6</v>
      </c>
      <c r="D26" s="2"/>
      <c r="E26" s="2"/>
      <c r="F26" s="2"/>
      <c r="G26" s="2"/>
      <c r="H26" s="2"/>
      <c r="I26" s="2"/>
      <c r="J26" s="2"/>
      <c r="K26" s="2"/>
      <c r="L26" s="2"/>
      <c r="M26" s="2"/>
      <c r="N26" s="2"/>
      <c r="O26" s="2"/>
      <c r="P26" s="2"/>
      <c r="Q26" s="2"/>
      <c r="R26" s="2"/>
      <c r="S26" s="2"/>
      <c r="T26" s="2"/>
      <c r="U26" s="2"/>
      <c r="V26" s="2"/>
      <c r="W26" s="2"/>
      <c r="X26" s="2"/>
      <c r="Y26" s="2"/>
      <c r="Z26" s="2"/>
    </row>
    <row r="27" customFormat="false" ht="14.25" hidden="false" customHeight="tru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4.2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4.2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4.2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4.2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4.2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4.2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4.2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4.2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4.2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4.2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4.2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4.2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4.2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4.2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4.2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4.2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4.2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4.2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4.2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4.2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4.2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4.2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4.2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4.2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4.2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4.2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4.2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4.2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4.2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4.2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4.2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4.2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4.2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4.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4.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4.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4.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4.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4.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D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customHeight="true" zeroHeight="false" outlineLevelRow="0" outlineLevelCol="0"/>
  <cols>
    <col collapsed="false" customWidth="true" hidden="false" outlineLevel="0" max="1" min="1" style="1" width="10"/>
    <col collapsed="false" customWidth="true" hidden="false" outlineLevel="0" max="2" min="2" style="1" width="11.33"/>
    <col collapsed="false" customWidth="true" hidden="false" outlineLevel="0" max="3" min="3" style="1" width="10"/>
    <col collapsed="false" customWidth="true" hidden="false" outlineLevel="0" max="4" min="4" style="1" width="31.16"/>
    <col collapsed="false" customWidth="true" hidden="false" outlineLevel="0" max="6" min="5" style="1" width="10"/>
  </cols>
  <sheetData>
    <row r="1" customFormat="false" ht="13.5" hidden="false" customHeight="true" outlineLevel="0" collapsed="false"/>
    <row r="2" customFormat="false" ht="15" hidden="false" customHeight="true" outlineLevel="0" collapsed="false">
      <c r="D2" s="5" t="s">
        <v>7</v>
      </c>
    </row>
    <row r="3" customFormat="false" ht="13.5" hidden="false" customHeight="true" outlineLevel="0" collapsed="false"/>
    <row r="4" customFormat="false" ht="18" hidden="false" customHeight="true" outlineLevel="0" collapsed="false">
      <c r="D4" s="6" t="s">
        <v>8</v>
      </c>
    </row>
    <row r="5" customFormat="false" ht="18" hidden="false" customHeight="true" outlineLevel="0" collapsed="false">
      <c r="D5" s="7" t="s">
        <v>9</v>
      </c>
    </row>
    <row r="6" customFormat="false" ht="18" hidden="false" customHeight="true" outlineLevel="0" collapsed="false">
      <c r="D6" s="7" t="s">
        <v>10</v>
      </c>
    </row>
    <row r="7" customFormat="false" ht="18" hidden="false" customHeight="true" outlineLevel="0" collapsed="false">
      <c r="D7" s="7" t="s">
        <v>11</v>
      </c>
    </row>
    <row r="8" customFormat="false" ht="18" hidden="false" customHeight="true" outlineLevel="0" collapsed="false">
      <c r="D8" s="7" t="s">
        <v>12</v>
      </c>
    </row>
    <row r="9" customFormat="false" ht="18" hidden="false" customHeight="true" outlineLevel="0" collapsed="false">
      <c r="D9" s="7" t="s">
        <v>13</v>
      </c>
    </row>
    <row r="10" customFormat="false" ht="18" hidden="false" customHeight="true" outlineLevel="0" collapsed="false">
      <c r="D10" s="7" t="s">
        <v>14</v>
      </c>
    </row>
    <row r="11" customFormat="false" ht="18" hidden="false" customHeight="true" outlineLevel="0" collapsed="false">
      <c r="D11" s="7" t="s">
        <v>15</v>
      </c>
    </row>
    <row r="12" customFormat="false" ht="18" hidden="false" customHeight="true" outlineLevel="0" collapsed="false">
      <c r="D12" s="7" t="s">
        <v>16</v>
      </c>
    </row>
    <row r="13" customFormat="false" ht="18" hidden="false" customHeight="true" outlineLevel="0" collapsed="false">
      <c r="D13" s="7" t="s">
        <v>17</v>
      </c>
    </row>
    <row r="14" customFormat="false" ht="18" hidden="false" customHeight="true" outlineLevel="0" collapsed="false">
      <c r="D14" s="7" t="s">
        <v>18</v>
      </c>
    </row>
    <row r="15" customFormat="false" ht="18" hidden="false" customHeight="true" outlineLevel="0" collapsed="false">
      <c r="D15" s="7" t="s">
        <v>19</v>
      </c>
    </row>
    <row r="16" customFormat="false" ht="18" hidden="false" customHeight="true" outlineLevel="0" collapsed="false">
      <c r="D16" s="7" t="s">
        <v>20</v>
      </c>
    </row>
    <row r="17" customFormat="false" ht="18" hidden="false" customHeight="true" outlineLevel="0" collapsed="false">
      <c r="D17" s="7" t="s">
        <v>21</v>
      </c>
    </row>
    <row r="18" customFormat="false" ht="18" hidden="false" customHeight="true" outlineLevel="0" collapsed="false">
      <c r="D18" s="8" t="s">
        <v>22</v>
      </c>
    </row>
    <row r="19" customFormat="false" ht="18" hidden="false" customHeight="true" outlineLevel="0" collapsed="false">
      <c r="D19" s="8" t="s">
        <v>23</v>
      </c>
    </row>
  </sheetData>
  <hyperlinks>
    <hyperlink ref="D4" location="'Hipótesis'!A1" display="Hipótesis"/>
    <hyperlink ref="D5" location="null!A1" display="Proyección de ventas"/>
    <hyperlink ref="D6" location="null!A1" display="Anexo de capacidad operativa"/>
    <hyperlink ref="D7" location="null!A1" display="Modelo de ingresos"/>
    <hyperlink ref="D8" location="null!A1" display="Estructura de costos fijos"/>
    <hyperlink ref="D9" location="'Costos RRHH'!A1" display="Estructura de costos variables"/>
    <hyperlink ref="D10" location="null!A1" display="Estructura de costos de RRHH"/>
    <hyperlink ref="D11" location="null!A1" display="Modelo de egresos"/>
    <hyperlink ref="D12" location="Amortizaciones!A1" display="Modelo de inversión"/>
    <hyperlink ref="D13" location="'Presupuesto financiero'!A1" display="Amortizaciones"/>
    <hyperlink ref="D14" location="null!A1" display="Presupuesto financiero"/>
    <hyperlink ref="D15" location="null!A1" display="Matriz de riesgos"/>
    <hyperlink ref="D16" location="null!A1" display="Escenario 1"/>
    <hyperlink ref="D17" location="null!A1" display="Escenario 2"/>
    <hyperlink ref="D18" location="null!A1" display="Escenario 3"/>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63"/>
  <sheetViews>
    <sheetView showFormulas="false" showGridLines="true" showRowColHeaders="true" showZeros="true" rightToLeft="false" tabSelected="false" showOutlineSymbols="true" defaultGridColor="true" view="normal" topLeftCell="A9" colorId="64" zoomScale="125" zoomScaleNormal="125" zoomScalePageLayoutView="100" workbookViewId="0">
      <selection pane="topLeft" activeCell="H8" activeCellId="0" sqref="H8"/>
    </sheetView>
  </sheetViews>
  <sheetFormatPr defaultColWidth="12.66796875" defaultRowHeight="15" customHeight="true" zeroHeight="false" outlineLevelRow="0" outlineLevelCol="0"/>
  <cols>
    <col collapsed="false" customWidth="true" hidden="false" outlineLevel="0" max="1" min="1" style="1" width="10"/>
    <col collapsed="false" customWidth="true" hidden="false" outlineLevel="0" max="2" min="2" style="1" width="43"/>
    <col collapsed="false" customWidth="true" hidden="false" outlineLevel="0" max="4" min="3" style="1" width="24"/>
    <col collapsed="false" customWidth="true" hidden="false" outlineLevel="0" max="5" min="5" style="1" width="40.67"/>
    <col collapsed="false" customWidth="true" hidden="false" outlineLevel="0" max="6" min="6" style="1" width="16.84"/>
    <col collapsed="false" customWidth="true" hidden="false" outlineLevel="0" max="7" min="7" style="1" width="10"/>
    <col collapsed="false" customWidth="true" hidden="false" outlineLevel="0" max="8" min="8" style="1" width="13.66"/>
    <col collapsed="false" customWidth="true" hidden="false" outlineLevel="0" max="13" min="9" style="1" width="10"/>
    <col collapsed="false" customWidth="true" hidden="false" outlineLevel="0" max="14" min="14" style="1" width="7.83"/>
    <col collapsed="false" customWidth="true" hidden="false" outlineLevel="0" max="25" min="15" style="1" width="10"/>
  </cols>
  <sheetData>
    <row r="1" customFormat="false" ht="60.75" hidden="false" customHeight="true" outlineLevel="0" collapsed="false">
      <c r="A1" s="9"/>
      <c r="B1" s="9"/>
      <c r="C1" s="9"/>
      <c r="D1" s="9"/>
      <c r="E1" s="10" t="s">
        <v>8</v>
      </c>
      <c r="F1" s="11"/>
      <c r="G1" s="11"/>
      <c r="H1" s="9"/>
      <c r="I1" s="9"/>
      <c r="J1" s="9"/>
      <c r="K1" s="9"/>
      <c r="L1" s="9"/>
      <c r="M1" s="9"/>
      <c r="N1" s="9"/>
      <c r="O1" s="9"/>
      <c r="P1" s="9"/>
      <c r="Q1" s="9"/>
      <c r="R1" s="9"/>
      <c r="S1" s="9"/>
      <c r="T1" s="9"/>
      <c r="U1" s="9"/>
      <c r="V1" s="9"/>
      <c r="W1" s="9"/>
      <c r="X1" s="9"/>
      <c r="Y1" s="9"/>
      <c r="Z1" s="9"/>
    </row>
    <row r="2" customFormat="false" ht="14.25" hidden="false" customHeight="true" outlineLevel="0" collapsed="false">
      <c r="A2" s="2"/>
      <c r="B2" s="2"/>
      <c r="C2" s="2"/>
      <c r="D2" s="2"/>
      <c r="E2" s="2"/>
      <c r="F2" s="2"/>
      <c r="G2" s="2"/>
      <c r="H2" s="2"/>
      <c r="I2" s="2"/>
      <c r="J2" s="2"/>
      <c r="K2" s="2"/>
      <c r="L2" s="2"/>
      <c r="M2" s="2"/>
      <c r="N2" s="2"/>
      <c r="O2" s="2"/>
      <c r="P2" s="2"/>
      <c r="Q2" s="2"/>
      <c r="R2" s="2"/>
      <c r="S2" s="2"/>
      <c r="T2" s="2"/>
      <c r="U2" s="2"/>
      <c r="V2" s="2"/>
      <c r="W2" s="2"/>
      <c r="X2" s="2"/>
      <c r="Y2" s="2"/>
      <c r="Z2" s="2"/>
    </row>
    <row r="3" customFormat="false" ht="31.5" hidden="false" customHeight="true" outlineLevel="0" collapsed="false">
      <c r="A3" s="2"/>
      <c r="B3" s="12" t="s">
        <v>24</v>
      </c>
      <c r="C3" s="12"/>
      <c r="D3" s="12"/>
      <c r="E3" s="12"/>
      <c r="K3" s="2"/>
      <c r="L3" s="2"/>
      <c r="M3" s="2"/>
      <c r="N3" s="2"/>
      <c r="O3" s="2"/>
      <c r="P3" s="2"/>
      <c r="Q3" s="2"/>
      <c r="R3" s="2"/>
      <c r="S3" s="2"/>
      <c r="T3" s="2"/>
      <c r="U3" s="2"/>
      <c r="V3" s="2"/>
      <c r="W3" s="2"/>
      <c r="X3" s="2"/>
      <c r="Y3" s="2"/>
      <c r="Z3" s="2"/>
    </row>
    <row r="4" customFormat="false" ht="198" hidden="false" customHeight="true" outlineLevel="0" collapsed="false">
      <c r="A4" s="2"/>
      <c r="B4" s="13" t="s">
        <v>25</v>
      </c>
      <c r="C4" s="13"/>
      <c r="D4" s="13"/>
      <c r="E4" s="13"/>
      <c r="K4" s="14"/>
      <c r="L4" s="2"/>
      <c r="M4" s="2"/>
      <c r="N4" s="2"/>
      <c r="O4" s="2"/>
      <c r="P4" s="2"/>
      <c r="Q4" s="2"/>
      <c r="R4" s="2"/>
      <c r="S4" s="2"/>
      <c r="T4" s="2"/>
      <c r="U4" s="2"/>
      <c r="V4" s="2"/>
      <c r="W4" s="2"/>
      <c r="X4" s="2"/>
      <c r="Y4" s="2"/>
      <c r="Z4" s="2"/>
    </row>
    <row r="5" customFormat="false" ht="14.25" hidden="false" customHeight="true" outlineLevel="0" collapsed="false">
      <c r="A5" s="2"/>
      <c r="B5" s="2"/>
      <c r="C5" s="2"/>
      <c r="D5" s="2"/>
      <c r="E5" s="2"/>
      <c r="F5" s="2"/>
      <c r="G5" s="2"/>
      <c r="H5" s="2"/>
      <c r="I5" s="2"/>
      <c r="J5" s="2"/>
      <c r="K5" s="2"/>
      <c r="L5" s="2"/>
      <c r="M5" s="2"/>
      <c r="N5" s="2"/>
      <c r="O5" s="2"/>
      <c r="P5" s="2"/>
      <c r="Q5" s="2"/>
      <c r="R5" s="2"/>
      <c r="S5" s="2"/>
      <c r="T5" s="2"/>
      <c r="U5" s="2"/>
      <c r="V5" s="2"/>
      <c r="W5" s="2"/>
      <c r="X5" s="2"/>
      <c r="Y5" s="2"/>
      <c r="Z5" s="2"/>
    </row>
    <row r="6" customFormat="false" ht="14.25" hidden="false" customHeight="true" outlineLevel="0" collapsed="false">
      <c r="A6" s="2"/>
      <c r="B6" s="2"/>
      <c r="C6" s="2"/>
      <c r="D6" s="2"/>
      <c r="E6" s="2"/>
      <c r="F6" s="2"/>
      <c r="G6" s="2"/>
      <c r="H6" s="2"/>
      <c r="I6" s="2"/>
      <c r="J6" s="2"/>
      <c r="K6" s="2"/>
      <c r="L6" s="2"/>
      <c r="M6" s="2"/>
      <c r="N6" s="2"/>
      <c r="O6" s="2"/>
      <c r="P6" s="2"/>
      <c r="Q6" s="2"/>
      <c r="R6" s="2"/>
      <c r="S6" s="2"/>
      <c r="T6" s="2"/>
      <c r="U6" s="2"/>
      <c r="V6" s="2"/>
      <c r="W6" s="2"/>
      <c r="X6" s="2"/>
      <c r="Y6" s="2"/>
      <c r="Z6" s="2"/>
    </row>
    <row r="7" customFormat="false" ht="31.5" hidden="false" customHeight="true" outlineLevel="0" collapsed="false">
      <c r="A7" s="2"/>
      <c r="B7" s="12" t="s">
        <v>26</v>
      </c>
      <c r="C7" s="12"/>
      <c r="D7" s="12"/>
      <c r="E7" s="12"/>
      <c r="K7" s="2"/>
      <c r="L7" s="2"/>
      <c r="M7" s="2"/>
      <c r="N7" s="2"/>
      <c r="O7" s="2"/>
      <c r="P7" s="2"/>
      <c r="Q7" s="2"/>
      <c r="R7" s="2"/>
      <c r="S7" s="2"/>
      <c r="T7" s="2"/>
      <c r="U7" s="2"/>
      <c r="V7" s="2"/>
      <c r="W7" s="2"/>
      <c r="X7" s="2"/>
      <c r="Y7" s="2"/>
      <c r="Z7" s="2"/>
    </row>
    <row r="8" customFormat="false" ht="89.25" hidden="false" customHeight="true" outlineLevel="0" collapsed="false">
      <c r="A8" s="2"/>
      <c r="B8" s="15" t="s">
        <v>27</v>
      </c>
      <c r="C8" s="15"/>
      <c r="D8" s="15"/>
      <c r="E8" s="15"/>
      <c r="K8" s="2"/>
      <c r="L8" s="2"/>
      <c r="M8" s="2"/>
      <c r="N8" s="2"/>
      <c r="O8" s="2"/>
      <c r="P8" s="2"/>
      <c r="Q8" s="2"/>
      <c r="R8" s="2"/>
      <c r="S8" s="2"/>
      <c r="T8" s="2"/>
      <c r="U8" s="2"/>
      <c r="V8" s="2"/>
      <c r="W8" s="2"/>
      <c r="X8" s="2"/>
      <c r="Y8" s="2"/>
      <c r="Z8" s="2"/>
    </row>
    <row r="9" customFormat="false" ht="213" hidden="false" customHeight="true" outlineLevel="0" collapsed="false">
      <c r="A9" s="2"/>
      <c r="B9" s="15" t="s">
        <v>28</v>
      </c>
      <c r="C9" s="15"/>
      <c r="D9" s="15"/>
      <c r="E9" s="15"/>
      <c r="F9" s="16"/>
      <c r="G9" s="16"/>
      <c r="H9" s="16"/>
      <c r="I9" s="16"/>
      <c r="J9" s="16"/>
      <c r="K9" s="2"/>
      <c r="L9" s="2"/>
      <c r="M9" s="2"/>
      <c r="N9" s="2"/>
      <c r="O9" s="2"/>
      <c r="P9" s="2"/>
      <c r="Q9" s="2"/>
      <c r="R9" s="2"/>
      <c r="S9" s="2"/>
      <c r="T9" s="2"/>
      <c r="U9" s="2"/>
      <c r="V9" s="2"/>
      <c r="W9" s="2"/>
      <c r="X9" s="2"/>
      <c r="Y9" s="2"/>
      <c r="Z9" s="2"/>
    </row>
    <row r="10" customFormat="false" ht="18" hidden="false" customHeight="true" outlineLevel="0" collapsed="false">
      <c r="A10" s="2"/>
      <c r="B10" s="15"/>
      <c r="C10" s="17"/>
      <c r="D10" s="17"/>
      <c r="E10" s="17"/>
      <c r="F10" s="16"/>
      <c r="G10" s="16"/>
      <c r="H10" s="16"/>
      <c r="I10" s="16"/>
      <c r="J10" s="16"/>
      <c r="K10" s="2"/>
      <c r="L10" s="2"/>
      <c r="M10" s="2"/>
      <c r="N10" s="2"/>
      <c r="O10" s="2"/>
      <c r="P10" s="2"/>
      <c r="Q10" s="2"/>
      <c r="R10" s="2"/>
      <c r="S10" s="2"/>
      <c r="T10" s="2"/>
      <c r="U10" s="2"/>
      <c r="V10" s="2"/>
      <c r="W10" s="2"/>
      <c r="X10" s="2"/>
      <c r="Y10" s="2"/>
      <c r="Z10" s="2"/>
    </row>
    <row r="11" customFormat="false" ht="33.75" hidden="false" customHeight="true" outlineLevel="0" collapsed="false">
      <c r="A11" s="2"/>
      <c r="B11" s="18" t="s">
        <v>29</v>
      </c>
      <c r="C11" s="18" t="s">
        <v>30</v>
      </c>
      <c r="D11" s="18" t="s">
        <v>31</v>
      </c>
      <c r="E11" s="16"/>
      <c r="F11" s="16"/>
      <c r="G11" s="16"/>
      <c r="H11" s="16"/>
      <c r="I11" s="16"/>
      <c r="J11" s="16"/>
      <c r="K11" s="2"/>
      <c r="L11" s="2"/>
      <c r="M11" s="2"/>
      <c r="N11" s="2"/>
      <c r="O11" s="2"/>
      <c r="P11" s="2"/>
      <c r="Q11" s="2"/>
      <c r="R11" s="2"/>
      <c r="S11" s="2"/>
      <c r="T11" s="2"/>
      <c r="U11" s="2"/>
      <c r="V11" s="2"/>
      <c r="W11" s="2"/>
      <c r="X11" s="2"/>
      <c r="Y11" s="2"/>
      <c r="Z11" s="2"/>
    </row>
    <row r="12" customFormat="false" ht="18" hidden="false" customHeight="true" outlineLevel="0" collapsed="false">
      <c r="A12" s="2"/>
      <c r="B12" s="17" t="n">
        <v>14000</v>
      </c>
      <c r="C12" s="17" t="n">
        <v>960</v>
      </c>
      <c r="D12" s="19" t="n">
        <f aca="false">B12*C12</f>
        <v>13440000</v>
      </c>
      <c r="E12" s="16"/>
      <c r="F12" s="16"/>
      <c r="G12" s="16"/>
      <c r="H12" s="16"/>
      <c r="I12" s="16"/>
      <c r="J12" s="16"/>
      <c r="K12" s="2"/>
      <c r="L12" s="2"/>
      <c r="M12" s="2"/>
      <c r="N12" s="2"/>
      <c r="O12" s="2"/>
      <c r="P12" s="2"/>
      <c r="Q12" s="2"/>
      <c r="R12" s="2"/>
      <c r="S12" s="2"/>
      <c r="T12" s="2"/>
      <c r="U12" s="2"/>
      <c r="V12" s="2"/>
      <c r="W12" s="2"/>
      <c r="X12" s="2"/>
      <c r="Y12" s="2"/>
      <c r="Z12" s="2"/>
    </row>
    <row r="13" customFormat="false" ht="18" hidden="false" customHeight="true" outlineLevel="0" collapsed="false">
      <c r="A13" s="2"/>
      <c r="B13" s="15" t="s">
        <v>32</v>
      </c>
      <c r="C13" s="16"/>
      <c r="D13" s="16"/>
      <c r="E13" s="16"/>
      <c r="F13" s="16"/>
      <c r="G13" s="16"/>
      <c r="H13" s="16"/>
      <c r="I13" s="16"/>
      <c r="J13" s="16"/>
      <c r="K13" s="2"/>
      <c r="L13" s="2"/>
      <c r="M13" s="2"/>
      <c r="N13" s="2"/>
      <c r="O13" s="2"/>
      <c r="P13" s="2"/>
      <c r="Q13" s="2"/>
      <c r="R13" s="2"/>
      <c r="S13" s="2"/>
      <c r="T13" s="2"/>
      <c r="U13" s="2"/>
      <c r="V13" s="2"/>
      <c r="W13" s="2"/>
      <c r="X13" s="2"/>
      <c r="Y13" s="2"/>
      <c r="Z13" s="2"/>
    </row>
    <row r="14" customFormat="false" ht="14.25" hidden="false" customHeight="true" outlineLevel="0" collapsed="false">
      <c r="A14" s="2"/>
      <c r="B14" s="2"/>
      <c r="C14" s="2"/>
      <c r="D14" s="2"/>
      <c r="E14" s="2"/>
      <c r="F14" s="2"/>
      <c r="G14" s="2"/>
      <c r="H14" s="2"/>
      <c r="I14" s="2"/>
      <c r="J14" s="2"/>
      <c r="K14" s="2"/>
      <c r="L14" s="2"/>
      <c r="M14" s="2"/>
      <c r="N14" s="2"/>
      <c r="O14" s="2"/>
      <c r="P14" s="2"/>
      <c r="Q14" s="2"/>
      <c r="R14" s="2"/>
      <c r="S14" s="2"/>
      <c r="T14" s="2"/>
      <c r="U14" s="2"/>
      <c r="V14" s="2"/>
      <c r="W14" s="2"/>
      <c r="X14" s="2"/>
      <c r="Y14" s="2"/>
      <c r="Z14" s="2"/>
    </row>
    <row r="15" customFormat="false" ht="31.5" hidden="false" customHeight="true" outlineLevel="0" collapsed="false">
      <c r="A15" s="2"/>
      <c r="B15" s="12" t="s">
        <v>33</v>
      </c>
      <c r="C15" s="12"/>
      <c r="D15" s="12"/>
      <c r="E15" s="12"/>
      <c r="K15" s="2"/>
      <c r="L15" s="2"/>
      <c r="M15" s="2"/>
      <c r="N15" s="2"/>
      <c r="O15" s="2"/>
      <c r="P15" s="2"/>
      <c r="Q15" s="2"/>
      <c r="R15" s="2"/>
      <c r="S15" s="2"/>
      <c r="T15" s="2"/>
      <c r="U15" s="2"/>
      <c r="V15" s="2"/>
      <c r="W15" s="2"/>
      <c r="X15" s="2"/>
      <c r="Y15" s="2"/>
      <c r="Z15" s="2"/>
    </row>
    <row r="16" customFormat="false" ht="111.75" hidden="false" customHeight="true" outlineLevel="0" collapsed="false">
      <c r="A16" s="2"/>
      <c r="B16" s="15" t="s">
        <v>34</v>
      </c>
      <c r="C16" s="15"/>
      <c r="D16" s="15"/>
      <c r="E16" s="15"/>
      <c r="K16" s="2"/>
      <c r="L16" s="2"/>
      <c r="M16" s="2"/>
      <c r="N16" s="2"/>
      <c r="O16" s="2"/>
      <c r="P16" s="2"/>
      <c r="Q16" s="2"/>
      <c r="R16" s="2"/>
      <c r="S16" s="2"/>
      <c r="T16" s="2"/>
      <c r="U16" s="2"/>
      <c r="V16" s="2"/>
      <c r="W16" s="2"/>
      <c r="X16" s="2"/>
      <c r="Y16" s="2"/>
      <c r="Z16" s="2"/>
    </row>
    <row r="17" customFormat="false" ht="15" hidden="false" customHeight="true" outlineLevel="0" collapsed="false">
      <c r="A17" s="2"/>
      <c r="B17" s="20"/>
      <c r="C17" s="20"/>
      <c r="D17" s="20"/>
      <c r="E17" s="20"/>
      <c r="F17" s="20"/>
      <c r="G17" s="20"/>
      <c r="H17" s="20"/>
      <c r="I17" s="20"/>
      <c r="J17" s="20"/>
      <c r="K17" s="20"/>
      <c r="L17" s="20"/>
      <c r="M17" s="20"/>
      <c r="N17" s="20"/>
      <c r="O17" s="2"/>
      <c r="P17" s="2"/>
      <c r="Q17" s="2"/>
      <c r="R17" s="2"/>
      <c r="S17" s="2"/>
      <c r="T17" s="2"/>
      <c r="U17" s="2"/>
      <c r="V17" s="2"/>
      <c r="W17" s="2"/>
      <c r="X17" s="2"/>
      <c r="Y17" s="2"/>
      <c r="Z17" s="2"/>
    </row>
    <row r="18" customFormat="false" ht="15" hidden="false" customHeight="true" outlineLevel="0" collapsed="false">
      <c r="A18" s="2"/>
      <c r="B18" s="2"/>
      <c r="C18" s="2"/>
      <c r="D18" s="2"/>
      <c r="E18" s="20"/>
      <c r="F18" s="20"/>
      <c r="G18" s="20"/>
      <c r="H18" s="20"/>
      <c r="I18" s="20"/>
      <c r="J18" s="20"/>
      <c r="K18" s="20"/>
      <c r="L18" s="20"/>
      <c r="M18" s="20"/>
      <c r="N18" s="20"/>
      <c r="O18" s="2"/>
      <c r="P18" s="2"/>
      <c r="Q18" s="2"/>
      <c r="R18" s="2"/>
      <c r="S18" s="2"/>
      <c r="T18" s="2"/>
      <c r="U18" s="2"/>
      <c r="V18" s="2"/>
      <c r="W18" s="2"/>
      <c r="X18" s="2"/>
      <c r="Y18" s="2"/>
      <c r="Z18" s="2"/>
    </row>
    <row r="19" customFormat="false" ht="15" hidden="false" customHeight="true" outlineLevel="0" collapsed="false">
      <c r="A19" s="2"/>
      <c r="B19" s="2"/>
      <c r="C19" s="2"/>
      <c r="D19" s="2"/>
      <c r="E19" s="20"/>
      <c r="F19" s="20"/>
      <c r="G19" s="20"/>
      <c r="H19" s="20"/>
      <c r="I19" s="20"/>
      <c r="J19" s="20"/>
      <c r="K19" s="20"/>
      <c r="L19" s="20"/>
      <c r="M19" s="20"/>
      <c r="N19" s="20"/>
      <c r="O19" s="2"/>
      <c r="P19" s="2"/>
      <c r="Q19" s="2"/>
      <c r="R19" s="2"/>
      <c r="S19" s="2"/>
      <c r="T19" s="2"/>
      <c r="U19" s="2"/>
      <c r="V19" s="2"/>
      <c r="W19" s="2"/>
      <c r="X19" s="2"/>
      <c r="Y19" s="2"/>
      <c r="Z19" s="2"/>
    </row>
    <row r="20" customFormat="false" ht="15" hidden="false" customHeight="true" outlineLevel="0" collapsed="false">
      <c r="A20" s="2"/>
      <c r="B20" s="2"/>
      <c r="C20" s="2"/>
      <c r="D20" s="20"/>
      <c r="E20" s="20"/>
      <c r="F20" s="20"/>
      <c r="G20" s="20"/>
      <c r="H20" s="20"/>
      <c r="I20" s="20"/>
      <c r="J20" s="20"/>
      <c r="K20" s="20"/>
      <c r="L20" s="20"/>
      <c r="M20" s="20"/>
      <c r="N20" s="20"/>
      <c r="O20" s="2"/>
      <c r="P20" s="2"/>
      <c r="Q20" s="2"/>
      <c r="R20" s="2"/>
      <c r="S20" s="2"/>
      <c r="T20" s="2"/>
      <c r="U20" s="2"/>
      <c r="V20" s="2"/>
      <c r="W20" s="2"/>
      <c r="X20" s="2"/>
      <c r="Y20" s="2"/>
      <c r="Z20" s="2"/>
    </row>
    <row r="21" customFormat="false" ht="15" hidden="false" customHeight="true" outlineLevel="0" collapsed="false">
      <c r="A21" s="2"/>
      <c r="B21" s="20"/>
      <c r="C21" s="20"/>
      <c r="D21" s="20"/>
      <c r="E21" s="20"/>
      <c r="F21" s="20"/>
      <c r="G21" s="20"/>
      <c r="H21" s="20"/>
      <c r="I21" s="20"/>
      <c r="J21" s="20"/>
      <c r="K21" s="20"/>
      <c r="L21" s="20"/>
      <c r="M21" s="20"/>
      <c r="N21" s="20"/>
      <c r="O21" s="2"/>
      <c r="P21" s="2"/>
      <c r="Q21" s="2"/>
      <c r="R21" s="2"/>
      <c r="S21" s="2"/>
      <c r="T21" s="2"/>
      <c r="U21" s="2"/>
      <c r="V21" s="2"/>
      <c r="W21" s="2"/>
      <c r="X21" s="2"/>
      <c r="Y21" s="2"/>
      <c r="Z21" s="2"/>
    </row>
    <row r="22" customFormat="false" ht="24.75" hidden="false" customHeight="true" outlineLevel="0" collapsed="false">
      <c r="A22" s="21" t="s">
        <v>35</v>
      </c>
      <c r="B22" s="21"/>
      <c r="C22" s="21"/>
      <c r="D22" s="21"/>
      <c r="E22" s="20"/>
      <c r="F22" s="20"/>
      <c r="G22" s="20"/>
      <c r="H22" s="20"/>
      <c r="I22" s="20"/>
      <c r="J22" s="20"/>
      <c r="K22" s="20"/>
      <c r="L22" s="20"/>
      <c r="M22" s="20"/>
      <c r="N22" s="20"/>
      <c r="O22" s="2"/>
      <c r="P22" s="2"/>
      <c r="Q22" s="2"/>
      <c r="R22" s="2"/>
      <c r="S22" s="2"/>
      <c r="T22" s="2"/>
      <c r="U22" s="2"/>
      <c r="V22" s="2"/>
      <c r="W22" s="2"/>
      <c r="X22" s="2"/>
      <c r="Y22" s="2"/>
      <c r="Z22" s="2"/>
    </row>
    <row r="23" customFormat="false" ht="18" hidden="false" customHeight="true" outlineLevel="0" collapsed="false">
      <c r="A23" s="22" t="s">
        <v>36</v>
      </c>
      <c r="B23" s="22" t="s">
        <v>37</v>
      </c>
      <c r="C23" s="22" t="s">
        <v>38</v>
      </c>
      <c r="D23" s="22" t="s">
        <v>39</v>
      </c>
      <c r="E23" s="22" t="s">
        <v>40</v>
      </c>
      <c r="F23" s="20"/>
      <c r="G23" s="20"/>
      <c r="H23" s="20"/>
      <c r="I23" s="20"/>
      <c r="J23" s="20"/>
      <c r="K23" s="20"/>
      <c r="L23" s="20"/>
      <c r="M23" s="20"/>
      <c r="N23" s="20"/>
      <c r="O23" s="2"/>
      <c r="P23" s="2"/>
      <c r="Q23" s="2"/>
      <c r="R23" s="2"/>
      <c r="S23" s="2"/>
      <c r="T23" s="2"/>
      <c r="U23" s="2"/>
      <c r="V23" s="2"/>
      <c r="W23" s="2"/>
      <c r="X23" s="2"/>
      <c r="Y23" s="2"/>
      <c r="Z23" s="2"/>
    </row>
    <row r="24" customFormat="false" ht="15" hidden="false" customHeight="true" outlineLevel="0" collapsed="false">
      <c r="A24" s="23" t="s">
        <v>41</v>
      </c>
      <c r="B24" s="23" t="str">
        <f aca="false">SUBSTITUTE(TEXT('Proy. ventas'!AA36,"#,##0"),",",".")&amp;" comercios"</f>
        <v>271 comercios</v>
      </c>
      <c r="C24" s="24" t="n">
        <v>0.008</v>
      </c>
      <c r="D24" s="25" t="n">
        <f aca="false">C24*$D$12</f>
        <v>107520</v>
      </c>
      <c r="E24" s="25" t="n">
        <f aca="false">SUM('Proy. ventas'!F32,'Proy. ventas'!H32,'Proy. ventas'!J32,'Proy. ventas'!L32,'Proy. ventas'!N32,'Proy. ventas'!P32,'Proy. ventas'!R32,'Proy. ventas'!T32,'Proy. ventas'!V32,'Proy. ventas'!X32,'Proy. ventas'!Z32,'Proy. ventas'!AB32)</f>
        <v>105865</v>
      </c>
      <c r="F24" s="20"/>
      <c r="G24" s="20"/>
      <c r="H24" s="20"/>
      <c r="I24" s="20"/>
      <c r="J24" s="20"/>
      <c r="K24" s="20"/>
      <c r="L24" s="20"/>
      <c r="M24" s="20"/>
      <c r="N24" s="20"/>
      <c r="O24" s="2"/>
      <c r="P24" s="2"/>
      <c r="Q24" s="2"/>
      <c r="R24" s="2"/>
      <c r="S24" s="2"/>
      <c r="T24" s="2"/>
      <c r="U24" s="2"/>
      <c r="V24" s="2"/>
      <c r="W24" s="2"/>
      <c r="X24" s="2"/>
      <c r="Y24" s="2"/>
      <c r="Z24" s="2"/>
    </row>
    <row r="25" customFormat="false" ht="15" hidden="false" customHeight="true" outlineLevel="0" collapsed="false">
      <c r="A25" s="23" t="s">
        <v>42</v>
      </c>
      <c r="B25" s="23" t="str">
        <f aca="false">SUBSTITUTE(TEXT('Proy. ventas'!AA99,"#,##0"),",",".")&amp;" comercios"</f>
        <v>597 comercios</v>
      </c>
      <c r="C25" s="24" t="n">
        <v>0.029</v>
      </c>
      <c r="D25" s="25" t="n">
        <f aca="false">C25*$D$12</f>
        <v>389760</v>
      </c>
      <c r="E25" s="25" t="n">
        <f aca="false">SUM('Proy. ventas'!F95,'Proy. ventas'!H95,'Proy. ventas'!J95,'Proy. ventas'!L95,'Proy. ventas'!N95,'Proy. ventas'!P95,'Proy. ventas'!R95,'Proy. ventas'!T95,'Proy. ventas'!V95,'Proy. ventas'!X95,'Proy. ventas'!Z95,'Proy. ventas'!AB95)</f>
        <v>386897</v>
      </c>
      <c r="F25" s="20"/>
      <c r="G25" s="20"/>
      <c r="H25" s="20"/>
      <c r="I25" s="20"/>
      <c r="J25" s="20"/>
      <c r="K25" s="20"/>
      <c r="L25" s="20"/>
      <c r="M25" s="20"/>
      <c r="N25" s="20"/>
      <c r="O25" s="2"/>
      <c r="P25" s="2"/>
      <c r="Q25" s="2"/>
      <c r="R25" s="2"/>
      <c r="S25" s="2"/>
      <c r="T25" s="2"/>
      <c r="U25" s="2"/>
      <c r="V25" s="2"/>
      <c r="W25" s="2"/>
      <c r="X25" s="2"/>
      <c r="Y25" s="2"/>
      <c r="Z25" s="2"/>
    </row>
    <row r="26" customFormat="false" ht="15" hidden="false" customHeight="true" outlineLevel="0" collapsed="false">
      <c r="A26" s="23" t="s">
        <v>43</v>
      </c>
      <c r="B26" s="23" t="str">
        <f aca="false">SUBSTITUTE(TEXT('Proy. ventas'!AA161,"#,##0"),",",".")&amp;" comercios"</f>
        <v>1.033 comercios</v>
      </c>
      <c r="C26" s="24" t="n">
        <v>0.052</v>
      </c>
      <c r="D26" s="25" t="n">
        <f aca="false">C26*$D$12</f>
        <v>698880</v>
      </c>
      <c r="E26" s="25" t="n">
        <f aca="false">SUM('Proy. ventas'!F157,'Proy. ventas'!H157,'Proy. ventas'!J157,'Proy. ventas'!L157,'Proy. ventas'!N157,'Proy. ventas'!P157,'Proy. ventas'!R157,'Proy. ventas'!T157,'Proy. ventas'!V157,'Proy. ventas'!X157,'Proy. ventas'!Z157,'Proy. ventas'!AB157)</f>
        <v>705506</v>
      </c>
      <c r="F26" s="20"/>
      <c r="G26" s="20"/>
      <c r="H26" s="20"/>
      <c r="I26" s="20"/>
      <c r="J26" s="20"/>
      <c r="K26" s="20"/>
      <c r="L26" s="20"/>
      <c r="M26" s="20"/>
      <c r="N26" s="20"/>
      <c r="O26" s="2"/>
      <c r="P26" s="2"/>
      <c r="Q26" s="2"/>
      <c r="R26" s="2"/>
      <c r="S26" s="2"/>
      <c r="T26" s="2"/>
      <c r="U26" s="2"/>
      <c r="V26" s="2"/>
      <c r="W26" s="2"/>
      <c r="X26" s="2"/>
      <c r="Y26" s="2"/>
      <c r="Z26" s="2"/>
    </row>
    <row r="27" customFormat="false" ht="15" hidden="false" customHeight="true" outlineLevel="0" collapsed="false">
      <c r="A27" s="2"/>
      <c r="B27" s="20"/>
      <c r="C27" s="26"/>
      <c r="D27" s="27"/>
      <c r="E27" s="20"/>
      <c r="F27" s="20"/>
      <c r="G27" s="20"/>
      <c r="H27" s="20"/>
      <c r="I27" s="20"/>
      <c r="J27" s="20"/>
      <c r="K27" s="20"/>
      <c r="L27" s="20"/>
      <c r="M27" s="20"/>
      <c r="N27" s="20"/>
      <c r="O27" s="2"/>
      <c r="P27" s="2"/>
      <c r="Q27" s="2"/>
      <c r="R27" s="2"/>
      <c r="S27" s="2"/>
      <c r="T27" s="2"/>
      <c r="U27" s="2"/>
      <c r="V27" s="2"/>
      <c r="W27" s="2"/>
      <c r="X27" s="2"/>
      <c r="Y27" s="2"/>
      <c r="Z27" s="2"/>
    </row>
    <row r="28" customFormat="false" ht="15" hidden="false" customHeight="true" outlineLevel="0" collapsed="false">
      <c r="A28" s="2"/>
      <c r="C28" s="26"/>
      <c r="D28" s="27"/>
      <c r="E28" s="20"/>
      <c r="F28" s="20"/>
      <c r="G28" s="20"/>
      <c r="H28" s="20"/>
      <c r="I28" s="20"/>
      <c r="J28" s="20"/>
      <c r="K28" s="20"/>
      <c r="L28" s="20"/>
      <c r="M28" s="20"/>
      <c r="N28" s="20"/>
      <c r="O28" s="2"/>
      <c r="P28" s="2"/>
      <c r="Q28" s="2"/>
      <c r="R28" s="2"/>
      <c r="S28" s="2"/>
      <c r="T28" s="2"/>
      <c r="U28" s="2"/>
      <c r="V28" s="2"/>
      <c r="W28" s="2"/>
      <c r="X28" s="2"/>
      <c r="Y28" s="2"/>
      <c r="Z28" s="2"/>
    </row>
    <row r="29" customFormat="false" ht="15" hidden="false" customHeight="true" outlineLevel="0" collapsed="false">
      <c r="A29" s="2"/>
      <c r="B29" s="28" t="s">
        <v>44</v>
      </c>
      <c r="C29" s="26"/>
      <c r="D29" s="27"/>
      <c r="E29" s="20"/>
      <c r="F29" s="20"/>
      <c r="G29" s="20"/>
      <c r="H29" s="20"/>
      <c r="I29" s="20"/>
      <c r="J29" s="20"/>
      <c r="K29" s="20"/>
      <c r="L29" s="20"/>
      <c r="M29" s="20"/>
      <c r="N29" s="20"/>
      <c r="O29" s="2"/>
      <c r="P29" s="2"/>
      <c r="Q29" s="2"/>
      <c r="R29" s="2"/>
      <c r="S29" s="2"/>
      <c r="T29" s="2"/>
      <c r="U29" s="2"/>
      <c r="V29" s="2"/>
      <c r="W29" s="2"/>
      <c r="X29" s="2"/>
      <c r="Y29" s="2"/>
      <c r="Z29" s="2"/>
    </row>
    <row r="30" customFormat="false" ht="15" hidden="false" customHeight="true" outlineLevel="0" collapsed="false">
      <c r="A30" s="2"/>
      <c r="B30" s="20"/>
      <c r="C30" s="26"/>
      <c r="D30" s="27"/>
      <c r="E30" s="20"/>
      <c r="F30" s="20"/>
      <c r="G30" s="20"/>
      <c r="H30" s="20"/>
      <c r="I30" s="20"/>
      <c r="J30" s="20"/>
      <c r="K30" s="20"/>
      <c r="L30" s="20"/>
      <c r="M30" s="20"/>
      <c r="N30" s="20"/>
      <c r="O30" s="2"/>
      <c r="P30" s="2"/>
      <c r="Q30" s="2"/>
      <c r="R30" s="2"/>
      <c r="S30" s="2"/>
      <c r="T30" s="2"/>
      <c r="U30" s="2"/>
      <c r="V30" s="2"/>
      <c r="W30" s="2"/>
      <c r="X30" s="2"/>
      <c r="Y30" s="2"/>
      <c r="Z30" s="2"/>
    </row>
    <row r="31" customFormat="false" ht="126" hidden="false" customHeight="true" outlineLevel="0" collapsed="false">
      <c r="A31" s="2"/>
      <c r="B31" s="29" t="s">
        <v>45</v>
      </c>
      <c r="C31" s="29"/>
      <c r="D31" s="29"/>
      <c r="E31" s="29"/>
      <c r="K31" s="20"/>
      <c r="L31" s="20"/>
      <c r="M31" s="20"/>
      <c r="N31" s="20"/>
      <c r="O31" s="2"/>
      <c r="P31" s="2"/>
      <c r="Q31" s="2"/>
      <c r="R31" s="2"/>
      <c r="S31" s="2"/>
      <c r="T31" s="2"/>
      <c r="U31" s="2"/>
      <c r="V31" s="2"/>
      <c r="W31" s="2"/>
      <c r="X31" s="2"/>
      <c r="Y31" s="2"/>
      <c r="Z31" s="2"/>
    </row>
    <row r="32" customFormat="false" ht="15.75" hidden="false" customHeight="true" outlineLevel="0" collapsed="false">
      <c r="A32" s="2"/>
      <c r="B32" s="20"/>
      <c r="C32" s="20"/>
      <c r="D32" s="20"/>
      <c r="E32" s="20"/>
      <c r="F32" s="20"/>
      <c r="G32" s="2"/>
      <c r="H32" s="20"/>
      <c r="I32" s="20"/>
      <c r="J32" s="20"/>
      <c r="K32" s="20"/>
      <c r="L32" s="20"/>
      <c r="M32" s="20"/>
      <c r="N32" s="20"/>
      <c r="O32" s="2"/>
      <c r="P32" s="2"/>
      <c r="Q32" s="2"/>
      <c r="R32" s="2"/>
      <c r="S32" s="2"/>
      <c r="T32" s="2"/>
      <c r="U32" s="2"/>
      <c r="V32" s="2"/>
      <c r="W32" s="2"/>
      <c r="X32" s="2"/>
      <c r="Y32" s="2"/>
      <c r="Z32" s="2"/>
    </row>
    <row r="33" customFormat="false" ht="25.5" hidden="false" customHeight="true" outlineLevel="0" collapsed="false">
      <c r="A33" s="2"/>
      <c r="B33" s="12" t="s">
        <v>46</v>
      </c>
      <c r="C33" s="12"/>
      <c r="D33" s="12"/>
      <c r="E33" s="12"/>
      <c r="F33" s="12"/>
      <c r="G33" s="2"/>
      <c r="H33" s="20"/>
      <c r="I33" s="20"/>
      <c r="J33" s="20"/>
      <c r="K33" s="20"/>
      <c r="L33" s="20"/>
      <c r="M33" s="20"/>
      <c r="N33" s="20"/>
      <c r="O33" s="2"/>
      <c r="P33" s="2"/>
      <c r="Q33" s="2"/>
      <c r="R33" s="2"/>
      <c r="S33" s="2"/>
      <c r="T33" s="2"/>
      <c r="U33" s="2"/>
      <c r="V33" s="2"/>
      <c r="W33" s="2"/>
      <c r="X33" s="2"/>
      <c r="Y33" s="2"/>
      <c r="Z33" s="2"/>
    </row>
    <row r="34" customFormat="false" ht="25.5" hidden="false" customHeight="true" outlineLevel="0" collapsed="false">
      <c r="A34" s="2"/>
      <c r="B34" s="30"/>
      <c r="C34" s="30"/>
      <c r="D34" s="30"/>
      <c r="E34" s="30"/>
      <c r="F34" s="30"/>
      <c r="G34" s="2"/>
      <c r="H34" s="20"/>
      <c r="I34" s="20"/>
      <c r="J34" s="20"/>
      <c r="K34" s="20"/>
      <c r="L34" s="20"/>
      <c r="M34" s="20"/>
      <c r="N34" s="20"/>
      <c r="O34" s="2"/>
      <c r="P34" s="2"/>
      <c r="Q34" s="2"/>
      <c r="R34" s="2"/>
      <c r="S34" s="2"/>
      <c r="T34" s="2"/>
      <c r="U34" s="2"/>
      <c r="V34" s="2"/>
      <c r="W34" s="2"/>
      <c r="X34" s="2"/>
      <c r="Y34" s="2"/>
      <c r="Z34" s="2"/>
    </row>
    <row r="35" customFormat="false" ht="25.5" hidden="false" customHeight="true" outlineLevel="0" collapsed="false">
      <c r="A35" s="2"/>
      <c r="B35" s="12" t="s">
        <v>47</v>
      </c>
      <c r="C35" s="12"/>
      <c r="D35" s="12"/>
      <c r="E35" s="12"/>
      <c r="F35" s="12"/>
      <c r="G35" s="2"/>
      <c r="H35" s="2"/>
      <c r="I35" s="2"/>
      <c r="J35" s="2"/>
      <c r="K35" s="2"/>
      <c r="L35" s="2"/>
      <c r="M35" s="2"/>
      <c r="N35" s="2"/>
      <c r="O35" s="2"/>
      <c r="P35" s="2"/>
      <c r="Q35" s="2"/>
      <c r="R35" s="2"/>
      <c r="S35" s="2"/>
      <c r="T35" s="2"/>
      <c r="U35" s="2"/>
      <c r="V35" s="2"/>
      <c r="W35" s="2"/>
      <c r="X35" s="2"/>
      <c r="Y35" s="2"/>
      <c r="Z35" s="2"/>
    </row>
    <row r="36" customFormat="false" ht="14.25" hidden="false" customHeight="true" outlineLevel="0" collapsed="false">
      <c r="A36" s="2"/>
      <c r="B36" s="31"/>
      <c r="C36" s="32" t="s">
        <v>48</v>
      </c>
      <c r="D36" s="32"/>
      <c r="E36" s="32"/>
      <c r="F36" s="32"/>
      <c r="G36" s="2"/>
      <c r="H36" s="2"/>
      <c r="I36" s="2"/>
      <c r="J36" s="2"/>
      <c r="K36" s="2"/>
      <c r="L36" s="2"/>
      <c r="M36" s="2"/>
      <c r="N36" s="2"/>
      <c r="O36" s="2"/>
      <c r="P36" s="2"/>
      <c r="Q36" s="2"/>
      <c r="R36" s="2"/>
      <c r="S36" s="2"/>
      <c r="T36" s="2"/>
      <c r="U36" s="2"/>
      <c r="V36" s="2"/>
      <c r="W36" s="2"/>
      <c r="X36" s="2"/>
      <c r="Y36" s="2"/>
      <c r="Z36" s="2"/>
    </row>
    <row r="37" customFormat="false" ht="14.25" hidden="false" customHeight="true" outlineLevel="0" collapsed="false">
      <c r="A37" s="2"/>
      <c r="B37" s="31"/>
      <c r="C37" s="32"/>
      <c r="D37" s="32"/>
      <c r="E37" s="32"/>
      <c r="F37" s="32"/>
      <c r="G37" s="2"/>
      <c r="H37" s="2"/>
      <c r="I37" s="2"/>
      <c r="J37" s="2"/>
      <c r="K37" s="2"/>
      <c r="L37" s="2"/>
      <c r="M37" s="2"/>
      <c r="N37" s="2"/>
      <c r="O37" s="2"/>
      <c r="P37" s="2"/>
      <c r="Q37" s="2"/>
      <c r="R37" s="2"/>
      <c r="S37" s="2"/>
      <c r="T37" s="2"/>
      <c r="U37" s="2"/>
      <c r="V37" s="2"/>
      <c r="W37" s="2"/>
      <c r="X37" s="2"/>
      <c r="Y37" s="2"/>
      <c r="Z37" s="2"/>
    </row>
    <row r="38" customFormat="false" ht="15.75" hidden="false" customHeight="true" outlineLevel="0" collapsed="false">
      <c r="A38" s="2"/>
      <c r="B38" s="31"/>
      <c r="C38" s="32"/>
      <c r="D38" s="32"/>
      <c r="E38" s="32"/>
      <c r="F38" s="32"/>
      <c r="G38" s="2"/>
      <c r="H38" s="2"/>
      <c r="I38" s="2"/>
      <c r="J38" s="2"/>
      <c r="K38" s="2"/>
      <c r="L38" s="2"/>
      <c r="M38" s="2"/>
      <c r="N38" s="2"/>
      <c r="O38" s="2"/>
      <c r="P38" s="2"/>
      <c r="Q38" s="2"/>
      <c r="R38" s="2"/>
      <c r="S38" s="2"/>
      <c r="T38" s="2"/>
      <c r="U38" s="2"/>
      <c r="V38" s="2"/>
      <c r="W38" s="2"/>
      <c r="X38" s="2"/>
      <c r="Y38" s="2"/>
      <c r="Z38" s="2"/>
    </row>
    <row r="39" customFormat="false" ht="15.75" hidden="false" customHeight="true" outlineLevel="0" collapsed="false">
      <c r="A39" s="2"/>
      <c r="B39" s="31"/>
      <c r="C39" s="33" t="s">
        <v>49</v>
      </c>
      <c r="D39" s="33" t="s">
        <v>50</v>
      </c>
      <c r="E39" s="34"/>
      <c r="F39" s="34"/>
      <c r="G39" s="2"/>
      <c r="H39" s="2"/>
      <c r="I39" s="2"/>
      <c r="J39" s="2"/>
      <c r="K39" s="2"/>
      <c r="L39" s="2"/>
      <c r="M39" s="2"/>
      <c r="N39" s="2"/>
      <c r="O39" s="2"/>
      <c r="P39" s="2"/>
      <c r="Q39" s="2"/>
      <c r="R39" s="2"/>
      <c r="S39" s="2"/>
      <c r="T39" s="2"/>
      <c r="U39" s="2"/>
      <c r="V39" s="2"/>
      <c r="W39" s="2"/>
      <c r="X39" s="2"/>
      <c r="Y39" s="2"/>
      <c r="Z39" s="2"/>
    </row>
    <row r="40" customFormat="false" ht="14.25" hidden="false" customHeight="true" outlineLevel="0" collapsed="false">
      <c r="A40" s="2"/>
      <c r="B40" s="35" t="s">
        <v>51</v>
      </c>
      <c r="C40" s="36" t="s">
        <v>52</v>
      </c>
      <c r="D40" s="37" t="s">
        <v>52</v>
      </c>
      <c r="E40" s="38"/>
      <c r="F40" s="39"/>
      <c r="G40" s="2"/>
      <c r="H40" s="2"/>
      <c r="I40" s="2"/>
      <c r="J40" s="2"/>
      <c r="K40" s="2"/>
      <c r="L40" s="2"/>
      <c r="M40" s="2"/>
      <c r="N40" s="2"/>
      <c r="O40" s="2"/>
      <c r="P40" s="2"/>
      <c r="Q40" s="2"/>
      <c r="R40" s="2"/>
      <c r="S40" s="2"/>
      <c r="T40" s="2"/>
      <c r="U40" s="2"/>
      <c r="V40" s="2"/>
      <c r="W40" s="2"/>
      <c r="X40" s="2"/>
      <c r="Y40" s="2"/>
      <c r="Z40" s="2"/>
    </row>
    <row r="41" customFormat="false" ht="14.25" hidden="false" customHeight="true" outlineLevel="0" collapsed="false">
      <c r="A41" s="2"/>
      <c r="B41" s="35"/>
      <c r="C41" s="35"/>
      <c r="D41" s="35"/>
      <c r="E41" s="35"/>
      <c r="F41" s="35"/>
      <c r="G41" s="2"/>
      <c r="H41" s="2"/>
      <c r="I41" s="2"/>
      <c r="J41" s="2"/>
      <c r="K41" s="2"/>
      <c r="L41" s="2"/>
      <c r="M41" s="2"/>
      <c r="N41" s="2"/>
      <c r="O41" s="2"/>
      <c r="P41" s="2"/>
      <c r="Q41" s="2"/>
      <c r="R41" s="2"/>
      <c r="S41" s="2"/>
      <c r="T41" s="2"/>
      <c r="U41" s="2"/>
      <c r="V41" s="2"/>
      <c r="W41" s="2"/>
      <c r="X41" s="2"/>
      <c r="Y41" s="2"/>
      <c r="Z41" s="2"/>
    </row>
    <row r="42" customFormat="false" ht="14.25" hidden="false" customHeight="true" outlineLevel="0" collapsed="false">
      <c r="A42" s="2"/>
      <c r="B42" s="35"/>
      <c r="C42" s="36"/>
      <c r="D42" s="36"/>
      <c r="E42" s="36"/>
      <c r="F42" s="39"/>
      <c r="G42" s="2"/>
      <c r="H42" s="2"/>
      <c r="I42" s="2"/>
      <c r="J42" s="2"/>
      <c r="K42" s="2"/>
      <c r="L42" s="2"/>
      <c r="M42" s="2"/>
      <c r="N42" s="2"/>
      <c r="O42" s="2"/>
      <c r="P42" s="2"/>
      <c r="Q42" s="2"/>
      <c r="R42" s="2"/>
      <c r="S42" s="2"/>
      <c r="T42" s="2"/>
      <c r="U42" s="2"/>
      <c r="V42" s="2"/>
      <c r="W42" s="2"/>
      <c r="X42" s="2"/>
      <c r="Y42" s="2"/>
      <c r="Z42" s="2"/>
    </row>
    <row r="43" customFormat="false" ht="14.25" hidden="false" customHeight="true" outlineLevel="0" collapsed="false">
      <c r="A43" s="2"/>
      <c r="B43" s="35"/>
      <c r="C43" s="36" t="s">
        <v>53</v>
      </c>
      <c r="D43" s="37" t="s">
        <v>53</v>
      </c>
      <c r="E43" s="38"/>
      <c r="F43" s="39"/>
      <c r="G43" s="2"/>
      <c r="H43" s="2"/>
      <c r="I43" s="2"/>
      <c r="J43" s="2"/>
      <c r="K43" s="2"/>
      <c r="L43" s="2"/>
      <c r="M43" s="2"/>
      <c r="N43" s="2"/>
      <c r="O43" s="2"/>
      <c r="P43" s="2"/>
      <c r="Q43" s="2"/>
      <c r="R43" s="2"/>
      <c r="S43" s="2"/>
      <c r="T43" s="2"/>
      <c r="U43" s="2"/>
      <c r="V43" s="2"/>
      <c r="W43" s="2"/>
      <c r="X43" s="2"/>
      <c r="Y43" s="2"/>
      <c r="Z43" s="2"/>
    </row>
    <row r="44" customFormat="false" ht="14.25" hidden="false" customHeight="true" outlineLevel="0" collapsed="false">
      <c r="A44" s="2"/>
      <c r="B44" s="35"/>
      <c r="C44" s="35"/>
      <c r="D44" s="35"/>
      <c r="E44" s="35"/>
      <c r="F44" s="35"/>
      <c r="G44" s="2"/>
      <c r="H44" s="2"/>
      <c r="I44" s="2"/>
      <c r="J44" s="2"/>
      <c r="K44" s="2"/>
      <c r="L44" s="2"/>
      <c r="M44" s="2"/>
      <c r="N44" s="2"/>
      <c r="O44" s="2"/>
      <c r="P44" s="2"/>
      <c r="Q44" s="2"/>
      <c r="R44" s="2"/>
      <c r="S44" s="2"/>
      <c r="T44" s="2"/>
      <c r="U44" s="2"/>
      <c r="V44" s="2"/>
      <c r="W44" s="2"/>
      <c r="X44" s="2"/>
      <c r="Y44" s="2"/>
      <c r="Z44" s="2"/>
    </row>
    <row r="45" customFormat="false" ht="14.25" hidden="false" customHeight="true" outlineLevel="0" collapsed="false">
      <c r="A45" s="2"/>
      <c r="B45" s="35"/>
      <c r="C45" s="36"/>
      <c r="D45" s="36"/>
      <c r="E45" s="36"/>
      <c r="F45" s="39"/>
      <c r="G45" s="2"/>
      <c r="H45" s="2"/>
      <c r="I45" s="2"/>
      <c r="J45" s="2"/>
      <c r="K45" s="2"/>
      <c r="L45" s="2"/>
      <c r="M45" s="2"/>
      <c r="N45" s="2"/>
      <c r="O45" s="2"/>
      <c r="P45" s="2"/>
      <c r="Q45" s="2"/>
      <c r="R45" s="2"/>
      <c r="S45" s="2"/>
      <c r="T45" s="2"/>
      <c r="U45" s="2"/>
      <c r="V45" s="2"/>
      <c r="W45" s="2"/>
      <c r="X45" s="2"/>
      <c r="Y45" s="2"/>
      <c r="Z45" s="2"/>
    </row>
    <row r="46" customFormat="false" ht="14.25" hidden="false" customHeight="true" outlineLevel="0" collapsed="false">
      <c r="A46" s="2"/>
      <c r="B46" s="35"/>
      <c r="C46" s="36" t="s">
        <v>54</v>
      </c>
      <c r="D46" s="37" t="s">
        <v>54</v>
      </c>
      <c r="E46" s="38"/>
      <c r="F46" s="39"/>
      <c r="G46" s="2"/>
      <c r="H46" s="2"/>
      <c r="I46" s="2"/>
      <c r="J46" s="2"/>
      <c r="K46" s="2"/>
      <c r="L46" s="2"/>
      <c r="M46" s="2"/>
      <c r="N46" s="2"/>
      <c r="O46" s="2"/>
      <c r="P46" s="2"/>
      <c r="Q46" s="2"/>
      <c r="R46" s="2"/>
      <c r="S46" s="2"/>
      <c r="T46" s="2"/>
      <c r="U46" s="2"/>
      <c r="V46" s="2"/>
      <c r="W46" s="2"/>
      <c r="X46" s="2"/>
      <c r="Y46" s="2"/>
      <c r="Z46" s="2"/>
    </row>
    <row r="47" customFormat="false" ht="14.25" hidden="false" customHeight="true" outlineLevel="0" collapsed="false">
      <c r="A47" s="2"/>
      <c r="B47" s="35"/>
      <c r="C47" s="35"/>
      <c r="D47" s="35"/>
      <c r="E47" s="35"/>
      <c r="F47" s="35"/>
      <c r="G47" s="2"/>
      <c r="H47" s="2"/>
      <c r="I47" s="2"/>
      <c r="J47" s="2"/>
      <c r="K47" s="2"/>
      <c r="L47" s="2"/>
      <c r="M47" s="2"/>
      <c r="N47" s="2"/>
      <c r="O47" s="2"/>
      <c r="P47" s="2"/>
      <c r="Q47" s="2"/>
      <c r="R47" s="2"/>
      <c r="S47" s="2"/>
      <c r="T47" s="2"/>
      <c r="U47" s="2"/>
      <c r="V47" s="2"/>
      <c r="W47" s="2"/>
      <c r="X47" s="2"/>
      <c r="Y47" s="2"/>
      <c r="Z47" s="2"/>
    </row>
    <row r="48" customFormat="false" ht="14.25" hidden="false" customHeight="true" outlineLevel="0" collapsed="false">
      <c r="A48" s="2"/>
      <c r="B48" s="35"/>
      <c r="C48" s="35"/>
      <c r="D48" s="35"/>
      <c r="E48" s="38"/>
      <c r="F48" s="39"/>
      <c r="G48" s="2"/>
      <c r="H48" s="2"/>
      <c r="I48" s="2"/>
      <c r="J48" s="2"/>
      <c r="K48" s="2"/>
      <c r="L48" s="2"/>
      <c r="M48" s="2"/>
      <c r="N48" s="2"/>
      <c r="O48" s="2"/>
      <c r="P48" s="2"/>
      <c r="Q48" s="2"/>
      <c r="R48" s="2"/>
      <c r="S48" s="2"/>
      <c r="T48" s="2"/>
      <c r="U48" s="2"/>
      <c r="V48" s="2"/>
      <c r="W48" s="2"/>
      <c r="X48" s="2"/>
      <c r="Y48" s="2"/>
      <c r="Z48" s="2"/>
    </row>
    <row r="49" customFormat="false" ht="14.25" hidden="false" customHeight="true" outlineLevel="0" collapsed="false">
      <c r="A49" s="2"/>
      <c r="B49" s="35"/>
      <c r="C49" s="35"/>
      <c r="D49" s="35"/>
      <c r="E49" s="38"/>
      <c r="F49" s="39"/>
      <c r="G49" s="2"/>
      <c r="H49" s="2"/>
      <c r="I49" s="2"/>
      <c r="J49" s="2"/>
      <c r="K49" s="2"/>
      <c r="L49" s="2"/>
      <c r="M49" s="2"/>
      <c r="N49" s="2"/>
      <c r="O49" s="2"/>
      <c r="P49" s="2"/>
      <c r="Q49" s="2"/>
      <c r="R49" s="2"/>
      <c r="S49" s="2"/>
      <c r="T49" s="2"/>
      <c r="U49" s="2"/>
      <c r="V49" s="2"/>
      <c r="W49" s="2"/>
      <c r="X49" s="2"/>
      <c r="Y49" s="2"/>
      <c r="Z49" s="2"/>
    </row>
    <row r="50" customFormat="false" ht="14.25" hidden="false" customHeight="true" outlineLevel="0" collapsed="false">
      <c r="A50" s="2"/>
      <c r="B50" s="35"/>
      <c r="C50" s="35"/>
      <c r="D50" s="35"/>
      <c r="E50" s="35"/>
      <c r="F50" s="35"/>
      <c r="G50" s="2"/>
      <c r="H50" s="2"/>
      <c r="I50" s="2"/>
      <c r="J50" s="2"/>
      <c r="K50" s="2"/>
      <c r="L50" s="2"/>
      <c r="M50" s="2"/>
      <c r="N50" s="2"/>
      <c r="O50" s="2"/>
      <c r="P50" s="2"/>
      <c r="Q50" s="2"/>
      <c r="R50" s="2"/>
      <c r="S50" s="2"/>
      <c r="T50" s="2"/>
      <c r="U50" s="2"/>
      <c r="V50" s="2"/>
      <c r="W50" s="2"/>
      <c r="X50" s="2"/>
      <c r="Y50" s="2"/>
      <c r="Z50" s="2"/>
    </row>
    <row r="51" customFormat="false" ht="14.25" hidden="false" customHeight="true" outlineLevel="0" collapsed="false">
      <c r="A51" s="2"/>
      <c r="B51" s="35"/>
      <c r="C51" s="35"/>
      <c r="D51" s="35"/>
      <c r="E51" s="38"/>
      <c r="F51" s="39"/>
      <c r="G51" s="2"/>
      <c r="H51" s="2"/>
      <c r="I51" s="2"/>
      <c r="J51" s="2"/>
      <c r="K51" s="2"/>
      <c r="L51" s="2"/>
      <c r="M51" s="2"/>
      <c r="N51" s="2"/>
      <c r="O51" s="2"/>
      <c r="P51" s="2"/>
      <c r="Q51" s="2"/>
      <c r="R51" s="2"/>
      <c r="S51" s="2"/>
      <c r="T51" s="2"/>
      <c r="U51" s="2"/>
      <c r="V51" s="2"/>
      <c r="W51" s="2"/>
      <c r="X51" s="2"/>
      <c r="Y51" s="2"/>
      <c r="Z51" s="2"/>
    </row>
    <row r="52" customFormat="false" ht="14.25" hidden="false" customHeight="true" outlineLevel="0" collapsed="false">
      <c r="A52" s="2"/>
      <c r="B52" s="35"/>
      <c r="C52" s="35"/>
      <c r="D52" s="35"/>
      <c r="E52" s="38"/>
      <c r="F52" s="39"/>
      <c r="G52" s="2"/>
      <c r="H52" s="2"/>
      <c r="I52" s="2"/>
      <c r="J52" s="2"/>
      <c r="K52" s="2"/>
      <c r="L52" s="2"/>
      <c r="M52" s="2"/>
      <c r="N52" s="2"/>
      <c r="O52" s="2"/>
      <c r="P52" s="2"/>
      <c r="Q52" s="2"/>
      <c r="R52" s="2"/>
      <c r="S52" s="2"/>
      <c r="T52" s="2"/>
      <c r="U52" s="2"/>
      <c r="V52" s="2"/>
      <c r="W52" s="2"/>
      <c r="X52" s="2"/>
      <c r="Y52" s="2"/>
      <c r="Z52" s="2"/>
    </row>
    <row r="53" customFormat="false" ht="14.25" hidden="false" customHeight="true" outlineLevel="0" collapsed="false">
      <c r="A53" s="2"/>
      <c r="B53" s="35"/>
      <c r="C53" s="35"/>
      <c r="D53" s="35"/>
      <c r="E53" s="35"/>
      <c r="F53" s="35"/>
      <c r="G53" s="2"/>
      <c r="H53" s="2"/>
      <c r="I53" s="2"/>
      <c r="J53" s="2"/>
      <c r="K53" s="2"/>
      <c r="L53" s="2"/>
      <c r="M53" s="2"/>
      <c r="N53" s="2"/>
      <c r="O53" s="2"/>
      <c r="P53" s="2"/>
      <c r="Q53" s="2"/>
      <c r="R53" s="2"/>
      <c r="S53" s="2"/>
      <c r="T53" s="2"/>
      <c r="U53" s="2"/>
      <c r="V53" s="2"/>
      <c r="W53" s="2"/>
      <c r="X53" s="2"/>
      <c r="Y53" s="2"/>
      <c r="Z53" s="2"/>
    </row>
    <row r="54" customFormat="false" ht="14.2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4.2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31.5" hidden="false" customHeight="true" outlineLevel="0" collapsed="false">
      <c r="A56" s="2"/>
      <c r="B56" s="40" t="s">
        <v>55</v>
      </c>
      <c r="C56" s="40"/>
      <c r="D56" s="40"/>
      <c r="E56" s="40"/>
      <c r="F56" s="2"/>
      <c r="G56" s="2"/>
      <c r="H56" s="2"/>
      <c r="I56" s="2"/>
      <c r="J56" s="2"/>
      <c r="K56" s="2"/>
      <c r="L56" s="2"/>
      <c r="M56" s="2"/>
      <c r="N56" s="2"/>
      <c r="O56" s="2"/>
      <c r="P56" s="2"/>
      <c r="Q56" s="2"/>
      <c r="R56" s="2"/>
      <c r="S56" s="2"/>
      <c r="T56" s="2"/>
      <c r="U56" s="2"/>
      <c r="V56" s="2"/>
      <c r="W56" s="2"/>
      <c r="X56" s="2"/>
      <c r="Y56" s="2"/>
      <c r="Z56" s="2"/>
    </row>
    <row r="57" customFormat="false" ht="15.75" hidden="false" customHeight="true" outlineLevel="0" collapsed="false">
      <c r="A57" s="2"/>
      <c r="B57" s="41" t="s">
        <v>56</v>
      </c>
      <c r="C57" s="42" t="s">
        <v>57</v>
      </c>
      <c r="D57" s="43" t="s">
        <v>58</v>
      </c>
      <c r="E57" s="44" t="s">
        <v>59</v>
      </c>
      <c r="F57" s="2"/>
      <c r="G57" s="2"/>
      <c r="H57" s="2"/>
      <c r="I57" s="2"/>
      <c r="J57" s="2"/>
      <c r="K57" s="2"/>
      <c r="L57" s="2"/>
      <c r="M57" s="2"/>
      <c r="N57" s="2"/>
      <c r="O57" s="2"/>
      <c r="P57" s="2"/>
      <c r="Q57" s="2"/>
      <c r="R57" s="2"/>
      <c r="S57" s="2"/>
      <c r="T57" s="2"/>
      <c r="U57" s="2"/>
      <c r="V57" s="2"/>
      <c r="W57" s="2"/>
      <c r="X57" s="2"/>
      <c r="Y57" s="2"/>
      <c r="Z57" s="2"/>
    </row>
    <row r="58" customFormat="false" ht="96.75" hidden="false" customHeight="true" outlineLevel="0" collapsed="false">
      <c r="A58" s="2"/>
      <c r="B58" s="45" t="s">
        <v>60</v>
      </c>
      <c r="C58" s="46" t="n">
        <v>40</v>
      </c>
      <c r="D58" s="47" t="s">
        <v>61</v>
      </c>
      <c r="E58" s="48" t="s">
        <v>62</v>
      </c>
      <c r="F58" s="2"/>
      <c r="G58" s="2"/>
      <c r="H58" s="2"/>
      <c r="I58" s="2"/>
      <c r="J58" s="2"/>
      <c r="K58" s="2"/>
      <c r="L58" s="2"/>
      <c r="M58" s="2"/>
      <c r="N58" s="2"/>
      <c r="O58" s="2"/>
      <c r="P58" s="2"/>
      <c r="Q58" s="2"/>
      <c r="R58" s="2"/>
      <c r="S58" s="2"/>
      <c r="T58" s="2"/>
      <c r="U58" s="2"/>
      <c r="V58" s="2"/>
      <c r="W58" s="2"/>
      <c r="X58" s="2"/>
      <c r="Y58" s="2"/>
      <c r="Z58" s="2"/>
    </row>
    <row r="59" customFormat="false" ht="111.75" hidden="false" customHeight="true" outlineLevel="0" collapsed="false">
      <c r="A59" s="2"/>
      <c r="B59" s="49" t="s">
        <v>63</v>
      </c>
      <c r="C59" s="50" t="n">
        <v>120</v>
      </c>
      <c r="D59" s="51" t="s">
        <v>64</v>
      </c>
      <c r="E59" s="48" t="s">
        <v>62</v>
      </c>
      <c r="F59" s="2"/>
      <c r="G59" s="2"/>
      <c r="H59" s="2"/>
      <c r="I59" s="2"/>
      <c r="J59" s="2"/>
      <c r="K59" s="2"/>
      <c r="L59" s="2"/>
      <c r="M59" s="2"/>
      <c r="N59" s="2"/>
      <c r="O59" s="2"/>
      <c r="P59" s="2"/>
      <c r="Q59" s="2"/>
      <c r="R59" s="2"/>
      <c r="S59" s="2"/>
      <c r="T59" s="2"/>
      <c r="U59" s="2"/>
      <c r="V59" s="2"/>
      <c r="W59" s="2"/>
      <c r="X59" s="2"/>
      <c r="Y59" s="2"/>
      <c r="Z59" s="2"/>
    </row>
    <row r="60" customFormat="false" ht="67.5" hidden="false" customHeight="true" outlineLevel="0" collapsed="false">
      <c r="A60" s="2"/>
      <c r="B60" s="52" t="s">
        <v>65</v>
      </c>
      <c r="C60" s="53" t="n">
        <v>450</v>
      </c>
      <c r="D60" s="54" t="s">
        <v>66</v>
      </c>
      <c r="E60" s="48" t="s">
        <v>62</v>
      </c>
      <c r="F60" s="2"/>
      <c r="G60" s="2"/>
      <c r="H60" s="2"/>
      <c r="I60" s="2"/>
      <c r="J60" s="2"/>
      <c r="K60" s="2"/>
      <c r="L60" s="2"/>
      <c r="M60" s="2"/>
      <c r="N60" s="2"/>
      <c r="O60" s="2"/>
      <c r="P60" s="2"/>
      <c r="Q60" s="2"/>
      <c r="R60" s="2"/>
      <c r="S60" s="2"/>
      <c r="T60" s="2"/>
      <c r="U60" s="2"/>
      <c r="V60" s="2"/>
      <c r="W60" s="2"/>
      <c r="X60" s="2"/>
      <c r="Y60" s="2"/>
      <c r="Z60" s="2"/>
    </row>
    <row r="61" customFormat="false" ht="111.75" hidden="false" customHeight="true" outlineLevel="0" collapsed="false">
      <c r="A61" s="2"/>
      <c r="B61" s="55" t="s">
        <v>67</v>
      </c>
      <c r="C61" s="56" t="n">
        <v>33</v>
      </c>
      <c r="D61" s="57" t="s">
        <v>68</v>
      </c>
      <c r="E61" s="58" t="s">
        <v>69</v>
      </c>
      <c r="F61" s="2"/>
      <c r="G61" s="2"/>
      <c r="H61" s="2"/>
      <c r="I61" s="2"/>
      <c r="J61" s="2"/>
      <c r="K61" s="2"/>
      <c r="L61" s="2"/>
      <c r="M61" s="2"/>
      <c r="N61" s="2"/>
      <c r="O61" s="2"/>
      <c r="P61" s="2"/>
      <c r="Q61" s="2"/>
      <c r="R61" s="2"/>
      <c r="S61" s="2"/>
      <c r="T61" s="2"/>
      <c r="U61" s="2"/>
      <c r="V61" s="2"/>
      <c r="W61" s="2"/>
      <c r="X61" s="2"/>
      <c r="Y61" s="2"/>
      <c r="Z61" s="2"/>
    </row>
    <row r="62" customFormat="false" ht="111.75" hidden="false" customHeight="true" outlineLevel="0" collapsed="false">
      <c r="A62" s="2"/>
      <c r="B62" s="55" t="s">
        <v>70</v>
      </c>
      <c r="C62" s="59" t="n">
        <v>65</v>
      </c>
      <c r="D62" s="57" t="s">
        <v>71</v>
      </c>
      <c r="E62" s="58" t="s">
        <v>69</v>
      </c>
      <c r="F62" s="2"/>
      <c r="G62" s="2"/>
      <c r="H62" s="2"/>
      <c r="I62" s="2"/>
      <c r="J62" s="2"/>
      <c r="K62" s="2"/>
      <c r="L62" s="2"/>
      <c r="M62" s="2"/>
      <c r="N62" s="2"/>
      <c r="O62" s="2"/>
      <c r="P62" s="2"/>
      <c r="Q62" s="2"/>
      <c r="R62" s="2"/>
      <c r="S62" s="2"/>
      <c r="T62" s="2"/>
      <c r="U62" s="2"/>
      <c r="V62" s="2"/>
      <c r="W62" s="2"/>
      <c r="X62" s="2"/>
      <c r="Y62" s="2"/>
      <c r="Z62" s="2"/>
    </row>
    <row r="63" customFormat="false" ht="81.75" hidden="false" customHeight="true" outlineLevel="0" collapsed="false">
      <c r="A63" s="2"/>
      <c r="B63" s="55" t="s">
        <v>72</v>
      </c>
      <c r="C63" s="59" t="n">
        <v>175</v>
      </c>
      <c r="D63" s="57" t="s">
        <v>73</v>
      </c>
      <c r="E63" s="58" t="s">
        <v>69</v>
      </c>
      <c r="F63" s="2"/>
      <c r="G63" s="2"/>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2"/>
      <c r="B64" s="60"/>
      <c r="C64" s="61"/>
      <c r="D64" s="62"/>
      <c r="E64" s="2"/>
      <c r="F64" s="2"/>
      <c r="G64" s="2"/>
      <c r="H64" s="2"/>
      <c r="I64" s="2"/>
      <c r="J64" s="2"/>
      <c r="K64" s="2"/>
      <c r="L64" s="2"/>
      <c r="M64" s="2"/>
      <c r="N64" s="2"/>
      <c r="O64" s="2"/>
      <c r="P64" s="2"/>
      <c r="Q64" s="2"/>
      <c r="R64" s="2"/>
      <c r="S64" s="2"/>
      <c r="T64" s="2"/>
      <c r="U64" s="2"/>
      <c r="V64" s="2"/>
      <c r="W64" s="2"/>
      <c r="X64" s="2"/>
      <c r="Y64" s="2"/>
      <c r="Z64" s="2"/>
    </row>
    <row r="65" customFormat="false" ht="15" hidden="false" customHeight="true" outlineLevel="0" collapsed="false">
      <c r="A65" s="2"/>
      <c r="B65" s="63"/>
      <c r="C65" s="64"/>
      <c r="D65" s="65"/>
      <c r="E65" s="2"/>
      <c r="F65" s="2"/>
      <c r="G65" s="2"/>
      <c r="H65" s="2"/>
      <c r="I65" s="2"/>
      <c r="J65" s="2"/>
      <c r="K65" s="2"/>
      <c r="L65" s="2"/>
      <c r="M65" s="2"/>
      <c r="N65" s="2"/>
      <c r="O65" s="2"/>
      <c r="P65" s="2"/>
      <c r="Q65" s="2"/>
      <c r="R65" s="2"/>
      <c r="S65" s="2"/>
      <c r="T65" s="2"/>
      <c r="U65" s="2"/>
      <c r="V65" s="2"/>
      <c r="W65" s="2"/>
      <c r="X65" s="2"/>
      <c r="Y65" s="2"/>
      <c r="Z65" s="2"/>
    </row>
    <row r="66" customFormat="false" ht="15" hidden="false" customHeight="true" outlineLevel="0" collapsed="false">
      <c r="A66" s="2"/>
      <c r="B66" s="66"/>
      <c r="C66" s="67"/>
      <c r="D66" s="68"/>
      <c r="E66" s="2"/>
      <c r="F66" s="2"/>
      <c r="G66" s="2"/>
      <c r="H66" s="2"/>
      <c r="I66" s="2"/>
      <c r="J66" s="2"/>
      <c r="K66" s="2"/>
      <c r="L66" s="2"/>
      <c r="M66" s="2"/>
      <c r="N66" s="2"/>
      <c r="O66" s="2"/>
      <c r="P66" s="2"/>
      <c r="Q66" s="2"/>
      <c r="R66" s="2"/>
      <c r="S66" s="2"/>
      <c r="T66" s="2"/>
      <c r="U66" s="2"/>
      <c r="V66" s="2"/>
      <c r="W66" s="2"/>
      <c r="X66" s="2"/>
      <c r="Y66" s="2"/>
      <c r="Z66" s="2"/>
    </row>
    <row r="67" customFormat="false" ht="15" hidden="false" customHeight="true" outlineLevel="0" collapsed="false">
      <c r="A67" s="2"/>
      <c r="B67" s="66"/>
      <c r="C67" s="67"/>
      <c r="D67" s="68"/>
      <c r="E67" s="2"/>
      <c r="F67" s="2"/>
      <c r="G67" s="2"/>
      <c r="H67" s="2"/>
      <c r="I67" s="2"/>
      <c r="J67" s="2"/>
      <c r="K67" s="2"/>
      <c r="L67" s="2"/>
      <c r="M67" s="2"/>
      <c r="N67" s="2"/>
      <c r="O67" s="2"/>
      <c r="P67" s="2"/>
      <c r="Q67" s="2"/>
      <c r="R67" s="2"/>
      <c r="S67" s="2"/>
      <c r="T67" s="2"/>
      <c r="U67" s="2"/>
      <c r="V67" s="2"/>
      <c r="W67" s="2"/>
      <c r="X67" s="2"/>
      <c r="Y67" s="2"/>
      <c r="Z67" s="2"/>
    </row>
    <row r="68" customFormat="false" ht="15" hidden="false" customHeight="true" outlineLevel="0" collapsed="false">
      <c r="A68" s="2"/>
      <c r="B68" s="66"/>
      <c r="C68" s="67"/>
      <c r="D68" s="68"/>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2"/>
      <c r="B69" s="69"/>
      <c r="C69" s="70"/>
      <c r="D69" s="71"/>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2"/>
      <c r="B70" s="72"/>
      <c r="C70" s="73"/>
      <c r="D70" s="74"/>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4.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4.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4.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4.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4.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4.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4.2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4.2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4.2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4.2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4.2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4.2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4.2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4.2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4.2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4.2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4.2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4.2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4.2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4.2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4.2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4.2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4.2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4.2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4.2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4.2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4.2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4.2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4.2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4.2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4.2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4.2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4.2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4.2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4.2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4.2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4.2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4.2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4.2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4.2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4.2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4.2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4.2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sheetData>
  <mergeCells count="26">
    <mergeCell ref="B3:E3"/>
    <mergeCell ref="B4:E4"/>
    <mergeCell ref="B7:E7"/>
    <mergeCell ref="B8:E8"/>
    <mergeCell ref="B9:E9"/>
    <mergeCell ref="B15:E15"/>
    <mergeCell ref="B16:E16"/>
    <mergeCell ref="A22:D22"/>
    <mergeCell ref="B31:E31"/>
    <mergeCell ref="B33:F33"/>
    <mergeCell ref="B35:F35"/>
    <mergeCell ref="C36:F38"/>
    <mergeCell ref="B40:B53"/>
    <mergeCell ref="C40:C42"/>
    <mergeCell ref="D40:D42"/>
    <mergeCell ref="E40:E42"/>
    <mergeCell ref="F40:F53"/>
    <mergeCell ref="C43:C45"/>
    <mergeCell ref="D43:D45"/>
    <mergeCell ref="E43:E45"/>
    <mergeCell ref="C46:C53"/>
    <mergeCell ref="D46:D53"/>
    <mergeCell ref="E46:E48"/>
    <mergeCell ref="E49:E51"/>
    <mergeCell ref="E52:E53"/>
    <mergeCell ref="B56:E5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398"/>
  <sheetViews>
    <sheetView showFormulas="false" showGridLines="true" showRowColHeaders="true" showZeros="true" rightToLeft="false" tabSelected="false" showOutlineSymbols="true" defaultGridColor="true" view="normal" topLeftCell="F81" colorId="64" zoomScale="100" zoomScaleNormal="100" zoomScalePageLayoutView="100" workbookViewId="0">
      <selection pane="topLeft" activeCell="A1" activeCellId="0" sqref="A1"/>
    </sheetView>
  </sheetViews>
  <sheetFormatPr defaultColWidth="12.66796875" defaultRowHeight="15" customHeight="true" zeroHeight="false" outlineLevelRow="0" outlineLevelCol="0"/>
  <cols>
    <col collapsed="false" customWidth="true" hidden="false" outlineLevel="0" max="1" min="1" style="1" width="39"/>
    <col collapsed="false" customWidth="true" hidden="false" outlineLevel="0" max="2" min="2" style="1" width="30.67"/>
    <col collapsed="false" customWidth="true" hidden="false" outlineLevel="0" max="3" min="3" style="1" width="25"/>
    <col collapsed="false" customWidth="true" hidden="false" outlineLevel="0" max="4" min="4" style="1" width="32.66"/>
    <col collapsed="false" customWidth="true" hidden="false" outlineLevel="0" max="5" min="5" style="1" width="13.66"/>
    <col collapsed="false" customWidth="true" hidden="false" outlineLevel="0" max="6" min="6" style="1" width="22.17"/>
    <col collapsed="false" customWidth="true" hidden="false" outlineLevel="0" max="7" min="7" style="1" width="14"/>
    <col collapsed="false" customWidth="true" hidden="false" outlineLevel="0" max="8" min="8" style="1" width="19.67"/>
    <col collapsed="false" customWidth="true" hidden="false" outlineLevel="0" max="9" min="9" style="1" width="17.17"/>
    <col collapsed="false" customWidth="true" hidden="false" outlineLevel="0" max="10" min="10" style="1" width="20.16"/>
    <col collapsed="false" customWidth="true" hidden="false" outlineLevel="0" max="11" min="11" style="1" width="14"/>
    <col collapsed="false" customWidth="true" hidden="false" outlineLevel="0" max="12" min="12" style="1" width="19.67"/>
    <col collapsed="false" customWidth="true" hidden="false" outlineLevel="0" max="13" min="13" style="1" width="14.5"/>
    <col collapsed="false" customWidth="true" hidden="false" outlineLevel="0" max="14" min="14" style="1" width="19.5"/>
    <col collapsed="false" customWidth="true" hidden="false" outlineLevel="0" max="15" min="15" style="1" width="15.16"/>
    <col collapsed="false" customWidth="true" hidden="false" outlineLevel="0" max="16" min="16" style="1" width="21.66"/>
    <col collapsed="false" customWidth="true" hidden="false" outlineLevel="0" max="17" min="17" style="1" width="14"/>
    <col collapsed="false" customWidth="true" hidden="false" outlineLevel="0" max="18" min="18" style="1" width="21.5"/>
    <col collapsed="false" customWidth="true" hidden="false" outlineLevel="0" max="19" min="19" style="1" width="14.16"/>
    <col collapsed="false" customWidth="true" hidden="false" outlineLevel="0" max="20" min="20" style="1" width="21.33"/>
    <col collapsed="false" customWidth="true" hidden="false" outlineLevel="0" max="21" min="21" style="1" width="14"/>
    <col collapsed="false" customWidth="true" hidden="false" outlineLevel="0" max="22" min="22" style="1" width="19.5"/>
    <col collapsed="false" customWidth="true" hidden="false" outlineLevel="0" max="23" min="23" style="1" width="17"/>
    <col collapsed="false" customWidth="true" hidden="false" outlineLevel="0" max="24" min="24" style="1" width="21.16"/>
    <col collapsed="false" customWidth="true" hidden="false" outlineLevel="0" max="25" min="25" style="1" width="14.5"/>
    <col collapsed="false" customWidth="true" hidden="false" outlineLevel="0" max="26" min="26" style="1" width="18.66"/>
    <col collapsed="false" customWidth="true" hidden="false" outlineLevel="0" max="27" min="27" style="1" width="16.66"/>
    <col collapsed="false" customWidth="true" hidden="false" outlineLevel="0" max="28" min="28" style="1" width="21"/>
    <col collapsed="false" customWidth="true" hidden="false" outlineLevel="0" max="29" min="29" style="1" width="16.33"/>
    <col collapsed="false" customWidth="true" hidden="false" outlineLevel="0" max="44" min="30" style="1" width="10"/>
  </cols>
  <sheetData>
    <row r="1" customFormat="false" ht="60.75" hidden="false" customHeight="true" outlineLevel="0" collapsed="false">
      <c r="A1" s="75"/>
      <c r="B1" s="76" t="s">
        <v>9</v>
      </c>
      <c r="C1" s="75"/>
      <c r="D1" s="75"/>
      <c r="E1" s="75"/>
      <c r="F1" s="75"/>
      <c r="G1" s="77"/>
      <c r="H1" s="77"/>
      <c r="I1" s="77"/>
      <c r="J1" s="77"/>
      <c r="K1" s="75"/>
      <c r="L1" s="75"/>
      <c r="M1" s="75"/>
      <c r="N1" s="75"/>
      <c r="O1" s="75"/>
      <c r="P1" s="75"/>
      <c r="Q1" s="75"/>
      <c r="R1" s="75"/>
      <c r="S1" s="75"/>
      <c r="T1" s="75"/>
      <c r="U1" s="75"/>
      <c r="V1" s="75"/>
      <c r="W1" s="75"/>
      <c r="X1" s="75"/>
      <c r="Y1" s="75"/>
      <c r="Z1" s="75"/>
      <c r="AA1" s="75"/>
      <c r="AB1" s="75"/>
      <c r="AC1" s="75"/>
      <c r="AD1" s="75"/>
      <c r="AE1" s="75"/>
      <c r="AF1" s="75"/>
      <c r="AG1" s="75"/>
      <c r="AH1" s="75"/>
      <c r="AI1" s="75"/>
      <c r="AJ1" s="75"/>
      <c r="AK1" s="75"/>
      <c r="AL1" s="75"/>
      <c r="AM1" s="75"/>
      <c r="AN1" s="75"/>
      <c r="AO1" s="75"/>
      <c r="AP1" s="75"/>
      <c r="AQ1" s="75"/>
      <c r="AR1" s="2"/>
    </row>
    <row r="2" customFormat="false" ht="14.25" hidden="false" customHeight="true" outlineLevel="0" collapsed="false">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row>
    <row r="3" customFormat="false" ht="14.25" hidden="false" customHeight="true" outlineLevel="0" collapsed="false">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row>
    <row r="4" customFormat="false" ht="14.25" hidden="false" customHeight="true" outlineLevel="0" collapsed="false">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row>
    <row r="5" customFormat="false" ht="25.5" hidden="false" customHeight="true" outlineLevel="0" collapsed="false">
      <c r="A5" s="2"/>
      <c r="B5" s="12" t="s">
        <v>74</v>
      </c>
      <c r="C5" s="12"/>
      <c r="D5" s="12"/>
      <c r="E5" s="2"/>
      <c r="F5" s="2"/>
      <c r="G5" s="12" t="s">
        <v>75</v>
      </c>
      <c r="H5" s="12"/>
      <c r="I5" s="12"/>
      <c r="J5" s="12"/>
      <c r="K5" s="12"/>
      <c r="L5" s="12"/>
      <c r="M5" s="30"/>
      <c r="N5" s="30"/>
      <c r="O5" s="30"/>
      <c r="P5" s="30"/>
      <c r="Q5" s="30"/>
      <c r="R5" s="30"/>
      <c r="S5" s="30"/>
      <c r="T5" s="30"/>
      <c r="U5" s="30"/>
      <c r="V5" s="2"/>
      <c r="W5" s="2"/>
      <c r="X5" s="2"/>
      <c r="Y5" s="2"/>
      <c r="Z5" s="2"/>
      <c r="AA5" s="2"/>
      <c r="AB5" s="2"/>
      <c r="AC5" s="2"/>
      <c r="AD5" s="2"/>
      <c r="AE5" s="2"/>
      <c r="AF5" s="2"/>
      <c r="AG5" s="2"/>
      <c r="AH5" s="2"/>
      <c r="AI5" s="2"/>
      <c r="AJ5" s="2"/>
      <c r="AK5" s="2"/>
      <c r="AL5" s="2"/>
      <c r="AM5" s="2"/>
      <c r="AN5" s="2"/>
      <c r="AO5" s="2"/>
      <c r="AP5" s="2"/>
      <c r="AQ5" s="2"/>
      <c r="AR5" s="2"/>
    </row>
    <row r="6" customFormat="false" ht="14.25" hidden="false" customHeight="true" outlineLevel="0" collapsed="false">
      <c r="A6" s="78"/>
      <c r="B6" s="79" t="n">
        <v>2026</v>
      </c>
      <c r="C6" s="80" t="n">
        <v>2027</v>
      </c>
      <c r="D6" s="81" t="n">
        <v>2028</v>
      </c>
      <c r="E6" s="2"/>
      <c r="F6" s="2"/>
      <c r="G6" s="82" t="s">
        <v>76</v>
      </c>
      <c r="H6" s="82"/>
      <c r="I6" s="82"/>
      <c r="J6" s="82"/>
      <c r="K6" s="82"/>
      <c r="L6" s="82"/>
      <c r="M6" s="28"/>
      <c r="N6" s="28"/>
      <c r="O6" s="28"/>
      <c r="P6" s="28"/>
      <c r="Q6" s="28"/>
      <c r="R6" s="28"/>
      <c r="S6" s="28"/>
      <c r="T6" s="28"/>
      <c r="U6" s="28"/>
      <c r="V6" s="2"/>
      <c r="W6" s="2"/>
      <c r="X6" s="2"/>
      <c r="Y6" s="2"/>
      <c r="Z6" s="2"/>
      <c r="AA6" s="2"/>
      <c r="AB6" s="2"/>
      <c r="AC6" s="2"/>
      <c r="AD6" s="2"/>
      <c r="AE6" s="2"/>
      <c r="AF6" s="2"/>
      <c r="AG6" s="2"/>
      <c r="AH6" s="2"/>
      <c r="AI6" s="2"/>
      <c r="AJ6" s="2"/>
      <c r="AK6" s="2"/>
      <c r="AL6" s="2"/>
      <c r="AM6" s="2"/>
      <c r="AN6" s="2"/>
      <c r="AO6" s="2"/>
      <c r="AP6" s="2"/>
      <c r="AQ6" s="2"/>
      <c r="AR6" s="2"/>
    </row>
    <row r="7" customFormat="false" ht="14.25" hidden="false" customHeight="true" outlineLevel="0" collapsed="false">
      <c r="A7" s="78"/>
      <c r="B7" s="83" t="n">
        <f aca="false">Hipótesis!C24</f>
        <v>0.008</v>
      </c>
      <c r="C7" s="84" t="n">
        <f aca="false">Hipótesis!C25</f>
        <v>0.029</v>
      </c>
      <c r="D7" s="85" t="n">
        <f aca="false">Hipótesis!C26</f>
        <v>0.052</v>
      </c>
      <c r="E7" s="2"/>
      <c r="F7" s="2"/>
      <c r="G7" s="82"/>
      <c r="H7" s="82"/>
      <c r="I7" s="82"/>
      <c r="J7" s="82"/>
      <c r="K7" s="82"/>
      <c r="L7" s="82"/>
      <c r="M7" s="28"/>
      <c r="N7" s="28"/>
      <c r="O7" s="28"/>
      <c r="P7" s="28"/>
      <c r="Q7" s="28"/>
      <c r="R7" s="28"/>
      <c r="S7" s="28"/>
      <c r="T7" s="28"/>
      <c r="U7" s="28"/>
      <c r="V7" s="2"/>
      <c r="W7" s="2"/>
      <c r="X7" s="2"/>
      <c r="Y7" s="2"/>
      <c r="Z7" s="2"/>
      <c r="AA7" s="2"/>
      <c r="AB7" s="2"/>
      <c r="AC7" s="2"/>
      <c r="AD7" s="2"/>
      <c r="AE7" s="2"/>
      <c r="AF7" s="2"/>
      <c r="AG7" s="2"/>
      <c r="AH7" s="2"/>
      <c r="AI7" s="2"/>
      <c r="AJ7" s="2"/>
      <c r="AK7" s="2"/>
      <c r="AL7" s="2"/>
      <c r="AM7" s="2"/>
      <c r="AN7" s="2"/>
      <c r="AO7" s="2"/>
      <c r="AP7" s="2"/>
      <c r="AQ7" s="2"/>
      <c r="AR7" s="2"/>
    </row>
    <row r="8" customFormat="false" ht="14.25" hidden="false" customHeight="true" outlineLevel="0" collapsed="false">
      <c r="A8" s="78"/>
      <c r="B8" s="86" t="n">
        <f aca="false">Hipótesis!D24</f>
        <v>107520</v>
      </c>
      <c r="C8" s="87" t="n">
        <f aca="false">Hipótesis!D25</f>
        <v>389760</v>
      </c>
      <c r="D8" s="88" t="n">
        <f aca="false">Hipótesis!D26</f>
        <v>698880</v>
      </c>
      <c r="E8" s="2"/>
      <c r="F8" s="2"/>
      <c r="G8" s="82"/>
      <c r="H8" s="82"/>
      <c r="I8" s="82"/>
      <c r="J8" s="82"/>
      <c r="K8" s="82"/>
      <c r="L8" s="82"/>
      <c r="M8" s="28"/>
      <c r="N8" s="28"/>
      <c r="O8" s="28"/>
      <c r="P8" s="28"/>
      <c r="Q8" s="28"/>
      <c r="R8" s="28"/>
      <c r="S8" s="28"/>
      <c r="T8" s="28"/>
      <c r="U8" s="28"/>
      <c r="V8" s="2"/>
      <c r="W8" s="2"/>
      <c r="X8" s="2"/>
      <c r="Y8" s="2"/>
      <c r="Z8" s="2"/>
      <c r="AA8" s="2"/>
      <c r="AB8" s="2"/>
      <c r="AC8" s="2"/>
      <c r="AD8" s="2"/>
      <c r="AE8" s="2"/>
      <c r="AF8" s="2"/>
      <c r="AG8" s="2"/>
      <c r="AH8" s="2"/>
      <c r="AI8" s="2"/>
      <c r="AJ8" s="2"/>
      <c r="AK8" s="2"/>
      <c r="AL8" s="2"/>
      <c r="AM8" s="2"/>
      <c r="AN8" s="2"/>
      <c r="AO8" s="2"/>
      <c r="AP8" s="2"/>
      <c r="AQ8" s="2"/>
      <c r="AR8" s="2"/>
    </row>
    <row r="9" customFormat="false" ht="14.25" hidden="false" customHeight="true" outlineLevel="0" collapsed="false">
      <c r="A9" s="2"/>
      <c r="B9" s="2"/>
      <c r="C9" s="2"/>
      <c r="D9" s="2"/>
      <c r="E9" s="2"/>
      <c r="F9" s="2"/>
      <c r="G9" s="82"/>
      <c r="H9" s="82"/>
      <c r="I9" s="82"/>
      <c r="J9" s="82"/>
      <c r="K9" s="82"/>
      <c r="L9" s="82"/>
      <c r="M9" s="28"/>
      <c r="N9" s="28"/>
      <c r="O9" s="28"/>
      <c r="P9" s="28"/>
      <c r="Q9" s="28"/>
      <c r="R9" s="28"/>
      <c r="S9" s="28"/>
      <c r="T9" s="28"/>
      <c r="U9" s="28"/>
      <c r="V9" s="2"/>
      <c r="W9" s="2"/>
      <c r="X9" s="2"/>
      <c r="Y9" s="2"/>
      <c r="Z9" s="2"/>
      <c r="AA9" s="2"/>
      <c r="AB9" s="2"/>
      <c r="AC9" s="2"/>
      <c r="AD9" s="2"/>
      <c r="AE9" s="2"/>
      <c r="AF9" s="2"/>
      <c r="AG9" s="2"/>
      <c r="AH9" s="2"/>
      <c r="AI9" s="2"/>
      <c r="AJ9" s="2"/>
      <c r="AK9" s="2"/>
      <c r="AL9" s="2"/>
      <c r="AM9" s="2"/>
      <c r="AN9" s="2"/>
      <c r="AO9" s="2"/>
      <c r="AP9" s="2"/>
      <c r="AQ9" s="2"/>
      <c r="AR9" s="2"/>
    </row>
    <row r="10" customFormat="false" ht="14.25" hidden="false" customHeight="true" outlineLevel="0" collapsed="false">
      <c r="A10" s="2" t="s">
        <v>77</v>
      </c>
      <c r="B10" s="2"/>
      <c r="C10" s="2"/>
      <c r="D10" s="2"/>
      <c r="E10" s="2"/>
      <c r="F10" s="2"/>
      <c r="G10" s="82"/>
      <c r="H10" s="82"/>
      <c r="I10" s="82"/>
      <c r="J10" s="82"/>
      <c r="K10" s="82"/>
      <c r="L10" s="82"/>
      <c r="M10" s="28"/>
      <c r="N10" s="28"/>
      <c r="O10" s="28"/>
      <c r="P10" s="28"/>
      <c r="Q10" s="28"/>
      <c r="R10" s="28"/>
      <c r="S10" s="28"/>
      <c r="T10" s="28"/>
      <c r="U10" s="28"/>
      <c r="V10" s="2"/>
      <c r="W10" s="2"/>
      <c r="X10" s="2"/>
      <c r="Y10" s="2"/>
      <c r="Z10" s="2"/>
      <c r="AA10" s="2"/>
      <c r="AB10" s="2"/>
      <c r="AC10" s="2"/>
      <c r="AD10" s="2"/>
      <c r="AE10" s="2"/>
      <c r="AF10" s="2"/>
      <c r="AG10" s="2"/>
      <c r="AH10" s="2"/>
      <c r="AI10" s="2"/>
      <c r="AJ10" s="2"/>
      <c r="AK10" s="2"/>
      <c r="AL10" s="2"/>
      <c r="AM10" s="2"/>
      <c r="AN10" s="2"/>
      <c r="AO10" s="2"/>
      <c r="AP10" s="2"/>
      <c r="AQ10" s="2"/>
      <c r="AR10" s="2"/>
    </row>
    <row r="11" customFormat="false" ht="14.25" hidden="false" customHeight="true" outlineLevel="0" collapsed="false">
      <c r="A11" s="2"/>
      <c r="B11" s="2"/>
      <c r="C11" s="2"/>
      <c r="D11" s="2"/>
      <c r="E11" s="2"/>
      <c r="F11" s="2"/>
      <c r="G11" s="82"/>
      <c r="H11" s="82"/>
      <c r="I11" s="82"/>
      <c r="J11" s="82"/>
      <c r="K11" s="82"/>
      <c r="L11" s="82"/>
      <c r="M11" s="28"/>
      <c r="N11" s="28"/>
      <c r="O11" s="28"/>
      <c r="P11" s="28"/>
      <c r="Q11" s="28"/>
      <c r="R11" s="28"/>
      <c r="S11" s="28"/>
      <c r="T11" s="28"/>
      <c r="U11" s="28"/>
      <c r="V11" s="2"/>
      <c r="W11" s="2"/>
      <c r="X11" s="2"/>
      <c r="Y11" s="2"/>
      <c r="Z11" s="2"/>
      <c r="AA11" s="2"/>
      <c r="AB11" s="2"/>
      <c r="AC11" s="2"/>
      <c r="AD11" s="2"/>
      <c r="AE11" s="2"/>
      <c r="AF11" s="2"/>
      <c r="AG11" s="2"/>
      <c r="AH11" s="2"/>
      <c r="AI11" s="2"/>
      <c r="AJ11" s="2"/>
      <c r="AK11" s="2"/>
      <c r="AL11" s="2"/>
      <c r="AM11" s="2"/>
      <c r="AN11" s="2"/>
      <c r="AO11" s="2"/>
      <c r="AP11" s="2"/>
      <c r="AQ11" s="2"/>
      <c r="AR11" s="2"/>
    </row>
    <row r="12" customFormat="false" ht="72" hidden="false" customHeight="true" outlineLevel="0" collapsed="false">
      <c r="A12" s="89"/>
      <c r="B12" s="2"/>
      <c r="C12" s="2"/>
      <c r="D12" s="2"/>
      <c r="E12" s="2"/>
      <c r="F12" s="2"/>
      <c r="G12" s="82"/>
      <c r="H12" s="82"/>
      <c r="I12" s="82"/>
      <c r="J12" s="82"/>
      <c r="K12" s="82"/>
      <c r="L12" s="82"/>
      <c r="M12" s="28"/>
      <c r="N12" s="28"/>
      <c r="O12" s="28"/>
      <c r="P12" s="28"/>
      <c r="Q12" s="28"/>
      <c r="R12" s="28"/>
      <c r="S12" s="28"/>
      <c r="T12" s="28"/>
      <c r="U12" s="28"/>
      <c r="V12" s="2"/>
      <c r="W12" s="2"/>
      <c r="X12" s="2"/>
      <c r="Y12" s="2"/>
      <c r="Z12" s="2"/>
      <c r="AA12" s="2"/>
      <c r="AB12" s="2"/>
      <c r="AC12" s="2"/>
      <c r="AD12" s="2"/>
      <c r="AE12" s="2"/>
      <c r="AF12" s="2"/>
      <c r="AG12" s="2"/>
      <c r="AH12" s="2"/>
      <c r="AI12" s="2"/>
      <c r="AJ12" s="2"/>
      <c r="AK12" s="2"/>
      <c r="AL12" s="2"/>
      <c r="AM12" s="2"/>
      <c r="AN12" s="2"/>
      <c r="AO12" s="2"/>
      <c r="AP12" s="2"/>
      <c r="AQ12" s="2"/>
      <c r="AR12" s="2"/>
    </row>
    <row r="13" customFormat="false" ht="14.25" hidden="false" customHeight="true" outlineLevel="0" collapsed="false">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row>
    <row r="14" customFormat="false" ht="18" hidden="false" customHeight="true" outlineLevel="0" collapsed="false">
      <c r="A14" s="2"/>
      <c r="B14" s="2"/>
      <c r="C14" s="2"/>
      <c r="D14" s="2"/>
      <c r="E14" s="2"/>
      <c r="F14" s="90"/>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row>
    <row r="15" customFormat="false" ht="25.5" hidden="false" customHeight="true" outlineLevel="0" collapsed="false">
      <c r="A15" s="91" t="s">
        <v>78</v>
      </c>
      <c r="B15" s="91"/>
      <c r="C15" s="91"/>
      <c r="D15" s="91"/>
      <c r="E15" s="91"/>
      <c r="F15" s="91"/>
      <c r="G15" s="91"/>
      <c r="H15" s="91"/>
      <c r="I15" s="91"/>
      <c r="J15" s="91"/>
      <c r="K15" s="91"/>
      <c r="L15" s="91"/>
      <c r="M15" s="91"/>
      <c r="N15" s="91"/>
      <c r="O15" s="91"/>
      <c r="P15" s="91"/>
      <c r="Q15" s="91"/>
      <c r="R15" s="91"/>
      <c r="S15" s="91"/>
      <c r="T15" s="91"/>
      <c r="U15" s="91"/>
      <c r="V15" s="91"/>
      <c r="W15" s="91"/>
      <c r="X15" s="91"/>
      <c r="Y15" s="91"/>
      <c r="Z15" s="91"/>
      <c r="AA15" s="91"/>
      <c r="AB15" s="91"/>
      <c r="AC15" s="2"/>
      <c r="AD15" s="2"/>
      <c r="AE15" s="2"/>
      <c r="AF15" s="2"/>
      <c r="AG15" s="2"/>
      <c r="AH15" s="2"/>
      <c r="AI15" s="2"/>
      <c r="AJ15" s="2"/>
      <c r="AK15" s="2"/>
      <c r="AL15" s="2"/>
      <c r="AM15" s="2"/>
      <c r="AN15" s="2"/>
      <c r="AO15" s="2"/>
      <c r="AP15" s="2"/>
      <c r="AQ15" s="2"/>
      <c r="AR15" s="2"/>
    </row>
    <row r="16" customFormat="false" ht="14.25" hidden="false" customHeight="true" outlineLevel="0" collapsed="false">
      <c r="A16" s="92" t="s">
        <v>79</v>
      </c>
      <c r="B16" s="92" t="s">
        <v>57</v>
      </c>
      <c r="C16" s="93" t="s">
        <v>80</v>
      </c>
      <c r="D16" s="93"/>
      <c r="E16" s="94" t="s">
        <v>81</v>
      </c>
      <c r="F16" s="94"/>
      <c r="G16" s="94" t="s">
        <v>82</v>
      </c>
      <c r="H16" s="94"/>
      <c r="I16" s="94" t="s">
        <v>83</v>
      </c>
      <c r="J16" s="94"/>
      <c r="K16" s="94" t="s">
        <v>84</v>
      </c>
      <c r="L16" s="94"/>
      <c r="M16" s="94" t="s">
        <v>85</v>
      </c>
      <c r="N16" s="94"/>
      <c r="O16" s="94" t="s">
        <v>86</v>
      </c>
      <c r="P16" s="94"/>
      <c r="Q16" s="94" t="s">
        <v>87</v>
      </c>
      <c r="R16" s="94"/>
      <c r="S16" s="94" t="s">
        <v>88</v>
      </c>
      <c r="T16" s="94"/>
      <c r="U16" s="94" t="s">
        <v>89</v>
      </c>
      <c r="V16" s="94"/>
      <c r="W16" s="94" t="s">
        <v>90</v>
      </c>
      <c r="X16" s="94"/>
      <c r="Y16" s="94" t="s">
        <v>91</v>
      </c>
      <c r="Z16" s="94"/>
      <c r="AA16" s="94" t="s">
        <v>92</v>
      </c>
      <c r="AB16" s="94"/>
      <c r="AC16" s="2"/>
      <c r="AD16" s="2"/>
      <c r="AE16" s="2"/>
      <c r="AF16" s="2"/>
      <c r="AG16" s="2"/>
      <c r="AH16" s="2"/>
      <c r="AI16" s="2"/>
      <c r="AJ16" s="2"/>
      <c r="AK16" s="2"/>
      <c r="AL16" s="2"/>
      <c r="AM16" s="2"/>
      <c r="AN16" s="2"/>
      <c r="AO16" s="2"/>
      <c r="AP16" s="2"/>
      <c r="AQ16" s="2"/>
      <c r="AR16" s="2"/>
    </row>
    <row r="17" customFormat="false" ht="14.25" hidden="false" customHeight="true" outlineLevel="0" collapsed="false">
      <c r="A17" s="92"/>
      <c r="B17" s="92"/>
      <c r="C17" s="95" t="s">
        <v>37</v>
      </c>
      <c r="D17" s="96" t="s">
        <v>93</v>
      </c>
      <c r="E17" s="97" t="n">
        <f aca="false">F32/$D$32</f>
        <v>0</v>
      </c>
      <c r="F17" s="97"/>
      <c r="G17" s="97" t="n">
        <f aca="false">H32/$D$32</f>
        <v>0.00418457469418599</v>
      </c>
      <c r="H17" s="97"/>
      <c r="I17" s="97" t="n">
        <f aca="false">J32/$D$32</f>
        <v>0.00747178009729372</v>
      </c>
      <c r="J17" s="97"/>
      <c r="K17" s="97" t="n">
        <f aca="false">L32/$D$32</f>
        <v>0.0197137864261087</v>
      </c>
      <c r="L17" s="97"/>
      <c r="M17" s="97" t="n">
        <f aca="false">N32/$D$32</f>
        <v>0.0334293675907996</v>
      </c>
      <c r="N17" s="97"/>
      <c r="O17" s="97" t="n">
        <f aca="false">P32/$D$32</f>
        <v>0.0536910215840929</v>
      </c>
      <c r="P17" s="97"/>
      <c r="Q17" s="97" t="n">
        <f aca="false">R32/$D$32</f>
        <v>0.0725452226892741</v>
      </c>
      <c r="R17" s="97"/>
      <c r="S17" s="97" t="n">
        <f aca="false">T32/$D$32</f>
        <v>0.100826524347046</v>
      </c>
      <c r="T17" s="97"/>
      <c r="U17" s="97" t="n">
        <f aca="false">V32/$D$32</f>
        <v>0.124129787937468</v>
      </c>
      <c r="V17" s="97"/>
      <c r="W17" s="97" t="n">
        <f aca="false">X32/$D$32</f>
        <v>0.160808576961224</v>
      </c>
      <c r="X17" s="97"/>
      <c r="Y17" s="97" t="n">
        <f aca="false">Z32/$D$32</f>
        <v>0.189250460492136</v>
      </c>
      <c r="Z17" s="97"/>
      <c r="AA17" s="97" t="n">
        <f aca="false">AB32/$D$32</f>
        <v>0.233948897180371</v>
      </c>
      <c r="AB17" s="97"/>
      <c r="AC17" s="2"/>
      <c r="AD17" s="2"/>
      <c r="AE17" s="2"/>
      <c r="AF17" s="2"/>
      <c r="AG17" s="2"/>
      <c r="AH17" s="2"/>
      <c r="AI17" s="2"/>
      <c r="AJ17" s="2"/>
      <c r="AK17" s="2"/>
      <c r="AL17" s="2"/>
      <c r="AM17" s="2"/>
      <c r="AN17" s="2"/>
      <c r="AO17" s="2"/>
      <c r="AP17" s="2"/>
      <c r="AQ17" s="2"/>
      <c r="AR17" s="2"/>
    </row>
    <row r="18" customFormat="false" ht="14.25" hidden="false" customHeight="true" outlineLevel="0" collapsed="false">
      <c r="A18" s="92"/>
      <c r="B18" s="92"/>
      <c r="C18" s="95"/>
      <c r="D18" s="96"/>
      <c r="E18" s="98" t="s">
        <v>37</v>
      </c>
      <c r="F18" s="99" t="s">
        <v>93</v>
      </c>
      <c r="G18" s="98" t="s">
        <v>37</v>
      </c>
      <c r="H18" s="99" t="s">
        <v>93</v>
      </c>
      <c r="I18" s="98" t="s">
        <v>37</v>
      </c>
      <c r="J18" s="99" t="s">
        <v>93</v>
      </c>
      <c r="K18" s="98" t="s">
        <v>37</v>
      </c>
      <c r="L18" s="99" t="s">
        <v>93</v>
      </c>
      <c r="M18" s="98" t="s">
        <v>37</v>
      </c>
      <c r="N18" s="99" t="s">
        <v>93</v>
      </c>
      <c r="O18" s="98" t="s">
        <v>37</v>
      </c>
      <c r="P18" s="99" t="s">
        <v>93</v>
      </c>
      <c r="Q18" s="98" t="s">
        <v>37</v>
      </c>
      <c r="R18" s="99" t="s">
        <v>93</v>
      </c>
      <c r="S18" s="98" t="s">
        <v>37</v>
      </c>
      <c r="T18" s="99" t="s">
        <v>93</v>
      </c>
      <c r="U18" s="98" t="s">
        <v>37</v>
      </c>
      <c r="V18" s="99" t="s">
        <v>93</v>
      </c>
      <c r="W18" s="98" t="s">
        <v>37</v>
      </c>
      <c r="X18" s="99" t="s">
        <v>93</v>
      </c>
      <c r="Y18" s="98" t="s">
        <v>37</v>
      </c>
      <c r="Z18" s="99" t="s">
        <v>93</v>
      </c>
      <c r="AA18" s="98" t="s">
        <v>37</v>
      </c>
      <c r="AB18" s="99" t="s">
        <v>93</v>
      </c>
      <c r="AC18" s="2"/>
      <c r="AD18" s="2"/>
      <c r="AE18" s="2"/>
      <c r="AF18" s="2"/>
      <c r="AG18" s="2"/>
      <c r="AH18" s="2"/>
      <c r="AI18" s="2"/>
      <c r="AJ18" s="2"/>
      <c r="AK18" s="2"/>
      <c r="AL18" s="2"/>
      <c r="AM18" s="2"/>
      <c r="AN18" s="2"/>
      <c r="AO18" s="2"/>
      <c r="AP18" s="2"/>
      <c r="AQ18" s="2"/>
      <c r="AR18" s="2"/>
    </row>
    <row r="19" customFormat="false" ht="15" hidden="false" customHeight="true" outlineLevel="0" collapsed="false">
      <c r="A19" s="100" t="str">
        <f aca="false">Hipótesis!$B$58</f>
        <v>Alta e instalación Plan Básico</v>
      </c>
      <c r="B19" s="101" t="n">
        <f aca="false">Hipótesis!C58</f>
        <v>40</v>
      </c>
      <c r="C19" s="102" t="n">
        <f aca="false">E19+G19+I19+K19+M19+O19+Q19+S19+U19+W19+Y19+AA19</f>
        <v>74</v>
      </c>
      <c r="D19" s="103" t="n">
        <f aca="false">B19*C19</f>
        <v>2960</v>
      </c>
      <c r="E19" s="104" t="n">
        <v>0</v>
      </c>
      <c r="F19" s="105" t="n">
        <f aca="false">E19*$B$19</f>
        <v>0</v>
      </c>
      <c r="G19" s="104" t="n">
        <v>1</v>
      </c>
      <c r="H19" s="105" t="n">
        <f aca="false">G19*$B$19</f>
        <v>40</v>
      </c>
      <c r="I19" s="104" t="n">
        <v>1</v>
      </c>
      <c r="J19" s="105" t="n">
        <f aca="false">I19*$B$19</f>
        <v>40</v>
      </c>
      <c r="K19" s="104" t="n">
        <v>2</v>
      </c>
      <c r="L19" s="105" t="n">
        <f aca="false">K19*$B$19</f>
        <v>80</v>
      </c>
      <c r="M19" s="104" t="n">
        <v>4</v>
      </c>
      <c r="N19" s="105" t="n">
        <f aca="false">M19*$B$19</f>
        <v>160</v>
      </c>
      <c r="O19" s="104" t="n">
        <v>5</v>
      </c>
      <c r="P19" s="105" t="n">
        <f aca="false">O19*$B$19</f>
        <v>200</v>
      </c>
      <c r="Q19" s="104" t="n">
        <v>7</v>
      </c>
      <c r="R19" s="105" t="n">
        <f aca="false">Q19*$B$19</f>
        <v>280</v>
      </c>
      <c r="S19" s="104" t="n">
        <v>8</v>
      </c>
      <c r="T19" s="105" t="n">
        <f aca="false">S19*$B$19</f>
        <v>320</v>
      </c>
      <c r="U19" s="104" t="n">
        <v>9</v>
      </c>
      <c r="V19" s="105" t="n">
        <f aca="false">U19*$B$19</f>
        <v>360</v>
      </c>
      <c r="W19" s="104" t="n">
        <v>11</v>
      </c>
      <c r="X19" s="105" t="n">
        <f aca="false">W19*$B$19</f>
        <v>440</v>
      </c>
      <c r="Y19" s="104" t="n">
        <v>12</v>
      </c>
      <c r="Z19" s="105" t="n">
        <f aca="false">Y19*$B$19</f>
        <v>480</v>
      </c>
      <c r="AA19" s="104" t="n">
        <v>14</v>
      </c>
      <c r="AB19" s="105" t="n">
        <f aca="false">AA19*$B$19</f>
        <v>560</v>
      </c>
      <c r="AC19" s="2"/>
      <c r="AD19" s="2"/>
      <c r="AE19" s="2"/>
      <c r="AF19" s="2"/>
      <c r="AG19" s="2"/>
      <c r="AH19" s="2"/>
      <c r="AI19" s="2"/>
      <c r="AJ19" s="2"/>
      <c r="AK19" s="2"/>
      <c r="AL19" s="2"/>
      <c r="AM19" s="2"/>
      <c r="AN19" s="2"/>
      <c r="AO19" s="2"/>
      <c r="AP19" s="2"/>
      <c r="AQ19" s="2"/>
      <c r="AR19" s="2"/>
    </row>
    <row r="20" customFormat="false" ht="15" hidden="false" customHeight="true" outlineLevel="0" collapsed="false">
      <c r="A20" s="100" t="str">
        <f aca="false">Hipótesis!$B$59</f>
        <v>Alta e instalación Plan Vidriera</v>
      </c>
      <c r="B20" s="106" t="n">
        <f aca="false">Hipótesis!C59</f>
        <v>120</v>
      </c>
      <c r="C20" s="107" t="n">
        <f aca="false">E20+G20+I20+K20+M20+O20+Q20+S20+U20+W20+Y20+AA20</f>
        <v>172</v>
      </c>
      <c r="D20" s="108" t="n">
        <f aca="false">B20*C20</f>
        <v>20640</v>
      </c>
      <c r="E20" s="107" t="n">
        <v>0</v>
      </c>
      <c r="F20" s="109" t="n">
        <f aca="false">E20*$B$20</f>
        <v>0</v>
      </c>
      <c r="G20" s="107" t="n">
        <v>2</v>
      </c>
      <c r="H20" s="109" t="n">
        <f aca="false">G20*$B$20</f>
        <v>240</v>
      </c>
      <c r="I20" s="107" t="n">
        <v>3</v>
      </c>
      <c r="J20" s="109" t="n">
        <f aca="false">I20*$B$20</f>
        <v>360</v>
      </c>
      <c r="K20" s="107" t="n">
        <v>5</v>
      </c>
      <c r="L20" s="109" t="n">
        <f aca="false">K20*$B$20</f>
        <v>600</v>
      </c>
      <c r="M20" s="107" t="n">
        <v>9</v>
      </c>
      <c r="N20" s="109" t="n">
        <f aca="false">M20*$B$20</f>
        <v>1080</v>
      </c>
      <c r="O20" s="107" t="n">
        <v>12</v>
      </c>
      <c r="P20" s="109" t="n">
        <f aca="false">O20*$B$20</f>
        <v>1440</v>
      </c>
      <c r="Q20" s="107" t="n">
        <v>15</v>
      </c>
      <c r="R20" s="109" t="n">
        <f aca="false">Q20*$B$20</f>
        <v>1800</v>
      </c>
      <c r="S20" s="107" t="n">
        <v>19</v>
      </c>
      <c r="T20" s="109" t="n">
        <f aca="false">S20*$B$20</f>
        <v>2280</v>
      </c>
      <c r="U20" s="107" t="n">
        <v>21</v>
      </c>
      <c r="V20" s="109" t="n">
        <f aca="false">U20*$B$20</f>
        <v>2520</v>
      </c>
      <c r="W20" s="107" t="n">
        <v>26</v>
      </c>
      <c r="X20" s="109" t="n">
        <f aca="false">W20*$B$20</f>
        <v>3120</v>
      </c>
      <c r="Y20" s="107" t="n">
        <v>27</v>
      </c>
      <c r="Z20" s="109" t="n">
        <f aca="false">Y20*$B$20</f>
        <v>3240</v>
      </c>
      <c r="AA20" s="107" t="n">
        <v>33</v>
      </c>
      <c r="AB20" s="109" t="n">
        <f aca="false">AA20*$B$20</f>
        <v>3960</v>
      </c>
      <c r="AC20" s="2"/>
      <c r="AD20" s="2"/>
      <c r="AE20" s="2"/>
      <c r="AF20" s="2"/>
      <c r="AG20" s="2"/>
      <c r="AH20" s="2"/>
      <c r="AI20" s="2"/>
      <c r="AJ20" s="2"/>
      <c r="AK20" s="2"/>
      <c r="AL20" s="2"/>
      <c r="AM20" s="2"/>
      <c r="AN20" s="2"/>
      <c r="AO20" s="2"/>
      <c r="AP20" s="2"/>
      <c r="AQ20" s="2"/>
      <c r="AR20" s="2"/>
    </row>
    <row r="21" customFormat="false" ht="15" hidden="false" customHeight="true" outlineLevel="0" collapsed="false">
      <c r="A21" s="100" t="str">
        <f aca="false">Hipótesis!$B$60</f>
        <v>Alta e instalación Plan Cadena</v>
      </c>
      <c r="B21" s="110" t="n">
        <f aca="false">Hipótesis!C60</f>
        <v>450</v>
      </c>
      <c r="C21" s="111" t="n">
        <f aca="false">E21+G21+I21+K21+M21+O21+Q21+S21+U21+W21+Y21+AA21</f>
        <v>25</v>
      </c>
      <c r="D21" s="108" t="n">
        <f aca="false">B21*C21</f>
        <v>11250</v>
      </c>
      <c r="E21" s="112" t="n">
        <v>0</v>
      </c>
      <c r="F21" s="113" t="n">
        <f aca="false">E21*$B$21</f>
        <v>0</v>
      </c>
      <c r="G21" s="112" t="n">
        <v>0</v>
      </c>
      <c r="H21" s="113" t="n">
        <f aca="false">G21*$B$21</f>
        <v>0</v>
      </c>
      <c r="I21" s="112" t="n">
        <v>0</v>
      </c>
      <c r="J21" s="113" t="n">
        <f aca="false">I21*$B$21</f>
        <v>0</v>
      </c>
      <c r="K21" s="112" t="n">
        <v>1</v>
      </c>
      <c r="L21" s="113" t="n">
        <f aca="false">K21*$B$21</f>
        <v>450</v>
      </c>
      <c r="M21" s="112" t="n">
        <v>1</v>
      </c>
      <c r="N21" s="113" t="n">
        <f aca="false">M21*$B$21</f>
        <v>450</v>
      </c>
      <c r="O21" s="112" t="n">
        <v>2</v>
      </c>
      <c r="P21" s="113" t="n">
        <f aca="false">O21*$B$21</f>
        <v>900</v>
      </c>
      <c r="Q21" s="112" t="n">
        <v>2</v>
      </c>
      <c r="R21" s="113" t="n">
        <f aca="false">Q21*$B$21</f>
        <v>900</v>
      </c>
      <c r="S21" s="112" t="n">
        <v>3</v>
      </c>
      <c r="T21" s="113" t="n">
        <f aca="false">S21*$B$21</f>
        <v>1350</v>
      </c>
      <c r="U21" s="112" t="n">
        <v>3</v>
      </c>
      <c r="V21" s="113" t="n">
        <f aca="false">U21*$B$21</f>
        <v>1350</v>
      </c>
      <c r="W21" s="112" t="n">
        <v>4</v>
      </c>
      <c r="X21" s="113" t="n">
        <f aca="false">W21*$B$21</f>
        <v>1800</v>
      </c>
      <c r="Y21" s="112" t="n">
        <v>4</v>
      </c>
      <c r="Z21" s="113" t="n">
        <f aca="false">Y21*$B$21</f>
        <v>1800</v>
      </c>
      <c r="AA21" s="112" t="n">
        <v>5</v>
      </c>
      <c r="AB21" s="113" t="n">
        <f aca="false">AA21*$B$21</f>
        <v>2250</v>
      </c>
      <c r="AC21" s="2"/>
      <c r="AD21" s="2"/>
      <c r="AE21" s="2"/>
      <c r="AF21" s="2"/>
      <c r="AG21" s="2"/>
      <c r="AH21" s="2"/>
      <c r="AI21" s="2"/>
      <c r="AJ21" s="2"/>
      <c r="AK21" s="2"/>
      <c r="AL21" s="2"/>
      <c r="AM21" s="2"/>
      <c r="AN21" s="2"/>
      <c r="AO21" s="2"/>
      <c r="AP21" s="2"/>
      <c r="AQ21" s="2"/>
      <c r="AR21" s="2"/>
    </row>
    <row r="22" customFormat="false" ht="15" hidden="false" customHeight="true" outlineLevel="0" collapsed="false">
      <c r="A22" s="114" t="str">
        <f aca="false">Hipótesis!$B$61</f>
        <v>Abono Plan Básico</v>
      </c>
      <c r="B22" s="115" t="n">
        <f aca="false">Hipótesis!C61</f>
        <v>33</v>
      </c>
      <c r="C22" s="116" t="n">
        <f aca="false">E22+G22+I22+K22+M22+O22+Q22+S22+U22+W22+Y22+AA22</f>
        <v>295</v>
      </c>
      <c r="D22" s="115" t="n">
        <f aca="false">B22*C22</f>
        <v>9735</v>
      </c>
      <c r="E22" s="117" t="n">
        <f aca="false">E19</f>
        <v>0</v>
      </c>
      <c r="F22" s="118" t="n">
        <f aca="false">E22*$B$22</f>
        <v>0</v>
      </c>
      <c r="G22" s="117" t="n">
        <f aca="false">E22+G19</f>
        <v>1</v>
      </c>
      <c r="H22" s="118" t="n">
        <f aca="false">G22*$B$22</f>
        <v>33</v>
      </c>
      <c r="I22" s="117" t="n">
        <f aca="false">G22+I19</f>
        <v>2</v>
      </c>
      <c r="J22" s="118" t="n">
        <f aca="false">I22*$B$22</f>
        <v>66</v>
      </c>
      <c r="K22" s="117" t="n">
        <f aca="false">I22+K19</f>
        <v>4</v>
      </c>
      <c r="L22" s="118" t="n">
        <f aca="false">K22*$B$22</f>
        <v>132</v>
      </c>
      <c r="M22" s="117" t="n">
        <f aca="false">K22+M19</f>
        <v>8</v>
      </c>
      <c r="N22" s="118" t="n">
        <f aca="false">M22*$B$22</f>
        <v>264</v>
      </c>
      <c r="O22" s="117" t="n">
        <f aca="false">M22+O19</f>
        <v>13</v>
      </c>
      <c r="P22" s="118" t="n">
        <f aca="false">O22*$B$22</f>
        <v>429</v>
      </c>
      <c r="Q22" s="117" t="n">
        <f aca="false">O22+Q19</f>
        <v>20</v>
      </c>
      <c r="R22" s="118" t="n">
        <f aca="false">Q22*$B$22</f>
        <v>660</v>
      </c>
      <c r="S22" s="117" t="n">
        <f aca="false">Q22+S19</f>
        <v>28</v>
      </c>
      <c r="T22" s="118" t="n">
        <f aca="false">S22*$B$22</f>
        <v>924</v>
      </c>
      <c r="U22" s="117" t="n">
        <f aca="false">S22+U19</f>
        <v>37</v>
      </c>
      <c r="V22" s="118" t="n">
        <f aca="false">U22*$B$22</f>
        <v>1221</v>
      </c>
      <c r="W22" s="117" t="n">
        <f aca="false">U22+W19</f>
        <v>48</v>
      </c>
      <c r="X22" s="118" t="n">
        <f aca="false">W22*$B$22</f>
        <v>1584</v>
      </c>
      <c r="Y22" s="117" t="n">
        <f aca="false">W22+Y19</f>
        <v>60</v>
      </c>
      <c r="Z22" s="118" t="n">
        <f aca="false">Y22*$B$22</f>
        <v>1980</v>
      </c>
      <c r="AA22" s="117" t="n">
        <f aca="false">Y22+AA19</f>
        <v>74</v>
      </c>
      <c r="AB22" s="118" t="n">
        <f aca="false">AA22*$B$22</f>
        <v>2442</v>
      </c>
      <c r="AC22" s="2"/>
      <c r="AD22" s="2"/>
      <c r="AE22" s="2"/>
      <c r="AF22" s="2"/>
      <c r="AG22" s="2"/>
      <c r="AH22" s="2"/>
      <c r="AI22" s="2"/>
      <c r="AJ22" s="2"/>
      <c r="AK22" s="2"/>
      <c r="AL22" s="2"/>
      <c r="AM22" s="2"/>
      <c r="AN22" s="2"/>
      <c r="AO22" s="2"/>
      <c r="AP22" s="2"/>
      <c r="AQ22" s="2"/>
      <c r="AR22" s="2"/>
    </row>
    <row r="23" customFormat="false" ht="15" hidden="false" customHeight="true" outlineLevel="0" collapsed="false">
      <c r="A23" s="114" t="str">
        <f aca="false">Hipótesis!$B$62</f>
        <v>Abono Plan Vidriera</v>
      </c>
      <c r="B23" s="119" t="n">
        <f aca="false">Hipótesis!C62</f>
        <v>65</v>
      </c>
      <c r="C23" s="120" t="n">
        <f aca="false">E23+G23+I23+K23+M23+O23+Q23+S23+U23+W23+Y23+AA23</f>
        <v>687</v>
      </c>
      <c r="D23" s="119" t="n">
        <f aca="false">B23*C23</f>
        <v>44655</v>
      </c>
      <c r="E23" s="120" t="n">
        <f aca="false">E20</f>
        <v>0</v>
      </c>
      <c r="F23" s="121" t="n">
        <f aca="false">E23*$B$23</f>
        <v>0</v>
      </c>
      <c r="G23" s="120" t="n">
        <f aca="false">E23+G20</f>
        <v>2</v>
      </c>
      <c r="H23" s="121" t="n">
        <f aca="false">G23*$B$23</f>
        <v>130</v>
      </c>
      <c r="I23" s="120" t="n">
        <f aca="false">G23+I20</f>
        <v>5</v>
      </c>
      <c r="J23" s="121" t="n">
        <f aca="false">I23*$B$23</f>
        <v>325</v>
      </c>
      <c r="K23" s="120" t="n">
        <f aca="false">I23+K20</f>
        <v>10</v>
      </c>
      <c r="L23" s="121" t="n">
        <f aca="false">K23*$B$23</f>
        <v>650</v>
      </c>
      <c r="M23" s="120" t="n">
        <f aca="false">K23+M20</f>
        <v>19</v>
      </c>
      <c r="N23" s="121" t="n">
        <f aca="false">M23*$B$23</f>
        <v>1235</v>
      </c>
      <c r="O23" s="120" t="n">
        <f aca="false">M23+O20</f>
        <v>31</v>
      </c>
      <c r="P23" s="121" t="n">
        <f aca="false">O23*$B$23</f>
        <v>2015</v>
      </c>
      <c r="Q23" s="120" t="n">
        <f aca="false">O23+Q20</f>
        <v>46</v>
      </c>
      <c r="R23" s="121" t="n">
        <f aca="false">Q23*$B$23</f>
        <v>2990</v>
      </c>
      <c r="S23" s="120" t="n">
        <f aca="false">Q23+S20</f>
        <v>65</v>
      </c>
      <c r="T23" s="121" t="n">
        <f aca="false">S23*$B$23</f>
        <v>4225</v>
      </c>
      <c r="U23" s="120" t="n">
        <f aca="false">S23+U20</f>
        <v>86</v>
      </c>
      <c r="V23" s="121" t="n">
        <f aca="false">U23*$B$23</f>
        <v>5590</v>
      </c>
      <c r="W23" s="120" t="n">
        <f aca="false">U23+W20</f>
        <v>112</v>
      </c>
      <c r="X23" s="121" t="n">
        <f aca="false">W23*$B$23</f>
        <v>7280</v>
      </c>
      <c r="Y23" s="120" t="n">
        <f aca="false">W23+Y20</f>
        <v>139</v>
      </c>
      <c r="Z23" s="121" t="n">
        <f aca="false">Y23*$B$23</f>
        <v>9035</v>
      </c>
      <c r="AA23" s="120" t="n">
        <f aca="false">Y23+AA20</f>
        <v>172</v>
      </c>
      <c r="AB23" s="121" t="n">
        <f aca="false">AA23*$B$23</f>
        <v>11180</v>
      </c>
      <c r="AC23" s="2"/>
      <c r="AD23" s="2"/>
      <c r="AE23" s="2"/>
      <c r="AF23" s="2"/>
      <c r="AG23" s="2"/>
      <c r="AH23" s="2"/>
      <c r="AI23" s="2"/>
      <c r="AJ23" s="2"/>
      <c r="AK23" s="2"/>
      <c r="AL23" s="2"/>
      <c r="AM23" s="2"/>
      <c r="AN23" s="2"/>
      <c r="AO23" s="2"/>
      <c r="AP23" s="2"/>
      <c r="AQ23" s="2"/>
      <c r="AR23" s="2"/>
    </row>
    <row r="24" customFormat="false" ht="15" hidden="false" customHeight="true" outlineLevel="0" collapsed="false">
      <c r="A24" s="114" t="str">
        <f aca="false">Hipótesis!$B$63</f>
        <v>Abono Plan Cadena</v>
      </c>
      <c r="B24" s="119" t="n">
        <f aca="false">Hipótesis!C63</f>
        <v>175</v>
      </c>
      <c r="C24" s="120" t="n">
        <f aca="false">E24+G24+I24+K24+M24+O24+Q24+S24+U24+W24+Y24+AA24</f>
        <v>95</v>
      </c>
      <c r="D24" s="119" t="n">
        <f aca="false">B24*C24</f>
        <v>16625</v>
      </c>
      <c r="E24" s="120" t="n">
        <f aca="false">E21</f>
        <v>0</v>
      </c>
      <c r="F24" s="121" t="n">
        <f aca="false">E24*$B$24</f>
        <v>0</v>
      </c>
      <c r="G24" s="120" t="n">
        <f aca="false">E24+G21</f>
        <v>0</v>
      </c>
      <c r="H24" s="121" t="n">
        <f aca="false">G24*$B$24</f>
        <v>0</v>
      </c>
      <c r="I24" s="120" t="n">
        <f aca="false">G24+I21</f>
        <v>0</v>
      </c>
      <c r="J24" s="121" t="n">
        <f aca="false">I24*$B$24</f>
        <v>0</v>
      </c>
      <c r="K24" s="120" t="n">
        <f aca="false">I24+K21</f>
        <v>1</v>
      </c>
      <c r="L24" s="121" t="n">
        <f aca="false">K24*$B$24</f>
        <v>175</v>
      </c>
      <c r="M24" s="120" t="n">
        <f aca="false">K24+M21</f>
        <v>2</v>
      </c>
      <c r="N24" s="121" t="n">
        <f aca="false">M24*$B$24</f>
        <v>350</v>
      </c>
      <c r="O24" s="120" t="n">
        <f aca="false">M24+O21</f>
        <v>4</v>
      </c>
      <c r="P24" s="121" t="n">
        <f aca="false">O24*$B$24</f>
        <v>700</v>
      </c>
      <c r="Q24" s="120" t="n">
        <f aca="false">O24+Q21</f>
        <v>6</v>
      </c>
      <c r="R24" s="121" t="n">
        <f aca="false">Q24*$B$24</f>
        <v>1050</v>
      </c>
      <c r="S24" s="120" t="n">
        <f aca="false">Q24+S21</f>
        <v>9</v>
      </c>
      <c r="T24" s="121" t="n">
        <f aca="false">S24*$B$24</f>
        <v>1575</v>
      </c>
      <c r="U24" s="120" t="n">
        <f aca="false">S24+U21</f>
        <v>12</v>
      </c>
      <c r="V24" s="121" t="n">
        <f aca="false">U24*$B$24</f>
        <v>2100</v>
      </c>
      <c r="W24" s="120" t="n">
        <f aca="false">U24+W21</f>
        <v>16</v>
      </c>
      <c r="X24" s="121" t="n">
        <f aca="false">W24*$B$24</f>
        <v>2800</v>
      </c>
      <c r="Y24" s="120" t="n">
        <f aca="false">W24+Y21</f>
        <v>20</v>
      </c>
      <c r="Z24" s="121" t="n">
        <f aca="false">Y24*$B$24</f>
        <v>3500</v>
      </c>
      <c r="AA24" s="120" t="n">
        <f aca="false">Y24+AA21</f>
        <v>25</v>
      </c>
      <c r="AB24" s="121" t="n">
        <f aca="false">AA24*$B$24</f>
        <v>4375</v>
      </c>
      <c r="AC24" s="2"/>
      <c r="AD24" s="2"/>
      <c r="AE24" s="2"/>
      <c r="AF24" s="2"/>
      <c r="AG24" s="2"/>
      <c r="AH24" s="2"/>
      <c r="AI24" s="2"/>
      <c r="AJ24" s="2"/>
      <c r="AK24" s="2"/>
      <c r="AL24" s="2"/>
      <c r="AM24" s="2"/>
      <c r="AN24" s="2"/>
      <c r="AO24" s="2"/>
      <c r="AP24" s="2"/>
      <c r="AQ24" s="2"/>
      <c r="AR24" s="2"/>
    </row>
    <row r="25" customFormat="false" ht="15" hidden="false" customHeight="true" outlineLevel="0" collapsed="false">
      <c r="A25" s="122"/>
      <c r="B25" s="123"/>
      <c r="C25" s="124"/>
      <c r="D25" s="123"/>
      <c r="E25" s="124"/>
      <c r="F25" s="125"/>
      <c r="G25" s="124"/>
      <c r="H25" s="125"/>
      <c r="I25" s="124"/>
      <c r="J25" s="125"/>
      <c r="K25" s="124"/>
      <c r="L25" s="125"/>
      <c r="M25" s="124"/>
      <c r="N25" s="125"/>
      <c r="O25" s="124"/>
      <c r="P25" s="125"/>
      <c r="Q25" s="124"/>
      <c r="R25" s="125"/>
      <c r="S25" s="124"/>
      <c r="T25" s="125"/>
      <c r="U25" s="124"/>
      <c r="V25" s="125"/>
      <c r="W25" s="124"/>
      <c r="X25" s="125"/>
      <c r="Y25" s="124"/>
      <c r="Z25" s="125"/>
      <c r="AA25" s="124"/>
      <c r="AB25" s="125"/>
      <c r="AC25" s="2"/>
      <c r="AD25" s="2"/>
      <c r="AE25" s="2"/>
      <c r="AF25" s="2"/>
      <c r="AG25" s="2"/>
      <c r="AH25" s="2"/>
      <c r="AI25" s="2"/>
      <c r="AJ25" s="2"/>
      <c r="AK25" s="2"/>
      <c r="AL25" s="2"/>
      <c r="AM25" s="2"/>
      <c r="AN25" s="2"/>
      <c r="AO25" s="2"/>
      <c r="AP25" s="2"/>
      <c r="AQ25" s="2"/>
      <c r="AR25" s="2"/>
    </row>
    <row r="26" customFormat="false" ht="15" hidden="false" customHeight="true" outlineLevel="0" collapsed="false">
      <c r="A26" s="126"/>
      <c r="B26" s="127"/>
      <c r="C26" s="128"/>
      <c r="D26" s="129"/>
      <c r="E26" s="130"/>
      <c r="F26" s="131"/>
      <c r="G26" s="130"/>
      <c r="H26" s="131"/>
      <c r="I26" s="130"/>
      <c r="J26" s="131"/>
      <c r="K26" s="130"/>
      <c r="L26" s="131"/>
      <c r="M26" s="130"/>
      <c r="N26" s="131"/>
      <c r="O26" s="130"/>
      <c r="P26" s="131"/>
      <c r="Q26" s="130"/>
      <c r="R26" s="131"/>
      <c r="S26" s="130"/>
      <c r="T26" s="131"/>
      <c r="U26" s="130"/>
      <c r="V26" s="131"/>
      <c r="W26" s="130"/>
      <c r="X26" s="131"/>
      <c r="Y26" s="130"/>
      <c r="Z26" s="131"/>
      <c r="AA26" s="130"/>
      <c r="AB26" s="131"/>
      <c r="AC26" s="2"/>
      <c r="AD26" s="2"/>
      <c r="AE26" s="2"/>
      <c r="AF26" s="2"/>
      <c r="AG26" s="2"/>
      <c r="AH26" s="2"/>
      <c r="AI26" s="2"/>
      <c r="AJ26" s="2"/>
      <c r="AK26" s="2"/>
      <c r="AL26" s="2"/>
      <c r="AM26" s="2"/>
      <c r="AN26" s="2"/>
      <c r="AO26" s="2"/>
      <c r="AP26" s="2"/>
      <c r="AQ26" s="2"/>
      <c r="AR26" s="2"/>
    </row>
    <row r="27" customFormat="false" ht="15" hidden="false" customHeight="true" outlineLevel="0" collapsed="false">
      <c r="A27" s="132"/>
      <c r="B27" s="133"/>
      <c r="C27" s="134"/>
      <c r="D27" s="135"/>
      <c r="E27" s="134"/>
      <c r="F27" s="135"/>
      <c r="G27" s="134"/>
      <c r="H27" s="135"/>
      <c r="I27" s="134"/>
      <c r="J27" s="135"/>
      <c r="K27" s="134"/>
      <c r="L27" s="135"/>
      <c r="M27" s="134"/>
      <c r="N27" s="135"/>
      <c r="O27" s="134"/>
      <c r="P27" s="135"/>
      <c r="Q27" s="134"/>
      <c r="R27" s="135"/>
      <c r="S27" s="134"/>
      <c r="T27" s="135"/>
      <c r="U27" s="134"/>
      <c r="V27" s="135"/>
      <c r="W27" s="134"/>
      <c r="X27" s="135"/>
      <c r="Y27" s="134"/>
      <c r="Z27" s="135"/>
      <c r="AA27" s="134"/>
      <c r="AB27" s="135"/>
      <c r="AC27" s="2"/>
      <c r="AD27" s="2"/>
      <c r="AE27" s="2"/>
      <c r="AF27" s="2"/>
      <c r="AG27" s="2"/>
      <c r="AH27" s="2"/>
      <c r="AI27" s="2"/>
      <c r="AJ27" s="2"/>
      <c r="AK27" s="2"/>
      <c r="AL27" s="2"/>
      <c r="AM27" s="2"/>
      <c r="AN27" s="2"/>
      <c r="AO27" s="2"/>
      <c r="AP27" s="2"/>
      <c r="AQ27" s="2"/>
      <c r="AR27" s="2"/>
    </row>
    <row r="28" customFormat="false" ht="15" hidden="false" customHeight="true" outlineLevel="0" collapsed="false">
      <c r="A28" s="132"/>
      <c r="B28" s="133"/>
      <c r="C28" s="134"/>
      <c r="D28" s="135"/>
      <c r="E28" s="134"/>
      <c r="F28" s="135"/>
      <c r="G28" s="134"/>
      <c r="H28" s="135"/>
      <c r="I28" s="134"/>
      <c r="J28" s="135"/>
      <c r="K28" s="134"/>
      <c r="L28" s="135"/>
      <c r="M28" s="134"/>
      <c r="N28" s="135"/>
      <c r="O28" s="134"/>
      <c r="P28" s="135"/>
      <c r="Q28" s="134"/>
      <c r="R28" s="135"/>
      <c r="S28" s="134"/>
      <c r="T28" s="135"/>
      <c r="U28" s="134"/>
      <c r="V28" s="135"/>
      <c r="W28" s="134"/>
      <c r="X28" s="135"/>
      <c r="Y28" s="134"/>
      <c r="Z28" s="135"/>
      <c r="AA28" s="134"/>
      <c r="AB28" s="135"/>
      <c r="AC28" s="2"/>
      <c r="AD28" s="2"/>
      <c r="AE28" s="2"/>
      <c r="AF28" s="2"/>
      <c r="AG28" s="2"/>
      <c r="AH28" s="2"/>
      <c r="AI28" s="2"/>
      <c r="AJ28" s="2"/>
      <c r="AK28" s="2"/>
      <c r="AL28" s="2"/>
      <c r="AM28" s="2"/>
      <c r="AN28" s="2"/>
      <c r="AO28" s="2"/>
      <c r="AP28" s="2"/>
      <c r="AQ28" s="2"/>
      <c r="AR28" s="2"/>
    </row>
    <row r="29" customFormat="false" ht="15" hidden="false" customHeight="true" outlineLevel="0" collapsed="false">
      <c r="A29" s="132"/>
      <c r="B29" s="133"/>
      <c r="C29" s="134"/>
      <c r="D29" s="135"/>
      <c r="E29" s="134"/>
      <c r="F29" s="135"/>
      <c r="G29" s="134"/>
      <c r="H29" s="135"/>
      <c r="I29" s="134"/>
      <c r="J29" s="135"/>
      <c r="K29" s="134"/>
      <c r="L29" s="135"/>
      <c r="M29" s="134"/>
      <c r="N29" s="135"/>
      <c r="O29" s="134"/>
      <c r="P29" s="135"/>
      <c r="Q29" s="134"/>
      <c r="R29" s="135"/>
      <c r="S29" s="134"/>
      <c r="T29" s="135"/>
      <c r="U29" s="134"/>
      <c r="V29" s="135"/>
      <c r="W29" s="134"/>
      <c r="X29" s="135"/>
      <c r="Y29" s="134"/>
      <c r="Z29" s="135"/>
      <c r="AA29" s="134"/>
      <c r="AB29" s="135"/>
      <c r="AC29" s="2"/>
      <c r="AD29" s="2"/>
      <c r="AE29" s="2"/>
      <c r="AF29" s="2"/>
      <c r="AG29" s="2"/>
      <c r="AH29" s="2"/>
      <c r="AI29" s="2"/>
      <c r="AJ29" s="2"/>
      <c r="AK29" s="2"/>
      <c r="AL29" s="2"/>
      <c r="AM29" s="2"/>
      <c r="AN29" s="2"/>
      <c r="AO29" s="2"/>
      <c r="AP29" s="2"/>
      <c r="AQ29" s="2"/>
      <c r="AR29" s="2"/>
    </row>
    <row r="30" customFormat="false" ht="15" hidden="false" customHeight="true" outlineLevel="0" collapsed="false">
      <c r="A30" s="136"/>
      <c r="B30" s="137"/>
      <c r="C30" s="138"/>
      <c r="D30" s="139"/>
      <c r="E30" s="138"/>
      <c r="F30" s="139"/>
      <c r="G30" s="138"/>
      <c r="H30" s="139"/>
      <c r="I30" s="138"/>
      <c r="J30" s="139"/>
      <c r="K30" s="138"/>
      <c r="L30" s="139"/>
      <c r="M30" s="138"/>
      <c r="N30" s="139"/>
      <c r="O30" s="138"/>
      <c r="P30" s="139"/>
      <c r="Q30" s="138"/>
      <c r="R30" s="139"/>
      <c r="S30" s="138"/>
      <c r="T30" s="139"/>
      <c r="U30" s="138"/>
      <c r="V30" s="139"/>
      <c r="W30" s="138"/>
      <c r="X30" s="139"/>
      <c r="Y30" s="138"/>
      <c r="Z30" s="139"/>
      <c r="AA30" s="138"/>
      <c r="AB30" s="139"/>
      <c r="AC30" s="2"/>
      <c r="AD30" s="2"/>
      <c r="AE30" s="2"/>
      <c r="AF30" s="2"/>
      <c r="AG30" s="2"/>
      <c r="AH30" s="2"/>
      <c r="AI30" s="2"/>
      <c r="AJ30" s="2"/>
      <c r="AK30" s="2"/>
      <c r="AL30" s="2"/>
      <c r="AM30" s="2"/>
      <c r="AN30" s="2"/>
      <c r="AO30" s="2"/>
      <c r="AP30" s="2"/>
      <c r="AQ30" s="2"/>
      <c r="AR30" s="2"/>
    </row>
    <row r="31" customFormat="false" ht="15" hidden="false" customHeight="true" outlineLevel="0" collapsed="false">
      <c r="A31" s="140"/>
      <c r="B31" s="141"/>
      <c r="C31" s="142"/>
      <c r="D31" s="143"/>
      <c r="E31" s="144"/>
      <c r="F31" s="145"/>
      <c r="G31" s="144"/>
      <c r="H31" s="145"/>
      <c r="I31" s="144"/>
      <c r="J31" s="145"/>
      <c r="K31" s="144"/>
      <c r="L31" s="145"/>
      <c r="M31" s="144"/>
      <c r="N31" s="145"/>
      <c r="O31" s="144"/>
      <c r="P31" s="145"/>
      <c r="Q31" s="144"/>
      <c r="R31" s="145"/>
      <c r="S31" s="144"/>
      <c r="T31" s="145"/>
      <c r="U31" s="144"/>
      <c r="V31" s="145"/>
      <c r="W31" s="144"/>
      <c r="X31" s="145"/>
      <c r="Y31" s="144"/>
      <c r="Z31" s="145"/>
      <c r="AA31" s="144"/>
      <c r="AB31" s="145"/>
      <c r="AC31" s="2"/>
      <c r="AD31" s="2"/>
      <c r="AE31" s="2"/>
      <c r="AF31" s="2"/>
      <c r="AG31" s="2"/>
      <c r="AH31" s="2"/>
      <c r="AI31" s="2"/>
      <c r="AJ31" s="2"/>
      <c r="AK31" s="2"/>
      <c r="AL31" s="2"/>
      <c r="AM31" s="2"/>
      <c r="AN31" s="2"/>
      <c r="AO31" s="2"/>
      <c r="AP31" s="2"/>
      <c r="AQ31" s="2"/>
      <c r="AR31" s="2"/>
    </row>
    <row r="32" customFormat="false" ht="15" hidden="false" customHeight="true" outlineLevel="0" collapsed="false">
      <c r="A32" s="146" t="s">
        <v>94</v>
      </c>
      <c r="B32" s="146"/>
      <c r="C32" s="147"/>
      <c r="D32" s="148" t="n">
        <f aca="false">SUM(D19:D31)</f>
        <v>105865</v>
      </c>
      <c r="E32" s="149"/>
      <c r="F32" s="150" t="n">
        <f aca="false">SUM(F19:F31)</f>
        <v>0</v>
      </c>
      <c r="G32" s="149"/>
      <c r="H32" s="150" t="n">
        <f aca="false">SUM(H19:H31)</f>
        <v>443</v>
      </c>
      <c r="I32" s="149"/>
      <c r="J32" s="150" t="n">
        <f aca="false">SUM(J19:J31)</f>
        <v>791</v>
      </c>
      <c r="K32" s="149"/>
      <c r="L32" s="150" t="n">
        <f aca="false">SUM(L19:L31)</f>
        <v>2087</v>
      </c>
      <c r="M32" s="149"/>
      <c r="N32" s="150" t="n">
        <f aca="false">SUM(N19:N31)</f>
        <v>3539</v>
      </c>
      <c r="O32" s="149"/>
      <c r="P32" s="150" t="n">
        <f aca="false">SUM(P19:P31)</f>
        <v>5684</v>
      </c>
      <c r="Q32" s="149"/>
      <c r="R32" s="150" t="n">
        <f aca="false">SUM(R19:R31)</f>
        <v>7680</v>
      </c>
      <c r="S32" s="149"/>
      <c r="T32" s="150" t="n">
        <f aca="false">SUM(T19:T31)</f>
        <v>10674</v>
      </c>
      <c r="U32" s="149"/>
      <c r="V32" s="150" t="n">
        <f aca="false">SUM(V19:V31)</f>
        <v>13141</v>
      </c>
      <c r="W32" s="149"/>
      <c r="X32" s="150" t="n">
        <f aca="false">SUM(X19:X31)</f>
        <v>17024</v>
      </c>
      <c r="Y32" s="149"/>
      <c r="Z32" s="150" t="n">
        <f aca="false">SUM(Z19:Z31)</f>
        <v>20035</v>
      </c>
      <c r="AA32" s="149"/>
      <c r="AB32" s="150" t="n">
        <f aca="false">SUM(AB19:AB31)</f>
        <v>24767</v>
      </c>
      <c r="AC32" s="151"/>
      <c r="AD32" s="2"/>
      <c r="AE32" s="2"/>
      <c r="AF32" s="2"/>
      <c r="AG32" s="2"/>
      <c r="AH32" s="2"/>
      <c r="AI32" s="2"/>
      <c r="AJ32" s="2"/>
      <c r="AK32" s="2"/>
      <c r="AL32" s="2"/>
      <c r="AM32" s="2"/>
      <c r="AN32" s="2"/>
      <c r="AO32" s="2"/>
      <c r="AP32" s="2"/>
      <c r="AQ32" s="2"/>
      <c r="AR32" s="2"/>
    </row>
    <row r="33" customFormat="false" ht="15" hidden="false" customHeight="true" outlineLevel="0" collapsed="false">
      <c r="A33" s="152"/>
      <c r="B33" s="152"/>
      <c r="C33" s="153" t="n">
        <f aca="false">C19</f>
        <v>74</v>
      </c>
      <c r="D33" s="154"/>
      <c r="E33" s="155" t="n">
        <f aca="false">E19</f>
        <v>0</v>
      </c>
      <c r="F33" s="156"/>
      <c r="G33" s="155" t="n">
        <f aca="false">G19</f>
        <v>1</v>
      </c>
      <c r="H33" s="156"/>
      <c r="I33" s="155" t="n">
        <f aca="false">I19</f>
        <v>1</v>
      </c>
      <c r="J33" s="156"/>
      <c r="K33" s="155" t="n">
        <f aca="false">K19</f>
        <v>2</v>
      </c>
      <c r="L33" s="156"/>
      <c r="M33" s="155" t="n">
        <f aca="false">M19</f>
        <v>4</v>
      </c>
      <c r="N33" s="156"/>
      <c r="O33" s="155" t="n">
        <f aca="false">O19</f>
        <v>5</v>
      </c>
      <c r="P33" s="156"/>
      <c r="Q33" s="155" t="n">
        <f aca="false">Q19</f>
        <v>7</v>
      </c>
      <c r="R33" s="156"/>
      <c r="S33" s="155" t="n">
        <f aca="false">S19</f>
        <v>8</v>
      </c>
      <c r="T33" s="156"/>
      <c r="U33" s="155" t="n">
        <f aca="false">U19</f>
        <v>9</v>
      </c>
      <c r="V33" s="156"/>
      <c r="W33" s="155" t="n">
        <f aca="false">W19</f>
        <v>11</v>
      </c>
      <c r="X33" s="156"/>
      <c r="Y33" s="155" t="n">
        <f aca="false">Y19</f>
        <v>12</v>
      </c>
      <c r="Z33" s="156"/>
      <c r="AA33" s="155" t="n">
        <f aca="false">AA19</f>
        <v>14</v>
      </c>
      <c r="AB33" s="154"/>
      <c r="AC33" s="2"/>
      <c r="AD33" s="2"/>
      <c r="AE33" s="2"/>
      <c r="AF33" s="2"/>
      <c r="AG33" s="2"/>
      <c r="AH33" s="2"/>
      <c r="AI33" s="2"/>
      <c r="AJ33" s="2"/>
      <c r="AK33" s="2"/>
      <c r="AL33" s="2"/>
      <c r="AM33" s="2"/>
      <c r="AN33" s="2"/>
      <c r="AO33" s="2"/>
      <c r="AP33" s="2"/>
      <c r="AQ33" s="2"/>
      <c r="AR33" s="2"/>
    </row>
    <row r="34" customFormat="false" ht="15" hidden="false" customHeight="true" outlineLevel="0" collapsed="false">
      <c r="A34" s="152"/>
      <c r="B34" s="152"/>
      <c r="C34" s="157" t="n">
        <f aca="false">C20</f>
        <v>172</v>
      </c>
      <c r="D34" s="158"/>
      <c r="E34" s="159" t="n">
        <f aca="false">E20</f>
        <v>0</v>
      </c>
      <c r="F34" s="160"/>
      <c r="G34" s="159" t="n">
        <f aca="false">G20</f>
        <v>2</v>
      </c>
      <c r="H34" s="160"/>
      <c r="I34" s="159" t="n">
        <f aca="false">I20</f>
        <v>3</v>
      </c>
      <c r="J34" s="160"/>
      <c r="K34" s="159" t="n">
        <f aca="false">K20</f>
        <v>5</v>
      </c>
      <c r="L34" s="160"/>
      <c r="M34" s="159" t="n">
        <f aca="false">M20</f>
        <v>9</v>
      </c>
      <c r="N34" s="160"/>
      <c r="O34" s="159" t="n">
        <f aca="false">O20</f>
        <v>12</v>
      </c>
      <c r="P34" s="160"/>
      <c r="Q34" s="159" t="n">
        <f aca="false">Q20</f>
        <v>15</v>
      </c>
      <c r="R34" s="160"/>
      <c r="S34" s="159" t="n">
        <f aca="false">S20</f>
        <v>19</v>
      </c>
      <c r="T34" s="160"/>
      <c r="U34" s="159" t="n">
        <f aca="false">U20</f>
        <v>21</v>
      </c>
      <c r="V34" s="160"/>
      <c r="W34" s="159" t="n">
        <f aca="false">W20</f>
        <v>26</v>
      </c>
      <c r="X34" s="160"/>
      <c r="Y34" s="159" t="n">
        <f aca="false">Y20</f>
        <v>27</v>
      </c>
      <c r="Z34" s="160"/>
      <c r="AA34" s="159" t="n">
        <f aca="false">AA20</f>
        <v>33</v>
      </c>
      <c r="AB34" s="158"/>
      <c r="AC34" s="2"/>
      <c r="AD34" s="2"/>
      <c r="AE34" s="2"/>
      <c r="AF34" s="2"/>
      <c r="AG34" s="2"/>
      <c r="AH34" s="2"/>
      <c r="AI34" s="2"/>
      <c r="AJ34" s="2"/>
      <c r="AK34" s="2"/>
      <c r="AL34" s="2"/>
      <c r="AM34" s="2"/>
      <c r="AN34" s="2"/>
      <c r="AO34" s="2"/>
      <c r="AP34" s="2"/>
      <c r="AQ34" s="2"/>
      <c r="AR34" s="2"/>
    </row>
    <row r="35" customFormat="false" ht="15" hidden="false" customHeight="true" outlineLevel="0" collapsed="false">
      <c r="A35" s="161"/>
      <c r="B35" s="161"/>
      <c r="C35" s="162" t="n">
        <f aca="false">C21</f>
        <v>25</v>
      </c>
      <c r="D35" s="163"/>
      <c r="E35" s="164" t="n">
        <f aca="false">E21</f>
        <v>0</v>
      </c>
      <c r="F35" s="165"/>
      <c r="G35" s="164" t="n">
        <f aca="false">G21</f>
        <v>0</v>
      </c>
      <c r="H35" s="165"/>
      <c r="I35" s="164" t="n">
        <f aca="false">I21</f>
        <v>0</v>
      </c>
      <c r="J35" s="165"/>
      <c r="K35" s="164" t="n">
        <f aca="false">K21</f>
        <v>1</v>
      </c>
      <c r="L35" s="165"/>
      <c r="M35" s="164" t="n">
        <f aca="false">M21</f>
        <v>1</v>
      </c>
      <c r="N35" s="165"/>
      <c r="O35" s="164" t="n">
        <f aca="false">O21</f>
        <v>2</v>
      </c>
      <c r="P35" s="165"/>
      <c r="Q35" s="164" t="n">
        <f aca="false">Q21</f>
        <v>2</v>
      </c>
      <c r="R35" s="165"/>
      <c r="S35" s="164" t="n">
        <f aca="false">S21</f>
        <v>3</v>
      </c>
      <c r="T35" s="165"/>
      <c r="U35" s="164" t="n">
        <f aca="false">U21</f>
        <v>3</v>
      </c>
      <c r="V35" s="165"/>
      <c r="W35" s="164" t="n">
        <f aca="false">W21</f>
        <v>4</v>
      </c>
      <c r="X35" s="165"/>
      <c r="Y35" s="164" t="n">
        <f aca="false">Y21</f>
        <v>4</v>
      </c>
      <c r="Z35" s="165"/>
      <c r="AA35" s="164" t="n">
        <f aca="false">AA21</f>
        <v>5</v>
      </c>
      <c r="AB35" s="163"/>
      <c r="AC35" s="2"/>
      <c r="AD35" s="2"/>
      <c r="AE35" s="2"/>
      <c r="AF35" s="2"/>
      <c r="AG35" s="2"/>
      <c r="AH35" s="2"/>
      <c r="AI35" s="2"/>
      <c r="AJ35" s="2"/>
      <c r="AK35" s="2"/>
      <c r="AL35" s="2"/>
      <c r="AM35" s="2"/>
      <c r="AN35" s="2"/>
      <c r="AO35" s="2"/>
      <c r="AP35" s="2"/>
      <c r="AQ35" s="2"/>
      <c r="AR35" s="2"/>
    </row>
    <row r="36" customFormat="false" ht="15" hidden="false" customHeight="true" outlineLevel="0" collapsed="false">
      <c r="A36" s="166"/>
      <c r="B36" s="166"/>
      <c r="C36" s="167" t="n">
        <f aca="false">SUM(C22:C25)</f>
        <v>1077</v>
      </c>
      <c r="D36" s="168"/>
      <c r="E36" s="169" t="n">
        <f aca="false">SUM(E22:E25)</f>
        <v>0</v>
      </c>
      <c r="F36" s="170"/>
      <c r="G36" s="169" t="n">
        <f aca="false">SUM(G22:G25)</f>
        <v>3</v>
      </c>
      <c r="H36" s="170"/>
      <c r="I36" s="169" t="n">
        <f aca="false">SUM(I22:I25)</f>
        <v>7</v>
      </c>
      <c r="J36" s="170"/>
      <c r="K36" s="169" t="n">
        <f aca="false">SUM(K22:K25)</f>
        <v>15</v>
      </c>
      <c r="L36" s="170"/>
      <c r="M36" s="169" t="n">
        <f aca="false">SUM(M22:M25)</f>
        <v>29</v>
      </c>
      <c r="N36" s="170"/>
      <c r="O36" s="169" t="n">
        <f aca="false">SUM(O22:O25)</f>
        <v>48</v>
      </c>
      <c r="P36" s="170"/>
      <c r="Q36" s="169" t="n">
        <f aca="false">SUM(Q22:Q25)</f>
        <v>72</v>
      </c>
      <c r="R36" s="170"/>
      <c r="S36" s="169" t="n">
        <f aca="false">SUM(S22:S25)</f>
        <v>102</v>
      </c>
      <c r="T36" s="170"/>
      <c r="U36" s="169" t="n">
        <f aca="false">SUM(U22:U25)</f>
        <v>135</v>
      </c>
      <c r="V36" s="170"/>
      <c r="W36" s="169" t="n">
        <f aca="false">SUM(W22:W25)</f>
        <v>176</v>
      </c>
      <c r="X36" s="170"/>
      <c r="Y36" s="169" t="n">
        <f aca="false">SUM(Y22:Y25)</f>
        <v>219</v>
      </c>
      <c r="Z36" s="170"/>
      <c r="AA36" s="169" t="n">
        <f aca="false">SUM(AA22:AA25)</f>
        <v>271</v>
      </c>
      <c r="AB36" s="171"/>
      <c r="AC36" s="2"/>
      <c r="AD36" s="2"/>
      <c r="AE36" s="2"/>
      <c r="AF36" s="2"/>
      <c r="AG36" s="2"/>
      <c r="AH36" s="2"/>
      <c r="AI36" s="2"/>
      <c r="AJ36" s="2"/>
      <c r="AK36" s="2"/>
      <c r="AL36" s="2"/>
      <c r="AM36" s="2"/>
      <c r="AN36" s="2"/>
      <c r="AO36" s="2"/>
      <c r="AP36" s="2"/>
      <c r="AQ36" s="2"/>
      <c r="AR36" s="2"/>
    </row>
    <row r="37" customFormat="false" ht="15" hidden="false" customHeight="true" outlineLevel="0" collapsed="false">
      <c r="A37" s="172"/>
      <c r="B37" s="172"/>
      <c r="C37" s="173" t="n">
        <f aca="false">SUM(C26:C30)</f>
        <v>0</v>
      </c>
      <c r="D37" s="174"/>
      <c r="E37" s="175" t="n">
        <f aca="false">SUM(E26:E30)</f>
        <v>0</v>
      </c>
      <c r="F37" s="176"/>
      <c r="G37" s="175" t="n">
        <f aca="false">SUM(G26:G30)</f>
        <v>0</v>
      </c>
      <c r="H37" s="176"/>
      <c r="I37" s="175" t="n">
        <f aca="false">SUM(I26:I30)</f>
        <v>0</v>
      </c>
      <c r="J37" s="176"/>
      <c r="K37" s="175" t="n">
        <f aca="false">SUM(K26:K30)</f>
        <v>0</v>
      </c>
      <c r="L37" s="176"/>
      <c r="M37" s="175" t="n">
        <f aca="false">SUM(M26:M30)</f>
        <v>0</v>
      </c>
      <c r="N37" s="176"/>
      <c r="O37" s="175" t="n">
        <f aca="false">SUM(O26:O30)</f>
        <v>0</v>
      </c>
      <c r="P37" s="176"/>
      <c r="Q37" s="175" t="n">
        <f aca="false">SUM(Q26:Q30)</f>
        <v>0</v>
      </c>
      <c r="R37" s="176"/>
      <c r="S37" s="175" t="n">
        <f aca="false">SUM(S26:S30)</f>
        <v>0</v>
      </c>
      <c r="T37" s="176"/>
      <c r="U37" s="175" t="n">
        <f aca="false">SUM(U26:U30)</f>
        <v>0</v>
      </c>
      <c r="V37" s="176"/>
      <c r="W37" s="175" t="n">
        <f aca="false">SUM(W26:W30)</f>
        <v>0</v>
      </c>
      <c r="X37" s="176"/>
      <c r="Y37" s="175" t="n">
        <f aca="false">SUM(Y26:Y30)</f>
        <v>0</v>
      </c>
      <c r="Z37" s="176"/>
      <c r="AA37" s="175" t="n">
        <f aca="false">SUM(AA26:AA30)</f>
        <v>0</v>
      </c>
      <c r="AB37" s="177"/>
      <c r="AC37" s="2"/>
      <c r="AD37" s="2"/>
      <c r="AE37" s="2"/>
      <c r="AF37" s="2"/>
      <c r="AG37" s="2"/>
      <c r="AH37" s="2"/>
      <c r="AI37" s="2"/>
      <c r="AJ37" s="2"/>
      <c r="AK37" s="2"/>
      <c r="AL37" s="2"/>
      <c r="AM37" s="2"/>
      <c r="AN37" s="2"/>
      <c r="AO37" s="2"/>
      <c r="AP37" s="2"/>
      <c r="AQ37" s="2"/>
      <c r="AR37" s="2"/>
    </row>
    <row r="38" customFormat="false" ht="15" hidden="false" customHeight="true" outlineLevel="0" collapsed="false">
      <c r="A38" s="178"/>
      <c r="B38" s="178"/>
      <c r="C38" s="179" t="n">
        <f aca="false">C31</f>
        <v>0</v>
      </c>
      <c r="D38" s="180"/>
      <c r="E38" s="181" t="n">
        <f aca="false">E31</f>
        <v>0</v>
      </c>
      <c r="F38" s="182"/>
      <c r="G38" s="181" t="n">
        <f aca="false">G31</f>
        <v>0</v>
      </c>
      <c r="H38" s="182"/>
      <c r="I38" s="181" t="n">
        <f aca="false">I31</f>
        <v>0</v>
      </c>
      <c r="J38" s="182"/>
      <c r="K38" s="181" t="n">
        <f aca="false">K31</f>
        <v>0</v>
      </c>
      <c r="L38" s="182"/>
      <c r="M38" s="181" t="n">
        <f aca="false">M31</f>
        <v>0</v>
      </c>
      <c r="N38" s="182"/>
      <c r="O38" s="181" t="n">
        <f aca="false">O31</f>
        <v>0</v>
      </c>
      <c r="P38" s="182"/>
      <c r="Q38" s="181" t="n">
        <f aca="false">Q31</f>
        <v>0</v>
      </c>
      <c r="R38" s="182"/>
      <c r="S38" s="181" t="n">
        <f aca="false">S31</f>
        <v>0</v>
      </c>
      <c r="T38" s="182"/>
      <c r="U38" s="181" t="n">
        <f aca="false">U31</f>
        <v>0</v>
      </c>
      <c r="V38" s="182"/>
      <c r="W38" s="181" t="n">
        <f aca="false">W31</f>
        <v>0</v>
      </c>
      <c r="X38" s="182"/>
      <c r="Y38" s="181" t="n">
        <f aca="false">Y31</f>
        <v>0</v>
      </c>
      <c r="Z38" s="182"/>
      <c r="AA38" s="181" t="n">
        <f aca="false">AA31</f>
        <v>0</v>
      </c>
      <c r="AB38" s="183"/>
      <c r="AC38" s="2"/>
      <c r="AD38" s="2"/>
      <c r="AE38" s="2"/>
      <c r="AF38" s="2"/>
      <c r="AG38" s="2"/>
      <c r="AH38" s="2"/>
      <c r="AI38" s="2"/>
      <c r="AJ38" s="2"/>
      <c r="AK38" s="2"/>
      <c r="AL38" s="2"/>
      <c r="AM38" s="2"/>
      <c r="AN38" s="2"/>
      <c r="AO38" s="2"/>
      <c r="AP38" s="2"/>
      <c r="AQ38" s="2"/>
      <c r="AR38" s="2"/>
    </row>
    <row r="39" customFormat="false" ht="14.25" hidden="false" customHeight="true" outlineLevel="0" collapsed="false">
      <c r="A39" s="2"/>
      <c r="B39" s="2"/>
      <c r="C39" s="2"/>
      <c r="D39" s="184"/>
      <c r="E39" s="2"/>
      <c r="F39" s="2"/>
      <c r="G39" s="2"/>
      <c r="H39" s="2"/>
      <c r="I39" s="185"/>
      <c r="J39" s="185"/>
      <c r="K39" s="185"/>
      <c r="L39" s="185"/>
      <c r="M39" s="2"/>
      <c r="N39" s="185"/>
      <c r="O39" s="185"/>
      <c r="P39" s="185"/>
      <c r="Q39" s="185"/>
      <c r="R39" s="185"/>
      <c r="S39" s="185"/>
      <c r="T39" s="185"/>
      <c r="U39" s="185"/>
      <c r="V39" s="185"/>
      <c r="W39" s="185"/>
      <c r="X39" s="185"/>
      <c r="Y39" s="185"/>
      <c r="Z39" s="185"/>
      <c r="AA39" s="2"/>
      <c r="AB39" s="185"/>
      <c r="AC39" s="2"/>
      <c r="AD39" s="2"/>
      <c r="AE39" s="2"/>
      <c r="AF39" s="2"/>
      <c r="AG39" s="2"/>
      <c r="AH39" s="2"/>
      <c r="AI39" s="2"/>
      <c r="AJ39" s="2"/>
      <c r="AK39" s="2"/>
      <c r="AL39" s="2"/>
      <c r="AM39" s="2"/>
      <c r="AN39" s="2"/>
      <c r="AO39" s="2"/>
      <c r="AP39" s="2"/>
      <c r="AQ39" s="2"/>
      <c r="AR39" s="2"/>
    </row>
    <row r="40" customFormat="false" ht="25.5" hidden="false" customHeight="true" outlineLevel="0" collapsed="false">
      <c r="A40" s="91" t="s">
        <v>95</v>
      </c>
      <c r="B40" s="91"/>
      <c r="C40" s="91"/>
      <c r="D40" s="91"/>
      <c r="E40" s="91"/>
      <c r="F40" s="91"/>
      <c r="G40" s="91"/>
      <c r="H40" s="91"/>
      <c r="I40" s="91"/>
      <c r="J40" s="91"/>
      <c r="K40" s="91"/>
      <c r="L40" s="91"/>
      <c r="M40" s="91"/>
      <c r="N40" s="91"/>
      <c r="O40" s="91"/>
      <c r="P40" s="91"/>
      <c r="Q40" s="91"/>
      <c r="R40" s="91"/>
      <c r="S40" s="91"/>
      <c r="T40" s="91"/>
      <c r="U40" s="91"/>
      <c r="V40" s="91"/>
      <c r="W40" s="91"/>
      <c r="X40" s="91"/>
      <c r="Y40" s="91"/>
      <c r="Z40" s="91"/>
      <c r="AA40" s="91"/>
      <c r="AB40" s="91"/>
      <c r="AC40" s="2"/>
      <c r="AD40" s="2"/>
      <c r="AE40" s="2"/>
      <c r="AF40" s="2"/>
      <c r="AG40" s="2"/>
      <c r="AH40" s="2"/>
      <c r="AI40" s="2"/>
      <c r="AJ40" s="2"/>
      <c r="AK40" s="2"/>
      <c r="AL40" s="2"/>
      <c r="AM40" s="2"/>
      <c r="AN40" s="2"/>
      <c r="AO40" s="2"/>
      <c r="AP40" s="2"/>
      <c r="AQ40" s="2"/>
      <c r="AR40" s="2"/>
    </row>
    <row r="41" customFormat="false" ht="25.5" hidden="false" customHeight="true" outlineLevel="0" collapsed="false">
      <c r="A41" s="186" t="s">
        <v>96</v>
      </c>
      <c r="B41" s="187" t="s">
        <v>97</v>
      </c>
      <c r="C41" s="187"/>
      <c r="D41" s="187"/>
      <c r="E41" s="187"/>
      <c r="F41" s="187"/>
      <c r="G41" s="187"/>
      <c r="H41" s="187"/>
      <c r="I41" s="187"/>
      <c r="J41" s="187"/>
      <c r="K41" s="187"/>
      <c r="L41" s="187"/>
      <c r="M41" s="187"/>
      <c r="N41" s="187"/>
      <c r="O41" s="187"/>
      <c r="P41" s="187"/>
      <c r="Q41" s="187"/>
      <c r="R41" s="187"/>
      <c r="S41" s="187"/>
      <c r="T41" s="187"/>
      <c r="U41" s="187"/>
      <c r="V41" s="187"/>
      <c r="W41" s="187"/>
      <c r="X41" s="187"/>
      <c r="Y41" s="187"/>
      <c r="Z41" s="187"/>
      <c r="AA41" s="187"/>
      <c r="AB41" s="187"/>
      <c r="AC41" s="2"/>
      <c r="AD41" s="2"/>
      <c r="AE41" s="2"/>
      <c r="AF41" s="2"/>
      <c r="AG41" s="2"/>
      <c r="AH41" s="2"/>
      <c r="AI41" s="2"/>
      <c r="AJ41" s="2"/>
      <c r="AK41" s="2"/>
      <c r="AL41" s="2"/>
      <c r="AM41" s="2"/>
      <c r="AN41" s="2"/>
      <c r="AO41" s="2"/>
      <c r="AP41" s="2"/>
      <c r="AQ41" s="2"/>
      <c r="AR41" s="2"/>
    </row>
    <row r="42" customFormat="false" ht="21" hidden="false" customHeight="true" outlineLevel="0" collapsed="false">
      <c r="A42" s="188" t="s">
        <v>98</v>
      </c>
      <c r="B42" s="188"/>
      <c r="C42" s="189" t="s">
        <v>99</v>
      </c>
      <c r="D42" s="189"/>
      <c r="E42" s="189" t="s">
        <v>100</v>
      </c>
      <c r="F42" s="189"/>
      <c r="G42" s="189"/>
      <c r="H42" s="189"/>
      <c r="I42" s="189"/>
      <c r="J42" s="189"/>
      <c r="K42" s="189"/>
      <c r="L42" s="189"/>
      <c r="M42" s="189"/>
      <c r="N42" s="189"/>
      <c r="O42" s="189"/>
      <c r="P42" s="189"/>
      <c r="Q42" s="189"/>
      <c r="R42" s="189"/>
      <c r="S42" s="189"/>
      <c r="T42" s="189"/>
      <c r="U42" s="189"/>
      <c r="V42" s="189"/>
      <c r="W42" s="189"/>
      <c r="X42" s="189"/>
      <c r="Y42" s="189"/>
      <c r="Z42" s="189"/>
      <c r="AA42" s="189"/>
      <c r="AB42" s="189"/>
      <c r="AC42" s="2"/>
      <c r="AD42" s="2"/>
      <c r="AE42" s="2"/>
      <c r="AF42" s="2"/>
      <c r="AG42" s="2"/>
      <c r="AH42" s="2"/>
      <c r="AI42" s="2"/>
      <c r="AJ42" s="2"/>
      <c r="AK42" s="2"/>
      <c r="AL42" s="2"/>
      <c r="AM42" s="2"/>
      <c r="AN42" s="2"/>
      <c r="AO42" s="2"/>
      <c r="AP42" s="2"/>
      <c r="AQ42" s="2"/>
      <c r="AR42" s="2"/>
    </row>
    <row r="43" customFormat="false" ht="14.25" hidden="false" customHeight="true" outlineLevel="0" collapsed="false">
      <c r="A43" s="188"/>
      <c r="B43" s="188"/>
      <c r="C43" s="190" t="s">
        <v>37</v>
      </c>
      <c r="D43" s="190"/>
      <c r="E43" s="190" t="s">
        <v>81</v>
      </c>
      <c r="F43" s="190"/>
      <c r="G43" s="191" t="s">
        <v>82</v>
      </c>
      <c r="H43" s="191"/>
      <c r="I43" s="191" t="s">
        <v>83</v>
      </c>
      <c r="J43" s="191"/>
      <c r="K43" s="191" t="s">
        <v>84</v>
      </c>
      <c r="L43" s="191"/>
      <c r="M43" s="191" t="s">
        <v>85</v>
      </c>
      <c r="N43" s="191"/>
      <c r="O43" s="191" t="s">
        <v>86</v>
      </c>
      <c r="P43" s="191"/>
      <c r="Q43" s="191" t="s">
        <v>87</v>
      </c>
      <c r="R43" s="191"/>
      <c r="S43" s="191" t="s">
        <v>88</v>
      </c>
      <c r="T43" s="191"/>
      <c r="U43" s="191" t="s">
        <v>89</v>
      </c>
      <c r="V43" s="191"/>
      <c r="W43" s="191" t="s">
        <v>90</v>
      </c>
      <c r="X43" s="191"/>
      <c r="Y43" s="191" t="s">
        <v>91</v>
      </c>
      <c r="Z43" s="191"/>
      <c r="AA43" s="191" t="s">
        <v>92</v>
      </c>
      <c r="AB43" s="191"/>
      <c r="AC43" s="2"/>
      <c r="AD43" s="2"/>
      <c r="AE43" s="2"/>
      <c r="AF43" s="2"/>
      <c r="AG43" s="2"/>
      <c r="AH43" s="2"/>
      <c r="AI43" s="2"/>
      <c r="AJ43" s="2"/>
      <c r="AK43" s="2"/>
      <c r="AL43" s="2"/>
      <c r="AM43" s="2"/>
      <c r="AN43" s="2"/>
      <c r="AO43" s="2"/>
      <c r="AP43" s="2"/>
      <c r="AQ43" s="2"/>
      <c r="AR43" s="2"/>
    </row>
    <row r="44" customFormat="false" ht="14.25" hidden="false" customHeight="true" outlineLevel="0" collapsed="false">
      <c r="A44" s="186" t="s">
        <v>101</v>
      </c>
      <c r="B44" s="186"/>
      <c r="C44" s="192" t="s">
        <v>102</v>
      </c>
      <c r="D44" s="192"/>
      <c r="E44" s="193" t="s">
        <v>103</v>
      </c>
      <c r="F44" s="193"/>
      <c r="G44" s="194" t="s">
        <v>103</v>
      </c>
      <c r="H44" s="194"/>
      <c r="I44" s="195" t="s">
        <v>103</v>
      </c>
      <c r="J44" s="195"/>
      <c r="K44" s="194" t="s">
        <v>103</v>
      </c>
      <c r="L44" s="194"/>
      <c r="M44" s="195" t="s">
        <v>103</v>
      </c>
      <c r="N44" s="195"/>
      <c r="O44" s="194" t="s">
        <v>103</v>
      </c>
      <c r="P44" s="194"/>
      <c r="Q44" s="195" t="s">
        <v>103</v>
      </c>
      <c r="R44" s="195"/>
      <c r="S44" s="194" t="s">
        <v>103</v>
      </c>
      <c r="T44" s="194"/>
      <c r="U44" s="194" t="s">
        <v>103</v>
      </c>
      <c r="V44" s="194"/>
      <c r="W44" s="194" t="s">
        <v>103</v>
      </c>
      <c r="X44" s="194"/>
      <c r="Y44" s="194" t="s">
        <v>103</v>
      </c>
      <c r="Z44" s="194"/>
      <c r="AA44" s="194" t="s">
        <v>103</v>
      </c>
      <c r="AB44" s="194"/>
      <c r="AC44" s="2"/>
      <c r="AD44" s="2"/>
      <c r="AE44" s="2"/>
      <c r="AF44" s="2"/>
      <c r="AG44" s="2"/>
      <c r="AH44" s="2"/>
      <c r="AI44" s="2"/>
      <c r="AJ44" s="2"/>
      <c r="AK44" s="2"/>
      <c r="AL44" s="2"/>
      <c r="AM44" s="2"/>
      <c r="AN44" s="2"/>
      <c r="AO44" s="2"/>
      <c r="AP44" s="2"/>
      <c r="AQ44" s="2"/>
      <c r="AR44" s="2"/>
    </row>
    <row r="45" customFormat="false" ht="14.25" hidden="false" customHeight="true" outlineLevel="0" collapsed="false">
      <c r="A45" s="186"/>
      <c r="B45" s="186"/>
      <c r="C45" s="196" t="s">
        <v>104</v>
      </c>
      <c r="D45" s="196"/>
      <c r="E45" s="195" t="s">
        <v>103</v>
      </c>
      <c r="F45" s="195"/>
      <c r="G45" s="195" t="s">
        <v>103</v>
      </c>
      <c r="H45" s="195"/>
      <c r="I45" s="195" t="s">
        <v>103</v>
      </c>
      <c r="J45" s="195"/>
      <c r="K45" s="195" t="s">
        <v>103</v>
      </c>
      <c r="L45" s="195"/>
      <c r="M45" s="195" t="s">
        <v>103</v>
      </c>
      <c r="N45" s="195"/>
      <c r="O45" s="195" t="s">
        <v>103</v>
      </c>
      <c r="P45" s="195"/>
      <c r="Q45" s="195" t="s">
        <v>103</v>
      </c>
      <c r="R45" s="195"/>
      <c r="S45" s="195" t="s">
        <v>103</v>
      </c>
      <c r="T45" s="195"/>
      <c r="U45" s="195" t="s">
        <v>103</v>
      </c>
      <c r="V45" s="195"/>
      <c r="W45" s="195" t="s">
        <v>103</v>
      </c>
      <c r="X45" s="195"/>
      <c r="Y45" s="195" t="s">
        <v>103</v>
      </c>
      <c r="Z45" s="195"/>
      <c r="AA45" s="195" t="s">
        <v>103</v>
      </c>
      <c r="AB45" s="195"/>
      <c r="AC45" s="2"/>
      <c r="AD45" s="2"/>
      <c r="AE45" s="2"/>
      <c r="AF45" s="2"/>
      <c r="AG45" s="2"/>
      <c r="AH45" s="2"/>
      <c r="AI45" s="2"/>
      <c r="AJ45" s="2"/>
      <c r="AK45" s="2"/>
      <c r="AL45" s="2"/>
      <c r="AM45" s="2"/>
      <c r="AN45" s="2"/>
      <c r="AO45" s="2"/>
      <c r="AP45" s="2"/>
      <c r="AQ45" s="2"/>
      <c r="AR45" s="2"/>
    </row>
    <row r="46" customFormat="false" ht="14.25" hidden="false" customHeight="true" outlineLevel="0" collapsed="false">
      <c r="A46" s="186"/>
      <c r="B46" s="186"/>
      <c r="C46" s="196" t="s">
        <v>105</v>
      </c>
      <c r="D46" s="196"/>
      <c r="E46" s="197" t="s">
        <v>106</v>
      </c>
      <c r="F46" s="197"/>
      <c r="G46" s="195" t="s">
        <v>103</v>
      </c>
      <c r="H46" s="195"/>
      <c r="I46" s="195" t="s">
        <v>103</v>
      </c>
      <c r="J46" s="195"/>
      <c r="K46" s="195" t="s">
        <v>103</v>
      </c>
      <c r="L46" s="195"/>
      <c r="M46" s="195" t="s">
        <v>103</v>
      </c>
      <c r="N46" s="195"/>
      <c r="O46" s="195" t="s">
        <v>103</v>
      </c>
      <c r="P46" s="195"/>
      <c r="Q46" s="195" t="s">
        <v>103</v>
      </c>
      <c r="R46" s="195"/>
      <c r="S46" s="195" t="s">
        <v>103</v>
      </c>
      <c r="T46" s="195"/>
      <c r="U46" s="195" t="s">
        <v>103</v>
      </c>
      <c r="V46" s="195"/>
      <c r="W46" s="195" t="s">
        <v>103</v>
      </c>
      <c r="X46" s="195"/>
      <c r="Y46" s="195" t="s">
        <v>103</v>
      </c>
      <c r="Z46" s="195"/>
      <c r="AA46" s="195" t="s">
        <v>103</v>
      </c>
      <c r="AB46" s="195"/>
      <c r="AC46" s="2"/>
      <c r="AD46" s="2"/>
      <c r="AE46" s="2"/>
      <c r="AF46" s="2"/>
      <c r="AG46" s="2"/>
      <c r="AH46" s="2"/>
      <c r="AI46" s="2"/>
      <c r="AJ46" s="2"/>
      <c r="AK46" s="2"/>
      <c r="AL46" s="2"/>
      <c r="AM46" s="2"/>
      <c r="AN46" s="2"/>
      <c r="AO46" s="2"/>
      <c r="AP46" s="2"/>
      <c r="AQ46" s="2"/>
      <c r="AR46" s="2"/>
    </row>
    <row r="47" customFormat="false" ht="14.25" hidden="false" customHeight="true" outlineLevel="0" collapsed="false">
      <c r="A47" s="186"/>
      <c r="B47" s="186"/>
      <c r="C47" s="196" t="s">
        <v>107</v>
      </c>
      <c r="D47" s="196"/>
      <c r="E47" s="196" t="s">
        <v>108</v>
      </c>
      <c r="F47" s="196"/>
      <c r="G47" s="195" t="s">
        <v>103</v>
      </c>
      <c r="H47" s="195"/>
      <c r="I47" s="195" t="s">
        <v>103</v>
      </c>
      <c r="J47" s="195"/>
      <c r="K47" s="195" t="s">
        <v>103</v>
      </c>
      <c r="L47" s="195"/>
      <c r="M47" s="195" t="s">
        <v>103</v>
      </c>
      <c r="N47" s="195"/>
      <c r="O47" s="195" t="s">
        <v>103</v>
      </c>
      <c r="P47" s="195"/>
      <c r="Q47" s="198" t="s">
        <v>103</v>
      </c>
      <c r="R47" s="198"/>
      <c r="S47" s="195" t="s">
        <v>103</v>
      </c>
      <c r="T47" s="195"/>
      <c r="U47" s="195" t="s">
        <v>103</v>
      </c>
      <c r="V47" s="195"/>
      <c r="W47" s="195" t="s">
        <v>103</v>
      </c>
      <c r="X47" s="195"/>
      <c r="Y47" s="195" t="s">
        <v>103</v>
      </c>
      <c r="Z47" s="195"/>
      <c r="AA47" s="195" t="s">
        <v>103</v>
      </c>
      <c r="AB47" s="195"/>
      <c r="AC47" s="2"/>
      <c r="AD47" s="2"/>
      <c r="AE47" s="2"/>
      <c r="AF47" s="2"/>
      <c r="AG47" s="2"/>
      <c r="AH47" s="2"/>
      <c r="AI47" s="2"/>
      <c r="AJ47" s="2"/>
      <c r="AK47" s="2"/>
      <c r="AL47" s="2"/>
      <c r="AM47" s="2"/>
      <c r="AN47" s="2"/>
      <c r="AO47" s="2"/>
      <c r="AP47" s="2"/>
      <c r="AQ47" s="2"/>
      <c r="AR47" s="2"/>
    </row>
    <row r="48" customFormat="false" ht="14.25" hidden="false" customHeight="true" outlineLevel="0" collapsed="false">
      <c r="A48" s="186"/>
      <c r="B48" s="186"/>
      <c r="C48" s="196" t="s">
        <v>109</v>
      </c>
      <c r="D48" s="196"/>
      <c r="E48" s="196" t="s">
        <v>110</v>
      </c>
      <c r="F48" s="196"/>
      <c r="G48" s="195" t="s">
        <v>103</v>
      </c>
      <c r="H48" s="195"/>
      <c r="I48" s="195" t="s">
        <v>103</v>
      </c>
      <c r="J48" s="195"/>
      <c r="K48" s="195" t="s">
        <v>103</v>
      </c>
      <c r="L48" s="195"/>
      <c r="M48" s="195" t="s">
        <v>103</v>
      </c>
      <c r="N48" s="195"/>
      <c r="O48" s="195" t="s">
        <v>103</v>
      </c>
      <c r="P48" s="195"/>
      <c r="Q48" s="195" t="s">
        <v>103</v>
      </c>
      <c r="R48" s="195"/>
      <c r="S48" s="195" t="s">
        <v>103</v>
      </c>
      <c r="T48" s="195"/>
      <c r="U48" s="195" t="s">
        <v>103</v>
      </c>
      <c r="V48" s="195"/>
      <c r="W48" s="199" t="s">
        <v>103</v>
      </c>
      <c r="X48" s="199"/>
      <c r="Y48" s="195" t="s">
        <v>103</v>
      </c>
      <c r="Z48" s="195"/>
      <c r="AA48" s="195" t="s">
        <v>103</v>
      </c>
      <c r="AB48" s="195"/>
      <c r="AC48" s="2"/>
      <c r="AD48" s="2"/>
      <c r="AE48" s="2"/>
      <c r="AF48" s="2"/>
      <c r="AG48" s="2"/>
      <c r="AH48" s="2"/>
      <c r="AI48" s="2"/>
      <c r="AJ48" s="2"/>
      <c r="AK48" s="2"/>
      <c r="AL48" s="2"/>
      <c r="AM48" s="2"/>
      <c r="AN48" s="2"/>
      <c r="AO48" s="2"/>
      <c r="AP48" s="2"/>
      <c r="AQ48" s="2"/>
      <c r="AR48" s="2"/>
    </row>
    <row r="49" customFormat="false" ht="14.25" hidden="false" customHeight="true" outlineLevel="0" collapsed="false">
      <c r="A49" s="186"/>
      <c r="B49" s="186"/>
      <c r="C49" s="196"/>
      <c r="D49" s="196"/>
      <c r="E49" s="196"/>
      <c r="F49" s="196"/>
      <c r="G49" s="195"/>
      <c r="H49" s="195"/>
      <c r="I49" s="195"/>
      <c r="J49" s="195"/>
      <c r="K49" s="195"/>
      <c r="L49" s="195"/>
      <c r="M49" s="195"/>
      <c r="N49" s="195"/>
      <c r="O49" s="195"/>
      <c r="P49" s="195"/>
      <c r="Q49" s="195"/>
      <c r="R49" s="195"/>
      <c r="S49" s="195"/>
      <c r="T49" s="195"/>
      <c r="U49" s="195"/>
      <c r="V49" s="195"/>
      <c r="W49" s="199"/>
      <c r="X49" s="199"/>
      <c r="Y49" s="195"/>
      <c r="Z49" s="195"/>
      <c r="AA49" s="195"/>
      <c r="AB49" s="195"/>
      <c r="AC49" s="2"/>
      <c r="AD49" s="2"/>
      <c r="AE49" s="2"/>
      <c r="AF49" s="2"/>
      <c r="AG49" s="2"/>
      <c r="AH49" s="2"/>
      <c r="AI49" s="2"/>
      <c r="AJ49" s="2"/>
      <c r="AK49" s="2"/>
      <c r="AL49" s="2"/>
      <c r="AM49" s="2"/>
      <c r="AN49" s="2"/>
      <c r="AO49" s="2"/>
      <c r="AP49" s="2"/>
      <c r="AQ49" s="2"/>
      <c r="AR49" s="2"/>
    </row>
    <row r="50" customFormat="false" ht="14.25" hidden="false" customHeight="true" outlineLevel="0" collapsed="false">
      <c r="A50" s="186"/>
      <c r="B50" s="186"/>
      <c r="C50" s="196"/>
      <c r="D50" s="196"/>
      <c r="E50" s="196"/>
      <c r="F50" s="196"/>
      <c r="G50" s="195"/>
      <c r="H50" s="195"/>
      <c r="I50" s="195"/>
      <c r="J50" s="195"/>
      <c r="K50" s="195"/>
      <c r="L50" s="195"/>
      <c r="M50" s="195"/>
      <c r="N50" s="195"/>
      <c r="O50" s="195"/>
      <c r="P50" s="195"/>
      <c r="Q50" s="195"/>
      <c r="R50" s="195"/>
      <c r="S50" s="195"/>
      <c r="T50" s="195"/>
      <c r="U50" s="195"/>
      <c r="V50" s="195"/>
      <c r="W50" s="199"/>
      <c r="X50" s="199"/>
      <c r="Y50" s="195"/>
      <c r="Z50" s="195"/>
      <c r="AA50" s="195"/>
      <c r="AB50" s="195"/>
      <c r="AC50" s="2"/>
      <c r="AD50" s="2"/>
      <c r="AE50" s="2"/>
      <c r="AF50" s="2"/>
      <c r="AG50" s="2"/>
      <c r="AH50" s="2"/>
      <c r="AI50" s="2"/>
      <c r="AJ50" s="2"/>
      <c r="AK50" s="2"/>
      <c r="AL50" s="2"/>
      <c r="AM50" s="2"/>
      <c r="AN50" s="2"/>
      <c r="AO50" s="2"/>
      <c r="AP50" s="2"/>
      <c r="AQ50" s="2"/>
      <c r="AR50" s="2"/>
    </row>
    <row r="51" customFormat="false" ht="14.25" hidden="false" customHeight="true" outlineLevel="0" collapsed="false">
      <c r="A51" s="186"/>
      <c r="B51" s="186"/>
      <c r="C51" s="196"/>
      <c r="D51" s="196"/>
      <c r="E51" s="196"/>
      <c r="F51" s="196"/>
      <c r="G51" s="195"/>
      <c r="H51" s="195"/>
      <c r="I51" s="195"/>
      <c r="J51" s="195"/>
      <c r="K51" s="195"/>
      <c r="L51" s="195"/>
      <c r="M51" s="195"/>
      <c r="N51" s="195"/>
      <c r="O51" s="195"/>
      <c r="P51" s="195"/>
      <c r="Q51" s="195"/>
      <c r="R51" s="195"/>
      <c r="S51" s="195"/>
      <c r="T51" s="195"/>
      <c r="U51" s="195"/>
      <c r="V51" s="195"/>
      <c r="W51" s="195"/>
      <c r="X51" s="195"/>
      <c r="Y51" s="195"/>
      <c r="Z51" s="195"/>
      <c r="AA51" s="195"/>
      <c r="AB51" s="195"/>
      <c r="AC51" s="2"/>
      <c r="AD51" s="2"/>
      <c r="AE51" s="2"/>
      <c r="AF51" s="2"/>
      <c r="AG51" s="2"/>
      <c r="AH51" s="2"/>
      <c r="AI51" s="2"/>
      <c r="AJ51" s="2"/>
      <c r="AK51" s="2"/>
      <c r="AL51" s="2"/>
      <c r="AM51" s="2"/>
      <c r="AN51" s="2"/>
      <c r="AO51" s="2"/>
      <c r="AP51" s="2"/>
      <c r="AQ51" s="2"/>
      <c r="AR51" s="2"/>
    </row>
    <row r="52" customFormat="false" ht="14.25" hidden="false" customHeight="true" outlineLevel="0" collapsed="false">
      <c r="A52" s="186"/>
      <c r="B52" s="186"/>
      <c r="C52" s="196"/>
      <c r="D52" s="196"/>
      <c r="E52" s="196"/>
      <c r="F52" s="196"/>
      <c r="G52" s="195"/>
      <c r="H52" s="195"/>
      <c r="I52" s="195"/>
      <c r="J52" s="195"/>
      <c r="K52" s="195"/>
      <c r="L52" s="195"/>
      <c r="M52" s="195"/>
      <c r="N52" s="195"/>
      <c r="O52" s="195"/>
      <c r="P52" s="195"/>
      <c r="Q52" s="195"/>
      <c r="R52" s="195"/>
      <c r="S52" s="195"/>
      <c r="T52" s="195"/>
      <c r="U52" s="195"/>
      <c r="V52" s="195"/>
      <c r="W52" s="195"/>
      <c r="X52" s="195"/>
      <c r="Y52" s="195"/>
      <c r="Z52" s="195"/>
      <c r="AA52" s="195"/>
      <c r="AB52" s="195"/>
      <c r="AC52" s="2"/>
      <c r="AD52" s="2"/>
      <c r="AE52" s="2"/>
      <c r="AF52" s="2"/>
      <c r="AG52" s="2"/>
      <c r="AH52" s="2"/>
      <c r="AI52" s="2"/>
      <c r="AJ52" s="2"/>
      <c r="AK52" s="2"/>
      <c r="AL52" s="2"/>
      <c r="AM52" s="2"/>
      <c r="AN52" s="2"/>
      <c r="AO52" s="2"/>
      <c r="AP52" s="2"/>
      <c r="AQ52" s="2"/>
      <c r="AR52" s="2"/>
    </row>
    <row r="53" customFormat="false" ht="14.25" hidden="false" customHeight="true" outlineLevel="0" collapsed="false">
      <c r="A53" s="186"/>
      <c r="B53" s="186"/>
      <c r="C53" s="196"/>
      <c r="D53" s="196"/>
      <c r="E53" s="196"/>
      <c r="F53" s="196"/>
      <c r="G53" s="195"/>
      <c r="H53" s="195"/>
      <c r="I53" s="195"/>
      <c r="J53" s="195"/>
      <c r="K53" s="195"/>
      <c r="L53" s="195"/>
      <c r="M53" s="195"/>
      <c r="N53" s="195"/>
      <c r="O53" s="195"/>
      <c r="P53" s="195"/>
      <c r="Q53" s="195"/>
      <c r="R53" s="195"/>
      <c r="S53" s="195"/>
      <c r="T53" s="195"/>
      <c r="U53" s="195"/>
      <c r="V53" s="195"/>
      <c r="W53" s="195"/>
      <c r="X53" s="195"/>
      <c r="Y53" s="195"/>
      <c r="Z53" s="195"/>
      <c r="AA53" s="195"/>
      <c r="AB53" s="195"/>
      <c r="AC53" s="2"/>
      <c r="AD53" s="2"/>
      <c r="AE53" s="2"/>
      <c r="AF53" s="2"/>
      <c r="AG53" s="2"/>
      <c r="AH53" s="2"/>
      <c r="AI53" s="2"/>
      <c r="AJ53" s="2"/>
      <c r="AK53" s="2"/>
      <c r="AL53" s="2"/>
      <c r="AM53" s="2"/>
      <c r="AN53" s="2"/>
      <c r="AO53" s="2"/>
      <c r="AP53" s="2"/>
      <c r="AQ53" s="2"/>
      <c r="AR53" s="2"/>
    </row>
    <row r="54" customFormat="false" ht="14.25" hidden="false" customHeight="true" outlineLevel="0" collapsed="false">
      <c r="A54" s="186"/>
      <c r="B54" s="186"/>
      <c r="C54" s="196"/>
      <c r="D54" s="196"/>
      <c r="E54" s="196"/>
      <c r="F54" s="196"/>
      <c r="G54" s="195"/>
      <c r="H54" s="195"/>
      <c r="I54" s="195"/>
      <c r="J54" s="195"/>
      <c r="K54" s="195"/>
      <c r="L54" s="195"/>
      <c r="M54" s="195"/>
      <c r="N54" s="195"/>
      <c r="O54" s="195"/>
      <c r="P54" s="195"/>
      <c r="Q54" s="195"/>
      <c r="R54" s="195"/>
      <c r="S54" s="195"/>
      <c r="T54" s="195"/>
      <c r="U54" s="195"/>
      <c r="V54" s="195"/>
      <c r="W54" s="195"/>
      <c r="X54" s="195"/>
      <c r="Y54" s="195"/>
      <c r="Z54" s="195"/>
      <c r="AA54" s="195"/>
      <c r="AB54" s="195"/>
      <c r="AC54" s="2"/>
      <c r="AD54" s="2"/>
      <c r="AE54" s="2"/>
      <c r="AF54" s="2"/>
      <c r="AG54" s="2"/>
      <c r="AH54" s="2"/>
      <c r="AI54" s="2"/>
      <c r="AJ54" s="2"/>
      <c r="AK54" s="2"/>
      <c r="AL54" s="2"/>
      <c r="AM54" s="2"/>
      <c r="AN54" s="2"/>
      <c r="AO54" s="2"/>
      <c r="AP54" s="2"/>
      <c r="AQ54" s="2"/>
      <c r="AR54" s="2"/>
    </row>
    <row r="55" customFormat="false" ht="14.25" hidden="false" customHeight="true" outlineLevel="0" collapsed="false">
      <c r="A55" s="186"/>
      <c r="B55" s="186"/>
      <c r="C55" s="196"/>
      <c r="D55" s="196"/>
      <c r="E55" s="196"/>
      <c r="F55" s="196"/>
      <c r="G55" s="195"/>
      <c r="H55" s="195"/>
      <c r="I55" s="195"/>
      <c r="J55" s="195"/>
      <c r="K55" s="195"/>
      <c r="L55" s="195"/>
      <c r="M55" s="195"/>
      <c r="N55" s="195"/>
      <c r="O55" s="195"/>
      <c r="P55" s="195"/>
      <c r="Q55" s="195"/>
      <c r="R55" s="195"/>
      <c r="S55" s="195"/>
      <c r="T55" s="195"/>
      <c r="U55" s="195"/>
      <c r="V55" s="195"/>
      <c r="W55" s="195"/>
      <c r="X55" s="195"/>
      <c r="Y55" s="195"/>
      <c r="Z55" s="195"/>
      <c r="AA55" s="195"/>
      <c r="AB55" s="195"/>
      <c r="AC55" s="2"/>
      <c r="AD55" s="2"/>
      <c r="AE55" s="2"/>
      <c r="AF55" s="2"/>
      <c r="AG55" s="2"/>
      <c r="AH55" s="2"/>
      <c r="AI55" s="2"/>
      <c r="AJ55" s="2"/>
      <c r="AK55" s="2"/>
      <c r="AL55" s="2"/>
      <c r="AM55" s="2"/>
      <c r="AN55" s="2"/>
      <c r="AO55" s="2"/>
      <c r="AP55" s="2"/>
      <c r="AQ55" s="2"/>
      <c r="AR55" s="2"/>
    </row>
    <row r="56" customFormat="false" ht="14.25" hidden="false" customHeight="true" outlineLevel="0" collapsed="false">
      <c r="A56" s="186"/>
      <c r="B56" s="186"/>
      <c r="C56" s="196"/>
      <c r="D56" s="196"/>
      <c r="E56" s="196"/>
      <c r="F56" s="196"/>
      <c r="G56" s="195"/>
      <c r="H56" s="195"/>
      <c r="I56" s="195"/>
      <c r="J56" s="195"/>
      <c r="K56" s="195"/>
      <c r="L56" s="195"/>
      <c r="M56" s="195"/>
      <c r="N56" s="195"/>
      <c r="O56" s="195"/>
      <c r="P56" s="195"/>
      <c r="Q56" s="195"/>
      <c r="R56" s="195"/>
      <c r="S56" s="195"/>
      <c r="T56" s="195"/>
      <c r="U56" s="195"/>
      <c r="V56" s="195"/>
      <c r="W56" s="195"/>
      <c r="X56" s="195"/>
      <c r="Y56" s="195"/>
      <c r="Z56" s="195"/>
      <c r="AA56" s="195"/>
      <c r="AB56" s="195"/>
      <c r="AC56" s="2"/>
      <c r="AD56" s="2"/>
      <c r="AE56" s="2"/>
      <c r="AF56" s="2"/>
      <c r="AG56" s="2"/>
      <c r="AH56" s="2"/>
      <c r="AI56" s="2"/>
      <c r="AJ56" s="2"/>
      <c r="AK56" s="2"/>
      <c r="AL56" s="2"/>
      <c r="AM56" s="2"/>
      <c r="AN56" s="2"/>
      <c r="AO56" s="2"/>
      <c r="AP56" s="2"/>
      <c r="AQ56" s="2"/>
      <c r="AR56" s="2"/>
    </row>
    <row r="57" customFormat="false" ht="14.25" hidden="false" customHeight="true" outlineLevel="0" collapsed="false">
      <c r="A57" s="186"/>
      <c r="B57" s="186"/>
      <c r="C57" s="196"/>
      <c r="D57" s="196"/>
      <c r="E57" s="196"/>
      <c r="F57" s="196"/>
      <c r="G57" s="195"/>
      <c r="H57" s="195"/>
      <c r="I57" s="195"/>
      <c r="J57" s="195"/>
      <c r="K57" s="195"/>
      <c r="L57" s="195"/>
      <c r="M57" s="195"/>
      <c r="N57" s="195"/>
      <c r="O57" s="195"/>
      <c r="P57" s="195"/>
      <c r="Q57" s="195"/>
      <c r="R57" s="195"/>
      <c r="S57" s="195"/>
      <c r="T57" s="195"/>
      <c r="U57" s="195"/>
      <c r="V57" s="195"/>
      <c r="W57" s="195"/>
      <c r="X57" s="195"/>
      <c r="Y57" s="195"/>
      <c r="Z57" s="195"/>
      <c r="AA57" s="195"/>
      <c r="AB57" s="195"/>
      <c r="AC57" s="2"/>
      <c r="AD57" s="2"/>
      <c r="AE57" s="2"/>
      <c r="AF57" s="2"/>
      <c r="AG57" s="2"/>
      <c r="AH57" s="2"/>
      <c r="AI57" s="2"/>
      <c r="AJ57" s="2"/>
      <c r="AK57" s="2"/>
      <c r="AL57" s="2"/>
      <c r="AM57" s="2"/>
      <c r="AN57" s="2"/>
      <c r="AO57" s="2"/>
      <c r="AP57" s="2"/>
      <c r="AQ57" s="2"/>
      <c r="AR57" s="2"/>
    </row>
    <row r="58" customFormat="false" ht="14.25" hidden="false" customHeight="true" outlineLevel="0" collapsed="false">
      <c r="A58" s="186"/>
      <c r="B58" s="186"/>
      <c r="C58" s="196"/>
      <c r="D58" s="196"/>
      <c r="E58" s="196"/>
      <c r="F58" s="196"/>
      <c r="G58" s="195"/>
      <c r="H58" s="195"/>
      <c r="I58" s="195"/>
      <c r="J58" s="195"/>
      <c r="K58" s="195"/>
      <c r="L58" s="195"/>
      <c r="M58" s="195"/>
      <c r="N58" s="195"/>
      <c r="O58" s="195"/>
      <c r="P58" s="195"/>
      <c r="Q58" s="195"/>
      <c r="R58" s="195"/>
      <c r="S58" s="195"/>
      <c r="T58" s="195"/>
      <c r="U58" s="195"/>
      <c r="V58" s="195"/>
      <c r="W58" s="195"/>
      <c r="X58" s="195"/>
      <c r="Y58" s="195"/>
      <c r="Z58" s="195"/>
      <c r="AA58" s="195"/>
      <c r="AB58" s="195"/>
      <c r="AC58" s="2"/>
      <c r="AD58" s="2"/>
      <c r="AE58" s="2"/>
      <c r="AF58" s="2"/>
      <c r="AG58" s="2"/>
      <c r="AH58" s="2"/>
      <c r="AI58" s="2"/>
      <c r="AJ58" s="2"/>
      <c r="AK58" s="2"/>
      <c r="AL58" s="2"/>
      <c r="AM58" s="2"/>
      <c r="AN58" s="2"/>
      <c r="AO58" s="2"/>
      <c r="AP58" s="2"/>
      <c r="AQ58" s="2"/>
      <c r="AR58" s="2"/>
    </row>
    <row r="59" customFormat="false" ht="14.25" hidden="false" customHeight="true" outlineLevel="0" collapsed="false">
      <c r="A59" s="186"/>
      <c r="B59" s="186"/>
      <c r="C59" s="196"/>
      <c r="D59" s="196"/>
      <c r="E59" s="196"/>
      <c r="F59" s="196"/>
      <c r="G59" s="195"/>
      <c r="H59" s="195"/>
      <c r="I59" s="195"/>
      <c r="J59" s="195"/>
      <c r="K59" s="195"/>
      <c r="L59" s="195"/>
      <c r="M59" s="195"/>
      <c r="N59" s="195"/>
      <c r="O59" s="195"/>
      <c r="P59" s="195"/>
      <c r="Q59" s="195"/>
      <c r="R59" s="195"/>
      <c r="S59" s="195"/>
      <c r="T59" s="195"/>
      <c r="U59" s="195"/>
      <c r="V59" s="195"/>
      <c r="W59" s="195"/>
      <c r="X59" s="195"/>
      <c r="Y59" s="195"/>
      <c r="Z59" s="195"/>
      <c r="AA59" s="195"/>
      <c r="AB59" s="195"/>
      <c r="AC59" s="2"/>
      <c r="AD59" s="2"/>
      <c r="AE59" s="2"/>
      <c r="AF59" s="2"/>
      <c r="AG59" s="2"/>
      <c r="AH59" s="2"/>
      <c r="AI59" s="2"/>
      <c r="AJ59" s="2"/>
      <c r="AK59" s="2"/>
      <c r="AL59" s="2"/>
      <c r="AM59" s="2"/>
      <c r="AN59" s="2"/>
      <c r="AO59" s="2"/>
      <c r="AP59" s="2"/>
      <c r="AQ59" s="2"/>
      <c r="AR59" s="2"/>
    </row>
    <row r="60" customFormat="false" ht="14.25" hidden="false" customHeight="true" outlineLevel="0" collapsed="false">
      <c r="A60" s="186"/>
      <c r="B60" s="186"/>
      <c r="C60" s="196"/>
      <c r="D60" s="196"/>
      <c r="E60" s="196"/>
      <c r="F60" s="196"/>
      <c r="G60" s="195"/>
      <c r="H60" s="195"/>
      <c r="I60" s="195"/>
      <c r="J60" s="195"/>
      <c r="K60" s="195"/>
      <c r="L60" s="195"/>
      <c r="M60" s="195"/>
      <c r="N60" s="195"/>
      <c r="O60" s="195"/>
      <c r="P60" s="195"/>
      <c r="Q60" s="195"/>
      <c r="R60" s="195"/>
      <c r="S60" s="195"/>
      <c r="T60" s="195"/>
      <c r="U60" s="195"/>
      <c r="V60" s="195"/>
      <c r="W60" s="195"/>
      <c r="X60" s="195"/>
      <c r="Y60" s="195"/>
      <c r="Z60" s="195"/>
      <c r="AA60" s="195"/>
      <c r="AB60" s="195"/>
      <c r="AC60" s="2"/>
      <c r="AD60" s="2"/>
      <c r="AE60" s="2"/>
      <c r="AF60" s="2"/>
      <c r="AG60" s="2"/>
      <c r="AH60" s="2"/>
      <c r="AI60" s="2"/>
      <c r="AJ60" s="2"/>
      <c r="AK60" s="2"/>
      <c r="AL60" s="2"/>
      <c r="AM60" s="2"/>
      <c r="AN60" s="2"/>
      <c r="AO60" s="2"/>
      <c r="AP60" s="2"/>
      <c r="AQ60" s="2"/>
      <c r="AR60" s="2"/>
    </row>
    <row r="61" customFormat="false" ht="14.25" hidden="false" customHeight="true" outlineLevel="0" collapsed="false">
      <c r="A61" s="186"/>
      <c r="B61" s="186"/>
      <c r="C61" s="200"/>
      <c r="D61" s="200"/>
      <c r="E61" s="201"/>
      <c r="F61" s="201"/>
      <c r="G61" s="202"/>
      <c r="H61" s="202"/>
      <c r="I61" s="202"/>
      <c r="J61" s="202"/>
      <c r="K61" s="202"/>
      <c r="L61" s="202"/>
      <c r="M61" s="202"/>
      <c r="N61" s="202"/>
      <c r="O61" s="202"/>
      <c r="P61" s="202"/>
      <c r="Q61" s="202"/>
      <c r="R61" s="202"/>
      <c r="S61" s="202"/>
      <c r="T61" s="202"/>
      <c r="U61" s="202"/>
      <c r="V61" s="202"/>
      <c r="W61" s="202"/>
      <c r="X61" s="202"/>
      <c r="Y61" s="202"/>
      <c r="Z61" s="202"/>
      <c r="AA61" s="202"/>
      <c r="AB61" s="202"/>
      <c r="AC61" s="2"/>
      <c r="AD61" s="2"/>
      <c r="AE61" s="2"/>
      <c r="AF61" s="2"/>
      <c r="AG61" s="2"/>
      <c r="AH61" s="2"/>
      <c r="AI61" s="2"/>
      <c r="AJ61" s="2"/>
      <c r="AK61" s="2"/>
      <c r="AL61" s="2"/>
      <c r="AM61" s="2"/>
      <c r="AN61" s="2"/>
      <c r="AO61" s="2"/>
      <c r="AP61" s="2"/>
      <c r="AQ61" s="2"/>
      <c r="AR61" s="2"/>
    </row>
    <row r="62" customFormat="false" ht="14.25" hidden="false" customHeight="true" outlineLevel="0" collapsed="false">
      <c r="A62" s="203" t="s">
        <v>111</v>
      </c>
      <c r="B62" s="203"/>
      <c r="C62" s="204" t="s">
        <v>112</v>
      </c>
      <c r="D62" s="204"/>
      <c r="E62" s="193" t="s">
        <v>113</v>
      </c>
      <c r="F62" s="193"/>
      <c r="G62" s="194" t="s">
        <v>103</v>
      </c>
      <c r="H62" s="194"/>
      <c r="I62" s="192" t="s">
        <v>103</v>
      </c>
      <c r="J62" s="192"/>
      <c r="K62" s="192" t="s">
        <v>103</v>
      </c>
      <c r="L62" s="192"/>
      <c r="M62" s="192" t="s">
        <v>103</v>
      </c>
      <c r="N62" s="192"/>
      <c r="O62" s="192" t="s">
        <v>103</v>
      </c>
      <c r="P62" s="192"/>
      <c r="Q62" s="192" t="s">
        <v>103</v>
      </c>
      <c r="R62" s="192"/>
      <c r="S62" s="192" t="s">
        <v>103</v>
      </c>
      <c r="T62" s="192"/>
      <c r="U62" s="192" t="s">
        <v>103</v>
      </c>
      <c r="V62" s="192"/>
      <c r="W62" s="194" t="s">
        <v>103</v>
      </c>
      <c r="X62" s="194"/>
      <c r="Y62" s="194" t="s">
        <v>103</v>
      </c>
      <c r="Z62" s="194"/>
      <c r="AA62" s="194" t="s">
        <v>103</v>
      </c>
      <c r="AB62" s="194"/>
      <c r="AC62" s="2"/>
      <c r="AD62" s="2"/>
      <c r="AE62" s="2"/>
      <c r="AF62" s="2"/>
      <c r="AG62" s="2"/>
      <c r="AH62" s="2"/>
      <c r="AI62" s="2"/>
      <c r="AJ62" s="2"/>
      <c r="AK62" s="2"/>
      <c r="AL62" s="2"/>
      <c r="AM62" s="2"/>
      <c r="AN62" s="2"/>
      <c r="AO62" s="2"/>
      <c r="AP62" s="2"/>
      <c r="AQ62" s="2"/>
      <c r="AR62" s="2"/>
    </row>
    <row r="63" customFormat="false" ht="14.25" hidden="false" customHeight="true" outlineLevel="0" collapsed="false">
      <c r="A63" s="203"/>
      <c r="B63" s="203"/>
      <c r="C63" s="205" t="s">
        <v>114</v>
      </c>
      <c r="D63" s="205"/>
      <c r="E63" s="197" t="s">
        <v>103</v>
      </c>
      <c r="F63" s="197"/>
      <c r="G63" s="195" t="s">
        <v>103</v>
      </c>
      <c r="H63" s="195"/>
      <c r="I63" s="196" t="s">
        <v>103</v>
      </c>
      <c r="J63" s="196"/>
      <c r="K63" s="196" t="s">
        <v>103</v>
      </c>
      <c r="L63" s="196"/>
      <c r="M63" s="196" t="s">
        <v>103</v>
      </c>
      <c r="N63" s="196"/>
      <c r="O63" s="196" t="s">
        <v>103</v>
      </c>
      <c r="P63" s="196"/>
      <c r="Q63" s="197" t="s">
        <v>103</v>
      </c>
      <c r="R63" s="197"/>
      <c r="S63" s="196" t="s">
        <v>103</v>
      </c>
      <c r="T63" s="196"/>
      <c r="U63" s="196" t="s">
        <v>103</v>
      </c>
      <c r="V63" s="196"/>
      <c r="W63" s="196" t="s">
        <v>103</v>
      </c>
      <c r="X63" s="196"/>
      <c r="Y63" s="196" t="s">
        <v>103</v>
      </c>
      <c r="Z63" s="196"/>
      <c r="AA63" s="195" t="s">
        <v>103</v>
      </c>
      <c r="AB63" s="195"/>
      <c r="AC63" s="2"/>
      <c r="AD63" s="2"/>
      <c r="AE63" s="2"/>
      <c r="AF63" s="2"/>
      <c r="AG63" s="2"/>
      <c r="AH63" s="2"/>
      <c r="AI63" s="2"/>
      <c r="AJ63" s="2"/>
      <c r="AK63" s="2"/>
      <c r="AL63" s="2"/>
      <c r="AM63" s="2"/>
      <c r="AN63" s="2"/>
      <c r="AO63" s="2"/>
      <c r="AP63" s="2"/>
      <c r="AQ63" s="2"/>
      <c r="AR63" s="2"/>
    </row>
    <row r="64" customFormat="false" ht="14.25" hidden="false" customHeight="true" outlineLevel="0" collapsed="false">
      <c r="A64" s="203"/>
      <c r="B64" s="203"/>
      <c r="C64" s="205" t="s">
        <v>115</v>
      </c>
      <c r="D64" s="205"/>
      <c r="E64" s="197" t="s">
        <v>103</v>
      </c>
      <c r="F64" s="197"/>
      <c r="G64" s="195" t="s">
        <v>103</v>
      </c>
      <c r="H64" s="195"/>
      <c r="I64" s="196" t="s">
        <v>103</v>
      </c>
      <c r="J64" s="196"/>
      <c r="K64" s="196" t="s">
        <v>103</v>
      </c>
      <c r="L64" s="196"/>
      <c r="M64" s="196" t="s">
        <v>103</v>
      </c>
      <c r="N64" s="196"/>
      <c r="O64" s="196" t="s">
        <v>103</v>
      </c>
      <c r="P64" s="196"/>
      <c r="Q64" s="196" t="s">
        <v>103</v>
      </c>
      <c r="R64" s="196"/>
      <c r="S64" s="196" t="s">
        <v>103</v>
      </c>
      <c r="T64" s="196"/>
      <c r="U64" s="196" t="s">
        <v>103</v>
      </c>
      <c r="V64" s="196"/>
      <c r="W64" s="196" t="s">
        <v>103</v>
      </c>
      <c r="X64" s="196"/>
      <c r="Y64" s="196" t="s">
        <v>103</v>
      </c>
      <c r="Z64" s="196"/>
      <c r="AA64" s="195" t="s">
        <v>103</v>
      </c>
      <c r="AB64" s="195"/>
      <c r="AC64" s="2"/>
      <c r="AD64" s="2"/>
      <c r="AE64" s="2"/>
      <c r="AF64" s="2"/>
      <c r="AG64" s="2"/>
      <c r="AH64" s="2"/>
      <c r="AI64" s="2"/>
      <c r="AJ64" s="2"/>
      <c r="AK64" s="2"/>
      <c r="AL64" s="2"/>
      <c r="AM64" s="2"/>
      <c r="AN64" s="2"/>
      <c r="AO64" s="2"/>
      <c r="AP64" s="2"/>
      <c r="AQ64" s="2"/>
      <c r="AR64" s="2"/>
    </row>
    <row r="65" customFormat="false" ht="14.25" hidden="false" customHeight="true" outlineLevel="0" collapsed="false">
      <c r="A65" s="203"/>
      <c r="B65" s="203"/>
      <c r="C65" s="205" t="s">
        <v>116</v>
      </c>
      <c r="D65" s="205"/>
      <c r="E65" s="197" t="s">
        <v>103</v>
      </c>
      <c r="F65" s="197"/>
      <c r="G65" s="195" t="s">
        <v>103</v>
      </c>
      <c r="H65" s="195"/>
      <c r="I65" s="196" t="s">
        <v>103</v>
      </c>
      <c r="J65" s="196"/>
      <c r="K65" s="196" t="s">
        <v>103</v>
      </c>
      <c r="L65" s="196"/>
      <c r="M65" s="196" t="s">
        <v>103</v>
      </c>
      <c r="N65" s="196"/>
      <c r="O65" s="196" t="s">
        <v>103</v>
      </c>
      <c r="P65" s="196"/>
      <c r="Q65" s="196" t="s">
        <v>103</v>
      </c>
      <c r="R65" s="196"/>
      <c r="S65" s="196" t="s">
        <v>103</v>
      </c>
      <c r="T65" s="196"/>
      <c r="U65" s="196" t="s">
        <v>103</v>
      </c>
      <c r="V65" s="196"/>
      <c r="W65" s="196" t="s">
        <v>103</v>
      </c>
      <c r="X65" s="196"/>
      <c r="Y65" s="196" t="s">
        <v>103</v>
      </c>
      <c r="Z65" s="196"/>
      <c r="AA65" s="195" t="s">
        <v>103</v>
      </c>
      <c r="AB65" s="195"/>
      <c r="AC65" s="2"/>
      <c r="AD65" s="2"/>
      <c r="AE65" s="2"/>
      <c r="AF65" s="2"/>
      <c r="AG65" s="2"/>
      <c r="AH65" s="2"/>
      <c r="AI65" s="2"/>
      <c r="AJ65" s="2"/>
      <c r="AK65" s="2"/>
      <c r="AL65" s="2"/>
      <c r="AM65" s="2"/>
      <c r="AN65" s="2"/>
      <c r="AO65" s="2"/>
      <c r="AP65" s="2"/>
      <c r="AQ65" s="2"/>
      <c r="AR65" s="2"/>
    </row>
    <row r="66" customFormat="false" ht="14.25" hidden="false" customHeight="true" outlineLevel="0" collapsed="false">
      <c r="A66" s="203"/>
      <c r="B66" s="203"/>
      <c r="C66" s="205" t="n">
        <v>0</v>
      </c>
      <c r="D66" s="205"/>
      <c r="E66" s="196" t="s">
        <v>103</v>
      </c>
      <c r="F66" s="196"/>
      <c r="G66" s="195" t="s">
        <v>103</v>
      </c>
      <c r="H66" s="195"/>
      <c r="I66" s="196" t="s">
        <v>103</v>
      </c>
      <c r="J66" s="196"/>
      <c r="K66" s="196" t="s">
        <v>103</v>
      </c>
      <c r="L66" s="196"/>
      <c r="M66" s="196" t="s">
        <v>103</v>
      </c>
      <c r="N66" s="196"/>
      <c r="O66" s="196" t="s">
        <v>103</v>
      </c>
      <c r="P66" s="196"/>
      <c r="Q66" s="196" t="s">
        <v>103</v>
      </c>
      <c r="R66" s="196"/>
      <c r="S66" s="196" t="s">
        <v>103</v>
      </c>
      <c r="T66" s="196"/>
      <c r="U66" s="196" t="s">
        <v>103</v>
      </c>
      <c r="V66" s="196"/>
      <c r="W66" s="195" t="s">
        <v>103</v>
      </c>
      <c r="X66" s="195"/>
      <c r="Y66" s="195" t="s">
        <v>103</v>
      </c>
      <c r="Z66" s="195"/>
      <c r="AA66" s="195" t="s">
        <v>103</v>
      </c>
      <c r="AB66" s="195"/>
      <c r="AC66" s="2"/>
      <c r="AD66" s="2"/>
      <c r="AE66" s="2"/>
      <c r="AF66" s="2"/>
      <c r="AG66" s="2"/>
      <c r="AH66" s="2"/>
      <c r="AI66" s="2"/>
      <c r="AJ66" s="2"/>
      <c r="AK66" s="2"/>
      <c r="AL66" s="2"/>
      <c r="AM66" s="2"/>
      <c r="AN66" s="2"/>
      <c r="AO66" s="2"/>
      <c r="AP66" s="2"/>
      <c r="AQ66" s="2"/>
      <c r="AR66" s="2"/>
    </row>
    <row r="67" customFormat="false" ht="14.25" hidden="false" customHeight="true" outlineLevel="0" collapsed="false">
      <c r="A67" s="203"/>
      <c r="B67" s="203"/>
      <c r="C67" s="205" t="n">
        <v>0</v>
      </c>
      <c r="D67" s="205"/>
      <c r="E67" s="196" t="s">
        <v>103</v>
      </c>
      <c r="F67" s="196"/>
      <c r="G67" s="195" t="s">
        <v>103</v>
      </c>
      <c r="H67" s="195"/>
      <c r="I67" s="196" t="s">
        <v>103</v>
      </c>
      <c r="J67" s="196"/>
      <c r="K67" s="196" t="s">
        <v>103</v>
      </c>
      <c r="L67" s="196"/>
      <c r="M67" s="196" t="s">
        <v>103</v>
      </c>
      <c r="N67" s="196"/>
      <c r="O67" s="196" t="s">
        <v>103</v>
      </c>
      <c r="P67" s="196"/>
      <c r="Q67" s="196" t="s">
        <v>103</v>
      </c>
      <c r="R67" s="196"/>
      <c r="S67" s="196" t="s">
        <v>103</v>
      </c>
      <c r="T67" s="196"/>
      <c r="U67" s="196" t="s">
        <v>103</v>
      </c>
      <c r="V67" s="196"/>
      <c r="W67" s="195" t="s">
        <v>103</v>
      </c>
      <c r="X67" s="195"/>
      <c r="Y67" s="195" t="s">
        <v>103</v>
      </c>
      <c r="Z67" s="195"/>
      <c r="AA67" s="195" t="s">
        <v>103</v>
      </c>
      <c r="AB67" s="195"/>
      <c r="AC67" s="2"/>
      <c r="AD67" s="2"/>
      <c r="AE67" s="2"/>
      <c r="AF67" s="2"/>
      <c r="AG67" s="2"/>
      <c r="AH67" s="2"/>
      <c r="AI67" s="2"/>
      <c r="AJ67" s="2"/>
      <c r="AK67" s="2"/>
      <c r="AL67" s="2"/>
      <c r="AM67" s="2"/>
      <c r="AN67" s="2"/>
      <c r="AO67" s="2"/>
      <c r="AP67" s="2"/>
      <c r="AQ67" s="2"/>
      <c r="AR67" s="2"/>
    </row>
    <row r="68" customFormat="false" ht="14.25" hidden="false" customHeight="true" outlineLevel="0" collapsed="false">
      <c r="A68" s="203"/>
      <c r="B68" s="203"/>
      <c r="C68" s="206" t="n">
        <v>0</v>
      </c>
      <c r="D68" s="206"/>
      <c r="E68" s="200" t="s">
        <v>103</v>
      </c>
      <c r="F68" s="200"/>
      <c r="G68" s="207" t="s">
        <v>103</v>
      </c>
      <c r="H68" s="207"/>
      <c r="I68" s="200" t="s">
        <v>103</v>
      </c>
      <c r="J68" s="200"/>
      <c r="K68" s="200" t="s">
        <v>103</v>
      </c>
      <c r="L68" s="200"/>
      <c r="M68" s="200" t="s">
        <v>103</v>
      </c>
      <c r="N68" s="200"/>
      <c r="O68" s="200" t="s">
        <v>103</v>
      </c>
      <c r="P68" s="200"/>
      <c r="Q68" s="200" t="s">
        <v>103</v>
      </c>
      <c r="R68" s="200"/>
      <c r="S68" s="200" t="s">
        <v>103</v>
      </c>
      <c r="T68" s="200"/>
      <c r="U68" s="200" t="s">
        <v>103</v>
      </c>
      <c r="V68" s="200"/>
      <c r="W68" s="207" t="s">
        <v>103</v>
      </c>
      <c r="X68" s="207"/>
      <c r="Y68" s="207" t="s">
        <v>103</v>
      </c>
      <c r="Z68" s="207"/>
      <c r="AA68" s="202" t="s">
        <v>103</v>
      </c>
      <c r="AB68" s="202"/>
      <c r="AC68" s="2"/>
      <c r="AD68" s="2"/>
      <c r="AE68" s="2"/>
      <c r="AF68" s="2"/>
      <c r="AG68" s="2"/>
      <c r="AH68" s="2"/>
      <c r="AI68" s="2"/>
      <c r="AJ68" s="2"/>
      <c r="AK68" s="2"/>
      <c r="AL68" s="2"/>
      <c r="AM68" s="2"/>
      <c r="AN68" s="2"/>
      <c r="AO68" s="2"/>
      <c r="AP68" s="2"/>
      <c r="AQ68" s="2"/>
      <c r="AR68" s="2"/>
    </row>
    <row r="69" customFormat="false" ht="14.25" hidden="false" customHeight="true" outlineLevel="0" collapsed="false">
      <c r="A69" s="186" t="s">
        <v>117</v>
      </c>
      <c r="B69" s="186"/>
      <c r="C69" s="208" t="s">
        <v>118</v>
      </c>
      <c r="D69" s="208"/>
      <c r="E69" s="209" t="s">
        <v>119</v>
      </c>
      <c r="F69" s="209"/>
      <c r="G69" s="209" t="s">
        <v>103</v>
      </c>
      <c r="H69" s="209"/>
      <c r="I69" s="209" t="s">
        <v>103</v>
      </c>
      <c r="J69" s="209"/>
      <c r="K69" s="209" t="s">
        <v>119</v>
      </c>
      <c r="L69" s="209"/>
      <c r="M69" s="204" t="s">
        <v>103</v>
      </c>
      <c r="N69" s="204"/>
      <c r="O69" s="204" t="s">
        <v>103</v>
      </c>
      <c r="P69" s="204"/>
      <c r="Q69" s="209" t="s">
        <v>119</v>
      </c>
      <c r="R69" s="209"/>
      <c r="S69" s="204" t="s">
        <v>103</v>
      </c>
      <c r="T69" s="204"/>
      <c r="U69" s="204" t="s">
        <v>103</v>
      </c>
      <c r="V69" s="204"/>
      <c r="W69" s="204" t="s">
        <v>119</v>
      </c>
      <c r="X69" s="204"/>
      <c r="Y69" s="204" t="s">
        <v>103</v>
      </c>
      <c r="Z69" s="204"/>
      <c r="AA69" s="204" t="s">
        <v>103</v>
      </c>
      <c r="AB69" s="204"/>
      <c r="AC69" s="2"/>
      <c r="AD69" s="2"/>
      <c r="AE69" s="2"/>
      <c r="AF69" s="2"/>
      <c r="AG69" s="2"/>
      <c r="AH69" s="2"/>
      <c r="AI69" s="2"/>
      <c r="AJ69" s="2"/>
      <c r="AK69" s="2"/>
      <c r="AL69" s="2"/>
      <c r="AM69" s="2"/>
      <c r="AN69" s="2"/>
      <c r="AO69" s="2"/>
      <c r="AP69" s="2"/>
      <c r="AQ69" s="2"/>
      <c r="AR69" s="2"/>
    </row>
    <row r="70" customFormat="false" ht="14.25" hidden="false" customHeight="true" outlineLevel="0" collapsed="false">
      <c r="A70" s="186"/>
      <c r="B70" s="186"/>
      <c r="C70" s="205" t="s">
        <v>120</v>
      </c>
      <c r="D70" s="205"/>
      <c r="E70" s="210" t="s">
        <v>121</v>
      </c>
      <c r="F70" s="210"/>
      <c r="G70" s="210" t="s">
        <v>103</v>
      </c>
      <c r="H70" s="210"/>
      <c r="I70" s="205" t="s">
        <v>103</v>
      </c>
      <c r="J70" s="205"/>
      <c r="K70" s="210" t="s">
        <v>121</v>
      </c>
      <c r="L70" s="210"/>
      <c r="M70" s="205" t="s">
        <v>103</v>
      </c>
      <c r="N70" s="205"/>
      <c r="O70" s="205" t="s">
        <v>103</v>
      </c>
      <c r="P70" s="205"/>
      <c r="Q70" s="210" t="s">
        <v>121</v>
      </c>
      <c r="R70" s="210"/>
      <c r="S70" s="205" t="s">
        <v>103</v>
      </c>
      <c r="T70" s="205"/>
      <c r="U70" s="205" t="s">
        <v>103</v>
      </c>
      <c r="V70" s="205"/>
      <c r="W70" s="205" t="s">
        <v>121</v>
      </c>
      <c r="X70" s="205"/>
      <c r="Y70" s="205" t="s">
        <v>103</v>
      </c>
      <c r="Z70" s="205"/>
      <c r="AA70" s="205" t="s">
        <v>103</v>
      </c>
      <c r="AB70" s="205"/>
      <c r="AC70" s="2"/>
      <c r="AD70" s="2"/>
      <c r="AE70" s="2"/>
      <c r="AF70" s="2"/>
      <c r="AG70" s="2"/>
      <c r="AH70" s="2"/>
      <c r="AI70" s="2"/>
      <c r="AJ70" s="2"/>
      <c r="AK70" s="2"/>
      <c r="AL70" s="2"/>
      <c r="AM70" s="2"/>
      <c r="AN70" s="2"/>
      <c r="AO70" s="2"/>
      <c r="AP70" s="2"/>
      <c r="AQ70" s="2"/>
      <c r="AR70" s="2"/>
    </row>
    <row r="71" customFormat="false" ht="14.25" hidden="false" customHeight="true" outlineLevel="0" collapsed="false">
      <c r="A71" s="186"/>
      <c r="B71" s="186"/>
      <c r="C71" s="205" t="s">
        <v>122</v>
      </c>
      <c r="D71" s="205"/>
      <c r="E71" s="210" t="s">
        <v>123</v>
      </c>
      <c r="F71" s="210"/>
      <c r="G71" s="210" t="s">
        <v>103</v>
      </c>
      <c r="H71" s="210"/>
      <c r="I71" s="205" t="s">
        <v>103</v>
      </c>
      <c r="J71" s="205"/>
      <c r="K71" s="205" t="s">
        <v>123</v>
      </c>
      <c r="L71" s="205"/>
      <c r="M71" s="205" t="s">
        <v>103</v>
      </c>
      <c r="N71" s="205"/>
      <c r="O71" s="205" t="s">
        <v>103</v>
      </c>
      <c r="P71" s="205"/>
      <c r="Q71" s="210" t="s">
        <v>123</v>
      </c>
      <c r="R71" s="210"/>
      <c r="S71" s="205" t="s">
        <v>103</v>
      </c>
      <c r="T71" s="205"/>
      <c r="U71" s="205" t="s">
        <v>103</v>
      </c>
      <c r="V71" s="205"/>
      <c r="W71" s="205" t="s">
        <v>123</v>
      </c>
      <c r="X71" s="205"/>
      <c r="Y71" s="205" t="s">
        <v>103</v>
      </c>
      <c r="Z71" s="205"/>
      <c r="AA71" s="205" t="s">
        <v>103</v>
      </c>
      <c r="AB71" s="205"/>
      <c r="AC71" s="2"/>
      <c r="AD71" s="2"/>
      <c r="AE71" s="2"/>
      <c r="AF71" s="2"/>
      <c r="AG71" s="2"/>
      <c r="AH71" s="2"/>
      <c r="AI71" s="2"/>
      <c r="AJ71" s="2"/>
      <c r="AK71" s="2"/>
      <c r="AL71" s="2"/>
      <c r="AM71" s="2"/>
      <c r="AN71" s="2"/>
      <c r="AO71" s="2"/>
      <c r="AP71" s="2"/>
      <c r="AQ71" s="2"/>
      <c r="AR71" s="2"/>
    </row>
    <row r="72" customFormat="false" ht="14.25" hidden="false" customHeight="true" outlineLevel="0" collapsed="false">
      <c r="A72" s="186"/>
      <c r="B72" s="186"/>
      <c r="C72" s="205" t="s">
        <v>124</v>
      </c>
      <c r="D72" s="205"/>
      <c r="E72" s="210" t="s">
        <v>125</v>
      </c>
      <c r="F72" s="210"/>
      <c r="G72" s="210" t="s">
        <v>103</v>
      </c>
      <c r="H72" s="210"/>
      <c r="I72" s="205" t="s">
        <v>103</v>
      </c>
      <c r="J72" s="205"/>
      <c r="K72" s="205" t="s">
        <v>125</v>
      </c>
      <c r="L72" s="205"/>
      <c r="M72" s="205" t="s">
        <v>103</v>
      </c>
      <c r="N72" s="205"/>
      <c r="O72" s="205" t="s">
        <v>103</v>
      </c>
      <c r="P72" s="205"/>
      <c r="Q72" s="210" t="s">
        <v>125</v>
      </c>
      <c r="R72" s="210"/>
      <c r="S72" s="205" t="s">
        <v>103</v>
      </c>
      <c r="T72" s="205"/>
      <c r="U72" s="205" t="s">
        <v>103</v>
      </c>
      <c r="V72" s="205"/>
      <c r="W72" s="205" t="s">
        <v>125</v>
      </c>
      <c r="X72" s="205"/>
      <c r="Y72" s="205" t="s">
        <v>103</v>
      </c>
      <c r="Z72" s="205"/>
      <c r="AA72" s="205" t="s">
        <v>103</v>
      </c>
      <c r="AB72" s="205"/>
      <c r="AC72" s="2"/>
      <c r="AD72" s="2"/>
      <c r="AE72" s="2"/>
      <c r="AF72" s="2"/>
      <c r="AG72" s="2"/>
      <c r="AH72" s="2"/>
      <c r="AI72" s="2"/>
      <c r="AJ72" s="2"/>
      <c r="AK72" s="2"/>
      <c r="AL72" s="2"/>
      <c r="AM72" s="2"/>
      <c r="AN72" s="2"/>
      <c r="AO72" s="2"/>
      <c r="AP72" s="2"/>
      <c r="AQ72" s="2"/>
      <c r="AR72" s="2"/>
    </row>
    <row r="73" customFormat="false" ht="14.25" hidden="false" customHeight="true" outlineLevel="0" collapsed="false">
      <c r="A73" s="186"/>
      <c r="B73" s="186"/>
      <c r="C73" s="205"/>
      <c r="D73" s="205"/>
      <c r="E73" s="210"/>
      <c r="F73" s="210"/>
      <c r="G73" s="210"/>
      <c r="H73" s="210"/>
      <c r="I73" s="205"/>
      <c r="J73" s="205"/>
      <c r="K73" s="205"/>
      <c r="L73" s="205"/>
      <c r="M73" s="205"/>
      <c r="N73" s="205"/>
      <c r="O73" s="205"/>
      <c r="P73" s="205"/>
      <c r="Q73" s="210"/>
      <c r="R73" s="210"/>
      <c r="S73" s="205"/>
      <c r="T73" s="205"/>
      <c r="U73" s="205"/>
      <c r="V73" s="205"/>
      <c r="W73" s="205"/>
      <c r="X73" s="205"/>
      <c r="Y73" s="205"/>
      <c r="Z73" s="205"/>
      <c r="AA73" s="205"/>
      <c r="AB73" s="205"/>
      <c r="AC73" s="2"/>
      <c r="AD73" s="2"/>
      <c r="AE73" s="2"/>
      <c r="AF73" s="2"/>
      <c r="AG73" s="2"/>
      <c r="AH73" s="2"/>
      <c r="AI73" s="2"/>
      <c r="AJ73" s="2"/>
      <c r="AK73" s="2"/>
      <c r="AL73" s="2"/>
      <c r="AM73" s="2"/>
      <c r="AN73" s="2"/>
      <c r="AO73" s="2"/>
      <c r="AP73" s="2"/>
      <c r="AQ73" s="2"/>
      <c r="AR73" s="2"/>
    </row>
    <row r="74" customFormat="false" ht="14.25" hidden="false" customHeight="true" outlineLevel="0" collapsed="false">
      <c r="A74" s="186"/>
      <c r="B74" s="186"/>
      <c r="C74" s="206"/>
      <c r="D74" s="206"/>
      <c r="E74" s="211"/>
      <c r="F74" s="211"/>
      <c r="G74" s="211"/>
      <c r="H74" s="211"/>
      <c r="I74" s="206"/>
      <c r="J74" s="206"/>
      <c r="K74" s="206"/>
      <c r="L74" s="206"/>
      <c r="M74" s="206"/>
      <c r="N74" s="206"/>
      <c r="O74" s="206"/>
      <c r="P74" s="206"/>
      <c r="Q74" s="211"/>
      <c r="R74" s="211"/>
      <c r="S74" s="206"/>
      <c r="T74" s="206"/>
      <c r="U74" s="206"/>
      <c r="V74" s="206"/>
      <c r="W74" s="206"/>
      <c r="X74" s="206"/>
      <c r="Y74" s="206"/>
      <c r="Z74" s="206"/>
      <c r="AA74" s="206"/>
      <c r="AB74" s="206"/>
      <c r="AC74" s="2"/>
      <c r="AD74" s="2"/>
      <c r="AE74" s="2"/>
      <c r="AF74" s="2"/>
      <c r="AG74" s="2"/>
      <c r="AH74" s="2"/>
      <c r="AI74" s="2"/>
      <c r="AJ74" s="2"/>
      <c r="AK74" s="2"/>
      <c r="AL74" s="2"/>
      <c r="AM74" s="2"/>
      <c r="AN74" s="2"/>
      <c r="AO74" s="2"/>
      <c r="AP74" s="2"/>
      <c r="AQ74" s="2"/>
      <c r="AR74" s="2"/>
    </row>
    <row r="75" customFormat="false" ht="25.5" hidden="false" customHeight="true" outlineLevel="0" collapsed="false">
      <c r="A75" s="212"/>
      <c r="B75" s="212"/>
      <c r="C75" s="2"/>
      <c r="D75" s="184"/>
      <c r="E75" s="213"/>
      <c r="F75" s="213"/>
      <c r="G75" s="213"/>
      <c r="H75" s="213"/>
      <c r="I75" s="213"/>
      <c r="J75" s="213"/>
      <c r="K75" s="213"/>
      <c r="L75" s="213"/>
      <c r="M75" s="213"/>
      <c r="N75" s="213"/>
      <c r="O75" s="213"/>
      <c r="P75" s="213"/>
      <c r="Q75" s="213"/>
      <c r="R75" s="213"/>
      <c r="S75" s="213"/>
      <c r="T75" s="213"/>
      <c r="U75" s="213"/>
      <c r="V75" s="213"/>
      <c r="W75" s="213"/>
      <c r="X75" s="213"/>
      <c r="Y75" s="213"/>
      <c r="Z75" s="213"/>
      <c r="AA75" s="213"/>
      <c r="AB75" s="213"/>
      <c r="AC75" s="2"/>
      <c r="AD75" s="2"/>
      <c r="AE75" s="2"/>
      <c r="AF75" s="2"/>
      <c r="AG75" s="2"/>
      <c r="AH75" s="2"/>
      <c r="AI75" s="2"/>
      <c r="AJ75" s="2"/>
      <c r="AK75" s="2"/>
      <c r="AL75" s="2"/>
      <c r="AM75" s="2"/>
      <c r="AN75" s="2"/>
      <c r="AO75" s="2"/>
      <c r="AP75" s="2"/>
      <c r="AQ75" s="2"/>
      <c r="AR75" s="2"/>
    </row>
    <row r="76" customFormat="false" ht="25.5" hidden="false" customHeight="true" outlineLevel="0" collapsed="false">
      <c r="A76" s="214"/>
      <c r="B76" s="214"/>
      <c r="C76" s="215"/>
      <c r="D76" s="216"/>
      <c r="E76" s="217"/>
      <c r="F76" s="217"/>
      <c r="G76" s="217"/>
      <c r="H76" s="217"/>
      <c r="I76" s="217"/>
      <c r="J76" s="217"/>
      <c r="K76" s="217"/>
      <c r="L76" s="217"/>
      <c r="M76" s="217"/>
      <c r="N76" s="217"/>
      <c r="O76" s="217"/>
      <c r="P76" s="217"/>
      <c r="Q76" s="217"/>
      <c r="R76" s="217"/>
      <c r="S76" s="217"/>
      <c r="T76" s="217"/>
      <c r="U76" s="217"/>
      <c r="V76" s="217"/>
      <c r="W76" s="217"/>
      <c r="X76" s="217"/>
      <c r="Y76" s="217"/>
      <c r="Z76" s="217"/>
      <c r="AA76" s="217"/>
      <c r="AB76" s="217"/>
      <c r="AC76" s="215"/>
      <c r="AD76" s="215"/>
      <c r="AE76" s="215"/>
      <c r="AF76" s="215"/>
      <c r="AG76" s="215"/>
      <c r="AH76" s="215"/>
      <c r="AI76" s="215"/>
      <c r="AJ76" s="215"/>
      <c r="AK76" s="215"/>
      <c r="AL76" s="215"/>
      <c r="AM76" s="215"/>
      <c r="AN76" s="215"/>
      <c r="AO76" s="215"/>
      <c r="AP76" s="215"/>
      <c r="AQ76" s="215"/>
      <c r="AR76" s="2"/>
    </row>
    <row r="77" customFormat="false" ht="14.2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row>
    <row r="78" customFormat="false" ht="25.5" hidden="false" customHeight="true" outlineLevel="0" collapsed="false">
      <c r="A78" s="91" t="s">
        <v>126</v>
      </c>
      <c r="B78" s="91"/>
      <c r="C78" s="91"/>
      <c r="D78" s="91"/>
      <c r="E78" s="91"/>
      <c r="F78" s="91"/>
      <c r="G78" s="91"/>
      <c r="H78" s="91"/>
      <c r="I78" s="91"/>
      <c r="J78" s="91"/>
      <c r="K78" s="91"/>
      <c r="L78" s="91"/>
      <c r="M78" s="91"/>
      <c r="N78" s="91"/>
      <c r="O78" s="91"/>
      <c r="P78" s="91"/>
      <c r="Q78" s="91"/>
      <c r="R78" s="91"/>
      <c r="S78" s="91"/>
      <c r="T78" s="91"/>
      <c r="U78" s="91"/>
      <c r="V78" s="91"/>
      <c r="W78" s="91"/>
      <c r="X78" s="91"/>
      <c r="Y78" s="91"/>
      <c r="Z78" s="91"/>
      <c r="AA78" s="91"/>
      <c r="AB78" s="91"/>
      <c r="AC78" s="2"/>
      <c r="AD78" s="2"/>
      <c r="AE78" s="2"/>
      <c r="AF78" s="2"/>
      <c r="AG78" s="2"/>
      <c r="AH78" s="2"/>
      <c r="AI78" s="2"/>
      <c r="AJ78" s="2"/>
      <c r="AK78" s="2"/>
      <c r="AL78" s="2"/>
      <c r="AM78" s="2"/>
      <c r="AN78" s="2"/>
      <c r="AO78" s="2"/>
      <c r="AP78" s="2"/>
      <c r="AQ78" s="2"/>
      <c r="AR78" s="2"/>
    </row>
    <row r="79" customFormat="false" ht="14.25" hidden="false" customHeight="true" outlineLevel="0" collapsed="false">
      <c r="A79" s="218" t="s">
        <v>79</v>
      </c>
      <c r="B79" s="219" t="s">
        <v>57</v>
      </c>
      <c r="C79" s="93" t="s">
        <v>80</v>
      </c>
      <c r="D79" s="93"/>
      <c r="E79" s="94" t="s">
        <v>81</v>
      </c>
      <c r="F79" s="94"/>
      <c r="G79" s="94" t="s">
        <v>82</v>
      </c>
      <c r="H79" s="94"/>
      <c r="I79" s="94" t="s">
        <v>83</v>
      </c>
      <c r="J79" s="94"/>
      <c r="K79" s="94" t="s">
        <v>84</v>
      </c>
      <c r="L79" s="94"/>
      <c r="M79" s="94" t="s">
        <v>85</v>
      </c>
      <c r="N79" s="94"/>
      <c r="O79" s="94" t="s">
        <v>86</v>
      </c>
      <c r="P79" s="94"/>
      <c r="Q79" s="94" t="s">
        <v>87</v>
      </c>
      <c r="R79" s="94"/>
      <c r="S79" s="94" t="s">
        <v>88</v>
      </c>
      <c r="T79" s="94"/>
      <c r="U79" s="94" t="s">
        <v>89</v>
      </c>
      <c r="V79" s="94"/>
      <c r="W79" s="94" t="s">
        <v>90</v>
      </c>
      <c r="X79" s="94"/>
      <c r="Y79" s="94" t="s">
        <v>91</v>
      </c>
      <c r="Z79" s="94"/>
      <c r="AA79" s="94" t="s">
        <v>92</v>
      </c>
      <c r="AB79" s="94"/>
      <c r="AC79" s="2"/>
      <c r="AD79" s="2"/>
      <c r="AE79" s="2"/>
      <c r="AF79" s="2"/>
      <c r="AG79" s="2"/>
      <c r="AH79" s="2"/>
      <c r="AI79" s="2"/>
      <c r="AJ79" s="2"/>
      <c r="AK79" s="2"/>
      <c r="AL79" s="2"/>
      <c r="AM79" s="2"/>
      <c r="AN79" s="2"/>
      <c r="AO79" s="2"/>
      <c r="AP79" s="2"/>
      <c r="AQ79" s="2"/>
      <c r="AR79" s="2"/>
    </row>
    <row r="80" customFormat="false" ht="14.25" hidden="false" customHeight="true" outlineLevel="0" collapsed="false">
      <c r="A80" s="218"/>
      <c r="B80" s="219"/>
      <c r="C80" s="95" t="s">
        <v>37</v>
      </c>
      <c r="D80" s="220" t="s">
        <v>93</v>
      </c>
      <c r="E80" s="97" t="n">
        <f aca="false">F95/$D$95</f>
        <v>0.0575734627045441</v>
      </c>
      <c r="F80" s="97"/>
      <c r="G80" s="97" t="n">
        <f aca="false">H95/$D$95</f>
        <v>0.0613419075361143</v>
      </c>
      <c r="H80" s="97"/>
      <c r="I80" s="97" t="n">
        <f aca="false">J95/$D$95</f>
        <v>0.0662553599536828</v>
      </c>
      <c r="J80" s="97"/>
      <c r="K80" s="97" t="n">
        <f aca="false">L95/$D$95</f>
        <v>0.0704451055448866</v>
      </c>
      <c r="L80" s="97"/>
      <c r="M80" s="97" t="n">
        <f aca="false">N95/$D$95</f>
        <v>0.0751130145749386</v>
      </c>
      <c r="N80" s="97"/>
      <c r="O80" s="97" t="n">
        <f aca="false">P95/$D$95</f>
        <v>0.0794707635365485</v>
      </c>
      <c r="P80" s="97"/>
      <c r="Q80" s="97" t="n">
        <f aca="false">R95/$D$95</f>
        <v>0.0843066759370065</v>
      </c>
      <c r="R80" s="97"/>
      <c r="S80" s="97" t="n">
        <f aca="false">T95/$D$95</f>
        <v>0.0888324282690225</v>
      </c>
      <c r="T80" s="97"/>
      <c r="U80" s="97" t="n">
        <f aca="false">V95/$D$95</f>
        <v>0.0956404417713242</v>
      </c>
      <c r="V80" s="97"/>
      <c r="W80" s="97" t="n">
        <f aca="false">X95/$D$95</f>
        <v>0.100871808259046</v>
      </c>
      <c r="X80" s="97"/>
      <c r="Y80" s="97" t="n">
        <f aca="false">Z95/$D$95</f>
        <v>0.107248182332766</v>
      </c>
      <c r="Z80" s="97"/>
      <c r="AA80" s="97" t="n">
        <f aca="false">AB95/$D$95</f>
        <v>0.112900849580121</v>
      </c>
      <c r="AB80" s="97"/>
      <c r="AC80" s="2"/>
      <c r="AD80" s="2"/>
      <c r="AE80" s="2"/>
      <c r="AF80" s="2"/>
      <c r="AG80" s="2"/>
      <c r="AH80" s="2"/>
      <c r="AI80" s="2"/>
      <c r="AJ80" s="2"/>
      <c r="AK80" s="2"/>
      <c r="AL80" s="2"/>
      <c r="AM80" s="2"/>
      <c r="AN80" s="2"/>
      <c r="AO80" s="2"/>
      <c r="AP80" s="2"/>
      <c r="AQ80" s="2"/>
      <c r="AR80" s="2"/>
    </row>
    <row r="81" customFormat="false" ht="14.25" hidden="false" customHeight="true" outlineLevel="0" collapsed="false">
      <c r="A81" s="218"/>
      <c r="B81" s="219"/>
      <c r="C81" s="95"/>
      <c r="D81" s="220"/>
      <c r="E81" s="221" t="s">
        <v>37</v>
      </c>
      <c r="F81" s="222" t="s">
        <v>93</v>
      </c>
      <c r="G81" s="221" t="s">
        <v>37</v>
      </c>
      <c r="H81" s="222" t="s">
        <v>93</v>
      </c>
      <c r="I81" s="221" t="s">
        <v>37</v>
      </c>
      <c r="J81" s="222" t="s">
        <v>93</v>
      </c>
      <c r="K81" s="221" t="s">
        <v>37</v>
      </c>
      <c r="L81" s="222" t="s">
        <v>93</v>
      </c>
      <c r="M81" s="221" t="s">
        <v>37</v>
      </c>
      <c r="N81" s="222" t="s">
        <v>93</v>
      </c>
      <c r="O81" s="221" t="s">
        <v>37</v>
      </c>
      <c r="P81" s="222" t="s">
        <v>93</v>
      </c>
      <c r="Q81" s="221" t="s">
        <v>37</v>
      </c>
      <c r="R81" s="222" t="s">
        <v>93</v>
      </c>
      <c r="S81" s="98" t="s">
        <v>37</v>
      </c>
      <c r="T81" s="99" t="s">
        <v>93</v>
      </c>
      <c r="U81" s="98" t="s">
        <v>37</v>
      </c>
      <c r="V81" s="99" t="s">
        <v>93</v>
      </c>
      <c r="W81" s="98" t="s">
        <v>37</v>
      </c>
      <c r="X81" s="99" t="s">
        <v>93</v>
      </c>
      <c r="Y81" s="98" t="s">
        <v>37</v>
      </c>
      <c r="Z81" s="99" t="s">
        <v>93</v>
      </c>
      <c r="AA81" s="98" t="s">
        <v>37</v>
      </c>
      <c r="AB81" s="99" t="s">
        <v>93</v>
      </c>
      <c r="AC81" s="2"/>
      <c r="AD81" s="2"/>
      <c r="AE81" s="2"/>
      <c r="AF81" s="2"/>
      <c r="AG81" s="2"/>
      <c r="AH81" s="2"/>
      <c r="AI81" s="2"/>
      <c r="AJ81" s="2"/>
      <c r="AK81" s="2"/>
      <c r="AL81" s="2"/>
      <c r="AM81" s="2"/>
      <c r="AN81" s="2"/>
      <c r="AO81" s="2"/>
      <c r="AP81" s="2"/>
      <c r="AQ81" s="2"/>
      <c r="AR81" s="2"/>
    </row>
    <row r="82" customFormat="false" ht="15" hidden="false" customHeight="true" outlineLevel="0" collapsed="false">
      <c r="A82" s="100" t="str">
        <f aca="false">Hipótesis!$B$58</f>
        <v>Alta e instalación Plan Básico</v>
      </c>
      <c r="B82" s="101" t="n">
        <f aca="false">Hipótesis!C58</f>
        <v>40</v>
      </c>
      <c r="C82" s="102" t="n">
        <f aca="false">E82+G82+I82+K82+M82+O82+Q82+S82+U82+W82+Y82+AA82</f>
        <v>88</v>
      </c>
      <c r="D82" s="223" t="n">
        <f aca="false">B82*C82</f>
        <v>3520</v>
      </c>
      <c r="E82" s="104" t="n">
        <v>6</v>
      </c>
      <c r="F82" s="105" t="n">
        <f aca="false">E82*$B$82</f>
        <v>240</v>
      </c>
      <c r="G82" s="104" t="n">
        <v>6</v>
      </c>
      <c r="H82" s="105" t="n">
        <f aca="false">G82*$B$82</f>
        <v>240</v>
      </c>
      <c r="I82" s="104" t="n">
        <v>7</v>
      </c>
      <c r="J82" s="105" t="n">
        <f aca="false">I82*$B$82</f>
        <v>280</v>
      </c>
      <c r="K82" s="104" t="n">
        <v>7</v>
      </c>
      <c r="L82" s="105" t="n">
        <f aca="false">K82*$B$82</f>
        <v>280</v>
      </c>
      <c r="M82" s="104" t="n">
        <v>7</v>
      </c>
      <c r="N82" s="105" t="n">
        <f aca="false">M82*$B$82</f>
        <v>280</v>
      </c>
      <c r="O82" s="104" t="n">
        <v>7</v>
      </c>
      <c r="P82" s="105" t="n">
        <f aca="false">O82*$B$82</f>
        <v>280</v>
      </c>
      <c r="Q82" s="104" t="n">
        <v>7</v>
      </c>
      <c r="R82" s="105" t="n">
        <f aca="false">Q82*$B$82</f>
        <v>280</v>
      </c>
      <c r="S82" s="104" t="n">
        <v>7</v>
      </c>
      <c r="T82" s="105" t="n">
        <f aca="false">S82*$B$82</f>
        <v>280</v>
      </c>
      <c r="U82" s="104" t="n">
        <v>8</v>
      </c>
      <c r="V82" s="105" t="n">
        <f aca="false">U82*$B$82</f>
        <v>320</v>
      </c>
      <c r="W82" s="104" t="n">
        <v>8</v>
      </c>
      <c r="X82" s="105" t="n">
        <f aca="false">W82*$B$82</f>
        <v>320</v>
      </c>
      <c r="Y82" s="104" t="n">
        <v>9</v>
      </c>
      <c r="Z82" s="105" t="n">
        <f aca="false">Y82*$B$82</f>
        <v>360</v>
      </c>
      <c r="AA82" s="104" t="n">
        <v>9</v>
      </c>
      <c r="AB82" s="105" t="n">
        <f aca="false">AA82*$B$82</f>
        <v>360</v>
      </c>
      <c r="AC82" s="2"/>
      <c r="AD82" s="2"/>
      <c r="AE82" s="2"/>
      <c r="AF82" s="2"/>
      <c r="AG82" s="2"/>
      <c r="AH82" s="2"/>
      <c r="AI82" s="2"/>
      <c r="AJ82" s="2"/>
      <c r="AK82" s="2"/>
      <c r="AL82" s="2"/>
      <c r="AM82" s="2"/>
      <c r="AN82" s="2"/>
      <c r="AO82" s="2"/>
      <c r="AP82" s="2"/>
      <c r="AQ82" s="2"/>
      <c r="AR82" s="2"/>
    </row>
    <row r="83" customFormat="false" ht="15" hidden="false" customHeight="true" outlineLevel="0" collapsed="false">
      <c r="A83" s="100" t="str">
        <f aca="false">Hipótesis!$B$59</f>
        <v>Alta e instalación Plan Vidriera</v>
      </c>
      <c r="B83" s="106" t="n">
        <f aca="false">Hipótesis!C59</f>
        <v>120</v>
      </c>
      <c r="C83" s="107" t="n">
        <f aca="false">E83+G83+I83+K83+M83+O83+Q83+S83+U83+W83+Y83+AA83</f>
        <v>210</v>
      </c>
      <c r="D83" s="109" t="n">
        <f aca="false">B83*C83</f>
        <v>25200</v>
      </c>
      <c r="E83" s="107" t="n">
        <v>14</v>
      </c>
      <c r="F83" s="109" t="n">
        <f aca="false">E83*$B$83</f>
        <v>1680</v>
      </c>
      <c r="G83" s="107" t="n">
        <v>14</v>
      </c>
      <c r="H83" s="109" t="n">
        <f aca="false">G83*$B$83</f>
        <v>1680</v>
      </c>
      <c r="I83" s="107" t="n">
        <v>16</v>
      </c>
      <c r="J83" s="109" t="n">
        <f aca="false">I83*$B$83</f>
        <v>1920</v>
      </c>
      <c r="K83" s="107" t="n">
        <v>16</v>
      </c>
      <c r="L83" s="109" t="n">
        <f aca="false">K83*$B$83</f>
        <v>1920</v>
      </c>
      <c r="M83" s="107" t="n">
        <v>17</v>
      </c>
      <c r="N83" s="109" t="n">
        <f aca="false">M83*$B$83</f>
        <v>2040</v>
      </c>
      <c r="O83" s="107" t="n">
        <v>17</v>
      </c>
      <c r="P83" s="109" t="n">
        <f aca="false">O83*$B$83</f>
        <v>2040</v>
      </c>
      <c r="Q83" s="107" t="n">
        <v>18</v>
      </c>
      <c r="R83" s="109" t="n">
        <f aca="false">Q83*$B$83</f>
        <v>2160</v>
      </c>
      <c r="S83" s="107" t="n">
        <v>18</v>
      </c>
      <c r="T83" s="109" t="n">
        <f aca="false">S83*$B$83</f>
        <v>2160</v>
      </c>
      <c r="U83" s="107" t="n">
        <v>19</v>
      </c>
      <c r="V83" s="109" t="n">
        <f aca="false">U83*$B$83</f>
        <v>2280</v>
      </c>
      <c r="W83" s="107" t="n">
        <v>19</v>
      </c>
      <c r="X83" s="109" t="n">
        <f aca="false">W83*$B$83</f>
        <v>2280</v>
      </c>
      <c r="Y83" s="107" t="n">
        <v>21</v>
      </c>
      <c r="Z83" s="109" t="n">
        <f aca="false">Y83*$B$83</f>
        <v>2520</v>
      </c>
      <c r="AA83" s="107" t="n">
        <v>21</v>
      </c>
      <c r="AB83" s="109" t="n">
        <f aca="false">AA83*$B$83</f>
        <v>2520</v>
      </c>
      <c r="AC83" s="2"/>
      <c r="AD83" s="2"/>
      <c r="AE83" s="2"/>
      <c r="AF83" s="2"/>
      <c r="AG83" s="2"/>
      <c r="AH83" s="2"/>
      <c r="AI83" s="2"/>
      <c r="AJ83" s="2"/>
      <c r="AK83" s="2"/>
      <c r="AL83" s="2"/>
      <c r="AM83" s="2"/>
      <c r="AN83" s="2"/>
      <c r="AO83" s="2"/>
      <c r="AP83" s="2"/>
      <c r="AQ83" s="2"/>
      <c r="AR83" s="2"/>
    </row>
    <row r="84" customFormat="false" ht="15" hidden="false" customHeight="true" outlineLevel="0" collapsed="false">
      <c r="A84" s="100" t="str">
        <f aca="false">Hipótesis!$B$60</f>
        <v>Alta e instalación Plan Cadena</v>
      </c>
      <c r="B84" s="110" t="n">
        <f aca="false">Hipótesis!C60</f>
        <v>450</v>
      </c>
      <c r="C84" s="111" t="n">
        <f aca="false">E84+G84+I84+K84+M84+O84+Q84+S84+U84+W84+Y84+AA84</f>
        <v>28</v>
      </c>
      <c r="D84" s="224" t="n">
        <f aca="false">B84*C84</f>
        <v>12600</v>
      </c>
      <c r="E84" s="112" t="n">
        <v>2</v>
      </c>
      <c r="F84" s="113" t="n">
        <f aca="false">E84*$B$84</f>
        <v>900</v>
      </c>
      <c r="G84" s="112" t="n">
        <v>2</v>
      </c>
      <c r="H84" s="113" t="n">
        <f aca="false">G84*$B$84</f>
        <v>900</v>
      </c>
      <c r="I84" s="112" t="n">
        <v>2</v>
      </c>
      <c r="J84" s="113" t="n">
        <f aca="false">I84*$B$84</f>
        <v>900</v>
      </c>
      <c r="K84" s="112" t="n">
        <v>2</v>
      </c>
      <c r="L84" s="113" t="n">
        <f aca="false">K84*$B$84</f>
        <v>900</v>
      </c>
      <c r="M84" s="112" t="n">
        <v>2</v>
      </c>
      <c r="N84" s="113" t="n">
        <f aca="false">M84*$B$84</f>
        <v>900</v>
      </c>
      <c r="O84" s="112" t="n">
        <v>2</v>
      </c>
      <c r="P84" s="113" t="n">
        <f aca="false">O84*$B$84</f>
        <v>900</v>
      </c>
      <c r="Q84" s="112" t="n">
        <v>2</v>
      </c>
      <c r="R84" s="113" t="n">
        <f aca="false">Q84*$B$84</f>
        <v>900</v>
      </c>
      <c r="S84" s="112" t="n">
        <v>2</v>
      </c>
      <c r="T84" s="113" t="n">
        <f aca="false">S84*$B$84</f>
        <v>900</v>
      </c>
      <c r="U84" s="112" t="n">
        <v>3</v>
      </c>
      <c r="V84" s="113" t="n">
        <f aca="false">U84*$B$84</f>
        <v>1350</v>
      </c>
      <c r="W84" s="112" t="n">
        <v>3</v>
      </c>
      <c r="X84" s="113" t="n">
        <f aca="false">W84*$B$84</f>
        <v>1350</v>
      </c>
      <c r="Y84" s="112" t="n">
        <v>3</v>
      </c>
      <c r="Z84" s="113" t="n">
        <f aca="false">Y84*$B$84</f>
        <v>1350</v>
      </c>
      <c r="AA84" s="112" t="n">
        <v>3</v>
      </c>
      <c r="AB84" s="113" t="n">
        <f aca="false">AA84*$B$84</f>
        <v>1350</v>
      </c>
      <c r="AC84" s="2"/>
      <c r="AD84" s="2"/>
      <c r="AE84" s="2"/>
      <c r="AF84" s="2"/>
      <c r="AG84" s="2"/>
      <c r="AH84" s="2"/>
      <c r="AI84" s="2"/>
      <c r="AJ84" s="2"/>
      <c r="AK84" s="2"/>
      <c r="AL84" s="2"/>
      <c r="AM84" s="2"/>
      <c r="AN84" s="2"/>
      <c r="AO84" s="2"/>
      <c r="AP84" s="2"/>
      <c r="AQ84" s="2"/>
      <c r="AR84" s="2"/>
    </row>
    <row r="85" customFormat="false" ht="15" hidden="false" customHeight="true" outlineLevel="0" collapsed="false">
      <c r="A85" s="114" t="str">
        <f aca="false">Hipótesis!$B$61</f>
        <v>Abono Plan Básico</v>
      </c>
      <c r="B85" s="115" t="n">
        <f aca="false">Hipótesis!C61</f>
        <v>33</v>
      </c>
      <c r="C85" s="116" t="n">
        <f aca="false">E85+G85+I85+K85+M85+O85+Q85+S85+U85+W85+Y85+AA85</f>
        <v>1424</v>
      </c>
      <c r="D85" s="115" t="n">
        <f aca="false">B85*C85</f>
        <v>46992</v>
      </c>
      <c r="E85" s="117" t="n">
        <f aca="false">AA22+E82</f>
        <v>80</v>
      </c>
      <c r="F85" s="225" t="n">
        <f aca="false">E85*$B$85</f>
        <v>2640</v>
      </c>
      <c r="G85" s="117" t="n">
        <f aca="false">E85+G82</f>
        <v>86</v>
      </c>
      <c r="H85" s="118" t="n">
        <f aca="false">G85*$B$85</f>
        <v>2838</v>
      </c>
      <c r="I85" s="117" t="n">
        <f aca="false">G85+I82</f>
        <v>93</v>
      </c>
      <c r="J85" s="118" t="n">
        <f aca="false">I85*$B$85</f>
        <v>3069</v>
      </c>
      <c r="K85" s="117" t="n">
        <f aca="false">I85+K82</f>
        <v>100</v>
      </c>
      <c r="L85" s="118" t="n">
        <f aca="false">K85*$B$85</f>
        <v>3300</v>
      </c>
      <c r="M85" s="117" t="n">
        <f aca="false">K85+M82</f>
        <v>107</v>
      </c>
      <c r="N85" s="118" t="n">
        <f aca="false">M85*$B$85</f>
        <v>3531</v>
      </c>
      <c r="O85" s="117" t="n">
        <f aca="false">M85+O82</f>
        <v>114</v>
      </c>
      <c r="P85" s="118" t="n">
        <f aca="false">O85*$B$85</f>
        <v>3762</v>
      </c>
      <c r="Q85" s="117" t="n">
        <f aca="false">O85+Q82</f>
        <v>121</v>
      </c>
      <c r="R85" s="118" t="n">
        <f aca="false">Q85*$B$85</f>
        <v>3993</v>
      </c>
      <c r="S85" s="117" t="n">
        <f aca="false">Q85+S82</f>
        <v>128</v>
      </c>
      <c r="T85" s="118" t="n">
        <f aca="false">S85*$B$85</f>
        <v>4224</v>
      </c>
      <c r="U85" s="117" t="n">
        <f aca="false">S85+U82</f>
        <v>136</v>
      </c>
      <c r="V85" s="118" t="n">
        <f aca="false">U85*$B$85</f>
        <v>4488</v>
      </c>
      <c r="W85" s="117" t="n">
        <f aca="false">U85+W82</f>
        <v>144</v>
      </c>
      <c r="X85" s="118" t="n">
        <f aca="false">W85*$B$85</f>
        <v>4752</v>
      </c>
      <c r="Y85" s="117" t="n">
        <f aca="false">W85+Y82</f>
        <v>153</v>
      </c>
      <c r="Z85" s="118" t="n">
        <f aca="false">Y85*$B$85</f>
        <v>5049</v>
      </c>
      <c r="AA85" s="117" t="n">
        <f aca="false">Y85+AA82</f>
        <v>162</v>
      </c>
      <c r="AB85" s="118" t="n">
        <f aca="false">AA85*$B$85</f>
        <v>5346</v>
      </c>
      <c r="AC85" s="2"/>
      <c r="AD85" s="2"/>
      <c r="AE85" s="2"/>
      <c r="AF85" s="2"/>
      <c r="AG85" s="2"/>
      <c r="AH85" s="2"/>
      <c r="AI85" s="2"/>
      <c r="AJ85" s="2"/>
      <c r="AK85" s="2"/>
      <c r="AL85" s="2"/>
      <c r="AM85" s="2"/>
      <c r="AN85" s="2"/>
      <c r="AO85" s="2"/>
      <c r="AP85" s="2"/>
      <c r="AQ85" s="2"/>
      <c r="AR85" s="2"/>
    </row>
    <row r="86" customFormat="false" ht="15" hidden="false" customHeight="true" outlineLevel="0" collapsed="false">
      <c r="A86" s="114" t="str">
        <f aca="false">Hipótesis!$B$62</f>
        <v>Abono Plan Vidriera</v>
      </c>
      <c r="B86" s="119" t="n">
        <f aca="false">Hipótesis!C62</f>
        <v>65</v>
      </c>
      <c r="C86" s="120" t="n">
        <f aca="false">E86+G86+I86+K86+M86+O86+Q86+S86+U86+W86+Y86+AA86</f>
        <v>3339</v>
      </c>
      <c r="D86" s="119" t="n">
        <f aca="false">B86*C86</f>
        <v>217035</v>
      </c>
      <c r="E86" s="120" t="n">
        <f aca="false">AA23+E83</f>
        <v>186</v>
      </c>
      <c r="F86" s="226" t="n">
        <f aca="false">E86*$B$86</f>
        <v>12090</v>
      </c>
      <c r="G86" s="120" t="n">
        <f aca="false">E86+G83</f>
        <v>200</v>
      </c>
      <c r="H86" s="121" t="n">
        <f aca="false">G86*$B$86</f>
        <v>13000</v>
      </c>
      <c r="I86" s="120" t="n">
        <f aca="false">G86+I83</f>
        <v>216</v>
      </c>
      <c r="J86" s="121" t="n">
        <f aca="false">I86*$B$86</f>
        <v>14040</v>
      </c>
      <c r="K86" s="120" t="n">
        <f aca="false">I86+K83</f>
        <v>232</v>
      </c>
      <c r="L86" s="121" t="n">
        <f aca="false">K86*$B$86</f>
        <v>15080</v>
      </c>
      <c r="M86" s="120" t="n">
        <f aca="false">K86+M83</f>
        <v>249</v>
      </c>
      <c r="N86" s="121" t="n">
        <f aca="false">M86*$B$86</f>
        <v>16185</v>
      </c>
      <c r="O86" s="120" t="n">
        <f aca="false">M86+O83</f>
        <v>266</v>
      </c>
      <c r="P86" s="121" t="n">
        <f aca="false">O86*$B$86</f>
        <v>17290</v>
      </c>
      <c r="Q86" s="120" t="n">
        <f aca="false">O86+Q83</f>
        <v>284</v>
      </c>
      <c r="R86" s="121" t="n">
        <f aca="false">Q86*$B$86</f>
        <v>18460</v>
      </c>
      <c r="S86" s="120" t="n">
        <f aca="false">Q86+S83</f>
        <v>302</v>
      </c>
      <c r="T86" s="121" t="n">
        <f aca="false">S86*$B$86</f>
        <v>19630</v>
      </c>
      <c r="U86" s="120" t="n">
        <f aca="false">S86+U83</f>
        <v>321</v>
      </c>
      <c r="V86" s="121" t="n">
        <f aca="false">U86*$B$86</f>
        <v>20865</v>
      </c>
      <c r="W86" s="120" t="n">
        <f aca="false">U86+W83</f>
        <v>340</v>
      </c>
      <c r="X86" s="121" t="n">
        <f aca="false">W86*$B$86</f>
        <v>22100</v>
      </c>
      <c r="Y86" s="120" t="n">
        <f aca="false">W86+Y83</f>
        <v>361</v>
      </c>
      <c r="Z86" s="121" t="n">
        <f aca="false">Y86*$B$86</f>
        <v>23465</v>
      </c>
      <c r="AA86" s="120" t="n">
        <f aca="false">Y86+AA83</f>
        <v>382</v>
      </c>
      <c r="AB86" s="121" t="n">
        <f aca="false">AA86*$B$86</f>
        <v>24830</v>
      </c>
      <c r="AC86" s="2"/>
      <c r="AD86" s="2"/>
      <c r="AE86" s="2"/>
      <c r="AF86" s="2"/>
      <c r="AG86" s="2"/>
      <c r="AH86" s="2"/>
      <c r="AI86" s="2"/>
      <c r="AJ86" s="2"/>
      <c r="AK86" s="2"/>
      <c r="AL86" s="2"/>
      <c r="AM86" s="2"/>
      <c r="AN86" s="2"/>
      <c r="AO86" s="2"/>
      <c r="AP86" s="2"/>
      <c r="AQ86" s="2"/>
      <c r="AR86" s="2"/>
    </row>
    <row r="87" customFormat="false" ht="15" hidden="false" customHeight="true" outlineLevel="0" collapsed="false">
      <c r="A87" s="114" t="str">
        <f aca="false">Hipótesis!$B$63</f>
        <v>Abono Plan Cadena</v>
      </c>
      <c r="B87" s="119" t="n">
        <f aca="false">Hipótesis!C63</f>
        <v>175</v>
      </c>
      <c r="C87" s="120" t="n">
        <f aca="false">E87+G87+I87+K87+M87+O87+Q87+S87+U87+W87+Y87+AA87</f>
        <v>466</v>
      </c>
      <c r="D87" s="119" t="n">
        <f aca="false">B87*C87</f>
        <v>81550</v>
      </c>
      <c r="E87" s="120" t="n">
        <f aca="false">AA24+E84</f>
        <v>27</v>
      </c>
      <c r="F87" s="226" t="n">
        <f aca="false">E87*$B$87</f>
        <v>4725</v>
      </c>
      <c r="G87" s="120" t="n">
        <f aca="false">E87+G84</f>
        <v>29</v>
      </c>
      <c r="H87" s="121" t="n">
        <f aca="false">G87*$B$87</f>
        <v>5075</v>
      </c>
      <c r="I87" s="120" t="n">
        <f aca="false">G87+I84</f>
        <v>31</v>
      </c>
      <c r="J87" s="121" t="n">
        <f aca="false">I87*$B$87</f>
        <v>5425</v>
      </c>
      <c r="K87" s="120" t="n">
        <f aca="false">I87+K84</f>
        <v>33</v>
      </c>
      <c r="L87" s="121" t="n">
        <f aca="false">K87*$B$87</f>
        <v>5775</v>
      </c>
      <c r="M87" s="120" t="n">
        <f aca="false">K87+M84</f>
        <v>35</v>
      </c>
      <c r="N87" s="121" t="n">
        <f aca="false">M87*$B$87</f>
        <v>6125</v>
      </c>
      <c r="O87" s="120" t="n">
        <f aca="false">M87+O84</f>
        <v>37</v>
      </c>
      <c r="P87" s="121" t="n">
        <f aca="false">O87*$B$87</f>
        <v>6475</v>
      </c>
      <c r="Q87" s="120" t="n">
        <f aca="false">O87+Q84</f>
        <v>39</v>
      </c>
      <c r="R87" s="121" t="n">
        <f aca="false">Q87*$B$87</f>
        <v>6825</v>
      </c>
      <c r="S87" s="120" t="n">
        <f aca="false">Q87+S84</f>
        <v>41</v>
      </c>
      <c r="T87" s="121" t="n">
        <f aca="false">S87*$B$87</f>
        <v>7175</v>
      </c>
      <c r="U87" s="120" t="n">
        <f aca="false">S87+U84</f>
        <v>44</v>
      </c>
      <c r="V87" s="121" t="n">
        <f aca="false">U87*$B$87</f>
        <v>7700</v>
      </c>
      <c r="W87" s="120" t="n">
        <f aca="false">U87+W84</f>
        <v>47</v>
      </c>
      <c r="X87" s="121" t="n">
        <f aca="false">W87*$B$87</f>
        <v>8225</v>
      </c>
      <c r="Y87" s="120" t="n">
        <f aca="false">W87+Y84</f>
        <v>50</v>
      </c>
      <c r="Z87" s="121" t="n">
        <f aca="false">Y87*$B$87</f>
        <v>8750</v>
      </c>
      <c r="AA87" s="120" t="n">
        <f aca="false">Y87+AA84</f>
        <v>53</v>
      </c>
      <c r="AB87" s="121" t="n">
        <f aca="false">AA87*$B$87</f>
        <v>9275</v>
      </c>
      <c r="AC87" s="2"/>
      <c r="AD87" s="2"/>
      <c r="AE87" s="2"/>
      <c r="AF87" s="2"/>
      <c r="AG87" s="2"/>
      <c r="AH87" s="2"/>
      <c r="AI87" s="2"/>
      <c r="AJ87" s="2"/>
      <c r="AK87" s="2"/>
      <c r="AL87" s="2"/>
      <c r="AM87" s="2"/>
      <c r="AN87" s="2"/>
      <c r="AO87" s="2"/>
      <c r="AP87" s="2"/>
      <c r="AQ87" s="2"/>
      <c r="AR87" s="2"/>
    </row>
    <row r="88" customFormat="false" ht="15" hidden="false" customHeight="true" outlineLevel="0" collapsed="false">
      <c r="A88" s="122"/>
      <c r="B88" s="123"/>
      <c r="C88" s="227"/>
      <c r="D88" s="123"/>
      <c r="E88" s="124"/>
      <c r="F88" s="226"/>
      <c r="G88" s="124"/>
      <c r="H88" s="121"/>
      <c r="I88" s="124"/>
      <c r="J88" s="121"/>
      <c r="K88" s="124"/>
      <c r="L88" s="121"/>
      <c r="M88" s="124"/>
      <c r="N88" s="121"/>
      <c r="O88" s="124"/>
      <c r="P88" s="121"/>
      <c r="Q88" s="124"/>
      <c r="R88" s="121"/>
      <c r="S88" s="124"/>
      <c r="T88" s="121"/>
      <c r="U88" s="124"/>
      <c r="V88" s="121"/>
      <c r="W88" s="124"/>
      <c r="X88" s="121"/>
      <c r="Y88" s="124"/>
      <c r="Z88" s="121"/>
      <c r="AA88" s="124"/>
      <c r="AB88" s="121"/>
      <c r="AC88" s="2"/>
      <c r="AD88" s="2"/>
      <c r="AE88" s="2"/>
      <c r="AF88" s="2"/>
      <c r="AG88" s="2"/>
      <c r="AH88" s="2"/>
      <c r="AI88" s="2"/>
      <c r="AJ88" s="2"/>
      <c r="AK88" s="2"/>
      <c r="AL88" s="2"/>
      <c r="AM88" s="2"/>
      <c r="AN88" s="2"/>
      <c r="AO88" s="2"/>
      <c r="AP88" s="2"/>
      <c r="AQ88" s="2"/>
      <c r="AR88" s="2"/>
    </row>
    <row r="89" customFormat="false" ht="15" hidden="false" customHeight="true" outlineLevel="0" collapsed="false">
      <c r="A89" s="126"/>
      <c r="B89" s="127"/>
      <c r="C89" s="228"/>
      <c r="D89" s="129"/>
      <c r="E89" s="130"/>
      <c r="F89" s="129"/>
      <c r="G89" s="128"/>
      <c r="H89" s="129"/>
      <c r="I89" s="128"/>
      <c r="J89" s="129"/>
      <c r="K89" s="128"/>
      <c r="L89" s="129"/>
      <c r="M89" s="128"/>
      <c r="N89" s="129"/>
      <c r="O89" s="128"/>
      <c r="P89" s="129"/>
      <c r="Q89" s="128"/>
      <c r="R89" s="129"/>
      <c r="S89" s="128"/>
      <c r="T89" s="129"/>
      <c r="U89" s="128"/>
      <c r="V89" s="129"/>
      <c r="W89" s="128"/>
      <c r="X89" s="129"/>
      <c r="Y89" s="128"/>
      <c r="Z89" s="229"/>
      <c r="AA89" s="128"/>
      <c r="AB89" s="129"/>
      <c r="AC89" s="2"/>
      <c r="AD89" s="2"/>
      <c r="AE89" s="2"/>
      <c r="AF89" s="2"/>
      <c r="AG89" s="2"/>
      <c r="AH89" s="2"/>
      <c r="AI89" s="2"/>
      <c r="AJ89" s="2"/>
      <c r="AK89" s="2"/>
      <c r="AL89" s="2"/>
      <c r="AM89" s="2"/>
      <c r="AN89" s="2"/>
      <c r="AO89" s="2"/>
      <c r="AP89" s="2"/>
      <c r="AQ89" s="2"/>
      <c r="AR89" s="2"/>
    </row>
    <row r="90" customFormat="false" ht="15" hidden="false" customHeight="true" outlineLevel="0" collapsed="false">
      <c r="A90" s="132"/>
      <c r="B90" s="133"/>
      <c r="C90" s="230"/>
      <c r="D90" s="135"/>
      <c r="E90" s="134"/>
      <c r="F90" s="135"/>
      <c r="G90" s="134"/>
      <c r="H90" s="135"/>
      <c r="I90" s="134"/>
      <c r="J90" s="135"/>
      <c r="K90" s="134"/>
      <c r="L90" s="135"/>
      <c r="M90" s="134"/>
      <c r="N90" s="135"/>
      <c r="O90" s="134"/>
      <c r="P90" s="135"/>
      <c r="Q90" s="134"/>
      <c r="R90" s="135"/>
      <c r="S90" s="134"/>
      <c r="T90" s="135"/>
      <c r="U90" s="134"/>
      <c r="V90" s="135"/>
      <c r="W90" s="134"/>
      <c r="X90" s="135"/>
      <c r="Y90" s="134"/>
      <c r="Z90" s="231"/>
      <c r="AA90" s="134"/>
      <c r="AB90" s="135"/>
      <c r="AC90" s="2"/>
      <c r="AD90" s="2"/>
      <c r="AE90" s="2"/>
      <c r="AF90" s="2"/>
      <c r="AG90" s="2"/>
      <c r="AH90" s="2"/>
      <c r="AI90" s="2"/>
      <c r="AJ90" s="2"/>
      <c r="AK90" s="2"/>
      <c r="AL90" s="2"/>
      <c r="AM90" s="2"/>
      <c r="AN90" s="2"/>
      <c r="AO90" s="2"/>
      <c r="AP90" s="2"/>
      <c r="AQ90" s="2"/>
      <c r="AR90" s="2"/>
    </row>
    <row r="91" customFormat="false" ht="15" hidden="false" customHeight="true" outlineLevel="0" collapsed="false">
      <c r="A91" s="132"/>
      <c r="B91" s="133"/>
      <c r="C91" s="230"/>
      <c r="D91" s="135"/>
      <c r="E91" s="134"/>
      <c r="F91" s="135"/>
      <c r="G91" s="134"/>
      <c r="H91" s="135"/>
      <c r="I91" s="134"/>
      <c r="J91" s="135"/>
      <c r="K91" s="134"/>
      <c r="L91" s="135"/>
      <c r="M91" s="134"/>
      <c r="N91" s="135"/>
      <c r="O91" s="134"/>
      <c r="P91" s="135"/>
      <c r="Q91" s="134"/>
      <c r="R91" s="135"/>
      <c r="S91" s="134"/>
      <c r="T91" s="135"/>
      <c r="U91" s="134"/>
      <c r="V91" s="135"/>
      <c r="W91" s="134"/>
      <c r="X91" s="135"/>
      <c r="Y91" s="134"/>
      <c r="Z91" s="231"/>
      <c r="AA91" s="134"/>
      <c r="AB91" s="135"/>
      <c r="AC91" s="2"/>
      <c r="AD91" s="2"/>
      <c r="AE91" s="2"/>
      <c r="AF91" s="2"/>
      <c r="AG91" s="2"/>
      <c r="AH91" s="2"/>
      <c r="AI91" s="2"/>
      <c r="AJ91" s="2"/>
      <c r="AK91" s="2"/>
      <c r="AL91" s="2"/>
      <c r="AM91" s="2"/>
      <c r="AN91" s="2"/>
      <c r="AO91" s="2"/>
      <c r="AP91" s="2"/>
      <c r="AQ91" s="2"/>
      <c r="AR91" s="2"/>
    </row>
    <row r="92" customFormat="false" ht="15" hidden="false" customHeight="true" outlineLevel="0" collapsed="false">
      <c r="A92" s="132"/>
      <c r="B92" s="133"/>
      <c r="C92" s="230"/>
      <c r="D92" s="135"/>
      <c r="E92" s="134"/>
      <c r="F92" s="135"/>
      <c r="G92" s="134"/>
      <c r="H92" s="135"/>
      <c r="I92" s="134"/>
      <c r="J92" s="135"/>
      <c r="K92" s="134"/>
      <c r="L92" s="135"/>
      <c r="M92" s="134"/>
      <c r="N92" s="135"/>
      <c r="O92" s="134"/>
      <c r="P92" s="135"/>
      <c r="Q92" s="134"/>
      <c r="R92" s="135"/>
      <c r="S92" s="134"/>
      <c r="T92" s="135"/>
      <c r="U92" s="134"/>
      <c r="V92" s="135"/>
      <c r="W92" s="134"/>
      <c r="X92" s="135"/>
      <c r="Y92" s="134"/>
      <c r="Z92" s="231"/>
      <c r="AA92" s="134"/>
      <c r="AB92" s="135"/>
      <c r="AC92" s="2"/>
      <c r="AD92" s="2"/>
      <c r="AE92" s="2"/>
      <c r="AF92" s="2"/>
      <c r="AG92" s="2"/>
      <c r="AH92" s="2"/>
      <c r="AI92" s="2"/>
      <c r="AJ92" s="2"/>
      <c r="AK92" s="2"/>
      <c r="AL92" s="2"/>
      <c r="AM92" s="2"/>
      <c r="AN92" s="2"/>
      <c r="AO92" s="2"/>
      <c r="AP92" s="2"/>
      <c r="AQ92" s="2"/>
      <c r="AR92" s="2"/>
    </row>
    <row r="93" customFormat="false" ht="15" hidden="false" customHeight="true" outlineLevel="0" collapsed="false">
      <c r="A93" s="136"/>
      <c r="B93" s="137"/>
      <c r="C93" s="232"/>
      <c r="D93" s="139"/>
      <c r="E93" s="138"/>
      <c r="F93" s="139"/>
      <c r="G93" s="138"/>
      <c r="H93" s="139"/>
      <c r="I93" s="138"/>
      <c r="J93" s="139"/>
      <c r="K93" s="138"/>
      <c r="L93" s="139"/>
      <c r="M93" s="138"/>
      <c r="N93" s="139"/>
      <c r="O93" s="138"/>
      <c r="P93" s="139"/>
      <c r="Q93" s="138"/>
      <c r="R93" s="139"/>
      <c r="S93" s="138"/>
      <c r="T93" s="139"/>
      <c r="U93" s="138"/>
      <c r="V93" s="139"/>
      <c r="W93" s="138"/>
      <c r="X93" s="139"/>
      <c r="Y93" s="138"/>
      <c r="Z93" s="233"/>
      <c r="AA93" s="138"/>
      <c r="AB93" s="139"/>
      <c r="AC93" s="2"/>
      <c r="AD93" s="2"/>
      <c r="AE93" s="2"/>
      <c r="AF93" s="2"/>
      <c r="AG93" s="2"/>
      <c r="AH93" s="2"/>
      <c r="AI93" s="2"/>
      <c r="AJ93" s="2"/>
      <c r="AK93" s="2"/>
      <c r="AL93" s="2"/>
      <c r="AM93" s="2"/>
      <c r="AN93" s="2"/>
      <c r="AO93" s="2"/>
      <c r="AP93" s="2"/>
      <c r="AQ93" s="2"/>
      <c r="AR93" s="2"/>
    </row>
    <row r="94" customFormat="false" ht="15" hidden="false" customHeight="true" outlineLevel="0" collapsed="false">
      <c r="A94" s="234"/>
      <c r="B94" s="235"/>
      <c r="C94" s="236"/>
      <c r="D94" s="237"/>
      <c r="E94" s="238"/>
      <c r="F94" s="237"/>
      <c r="G94" s="238"/>
      <c r="H94" s="237"/>
      <c r="I94" s="238"/>
      <c r="J94" s="237"/>
      <c r="K94" s="238"/>
      <c r="L94" s="237"/>
      <c r="M94" s="238"/>
      <c r="N94" s="237"/>
      <c r="O94" s="238"/>
      <c r="P94" s="237"/>
      <c r="Q94" s="238"/>
      <c r="R94" s="237"/>
      <c r="S94" s="238"/>
      <c r="T94" s="237"/>
      <c r="U94" s="238"/>
      <c r="V94" s="237"/>
      <c r="W94" s="238"/>
      <c r="X94" s="237"/>
      <c r="Y94" s="238"/>
      <c r="Z94" s="239"/>
      <c r="AA94" s="238"/>
      <c r="AB94" s="237"/>
      <c r="AC94" s="2"/>
      <c r="AD94" s="2"/>
      <c r="AE94" s="2"/>
      <c r="AF94" s="2"/>
      <c r="AG94" s="2"/>
      <c r="AH94" s="2"/>
      <c r="AI94" s="2"/>
      <c r="AJ94" s="2"/>
      <c r="AK94" s="2"/>
      <c r="AL94" s="2"/>
      <c r="AM94" s="2"/>
      <c r="AN94" s="2"/>
      <c r="AO94" s="2"/>
      <c r="AP94" s="2"/>
      <c r="AQ94" s="2"/>
      <c r="AR94" s="2"/>
    </row>
    <row r="95" customFormat="false" ht="15" hidden="false" customHeight="true" outlineLevel="0" collapsed="false">
      <c r="A95" s="240" t="s">
        <v>94</v>
      </c>
      <c r="B95" s="240"/>
      <c r="C95" s="215"/>
      <c r="D95" s="150" t="n">
        <f aca="false">SUM(D82:D94)</f>
        <v>386897</v>
      </c>
      <c r="E95" s="149"/>
      <c r="F95" s="150" t="n">
        <f aca="false">SUM(F82:F94)</f>
        <v>22275</v>
      </c>
      <c r="G95" s="149"/>
      <c r="H95" s="150" t="n">
        <f aca="false">SUM(H82:H94)</f>
        <v>23733</v>
      </c>
      <c r="I95" s="149"/>
      <c r="J95" s="150" t="n">
        <f aca="false">SUM(J82:J94)</f>
        <v>25634</v>
      </c>
      <c r="K95" s="149"/>
      <c r="L95" s="150" t="n">
        <f aca="false">SUM(L82:L94)</f>
        <v>27255</v>
      </c>
      <c r="M95" s="149"/>
      <c r="N95" s="150" t="n">
        <f aca="false">SUM(N82:N94)</f>
        <v>29061</v>
      </c>
      <c r="O95" s="149"/>
      <c r="P95" s="150" t="n">
        <f aca="false">SUM(P82:P94)</f>
        <v>30747</v>
      </c>
      <c r="Q95" s="149"/>
      <c r="R95" s="150" t="n">
        <f aca="false">SUM(R82:R94)</f>
        <v>32618</v>
      </c>
      <c r="S95" s="149"/>
      <c r="T95" s="150" t="n">
        <f aca="false">SUM(T82:T94)</f>
        <v>34369</v>
      </c>
      <c r="U95" s="149"/>
      <c r="V95" s="150" t="n">
        <f aca="false">SUM(V82:V94)</f>
        <v>37003</v>
      </c>
      <c r="W95" s="149"/>
      <c r="X95" s="150" t="n">
        <f aca="false">SUM(X82:X94)</f>
        <v>39027</v>
      </c>
      <c r="Y95" s="149"/>
      <c r="Z95" s="150" t="n">
        <f aca="false">SUM(Z82:Z94)</f>
        <v>41494</v>
      </c>
      <c r="AA95" s="149"/>
      <c r="AB95" s="150" t="n">
        <f aca="false">SUM(AB82:AB94)</f>
        <v>43681</v>
      </c>
      <c r="AC95" s="2"/>
      <c r="AD95" s="2"/>
      <c r="AE95" s="2"/>
      <c r="AF95" s="2"/>
      <c r="AG95" s="2"/>
      <c r="AH95" s="2"/>
      <c r="AI95" s="2"/>
      <c r="AJ95" s="2"/>
      <c r="AK95" s="2"/>
      <c r="AL95" s="2"/>
      <c r="AM95" s="2"/>
      <c r="AN95" s="2"/>
      <c r="AO95" s="2"/>
      <c r="AP95" s="2"/>
      <c r="AQ95" s="2"/>
      <c r="AR95" s="2"/>
    </row>
    <row r="96" customFormat="false" ht="15" hidden="false" customHeight="true" outlineLevel="0" collapsed="false">
      <c r="A96" s="241"/>
      <c r="B96" s="241"/>
      <c r="C96" s="153" t="n">
        <f aca="false">C82</f>
        <v>88</v>
      </c>
      <c r="D96" s="156"/>
      <c r="E96" s="155" t="n">
        <f aca="false">E82</f>
        <v>6</v>
      </c>
      <c r="F96" s="156"/>
      <c r="G96" s="155" t="n">
        <f aca="false">G82</f>
        <v>6</v>
      </c>
      <c r="H96" s="156"/>
      <c r="I96" s="155" t="n">
        <f aca="false">I82</f>
        <v>7</v>
      </c>
      <c r="J96" s="156"/>
      <c r="K96" s="155" t="n">
        <f aca="false">K82</f>
        <v>7</v>
      </c>
      <c r="L96" s="156"/>
      <c r="M96" s="155" t="n">
        <f aca="false">M82</f>
        <v>7</v>
      </c>
      <c r="N96" s="156"/>
      <c r="O96" s="155" t="n">
        <f aca="false">O82</f>
        <v>7</v>
      </c>
      <c r="P96" s="156"/>
      <c r="Q96" s="155" t="n">
        <f aca="false">Q82</f>
        <v>7</v>
      </c>
      <c r="R96" s="156"/>
      <c r="S96" s="155" t="n">
        <f aca="false">S82</f>
        <v>7</v>
      </c>
      <c r="T96" s="156"/>
      <c r="U96" s="155" t="n">
        <f aca="false">U82</f>
        <v>8</v>
      </c>
      <c r="V96" s="156"/>
      <c r="W96" s="155" t="n">
        <f aca="false">W82</f>
        <v>8</v>
      </c>
      <c r="X96" s="156"/>
      <c r="Y96" s="155" t="n">
        <f aca="false">Y82</f>
        <v>9</v>
      </c>
      <c r="Z96" s="156"/>
      <c r="AA96" s="155" t="n">
        <f aca="false">AA82</f>
        <v>9</v>
      </c>
      <c r="AB96" s="154"/>
      <c r="AC96" s="2"/>
      <c r="AD96" s="2"/>
      <c r="AE96" s="2"/>
      <c r="AF96" s="2"/>
      <c r="AG96" s="2"/>
      <c r="AH96" s="2"/>
      <c r="AI96" s="2"/>
      <c r="AJ96" s="2"/>
      <c r="AK96" s="2"/>
      <c r="AL96" s="2"/>
      <c r="AM96" s="2"/>
      <c r="AN96" s="2"/>
      <c r="AO96" s="2"/>
      <c r="AP96" s="2"/>
      <c r="AQ96" s="2"/>
      <c r="AR96" s="2"/>
    </row>
    <row r="97" customFormat="false" ht="15" hidden="false" customHeight="true" outlineLevel="0" collapsed="false">
      <c r="A97" s="152"/>
      <c r="B97" s="152"/>
      <c r="C97" s="157" t="n">
        <f aca="false">C83</f>
        <v>210</v>
      </c>
      <c r="D97" s="160"/>
      <c r="E97" s="159" t="n">
        <f aca="false">E83</f>
        <v>14</v>
      </c>
      <c r="F97" s="160"/>
      <c r="G97" s="159" t="n">
        <f aca="false">G83</f>
        <v>14</v>
      </c>
      <c r="H97" s="160"/>
      <c r="I97" s="159" t="n">
        <f aca="false">I83</f>
        <v>16</v>
      </c>
      <c r="J97" s="160"/>
      <c r="K97" s="159" t="n">
        <f aca="false">K83</f>
        <v>16</v>
      </c>
      <c r="L97" s="160"/>
      <c r="M97" s="159" t="n">
        <f aca="false">M83</f>
        <v>17</v>
      </c>
      <c r="N97" s="160"/>
      <c r="O97" s="159" t="n">
        <f aca="false">O83</f>
        <v>17</v>
      </c>
      <c r="P97" s="160"/>
      <c r="Q97" s="159" t="n">
        <f aca="false">Q83</f>
        <v>18</v>
      </c>
      <c r="R97" s="160"/>
      <c r="S97" s="159" t="n">
        <f aca="false">S83</f>
        <v>18</v>
      </c>
      <c r="T97" s="160"/>
      <c r="U97" s="159" t="n">
        <f aca="false">U83</f>
        <v>19</v>
      </c>
      <c r="V97" s="160"/>
      <c r="W97" s="159" t="n">
        <f aca="false">W83</f>
        <v>19</v>
      </c>
      <c r="X97" s="160"/>
      <c r="Y97" s="159" t="n">
        <f aca="false">Y83</f>
        <v>21</v>
      </c>
      <c r="Z97" s="160"/>
      <c r="AA97" s="159" t="n">
        <f aca="false">AA83</f>
        <v>21</v>
      </c>
      <c r="AB97" s="158"/>
      <c r="AC97" s="2"/>
      <c r="AD97" s="2"/>
      <c r="AE97" s="2"/>
      <c r="AF97" s="2"/>
      <c r="AG97" s="2"/>
      <c r="AH97" s="2"/>
      <c r="AI97" s="2"/>
      <c r="AJ97" s="2"/>
      <c r="AK97" s="2"/>
      <c r="AL97" s="2"/>
      <c r="AM97" s="2"/>
      <c r="AN97" s="2"/>
      <c r="AO97" s="2"/>
      <c r="AP97" s="2"/>
      <c r="AQ97" s="2"/>
      <c r="AR97" s="2"/>
    </row>
    <row r="98" customFormat="false" ht="15" hidden="false" customHeight="true" outlineLevel="0" collapsed="false">
      <c r="A98" s="161"/>
      <c r="B98" s="161"/>
      <c r="C98" s="162" t="n">
        <f aca="false">C84</f>
        <v>28</v>
      </c>
      <c r="D98" s="165"/>
      <c r="E98" s="164" t="n">
        <f aca="false">E84</f>
        <v>2</v>
      </c>
      <c r="F98" s="165"/>
      <c r="G98" s="164" t="n">
        <f aca="false">G84</f>
        <v>2</v>
      </c>
      <c r="H98" s="165"/>
      <c r="I98" s="164" t="n">
        <f aca="false">I84</f>
        <v>2</v>
      </c>
      <c r="J98" s="165"/>
      <c r="K98" s="164" t="n">
        <f aca="false">K84</f>
        <v>2</v>
      </c>
      <c r="L98" s="165"/>
      <c r="M98" s="164" t="n">
        <f aca="false">M84</f>
        <v>2</v>
      </c>
      <c r="N98" s="165"/>
      <c r="O98" s="164" t="n">
        <f aca="false">O84</f>
        <v>2</v>
      </c>
      <c r="P98" s="165"/>
      <c r="Q98" s="164" t="n">
        <f aca="false">Q84</f>
        <v>2</v>
      </c>
      <c r="R98" s="165"/>
      <c r="S98" s="164" t="n">
        <f aca="false">S84</f>
        <v>2</v>
      </c>
      <c r="T98" s="165"/>
      <c r="U98" s="164" t="n">
        <f aca="false">U84</f>
        <v>3</v>
      </c>
      <c r="V98" s="165"/>
      <c r="W98" s="164" t="n">
        <f aca="false">W84</f>
        <v>3</v>
      </c>
      <c r="X98" s="165"/>
      <c r="Y98" s="164" t="n">
        <f aca="false">Y84</f>
        <v>3</v>
      </c>
      <c r="Z98" s="165"/>
      <c r="AA98" s="164" t="n">
        <f aca="false">AA84</f>
        <v>3</v>
      </c>
      <c r="AB98" s="163"/>
      <c r="AC98" s="2"/>
      <c r="AD98" s="2"/>
      <c r="AE98" s="2"/>
      <c r="AF98" s="2"/>
      <c r="AG98" s="2"/>
      <c r="AH98" s="2"/>
      <c r="AI98" s="2"/>
      <c r="AJ98" s="2"/>
      <c r="AK98" s="2"/>
      <c r="AL98" s="2"/>
      <c r="AM98" s="2"/>
      <c r="AN98" s="2"/>
      <c r="AO98" s="2"/>
      <c r="AP98" s="2"/>
      <c r="AQ98" s="2"/>
      <c r="AR98" s="2"/>
    </row>
    <row r="99" customFormat="false" ht="15" hidden="false" customHeight="true" outlineLevel="0" collapsed="false">
      <c r="A99" s="242"/>
      <c r="B99" s="242"/>
      <c r="C99" s="243" t="n">
        <f aca="false">SUM(C85:C88)</f>
        <v>5229</v>
      </c>
      <c r="D99" s="168"/>
      <c r="E99" s="169" t="n">
        <f aca="false">SUM(E85:E88)</f>
        <v>293</v>
      </c>
      <c r="F99" s="170"/>
      <c r="G99" s="169" t="n">
        <f aca="false">SUM(G85:G88)</f>
        <v>315</v>
      </c>
      <c r="H99" s="170"/>
      <c r="I99" s="169" t="n">
        <f aca="false">SUM(I85:I88)</f>
        <v>340</v>
      </c>
      <c r="J99" s="170"/>
      <c r="K99" s="169" t="n">
        <f aca="false">SUM(K85:K88)</f>
        <v>365</v>
      </c>
      <c r="L99" s="170"/>
      <c r="M99" s="169" t="n">
        <f aca="false">SUM(M85:M88)</f>
        <v>391</v>
      </c>
      <c r="N99" s="170"/>
      <c r="O99" s="169" t="n">
        <f aca="false">SUM(O85:O88)</f>
        <v>417</v>
      </c>
      <c r="P99" s="170"/>
      <c r="Q99" s="169" t="n">
        <f aca="false">SUM(Q85:Q88)</f>
        <v>444</v>
      </c>
      <c r="R99" s="170"/>
      <c r="S99" s="169" t="n">
        <f aca="false">SUM(S85:S88)</f>
        <v>471</v>
      </c>
      <c r="T99" s="170"/>
      <c r="U99" s="169" t="n">
        <f aca="false">SUM(U85:U88)</f>
        <v>501</v>
      </c>
      <c r="V99" s="170"/>
      <c r="W99" s="169" t="n">
        <f aca="false">SUM(W85:W88)</f>
        <v>531</v>
      </c>
      <c r="X99" s="170"/>
      <c r="Y99" s="169" t="n">
        <f aca="false">SUM(Y85:Y88)</f>
        <v>564</v>
      </c>
      <c r="Z99" s="170"/>
      <c r="AA99" s="169" t="n">
        <f aca="false">SUM(AA85:AA88)</f>
        <v>597</v>
      </c>
      <c r="AB99" s="171"/>
      <c r="AC99" s="2"/>
      <c r="AD99" s="2"/>
      <c r="AE99" s="2"/>
      <c r="AF99" s="2"/>
      <c r="AG99" s="2"/>
      <c r="AH99" s="2"/>
      <c r="AI99" s="2"/>
      <c r="AJ99" s="2"/>
      <c r="AK99" s="2"/>
      <c r="AL99" s="2"/>
      <c r="AM99" s="2"/>
      <c r="AN99" s="2"/>
      <c r="AO99" s="2"/>
      <c r="AP99" s="2"/>
      <c r="AQ99" s="2"/>
      <c r="AR99" s="2"/>
    </row>
    <row r="100" customFormat="false" ht="15" hidden="false" customHeight="true" outlineLevel="0" collapsed="false">
      <c r="A100" s="244"/>
      <c r="B100" s="244"/>
      <c r="C100" s="245" t="n">
        <f aca="false">SUM(C89:C93)</f>
        <v>0</v>
      </c>
      <c r="D100" s="246"/>
      <c r="E100" s="175" t="n">
        <f aca="false">SUM(E89:E93)</f>
        <v>0</v>
      </c>
      <c r="F100" s="176"/>
      <c r="G100" s="175" t="n">
        <f aca="false">SUM(G89:G93)</f>
        <v>0</v>
      </c>
      <c r="H100" s="176"/>
      <c r="I100" s="175" t="n">
        <f aca="false">SUM(I89:I93)</f>
        <v>0</v>
      </c>
      <c r="J100" s="176"/>
      <c r="K100" s="175" t="n">
        <f aca="false">SUM(K89:K93)</f>
        <v>0</v>
      </c>
      <c r="L100" s="176"/>
      <c r="M100" s="175" t="n">
        <f aca="false">SUM(M89:M93)</f>
        <v>0</v>
      </c>
      <c r="N100" s="176"/>
      <c r="O100" s="175" t="n">
        <f aca="false">SUM(O89:O93)</f>
        <v>0</v>
      </c>
      <c r="P100" s="176"/>
      <c r="Q100" s="175" t="n">
        <f aca="false">SUM(Q89:Q93)</f>
        <v>0</v>
      </c>
      <c r="R100" s="176"/>
      <c r="S100" s="175" t="n">
        <f aca="false">SUM(S89:S93)</f>
        <v>0</v>
      </c>
      <c r="T100" s="176"/>
      <c r="U100" s="175" t="n">
        <f aca="false">SUM(U89:U93)</f>
        <v>0</v>
      </c>
      <c r="V100" s="176"/>
      <c r="W100" s="175" t="n">
        <f aca="false">SUM(W89:W93)</f>
        <v>0</v>
      </c>
      <c r="X100" s="176"/>
      <c r="Y100" s="175" t="n">
        <f aca="false">SUM(Y89:Y93)</f>
        <v>0</v>
      </c>
      <c r="Z100" s="176"/>
      <c r="AA100" s="175" t="n">
        <f aca="false">SUM(AA89:AA93)</f>
        <v>0</v>
      </c>
      <c r="AB100" s="177"/>
      <c r="AC100" s="2"/>
      <c r="AD100" s="2"/>
      <c r="AE100" s="2"/>
      <c r="AF100" s="2"/>
      <c r="AG100" s="2"/>
      <c r="AH100" s="2"/>
      <c r="AI100" s="2"/>
      <c r="AJ100" s="2"/>
      <c r="AK100" s="2"/>
      <c r="AL100" s="2"/>
      <c r="AM100" s="2"/>
      <c r="AN100" s="2"/>
      <c r="AO100" s="2"/>
      <c r="AP100" s="2"/>
      <c r="AQ100" s="2"/>
      <c r="AR100" s="2"/>
    </row>
    <row r="101" customFormat="false" ht="15" hidden="false" customHeight="true" outlineLevel="0" collapsed="false">
      <c r="A101" s="247"/>
      <c r="B101" s="247"/>
      <c r="C101" s="179" t="n">
        <f aca="false">C94</f>
        <v>0</v>
      </c>
      <c r="D101" s="248"/>
      <c r="E101" s="181" t="n">
        <f aca="false">E94</f>
        <v>0</v>
      </c>
      <c r="F101" s="182"/>
      <c r="G101" s="181" t="n">
        <f aca="false">G94</f>
        <v>0</v>
      </c>
      <c r="H101" s="182"/>
      <c r="I101" s="181" t="n">
        <f aca="false">I94</f>
        <v>0</v>
      </c>
      <c r="J101" s="182"/>
      <c r="K101" s="181" t="n">
        <f aca="false">K94</f>
        <v>0</v>
      </c>
      <c r="L101" s="182"/>
      <c r="M101" s="181" t="n">
        <f aca="false">M94</f>
        <v>0</v>
      </c>
      <c r="N101" s="182"/>
      <c r="O101" s="181" t="n">
        <f aca="false">O94</f>
        <v>0</v>
      </c>
      <c r="P101" s="182"/>
      <c r="Q101" s="181" t="n">
        <f aca="false">Q94</f>
        <v>0</v>
      </c>
      <c r="R101" s="182"/>
      <c r="S101" s="181" t="n">
        <f aca="false">S94</f>
        <v>0</v>
      </c>
      <c r="T101" s="182"/>
      <c r="U101" s="181" t="n">
        <f aca="false">U94</f>
        <v>0</v>
      </c>
      <c r="V101" s="182"/>
      <c r="W101" s="181" t="n">
        <f aca="false">W94</f>
        <v>0</v>
      </c>
      <c r="X101" s="182"/>
      <c r="Y101" s="181" t="n">
        <f aca="false">Y94</f>
        <v>0</v>
      </c>
      <c r="Z101" s="182"/>
      <c r="AA101" s="181" t="n">
        <f aca="false">AA94</f>
        <v>0</v>
      </c>
      <c r="AB101" s="183"/>
      <c r="AC101" s="2"/>
      <c r="AD101" s="2"/>
      <c r="AE101" s="2"/>
      <c r="AF101" s="2"/>
      <c r="AG101" s="2"/>
      <c r="AH101" s="2"/>
      <c r="AI101" s="2"/>
      <c r="AJ101" s="2"/>
      <c r="AK101" s="2"/>
      <c r="AL101" s="2"/>
      <c r="AM101" s="2"/>
      <c r="AN101" s="2"/>
      <c r="AO101" s="2"/>
      <c r="AP101" s="2"/>
      <c r="AQ101" s="2"/>
      <c r="AR101" s="2"/>
    </row>
    <row r="102" customFormat="false" ht="14.25" hidden="false" customHeight="true" outlineLevel="0" collapsed="false">
      <c r="A102" s="2"/>
      <c r="B102" s="2"/>
      <c r="C102" s="2"/>
      <c r="D102" s="184"/>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row>
    <row r="103" customFormat="false" ht="25.5" hidden="false" customHeight="true" outlineLevel="0" collapsed="false">
      <c r="A103" s="91" t="s">
        <v>127</v>
      </c>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c r="AA103" s="91"/>
      <c r="AB103" s="91"/>
      <c r="AC103" s="2"/>
      <c r="AD103" s="2"/>
      <c r="AE103" s="2"/>
      <c r="AF103" s="2"/>
      <c r="AG103" s="2"/>
      <c r="AH103" s="2"/>
      <c r="AI103" s="2"/>
      <c r="AJ103" s="2"/>
      <c r="AK103" s="2"/>
      <c r="AL103" s="2"/>
      <c r="AM103" s="2"/>
      <c r="AN103" s="2"/>
      <c r="AO103" s="2"/>
      <c r="AP103" s="2"/>
      <c r="AQ103" s="2"/>
      <c r="AR103" s="2"/>
    </row>
    <row r="104" customFormat="false" ht="25.5" hidden="false" customHeight="true" outlineLevel="0" collapsed="false">
      <c r="A104" s="186" t="s">
        <v>96</v>
      </c>
      <c r="B104" s="187" t="s">
        <v>128</v>
      </c>
      <c r="C104" s="187"/>
      <c r="D104" s="187"/>
      <c r="E104" s="187"/>
      <c r="F104" s="187"/>
      <c r="G104" s="187"/>
      <c r="H104" s="187"/>
      <c r="I104" s="187"/>
      <c r="J104" s="187"/>
      <c r="K104" s="187"/>
      <c r="L104" s="187"/>
      <c r="M104" s="187"/>
      <c r="N104" s="187"/>
      <c r="O104" s="187"/>
      <c r="P104" s="187"/>
      <c r="Q104" s="187"/>
      <c r="R104" s="187"/>
      <c r="S104" s="187"/>
      <c r="T104" s="187"/>
      <c r="U104" s="187"/>
      <c r="V104" s="187"/>
      <c r="W104" s="187"/>
      <c r="X104" s="187"/>
      <c r="Y104" s="187"/>
      <c r="Z104" s="187"/>
      <c r="AA104" s="187"/>
      <c r="AB104" s="187"/>
      <c r="AC104" s="2"/>
      <c r="AD104" s="2"/>
      <c r="AE104" s="2"/>
      <c r="AF104" s="2"/>
      <c r="AG104" s="2"/>
      <c r="AH104" s="2"/>
      <c r="AI104" s="2"/>
      <c r="AJ104" s="2"/>
      <c r="AK104" s="2"/>
      <c r="AL104" s="2"/>
      <c r="AM104" s="2"/>
      <c r="AN104" s="2"/>
      <c r="AO104" s="2"/>
      <c r="AP104" s="2"/>
      <c r="AQ104" s="2"/>
      <c r="AR104" s="2"/>
    </row>
    <row r="105" customFormat="false" ht="21" hidden="false" customHeight="true" outlineLevel="0" collapsed="false">
      <c r="A105" s="249"/>
      <c r="B105" s="249"/>
      <c r="C105" s="250" t="s">
        <v>98</v>
      </c>
      <c r="D105" s="250"/>
      <c r="E105" s="190" t="s">
        <v>81</v>
      </c>
      <c r="F105" s="190"/>
      <c r="G105" s="191" t="s">
        <v>82</v>
      </c>
      <c r="H105" s="191"/>
      <c r="I105" s="191" t="s">
        <v>83</v>
      </c>
      <c r="J105" s="191"/>
      <c r="K105" s="191" t="s">
        <v>84</v>
      </c>
      <c r="L105" s="191"/>
      <c r="M105" s="191" t="s">
        <v>85</v>
      </c>
      <c r="N105" s="191"/>
      <c r="O105" s="191" t="s">
        <v>86</v>
      </c>
      <c r="P105" s="191"/>
      <c r="Q105" s="191" t="s">
        <v>87</v>
      </c>
      <c r="R105" s="191"/>
      <c r="S105" s="191" t="s">
        <v>88</v>
      </c>
      <c r="T105" s="191"/>
      <c r="U105" s="191" t="s">
        <v>89</v>
      </c>
      <c r="V105" s="191"/>
      <c r="W105" s="191" t="s">
        <v>90</v>
      </c>
      <c r="X105" s="191"/>
      <c r="Y105" s="191" t="s">
        <v>91</v>
      </c>
      <c r="Z105" s="191"/>
      <c r="AA105" s="191" t="s">
        <v>92</v>
      </c>
      <c r="AB105" s="191"/>
      <c r="AC105" s="2"/>
      <c r="AD105" s="2"/>
      <c r="AE105" s="2"/>
      <c r="AF105" s="2"/>
      <c r="AG105" s="2"/>
      <c r="AH105" s="2"/>
      <c r="AI105" s="2"/>
      <c r="AJ105" s="2"/>
      <c r="AK105" s="2"/>
      <c r="AL105" s="2"/>
      <c r="AM105" s="2"/>
      <c r="AN105" s="2"/>
      <c r="AO105" s="2"/>
      <c r="AP105" s="2"/>
      <c r="AQ105" s="2"/>
      <c r="AR105" s="2"/>
    </row>
    <row r="106" customFormat="false" ht="14.25" hidden="false" customHeight="true" outlineLevel="0" collapsed="false">
      <c r="A106" s="186" t="s">
        <v>101</v>
      </c>
      <c r="B106" s="186"/>
      <c r="C106" s="192" t="s">
        <v>102</v>
      </c>
      <c r="D106" s="192"/>
      <c r="E106" s="204" t="s">
        <v>103</v>
      </c>
      <c r="F106" s="204"/>
      <c r="G106" s="204" t="s">
        <v>103</v>
      </c>
      <c r="H106" s="204"/>
      <c r="I106" s="204" t="s">
        <v>103</v>
      </c>
      <c r="J106" s="204"/>
      <c r="K106" s="204" t="s">
        <v>103</v>
      </c>
      <c r="L106" s="204"/>
      <c r="M106" s="204" t="s">
        <v>103</v>
      </c>
      <c r="N106" s="204"/>
      <c r="O106" s="204" t="s">
        <v>103</v>
      </c>
      <c r="P106" s="204"/>
      <c r="Q106" s="204" t="s">
        <v>103</v>
      </c>
      <c r="R106" s="204"/>
      <c r="S106" s="204" t="s">
        <v>103</v>
      </c>
      <c r="T106" s="204"/>
      <c r="U106" s="204" t="s">
        <v>103</v>
      </c>
      <c r="V106" s="204"/>
      <c r="W106" s="204" t="s">
        <v>103</v>
      </c>
      <c r="X106" s="204"/>
      <c r="Y106" s="204" t="s">
        <v>103</v>
      </c>
      <c r="Z106" s="204"/>
      <c r="AA106" s="204" t="s">
        <v>103</v>
      </c>
      <c r="AB106" s="204"/>
      <c r="AC106" s="2"/>
      <c r="AD106" s="2"/>
      <c r="AE106" s="2"/>
      <c r="AF106" s="2"/>
      <c r="AG106" s="2"/>
      <c r="AH106" s="2"/>
      <c r="AI106" s="2"/>
      <c r="AJ106" s="2"/>
      <c r="AK106" s="2"/>
      <c r="AL106" s="2"/>
      <c r="AM106" s="2"/>
      <c r="AN106" s="2"/>
      <c r="AO106" s="2"/>
      <c r="AP106" s="2"/>
      <c r="AQ106" s="2"/>
      <c r="AR106" s="2"/>
    </row>
    <row r="107" customFormat="false" ht="14.25" hidden="false" customHeight="true" outlineLevel="0" collapsed="false">
      <c r="A107" s="186"/>
      <c r="B107" s="186"/>
      <c r="C107" s="196" t="s">
        <v>104</v>
      </c>
      <c r="D107" s="196"/>
      <c r="E107" s="197" t="s">
        <v>103</v>
      </c>
      <c r="F107" s="197"/>
      <c r="G107" s="205" t="s">
        <v>103</v>
      </c>
      <c r="H107" s="205"/>
      <c r="I107" s="205" t="s">
        <v>103</v>
      </c>
      <c r="J107" s="205"/>
      <c r="K107" s="205" t="s">
        <v>103</v>
      </c>
      <c r="L107" s="205"/>
      <c r="M107" s="205" t="s">
        <v>103</v>
      </c>
      <c r="N107" s="205"/>
      <c r="O107" s="205" t="s">
        <v>103</v>
      </c>
      <c r="P107" s="205"/>
      <c r="Q107" s="205" t="s">
        <v>103</v>
      </c>
      <c r="R107" s="205"/>
      <c r="S107" s="205" t="s">
        <v>103</v>
      </c>
      <c r="T107" s="205"/>
      <c r="U107" s="205" t="s">
        <v>103</v>
      </c>
      <c r="V107" s="205"/>
      <c r="W107" s="205" t="s">
        <v>103</v>
      </c>
      <c r="X107" s="205"/>
      <c r="Y107" s="205" t="s">
        <v>103</v>
      </c>
      <c r="Z107" s="205"/>
      <c r="AA107" s="205" t="s">
        <v>103</v>
      </c>
      <c r="AB107" s="205"/>
      <c r="AC107" s="2"/>
      <c r="AD107" s="2"/>
      <c r="AE107" s="2"/>
      <c r="AF107" s="2"/>
      <c r="AG107" s="2"/>
      <c r="AH107" s="2"/>
      <c r="AI107" s="2"/>
      <c r="AJ107" s="2"/>
      <c r="AK107" s="2"/>
      <c r="AL107" s="2"/>
      <c r="AM107" s="2"/>
      <c r="AN107" s="2"/>
      <c r="AO107" s="2"/>
      <c r="AP107" s="2"/>
      <c r="AQ107" s="2"/>
      <c r="AR107" s="2"/>
    </row>
    <row r="108" customFormat="false" ht="14.25" hidden="false" customHeight="true" outlineLevel="0" collapsed="false">
      <c r="A108" s="186"/>
      <c r="B108" s="186"/>
      <c r="C108" s="196" t="s">
        <v>105</v>
      </c>
      <c r="D108" s="196"/>
      <c r="E108" s="205" t="s">
        <v>103</v>
      </c>
      <c r="F108" s="205"/>
      <c r="G108" s="205" t="s">
        <v>103</v>
      </c>
      <c r="H108" s="205"/>
      <c r="I108" s="205" t="s">
        <v>103</v>
      </c>
      <c r="J108" s="205"/>
      <c r="K108" s="205" t="s">
        <v>103</v>
      </c>
      <c r="L108" s="205"/>
      <c r="M108" s="205" t="s">
        <v>103</v>
      </c>
      <c r="N108" s="205"/>
      <c r="O108" s="205" t="s">
        <v>103</v>
      </c>
      <c r="P108" s="205"/>
      <c r="Q108" s="205" t="s">
        <v>103</v>
      </c>
      <c r="R108" s="205"/>
      <c r="S108" s="205" t="s">
        <v>103</v>
      </c>
      <c r="T108" s="205"/>
      <c r="U108" s="205" t="s">
        <v>103</v>
      </c>
      <c r="V108" s="205"/>
      <c r="W108" s="205" t="s">
        <v>103</v>
      </c>
      <c r="X108" s="205"/>
      <c r="Y108" s="205" t="s">
        <v>103</v>
      </c>
      <c r="Z108" s="205"/>
      <c r="AA108" s="205" t="s">
        <v>103</v>
      </c>
      <c r="AB108" s="205"/>
      <c r="AC108" s="2"/>
      <c r="AD108" s="2"/>
      <c r="AE108" s="2"/>
      <c r="AF108" s="2"/>
      <c r="AG108" s="2"/>
      <c r="AH108" s="2"/>
      <c r="AI108" s="2"/>
      <c r="AJ108" s="2"/>
      <c r="AK108" s="2"/>
      <c r="AL108" s="2"/>
      <c r="AM108" s="2"/>
      <c r="AN108" s="2"/>
      <c r="AO108" s="2"/>
      <c r="AP108" s="2"/>
      <c r="AQ108" s="2"/>
      <c r="AR108" s="2"/>
    </row>
    <row r="109" customFormat="false" ht="14.25" hidden="false" customHeight="true" outlineLevel="0" collapsed="false">
      <c r="A109" s="186"/>
      <c r="B109" s="186"/>
      <c r="C109" s="196" t="s">
        <v>107</v>
      </c>
      <c r="D109" s="196"/>
      <c r="E109" s="205" t="s">
        <v>103</v>
      </c>
      <c r="F109" s="205"/>
      <c r="G109" s="205" t="s">
        <v>103</v>
      </c>
      <c r="H109" s="205"/>
      <c r="I109" s="205" t="s">
        <v>103</v>
      </c>
      <c r="J109" s="205"/>
      <c r="K109" s="205" t="s">
        <v>103</v>
      </c>
      <c r="L109" s="205"/>
      <c r="M109" s="205" t="s">
        <v>103</v>
      </c>
      <c r="N109" s="205"/>
      <c r="O109" s="205" t="s">
        <v>103</v>
      </c>
      <c r="P109" s="205"/>
      <c r="Q109" s="205" t="s">
        <v>103</v>
      </c>
      <c r="R109" s="205"/>
      <c r="S109" s="205" t="s">
        <v>103</v>
      </c>
      <c r="T109" s="205"/>
      <c r="U109" s="205" t="s">
        <v>103</v>
      </c>
      <c r="V109" s="205"/>
      <c r="W109" s="205" t="s">
        <v>103</v>
      </c>
      <c r="X109" s="205"/>
      <c r="Y109" s="205" t="s">
        <v>103</v>
      </c>
      <c r="Z109" s="205"/>
      <c r="AA109" s="205" t="s">
        <v>103</v>
      </c>
      <c r="AB109" s="205"/>
      <c r="AC109" s="2"/>
      <c r="AD109" s="2"/>
      <c r="AE109" s="2"/>
      <c r="AF109" s="2"/>
      <c r="AG109" s="2"/>
      <c r="AH109" s="2"/>
      <c r="AI109" s="2"/>
      <c r="AJ109" s="2"/>
      <c r="AK109" s="2"/>
      <c r="AL109" s="2"/>
      <c r="AM109" s="2"/>
      <c r="AN109" s="2"/>
      <c r="AO109" s="2"/>
      <c r="AP109" s="2"/>
      <c r="AQ109" s="2"/>
      <c r="AR109" s="2"/>
    </row>
    <row r="110" customFormat="false" ht="14.25" hidden="false" customHeight="true" outlineLevel="0" collapsed="false">
      <c r="A110" s="186"/>
      <c r="B110" s="186"/>
      <c r="C110" s="196" t="s">
        <v>109</v>
      </c>
      <c r="D110" s="196"/>
      <c r="E110" s="210" t="s">
        <v>103</v>
      </c>
      <c r="F110" s="210"/>
      <c r="G110" s="205" t="s">
        <v>103</v>
      </c>
      <c r="H110" s="205"/>
      <c r="I110" s="205" t="s">
        <v>103</v>
      </c>
      <c r="J110" s="205"/>
      <c r="K110" s="205" t="s">
        <v>103</v>
      </c>
      <c r="L110" s="205"/>
      <c r="M110" s="205" t="s">
        <v>103</v>
      </c>
      <c r="N110" s="205"/>
      <c r="O110" s="205" t="s">
        <v>103</v>
      </c>
      <c r="P110" s="205"/>
      <c r="Q110" s="205" t="s">
        <v>103</v>
      </c>
      <c r="R110" s="205"/>
      <c r="S110" s="205" t="s">
        <v>103</v>
      </c>
      <c r="T110" s="205"/>
      <c r="U110" s="205" t="s">
        <v>103</v>
      </c>
      <c r="V110" s="205"/>
      <c r="W110" s="205" t="s">
        <v>103</v>
      </c>
      <c r="X110" s="205"/>
      <c r="Y110" s="205" t="s">
        <v>103</v>
      </c>
      <c r="Z110" s="205"/>
      <c r="AA110" s="205" t="s">
        <v>103</v>
      </c>
      <c r="AB110" s="205"/>
      <c r="AC110" s="2"/>
      <c r="AD110" s="2"/>
      <c r="AE110" s="2"/>
      <c r="AF110" s="2"/>
      <c r="AG110" s="2"/>
      <c r="AH110" s="2"/>
      <c r="AI110" s="2"/>
      <c r="AJ110" s="2"/>
      <c r="AK110" s="2"/>
      <c r="AL110" s="2"/>
      <c r="AM110" s="2"/>
      <c r="AN110" s="2"/>
      <c r="AO110" s="2"/>
      <c r="AP110" s="2"/>
      <c r="AQ110" s="2"/>
      <c r="AR110" s="2"/>
    </row>
    <row r="111" customFormat="false" ht="14.25" hidden="false" customHeight="true" outlineLevel="0" collapsed="false">
      <c r="A111" s="186"/>
      <c r="B111" s="186"/>
      <c r="C111" s="196"/>
      <c r="D111" s="196"/>
      <c r="E111" s="205"/>
      <c r="F111" s="205"/>
      <c r="G111" s="205"/>
      <c r="H111" s="205"/>
      <c r="I111" s="210"/>
      <c r="J111" s="210"/>
      <c r="K111" s="205"/>
      <c r="L111" s="205"/>
      <c r="M111" s="205"/>
      <c r="N111" s="205"/>
      <c r="O111" s="205"/>
      <c r="P111" s="205"/>
      <c r="Q111" s="205"/>
      <c r="R111" s="205"/>
      <c r="S111" s="205"/>
      <c r="T111" s="205"/>
      <c r="U111" s="205"/>
      <c r="V111" s="205"/>
      <c r="W111" s="205"/>
      <c r="X111" s="205"/>
      <c r="Y111" s="205"/>
      <c r="Z111" s="205"/>
      <c r="AA111" s="205"/>
      <c r="AB111" s="205"/>
      <c r="AC111" s="2"/>
      <c r="AD111" s="2"/>
      <c r="AE111" s="2"/>
      <c r="AF111" s="2"/>
      <c r="AG111" s="2"/>
      <c r="AH111" s="2"/>
      <c r="AI111" s="2"/>
      <c r="AJ111" s="2"/>
      <c r="AK111" s="2"/>
      <c r="AL111" s="2"/>
      <c r="AM111" s="2"/>
      <c r="AN111" s="2"/>
      <c r="AO111" s="2"/>
      <c r="AP111" s="2"/>
      <c r="AQ111" s="2"/>
      <c r="AR111" s="2"/>
    </row>
    <row r="112" customFormat="false" ht="14.25" hidden="false" customHeight="true" outlineLevel="0" collapsed="false">
      <c r="A112" s="186"/>
      <c r="B112" s="186"/>
      <c r="C112" s="196"/>
      <c r="D112" s="196"/>
      <c r="E112" s="205"/>
      <c r="F112" s="205"/>
      <c r="G112" s="205"/>
      <c r="H112" s="205"/>
      <c r="I112" s="205"/>
      <c r="J112" s="205"/>
      <c r="K112" s="205"/>
      <c r="L112" s="205"/>
      <c r="M112" s="205"/>
      <c r="N112" s="205"/>
      <c r="O112" s="205"/>
      <c r="P112" s="205"/>
      <c r="Q112" s="205"/>
      <c r="R112" s="205"/>
      <c r="S112" s="205"/>
      <c r="T112" s="205"/>
      <c r="U112" s="205"/>
      <c r="V112" s="205"/>
      <c r="W112" s="205"/>
      <c r="X112" s="205"/>
      <c r="Y112" s="205"/>
      <c r="Z112" s="205"/>
      <c r="AA112" s="205"/>
      <c r="AB112" s="205"/>
      <c r="AC112" s="2"/>
      <c r="AD112" s="2"/>
      <c r="AE112" s="2"/>
      <c r="AF112" s="2"/>
      <c r="AG112" s="2"/>
      <c r="AH112" s="2"/>
      <c r="AI112" s="2"/>
      <c r="AJ112" s="2"/>
      <c r="AK112" s="2"/>
      <c r="AL112" s="2"/>
      <c r="AM112" s="2"/>
      <c r="AN112" s="2"/>
      <c r="AO112" s="2"/>
      <c r="AP112" s="2"/>
      <c r="AQ112" s="2"/>
      <c r="AR112" s="2"/>
    </row>
    <row r="113" customFormat="false" ht="14.25" hidden="false" customHeight="true" outlineLevel="0" collapsed="false">
      <c r="A113" s="186"/>
      <c r="B113" s="186"/>
      <c r="C113" s="196"/>
      <c r="D113" s="196"/>
      <c r="E113" s="205"/>
      <c r="F113" s="205"/>
      <c r="G113" s="205"/>
      <c r="H113" s="205"/>
      <c r="I113" s="205"/>
      <c r="J113" s="205"/>
      <c r="K113" s="205"/>
      <c r="L113" s="205"/>
      <c r="M113" s="205"/>
      <c r="N113" s="205"/>
      <c r="O113" s="205"/>
      <c r="P113" s="205"/>
      <c r="Q113" s="205"/>
      <c r="R113" s="205"/>
      <c r="S113" s="205"/>
      <c r="T113" s="205"/>
      <c r="U113" s="205"/>
      <c r="V113" s="205"/>
      <c r="W113" s="205"/>
      <c r="X113" s="205"/>
      <c r="Y113" s="205"/>
      <c r="Z113" s="205"/>
      <c r="AA113" s="205"/>
      <c r="AB113" s="205"/>
      <c r="AC113" s="2"/>
      <c r="AD113" s="2"/>
      <c r="AE113" s="2"/>
      <c r="AF113" s="2"/>
      <c r="AG113" s="2"/>
      <c r="AH113" s="2"/>
      <c r="AI113" s="2"/>
      <c r="AJ113" s="2"/>
      <c r="AK113" s="2"/>
      <c r="AL113" s="2"/>
      <c r="AM113" s="2"/>
      <c r="AN113" s="2"/>
      <c r="AO113" s="2"/>
      <c r="AP113" s="2"/>
      <c r="AQ113" s="2"/>
      <c r="AR113" s="2"/>
    </row>
    <row r="114" customFormat="false" ht="14.25" hidden="false" customHeight="true" outlineLevel="0" collapsed="false">
      <c r="A114" s="186"/>
      <c r="B114" s="186"/>
      <c r="C114" s="196"/>
      <c r="D114" s="196"/>
      <c r="E114" s="205"/>
      <c r="F114" s="205"/>
      <c r="G114" s="205"/>
      <c r="H114" s="205"/>
      <c r="I114" s="205"/>
      <c r="J114" s="205"/>
      <c r="K114" s="205"/>
      <c r="L114" s="205"/>
      <c r="M114" s="205"/>
      <c r="N114" s="205"/>
      <c r="O114" s="205"/>
      <c r="P114" s="205"/>
      <c r="Q114" s="205"/>
      <c r="R114" s="205"/>
      <c r="S114" s="205"/>
      <c r="T114" s="205"/>
      <c r="U114" s="205"/>
      <c r="V114" s="205"/>
      <c r="W114" s="205"/>
      <c r="X114" s="205"/>
      <c r="Y114" s="205"/>
      <c r="Z114" s="205"/>
      <c r="AA114" s="205"/>
      <c r="AB114" s="205"/>
      <c r="AC114" s="2"/>
      <c r="AD114" s="2"/>
      <c r="AE114" s="2"/>
      <c r="AF114" s="2"/>
      <c r="AG114" s="2"/>
      <c r="AH114" s="2"/>
      <c r="AI114" s="2"/>
      <c r="AJ114" s="2"/>
      <c r="AK114" s="2"/>
      <c r="AL114" s="2"/>
      <c r="AM114" s="2"/>
      <c r="AN114" s="2"/>
      <c r="AO114" s="2"/>
      <c r="AP114" s="2"/>
      <c r="AQ114" s="2"/>
      <c r="AR114" s="2"/>
    </row>
    <row r="115" customFormat="false" ht="14.25" hidden="false" customHeight="true" outlineLevel="0" collapsed="false">
      <c r="A115" s="186"/>
      <c r="B115" s="186"/>
      <c r="C115" s="196"/>
      <c r="D115" s="196"/>
      <c r="E115" s="205"/>
      <c r="F115" s="205"/>
      <c r="G115" s="205"/>
      <c r="H115" s="205"/>
      <c r="I115" s="205"/>
      <c r="J115" s="205"/>
      <c r="K115" s="205"/>
      <c r="L115" s="205"/>
      <c r="M115" s="205"/>
      <c r="N115" s="205"/>
      <c r="O115" s="205"/>
      <c r="P115" s="205"/>
      <c r="Q115" s="205"/>
      <c r="R115" s="205"/>
      <c r="S115" s="205"/>
      <c r="T115" s="205"/>
      <c r="U115" s="205"/>
      <c r="V115" s="205"/>
      <c r="W115" s="205"/>
      <c r="X115" s="205"/>
      <c r="Y115" s="205"/>
      <c r="Z115" s="205"/>
      <c r="AA115" s="205"/>
      <c r="AB115" s="205"/>
      <c r="AC115" s="2"/>
      <c r="AD115" s="2"/>
      <c r="AE115" s="2"/>
      <c r="AF115" s="2"/>
      <c r="AG115" s="2"/>
      <c r="AH115" s="2"/>
      <c r="AI115" s="2"/>
      <c r="AJ115" s="2"/>
      <c r="AK115" s="2"/>
      <c r="AL115" s="2"/>
      <c r="AM115" s="2"/>
      <c r="AN115" s="2"/>
      <c r="AO115" s="2"/>
      <c r="AP115" s="2"/>
      <c r="AQ115" s="2"/>
      <c r="AR115" s="2"/>
    </row>
    <row r="116" customFormat="false" ht="14.25" hidden="false" customHeight="true" outlineLevel="0" collapsed="false">
      <c r="A116" s="186"/>
      <c r="B116" s="186"/>
      <c r="C116" s="196"/>
      <c r="D116" s="196"/>
      <c r="E116" s="205"/>
      <c r="F116" s="205"/>
      <c r="G116" s="205"/>
      <c r="H116" s="205"/>
      <c r="I116" s="205"/>
      <c r="J116" s="205"/>
      <c r="K116" s="205"/>
      <c r="L116" s="205"/>
      <c r="M116" s="205"/>
      <c r="N116" s="205"/>
      <c r="O116" s="205"/>
      <c r="P116" s="205"/>
      <c r="Q116" s="205"/>
      <c r="R116" s="205"/>
      <c r="S116" s="205"/>
      <c r="T116" s="205"/>
      <c r="U116" s="205"/>
      <c r="V116" s="205"/>
      <c r="W116" s="205"/>
      <c r="X116" s="205"/>
      <c r="Y116" s="205"/>
      <c r="Z116" s="205"/>
      <c r="AA116" s="205"/>
      <c r="AB116" s="205"/>
      <c r="AC116" s="2"/>
      <c r="AD116" s="2"/>
      <c r="AE116" s="2"/>
      <c r="AF116" s="2"/>
      <c r="AG116" s="2"/>
      <c r="AH116" s="2"/>
      <c r="AI116" s="2"/>
      <c r="AJ116" s="2"/>
      <c r="AK116" s="2"/>
      <c r="AL116" s="2"/>
      <c r="AM116" s="2"/>
      <c r="AN116" s="2"/>
      <c r="AO116" s="2"/>
      <c r="AP116" s="2"/>
      <c r="AQ116" s="2"/>
      <c r="AR116" s="2"/>
    </row>
    <row r="117" customFormat="false" ht="14.25" hidden="false" customHeight="true" outlineLevel="0" collapsed="false">
      <c r="A117" s="186"/>
      <c r="B117" s="186"/>
      <c r="C117" s="196"/>
      <c r="D117" s="196"/>
      <c r="E117" s="205"/>
      <c r="F117" s="205"/>
      <c r="G117" s="205"/>
      <c r="H117" s="205"/>
      <c r="I117" s="205"/>
      <c r="J117" s="205"/>
      <c r="K117" s="205"/>
      <c r="L117" s="205"/>
      <c r="M117" s="205"/>
      <c r="N117" s="205"/>
      <c r="O117" s="205"/>
      <c r="P117" s="205"/>
      <c r="Q117" s="205"/>
      <c r="R117" s="205"/>
      <c r="S117" s="205"/>
      <c r="T117" s="205"/>
      <c r="U117" s="205"/>
      <c r="V117" s="205"/>
      <c r="W117" s="205"/>
      <c r="X117" s="205"/>
      <c r="Y117" s="205"/>
      <c r="Z117" s="205"/>
      <c r="AA117" s="205"/>
      <c r="AB117" s="205"/>
      <c r="AC117" s="2"/>
      <c r="AD117" s="2"/>
      <c r="AE117" s="2"/>
      <c r="AF117" s="2"/>
      <c r="AG117" s="2"/>
      <c r="AH117" s="2"/>
      <c r="AI117" s="2"/>
      <c r="AJ117" s="2"/>
      <c r="AK117" s="2"/>
      <c r="AL117" s="2"/>
      <c r="AM117" s="2"/>
      <c r="AN117" s="2"/>
      <c r="AO117" s="2"/>
      <c r="AP117" s="2"/>
      <c r="AQ117" s="2"/>
      <c r="AR117" s="2"/>
    </row>
    <row r="118" customFormat="false" ht="14.25" hidden="false" customHeight="true" outlineLevel="0" collapsed="false">
      <c r="A118" s="186"/>
      <c r="B118" s="186"/>
      <c r="C118" s="196"/>
      <c r="D118" s="196"/>
      <c r="E118" s="205"/>
      <c r="F118" s="205"/>
      <c r="G118" s="205"/>
      <c r="H118" s="205"/>
      <c r="I118" s="205"/>
      <c r="J118" s="205"/>
      <c r="K118" s="205"/>
      <c r="L118" s="205"/>
      <c r="M118" s="205"/>
      <c r="N118" s="205"/>
      <c r="O118" s="205"/>
      <c r="P118" s="205"/>
      <c r="Q118" s="205"/>
      <c r="R118" s="205"/>
      <c r="S118" s="205"/>
      <c r="T118" s="205"/>
      <c r="U118" s="205"/>
      <c r="V118" s="205"/>
      <c r="W118" s="205"/>
      <c r="X118" s="205"/>
      <c r="Y118" s="205"/>
      <c r="Z118" s="205"/>
      <c r="AA118" s="205"/>
      <c r="AB118" s="205"/>
      <c r="AC118" s="2"/>
      <c r="AD118" s="2"/>
      <c r="AE118" s="2"/>
      <c r="AF118" s="2"/>
      <c r="AG118" s="2"/>
      <c r="AH118" s="2"/>
      <c r="AI118" s="2"/>
      <c r="AJ118" s="2"/>
      <c r="AK118" s="2"/>
      <c r="AL118" s="2"/>
      <c r="AM118" s="2"/>
      <c r="AN118" s="2"/>
      <c r="AO118" s="2"/>
      <c r="AP118" s="2"/>
      <c r="AQ118" s="2"/>
      <c r="AR118" s="2"/>
    </row>
    <row r="119" customFormat="false" ht="14.25" hidden="false" customHeight="true" outlineLevel="0" collapsed="false">
      <c r="A119" s="186"/>
      <c r="B119" s="186"/>
      <c r="C119" s="196"/>
      <c r="D119" s="196"/>
      <c r="E119" s="205"/>
      <c r="F119" s="205"/>
      <c r="G119" s="205"/>
      <c r="H119" s="205"/>
      <c r="I119" s="205"/>
      <c r="J119" s="205"/>
      <c r="K119" s="205"/>
      <c r="L119" s="205"/>
      <c r="M119" s="205"/>
      <c r="N119" s="205"/>
      <c r="O119" s="205"/>
      <c r="P119" s="205"/>
      <c r="Q119" s="205"/>
      <c r="R119" s="205"/>
      <c r="S119" s="205"/>
      <c r="T119" s="205"/>
      <c r="U119" s="205"/>
      <c r="V119" s="205"/>
      <c r="W119" s="205"/>
      <c r="X119" s="205"/>
      <c r="Y119" s="205"/>
      <c r="Z119" s="205"/>
      <c r="AA119" s="205"/>
      <c r="AB119" s="205"/>
      <c r="AC119" s="2"/>
      <c r="AD119" s="2"/>
      <c r="AE119" s="2"/>
      <c r="AF119" s="2"/>
      <c r="AG119" s="2"/>
      <c r="AH119" s="2"/>
      <c r="AI119" s="2"/>
      <c r="AJ119" s="2"/>
      <c r="AK119" s="2"/>
      <c r="AL119" s="2"/>
      <c r="AM119" s="2"/>
      <c r="AN119" s="2"/>
      <c r="AO119" s="2"/>
      <c r="AP119" s="2"/>
      <c r="AQ119" s="2"/>
      <c r="AR119" s="2"/>
    </row>
    <row r="120" customFormat="false" ht="14.25" hidden="false" customHeight="true" outlineLevel="0" collapsed="false">
      <c r="A120" s="186"/>
      <c r="B120" s="186"/>
      <c r="C120" s="196"/>
      <c r="D120" s="196"/>
      <c r="E120" s="205"/>
      <c r="F120" s="205"/>
      <c r="G120" s="205"/>
      <c r="H120" s="205"/>
      <c r="I120" s="205"/>
      <c r="J120" s="205"/>
      <c r="K120" s="205"/>
      <c r="L120" s="205"/>
      <c r="M120" s="205"/>
      <c r="N120" s="205"/>
      <c r="O120" s="205"/>
      <c r="P120" s="205"/>
      <c r="Q120" s="205"/>
      <c r="R120" s="205"/>
      <c r="S120" s="205"/>
      <c r="T120" s="205"/>
      <c r="U120" s="205"/>
      <c r="V120" s="205"/>
      <c r="W120" s="205"/>
      <c r="X120" s="205"/>
      <c r="Y120" s="205"/>
      <c r="Z120" s="205"/>
      <c r="AA120" s="205"/>
      <c r="AB120" s="205"/>
      <c r="AC120" s="2"/>
      <c r="AD120" s="2"/>
      <c r="AE120" s="2"/>
      <c r="AF120" s="2"/>
      <c r="AG120" s="2"/>
      <c r="AH120" s="2"/>
      <c r="AI120" s="2"/>
      <c r="AJ120" s="2"/>
      <c r="AK120" s="2"/>
      <c r="AL120" s="2"/>
      <c r="AM120" s="2"/>
      <c r="AN120" s="2"/>
      <c r="AO120" s="2"/>
      <c r="AP120" s="2"/>
      <c r="AQ120" s="2"/>
      <c r="AR120" s="2"/>
    </row>
    <row r="121" customFormat="false" ht="14.25" hidden="false" customHeight="true" outlineLevel="0" collapsed="false">
      <c r="A121" s="186"/>
      <c r="B121" s="186"/>
      <c r="C121" s="196"/>
      <c r="D121" s="196"/>
      <c r="E121" s="205"/>
      <c r="F121" s="205"/>
      <c r="G121" s="205"/>
      <c r="H121" s="205"/>
      <c r="I121" s="205"/>
      <c r="J121" s="205"/>
      <c r="K121" s="205"/>
      <c r="L121" s="205"/>
      <c r="M121" s="205"/>
      <c r="N121" s="205"/>
      <c r="O121" s="205"/>
      <c r="P121" s="205"/>
      <c r="Q121" s="205"/>
      <c r="R121" s="205"/>
      <c r="S121" s="205"/>
      <c r="T121" s="205"/>
      <c r="U121" s="205"/>
      <c r="V121" s="205"/>
      <c r="W121" s="205"/>
      <c r="X121" s="205"/>
      <c r="Y121" s="205"/>
      <c r="Z121" s="205"/>
      <c r="AA121" s="205"/>
      <c r="AB121" s="205"/>
      <c r="AC121" s="2"/>
      <c r="AD121" s="2"/>
      <c r="AE121" s="2"/>
      <c r="AF121" s="2"/>
      <c r="AG121" s="2"/>
      <c r="AH121" s="2"/>
      <c r="AI121" s="2"/>
      <c r="AJ121" s="2"/>
      <c r="AK121" s="2"/>
      <c r="AL121" s="2"/>
      <c r="AM121" s="2"/>
      <c r="AN121" s="2"/>
      <c r="AO121" s="2"/>
      <c r="AP121" s="2"/>
      <c r="AQ121" s="2"/>
      <c r="AR121" s="2"/>
    </row>
    <row r="122" customFormat="false" ht="14.25" hidden="false" customHeight="true" outlineLevel="0" collapsed="false">
      <c r="A122" s="186"/>
      <c r="B122" s="186"/>
      <c r="C122" s="196"/>
      <c r="D122" s="196"/>
      <c r="E122" s="205"/>
      <c r="F122" s="205"/>
      <c r="G122" s="205"/>
      <c r="H122" s="205"/>
      <c r="I122" s="205"/>
      <c r="J122" s="205"/>
      <c r="K122" s="205"/>
      <c r="L122" s="205"/>
      <c r="M122" s="205"/>
      <c r="N122" s="205"/>
      <c r="O122" s="205"/>
      <c r="P122" s="205"/>
      <c r="Q122" s="205"/>
      <c r="R122" s="205"/>
      <c r="S122" s="205"/>
      <c r="T122" s="205"/>
      <c r="U122" s="205"/>
      <c r="V122" s="205"/>
      <c r="W122" s="205"/>
      <c r="X122" s="205"/>
      <c r="Y122" s="205"/>
      <c r="Z122" s="205"/>
      <c r="AA122" s="205"/>
      <c r="AB122" s="205"/>
      <c r="AC122" s="2"/>
      <c r="AD122" s="2"/>
      <c r="AE122" s="2"/>
      <c r="AF122" s="2"/>
      <c r="AG122" s="2"/>
      <c r="AH122" s="2"/>
      <c r="AI122" s="2"/>
      <c r="AJ122" s="2"/>
      <c r="AK122" s="2"/>
      <c r="AL122" s="2"/>
      <c r="AM122" s="2"/>
      <c r="AN122" s="2"/>
      <c r="AO122" s="2"/>
      <c r="AP122" s="2"/>
      <c r="AQ122" s="2"/>
      <c r="AR122" s="2"/>
    </row>
    <row r="123" customFormat="false" ht="14.25" hidden="false" customHeight="true" outlineLevel="0" collapsed="false">
      <c r="A123" s="186"/>
      <c r="B123" s="186"/>
      <c r="C123" s="200"/>
      <c r="D123" s="200"/>
      <c r="E123" s="206"/>
      <c r="F123" s="206"/>
      <c r="G123" s="206"/>
      <c r="H123" s="206"/>
      <c r="I123" s="206"/>
      <c r="J123" s="206"/>
      <c r="K123" s="206"/>
      <c r="L123" s="206"/>
      <c r="M123" s="251"/>
      <c r="N123" s="251"/>
      <c r="O123" s="206"/>
      <c r="P123" s="206"/>
      <c r="Q123" s="206"/>
      <c r="R123" s="206"/>
      <c r="S123" s="206"/>
      <c r="T123" s="206"/>
      <c r="U123" s="206"/>
      <c r="V123" s="206"/>
      <c r="W123" s="206"/>
      <c r="X123" s="206"/>
      <c r="Y123" s="206"/>
      <c r="Z123" s="206"/>
      <c r="AA123" s="206"/>
      <c r="AB123" s="206"/>
      <c r="AC123" s="2"/>
      <c r="AD123" s="2"/>
      <c r="AE123" s="2"/>
      <c r="AF123" s="2"/>
      <c r="AG123" s="2"/>
      <c r="AH123" s="2"/>
      <c r="AI123" s="2"/>
      <c r="AJ123" s="2"/>
      <c r="AK123" s="2"/>
      <c r="AL123" s="2"/>
      <c r="AM123" s="2"/>
      <c r="AN123" s="2"/>
      <c r="AO123" s="2"/>
      <c r="AP123" s="2"/>
      <c r="AQ123" s="2"/>
      <c r="AR123" s="2"/>
    </row>
    <row r="124" customFormat="false" ht="14.25" hidden="false" customHeight="true" outlineLevel="0" collapsed="false">
      <c r="A124" s="203" t="s">
        <v>111</v>
      </c>
      <c r="B124" s="203"/>
      <c r="C124" s="204" t="s">
        <v>112</v>
      </c>
      <c r="D124" s="204"/>
      <c r="E124" s="251" t="s">
        <v>103</v>
      </c>
      <c r="F124" s="251"/>
      <c r="G124" s="204" t="s">
        <v>103</v>
      </c>
      <c r="H124" s="204"/>
      <c r="I124" s="252" t="s">
        <v>103</v>
      </c>
      <c r="J124" s="252"/>
      <c r="K124" s="204" t="s">
        <v>103</v>
      </c>
      <c r="L124" s="204"/>
      <c r="M124" s="204" t="s">
        <v>103</v>
      </c>
      <c r="N124" s="204"/>
      <c r="O124" s="204" t="s">
        <v>103</v>
      </c>
      <c r="P124" s="204"/>
      <c r="Q124" s="204" t="s">
        <v>103</v>
      </c>
      <c r="R124" s="204"/>
      <c r="S124" s="204" t="s">
        <v>103</v>
      </c>
      <c r="T124" s="204"/>
      <c r="U124" s="204" t="s">
        <v>103</v>
      </c>
      <c r="V124" s="204"/>
      <c r="W124" s="204" t="s">
        <v>103</v>
      </c>
      <c r="X124" s="204"/>
      <c r="Y124" s="204" t="s">
        <v>103</v>
      </c>
      <c r="Z124" s="204"/>
      <c r="AA124" s="204" t="s">
        <v>103</v>
      </c>
      <c r="AB124" s="204"/>
      <c r="AC124" s="2"/>
      <c r="AD124" s="2"/>
      <c r="AE124" s="2"/>
      <c r="AF124" s="2"/>
      <c r="AG124" s="2"/>
      <c r="AH124" s="2"/>
      <c r="AI124" s="2"/>
      <c r="AJ124" s="2"/>
      <c r="AK124" s="2"/>
      <c r="AL124" s="2"/>
      <c r="AM124" s="2"/>
      <c r="AN124" s="2"/>
      <c r="AO124" s="2"/>
      <c r="AP124" s="2"/>
      <c r="AQ124" s="2"/>
      <c r="AR124" s="2"/>
    </row>
    <row r="125" customFormat="false" ht="14.25" hidden="false" customHeight="true" outlineLevel="0" collapsed="false">
      <c r="A125" s="203"/>
      <c r="B125" s="203"/>
      <c r="C125" s="205" t="s">
        <v>114</v>
      </c>
      <c r="D125" s="205"/>
      <c r="E125" s="210" t="s">
        <v>129</v>
      </c>
      <c r="F125" s="210"/>
      <c r="G125" s="205" t="s">
        <v>103</v>
      </c>
      <c r="H125" s="205"/>
      <c r="I125" s="210" t="s">
        <v>129</v>
      </c>
      <c r="J125" s="210"/>
      <c r="K125" s="205" t="s">
        <v>103</v>
      </c>
      <c r="L125" s="205"/>
      <c r="M125" s="205" t="s">
        <v>103</v>
      </c>
      <c r="N125" s="205"/>
      <c r="O125" s="205" t="s">
        <v>103</v>
      </c>
      <c r="P125" s="205"/>
      <c r="Q125" s="205" t="s">
        <v>103</v>
      </c>
      <c r="R125" s="205"/>
      <c r="S125" s="205" t="s">
        <v>103</v>
      </c>
      <c r="T125" s="205"/>
      <c r="U125" s="205" t="s">
        <v>103</v>
      </c>
      <c r="V125" s="205"/>
      <c r="W125" s="205" t="s">
        <v>103</v>
      </c>
      <c r="X125" s="205"/>
      <c r="Y125" s="205" t="s">
        <v>103</v>
      </c>
      <c r="Z125" s="205"/>
      <c r="AA125" s="205" t="s">
        <v>103</v>
      </c>
      <c r="AB125" s="205"/>
      <c r="AC125" s="2"/>
      <c r="AD125" s="2"/>
      <c r="AE125" s="2"/>
      <c r="AF125" s="2"/>
      <c r="AG125" s="2"/>
      <c r="AH125" s="2"/>
      <c r="AI125" s="2"/>
      <c r="AJ125" s="2"/>
      <c r="AK125" s="2"/>
      <c r="AL125" s="2"/>
      <c r="AM125" s="2"/>
      <c r="AN125" s="2"/>
      <c r="AO125" s="2"/>
      <c r="AP125" s="2"/>
      <c r="AQ125" s="2"/>
      <c r="AR125" s="2"/>
    </row>
    <row r="126" customFormat="false" ht="14.25" hidden="false" customHeight="true" outlineLevel="0" collapsed="false">
      <c r="A126" s="203"/>
      <c r="B126" s="203"/>
      <c r="C126" s="205" t="s">
        <v>115</v>
      </c>
      <c r="D126" s="205"/>
      <c r="E126" s="210" t="s">
        <v>130</v>
      </c>
      <c r="F126" s="210"/>
      <c r="G126" s="205" t="s">
        <v>103</v>
      </c>
      <c r="H126" s="205"/>
      <c r="I126" s="205" t="s">
        <v>103</v>
      </c>
      <c r="J126" s="205"/>
      <c r="K126" s="205" t="s">
        <v>103</v>
      </c>
      <c r="L126" s="205"/>
      <c r="M126" s="205" t="s">
        <v>103</v>
      </c>
      <c r="N126" s="205"/>
      <c r="O126" s="205" t="s">
        <v>103</v>
      </c>
      <c r="P126" s="205"/>
      <c r="Q126" s="205" t="s">
        <v>103</v>
      </c>
      <c r="R126" s="205"/>
      <c r="S126" s="205" t="s">
        <v>103</v>
      </c>
      <c r="T126" s="205"/>
      <c r="U126" s="205" t="s">
        <v>103</v>
      </c>
      <c r="V126" s="205"/>
      <c r="W126" s="205" t="s">
        <v>103</v>
      </c>
      <c r="X126" s="205"/>
      <c r="Y126" s="205" t="s">
        <v>103</v>
      </c>
      <c r="Z126" s="205"/>
      <c r="AA126" s="205" t="s">
        <v>103</v>
      </c>
      <c r="AB126" s="205"/>
      <c r="AC126" s="2"/>
      <c r="AD126" s="2"/>
      <c r="AE126" s="2"/>
      <c r="AF126" s="2"/>
      <c r="AG126" s="2"/>
      <c r="AH126" s="2"/>
      <c r="AI126" s="2"/>
      <c r="AJ126" s="2"/>
      <c r="AK126" s="2"/>
      <c r="AL126" s="2"/>
      <c r="AM126" s="2"/>
      <c r="AN126" s="2"/>
      <c r="AO126" s="2"/>
      <c r="AP126" s="2"/>
      <c r="AQ126" s="2"/>
      <c r="AR126" s="2"/>
    </row>
    <row r="127" customFormat="false" ht="14.25" hidden="false" customHeight="true" outlineLevel="0" collapsed="false">
      <c r="A127" s="203"/>
      <c r="B127" s="203"/>
      <c r="C127" s="205" t="s">
        <v>116</v>
      </c>
      <c r="D127" s="205"/>
      <c r="E127" s="210" t="s">
        <v>131</v>
      </c>
      <c r="F127" s="210"/>
      <c r="G127" s="205" t="s">
        <v>103</v>
      </c>
      <c r="H127" s="205"/>
      <c r="I127" s="205" t="s">
        <v>103</v>
      </c>
      <c r="J127" s="205"/>
      <c r="K127" s="205" t="s">
        <v>103</v>
      </c>
      <c r="L127" s="205"/>
      <c r="M127" s="205" t="s">
        <v>103</v>
      </c>
      <c r="N127" s="205"/>
      <c r="O127" s="205" t="s">
        <v>103</v>
      </c>
      <c r="P127" s="205"/>
      <c r="Q127" s="205" t="s">
        <v>103</v>
      </c>
      <c r="R127" s="205"/>
      <c r="S127" s="205" t="s">
        <v>103</v>
      </c>
      <c r="T127" s="205"/>
      <c r="U127" s="205" t="s">
        <v>103</v>
      </c>
      <c r="V127" s="205"/>
      <c r="W127" s="205" t="s">
        <v>103</v>
      </c>
      <c r="X127" s="205"/>
      <c r="Y127" s="205" t="s">
        <v>103</v>
      </c>
      <c r="Z127" s="205"/>
      <c r="AA127" s="205" t="s">
        <v>103</v>
      </c>
      <c r="AB127" s="205"/>
      <c r="AC127" s="2"/>
      <c r="AD127" s="2"/>
      <c r="AE127" s="2"/>
      <c r="AF127" s="2"/>
      <c r="AG127" s="2"/>
      <c r="AH127" s="2"/>
      <c r="AI127" s="2"/>
      <c r="AJ127" s="2"/>
      <c r="AK127" s="2"/>
      <c r="AL127" s="2"/>
      <c r="AM127" s="2"/>
      <c r="AN127" s="2"/>
      <c r="AO127" s="2"/>
      <c r="AP127" s="2"/>
      <c r="AQ127" s="2"/>
      <c r="AR127" s="2"/>
    </row>
    <row r="128" customFormat="false" ht="14.25" hidden="false" customHeight="true" outlineLevel="0" collapsed="false">
      <c r="A128" s="203"/>
      <c r="B128" s="203"/>
      <c r="C128" s="205" t="n">
        <v>0</v>
      </c>
      <c r="D128" s="205"/>
      <c r="E128" s="205" t="s">
        <v>103</v>
      </c>
      <c r="F128" s="205"/>
      <c r="G128" s="205" t="s">
        <v>103</v>
      </c>
      <c r="H128" s="205"/>
      <c r="I128" s="205" t="s">
        <v>103</v>
      </c>
      <c r="J128" s="205"/>
      <c r="K128" s="205" t="s">
        <v>103</v>
      </c>
      <c r="L128" s="205"/>
      <c r="M128" s="205" t="s">
        <v>103</v>
      </c>
      <c r="N128" s="205"/>
      <c r="O128" s="205" t="s">
        <v>103</v>
      </c>
      <c r="P128" s="205"/>
      <c r="Q128" s="205" t="s">
        <v>103</v>
      </c>
      <c r="R128" s="205"/>
      <c r="S128" s="205" t="s">
        <v>103</v>
      </c>
      <c r="T128" s="205"/>
      <c r="U128" s="205" t="s">
        <v>103</v>
      </c>
      <c r="V128" s="205"/>
      <c r="W128" s="205" t="s">
        <v>103</v>
      </c>
      <c r="X128" s="205"/>
      <c r="Y128" s="205" t="s">
        <v>103</v>
      </c>
      <c r="Z128" s="205"/>
      <c r="AA128" s="205" t="s">
        <v>103</v>
      </c>
      <c r="AB128" s="205"/>
      <c r="AC128" s="2"/>
      <c r="AD128" s="2"/>
      <c r="AE128" s="2"/>
      <c r="AF128" s="2"/>
      <c r="AG128" s="2"/>
      <c r="AH128" s="2"/>
      <c r="AI128" s="2"/>
      <c r="AJ128" s="2"/>
      <c r="AK128" s="2"/>
      <c r="AL128" s="2"/>
      <c r="AM128" s="2"/>
      <c r="AN128" s="2"/>
      <c r="AO128" s="2"/>
      <c r="AP128" s="2"/>
      <c r="AQ128" s="2"/>
      <c r="AR128" s="2"/>
    </row>
    <row r="129" customFormat="false" ht="14.25" hidden="false" customHeight="true" outlineLevel="0" collapsed="false">
      <c r="A129" s="203"/>
      <c r="B129" s="203"/>
      <c r="C129" s="205" t="n">
        <v>0</v>
      </c>
      <c r="D129" s="205"/>
      <c r="E129" s="205" t="s">
        <v>103</v>
      </c>
      <c r="F129" s="205"/>
      <c r="G129" s="205" t="s">
        <v>103</v>
      </c>
      <c r="H129" s="205"/>
      <c r="I129" s="205" t="s">
        <v>103</v>
      </c>
      <c r="J129" s="205"/>
      <c r="K129" s="205" t="s">
        <v>103</v>
      </c>
      <c r="L129" s="205"/>
      <c r="M129" s="205" t="s">
        <v>103</v>
      </c>
      <c r="N129" s="205"/>
      <c r="O129" s="205" t="s">
        <v>103</v>
      </c>
      <c r="P129" s="205"/>
      <c r="Q129" s="205" t="s">
        <v>103</v>
      </c>
      <c r="R129" s="205"/>
      <c r="S129" s="205" t="s">
        <v>103</v>
      </c>
      <c r="T129" s="205"/>
      <c r="U129" s="205" t="s">
        <v>103</v>
      </c>
      <c r="V129" s="205"/>
      <c r="W129" s="205" t="s">
        <v>103</v>
      </c>
      <c r="X129" s="205"/>
      <c r="Y129" s="205" t="s">
        <v>103</v>
      </c>
      <c r="Z129" s="205"/>
      <c r="AA129" s="205" t="s">
        <v>103</v>
      </c>
      <c r="AB129" s="205"/>
      <c r="AC129" s="2"/>
      <c r="AD129" s="2"/>
      <c r="AE129" s="2"/>
      <c r="AF129" s="2"/>
      <c r="AG129" s="2"/>
      <c r="AH129" s="2"/>
      <c r="AI129" s="2"/>
      <c r="AJ129" s="2"/>
      <c r="AK129" s="2"/>
      <c r="AL129" s="2"/>
      <c r="AM129" s="2"/>
      <c r="AN129" s="2"/>
      <c r="AO129" s="2"/>
      <c r="AP129" s="2"/>
      <c r="AQ129" s="2"/>
      <c r="AR129" s="2"/>
    </row>
    <row r="130" customFormat="false" ht="14.25" hidden="false" customHeight="true" outlineLevel="0" collapsed="false">
      <c r="A130" s="203"/>
      <c r="B130" s="203"/>
      <c r="C130" s="206" t="n">
        <v>0</v>
      </c>
      <c r="D130" s="206"/>
      <c r="E130" s="251" t="s">
        <v>103</v>
      </c>
      <c r="F130" s="251"/>
      <c r="G130" s="251" t="s">
        <v>103</v>
      </c>
      <c r="H130" s="251"/>
      <c r="I130" s="251" t="s">
        <v>103</v>
      </c>
      <c r="J130" s="251"/>
      <c r="K130" s="251" t="s">
        <v>103</v>
      </c>
      <c r="L130" s="251"/>
      <c r="M130" s="251" t="s">
        <v>103</v>
      </c>
      <c r="N130" s="251"/>
      <c r="O130" s="251" t="s">
        <v>103</v>
      </c>
      <c r="P130" s="251"/>
      <c r="Q130" s="251" t="s">
        <v>103</v>
      </c>
      <c r="R130" s="251"/>
      <c r="S130" s="251" t="s">
        <v>103</v>
      </c>
      <c r="T130" s="251"/>
      <c r="U130" s="251" t="s">
        <v>103</v>
      </c>
      <c r="V130" s="251"/>
      <c r="W130" s="251" t="s">
        <v>103</v>
      </c>
      <c r="X130" s="251"/>
      <c r="Y130" s="251" t="s">
        <v>103</v>
      </c>
      <c r="Z130" s="251"/>
      <c r="AA130" s="253" t="s">
        <v>103</v>
      </c>
      <c r="AB130" s="253"/>
      <c r="AC130" s="2"/>
      <c r="AD130" s="2"/>
      <c r="AE130" s="2"/>
      <c r="AF130" s="2"/>
      <c r="AG130" s="2"/>
      <c r="AH130" s="2"/>
      <c r="AI130" s="2"/>
      <c r="AJ130" s="2"/>
      <c r="AK130" s="2"/>
      <c r="AL130" s="2"/>
      <c r="AM130" s="2"/>
      <c r="AN130" s="2"/>
      <c r="AO130" s="2"/>
      <c r="AP130" s="2"/>
      <c r="AQ130" s="2"/>
      <c r="AR130" s="2"/>
    </row>
    <row r="131" customFormat="false" ht="14.25" hidden="false" customHeight="true" outlineLevel="0" collapsed="false">
      <c r="A131" s="203" t="s">
        <v>117</v>
      </c>
      <c r="B131" s="203"/>
      <c r="C131" s="208" t="s">
        <v>118</v>
      </c>
      <c r="D131" s="208"/>
      <c r="E131" s="209" t="s">
        <v>132</v>
      </c>
      <c r="F131" s="209"/>
      <c r="G131" s="204" t="s">
        <v>103</v>
      </c>
      <c r="H131" s="204"/>
      <c r="I131" s="204" t="s">
        <v>132</v>
      </c>
      <c r="J131" s="204"/>
      <c r="K131" s="204" t="s">
        <v>103</v>
      </c>
      <c r="L131" s="204"/>
      <c r="M131" s="204" t="s">
        <v>103</v>
      </c>
      <c r="N131" s="204"/>
      <c r="O131" s="204" t="s">
        <v>132</v>
      </c>
      <c r="P131" s="204"/>
      <c r="Q131" s="209" t="s">
        <v>103</v>
      </c>
      <c r="R131" s="209"/>
      <c r="S131" s="204" t="s">
        <v>103</v>
      </c>
      <c r="T131" s="204"/>
      <c r="U131" s="204" t="s">
        <v>132</v>
      </c>
      <c r="V131" s="204"/>
      <c r="W131" s="204" t="s">
        <v>103</v>
      </c>
      <c r="X131" s="204"/>
      <c r="Y131" s="204" t="s">
        <v>103</v>
      </c>
      <c r="Z131" s="204"/>
      <c r="AA131" s="254" t="s">
        <v>103</v>
      </c>
      <c r="AB131" s="254"/>
      <c r="AC131" s="2"/>
      <c r="AD131" s="2"/>
      <c r="AE131" s="2"/>
      <c r="AF131" s="2"/>
      <c r="AG131" s="2"/>
      <c r="AH131" s="2"/>
      <c r="AI131" s="2"/>
      <c r="AJ131" s="2"/>
      <c r="AK131" s="2"/>
      <c r="AL131" s="2"/>
      <c r="AM131" s="2"/>
      <c r="AN131" s="2"/>
      <c r="AO131" s="2"/>
      <c r="AP131" s="2"/>
      <c r="AQ131" s="2"/>
      <c r="AR131" s="2"/>
    </row>
    <row r="132" customFormat="false" ht="14.25" hidden="false" customHeight="true" outlineLevel="0" collapsed="false">
      <c r="A132" s="203"/>
      <c r="B132" s="203"/>
      <c r="C132" s="205" t="s">
        <v>120</v>
      </c>
      <c r="D132" s="205"/>
      <c r="E132" s="210" t="s">
        <v>133</v>
      </c>
      <c r="F132" s="210"/>
      <c r="G132" s="205" t="s">
        <v>103</v>
      </c>
      <c r="H132" s="205"/>
      <c r="I132" s="205" t="s">
        <v>133</v>
      </c>
      <c r="J132" s="205"/>
      <c r="K132" s="205" t="s">
        <v>103</v>
      </c>
      <c r="L132" s="205"/>
      <c r="M132" s="205" t="s">
        <v>103</v>
      </c>
      <c r="N132" s="205"/>
      <c r="O132" s="205" t="s">
        <v>133</v>
      </c>
      <c r="P132" s="205"/>
      <c r="Q132" s="210" t="s">
        <v>103</v>
      </c>
      <c r="R132" s="210"/>
      <c r="S132" s="205" t="s">
        <v>103</v>
      </c>
      <c r="T132" s="205"/>
      <c r="U132" s="205" t="s">
        <v>133</v>
      </c>
      <c r="V132" s="205"/>
      <c r="W132" s="205" t="s">
        <v>103</v>
      </c>
      <c r="X132" s="205"/>
      <c r="Y132" s="205" t="s">
        <v>103</v>
      </c>
      <c r="Z132" s="205"/>
      <c r="AA132" s="255" t="s">
        <v>103</v>
      </c>
      <c r="AB132" s="255"/>
      <c r="AC132" s="2"/>
      <c r="AD132" s="2"/>
      <c r="AE132" s="2"/>
      <c r="AF132" s="2"/>
      <c r="AG132" s="2"/>
      <c r="AH132" s="2"/>
      <c r="AI132" s="2"/>
      <c r="AJ132" s="2"/>
      <c r="AK132" s="2"/>
      <c r="AL132" s="2"/>
      <c r="AM132" s="2"/>
      <c r="AN132" s="2"/>
      <c r="AO132" s="2"/>
      <c r="AP132" s="2"/>
      <c r="AQ132" s="2"/>
      <c r="AR132" s="2"/>
    </row>
    <row r="133" customFormat="false" ht="14.25" hidden="false" customHeight="true" outlineLevel="0" collapsed="false">
      <c r="A133" s="203"/>
      <c r="B133" s="203"/>
      <c r="C133" s="205" t="s">
        <v>122</v>
      </c>
      <c r="D133" s="205"/>
      <c r="E133" s="210" t="s">
        <v>134</v>
      </c>
      <c r="F133" s="210"/>
      <c r="G133" s="205" t="s">
        <v>103</v>
      </c>
      <c r="H133" s="205"/>
      <c r="I133" s="205" t="s">
        <v>134</v>
      </c>
      <c r="J133" s="205"/>
      <c r="K133" s="205" t="s">
        <v>103</v>
      </c>
      <c r="L133" s="205"/>
      <c r="M133" s="205" t="s">
        <v>103</v>
      </c>
      <c r="N133" s="205"/>
      <c r="O133" s="205" t="s">
        <v>134</v>
      </c>
      <c r="P133" s="205"/>
      <c r="Q133" s="210" t="s">
        <v>103</v>
      </c>
      <c r="R133" s="210"/>
      <c r="S133" s="205" t="s">
        <v>103</v>
      </c>
      <c r="T133" s="205"/>
      <c r="U133" s="205" t="s">
        <v>134</v>
      </c>
      <c r="V133" s="205"/>
      <c r="W133" s="205" t="s">
        <v>103</v>
      </c>
      <c r="X133" s="205"/>
      <c r="Y133" s="205" t="s">
        <v>103</v>
      </c>
      <c r="Z133" s="205"/>
      <c r="AA133" s="255" t="s">
        <v>103</v>
      </c>
      <c r="AB133" s="255"/>
      <c r="AC133" s="2"/>
      <c r="AD133" s="2"/>
      <c r="AE133" s="2"/>
      <c r="AF133" s="2"/>
      <c r="AG133" s="2"/>
      <c r="AH133" s="2"/>
      <c r="AI133" s="2"/>
      <c r="AJ133" s="2"/>
      <c r="AK133" s="2"/>
      <c r="AL133" s="2"/>
      <c r="AM133" s="2"/>
      <c r="AN133" s="2"/>
      <c r="AO133" s="2"/>
      <c r="AP133" s="2"/>
      <c r="AQ133" s="2"/>
      <c r="AR133" s="2"/>
    </row>
    <row r="134" customFormat="false" ht="14.25" hidden="false" customHeight="true" outlineLevel="0" collapsed="false">
      <c r="A134" s="203"/>
      <c r="B134" s="203"/>
      <c r="C134" s="205" t="s">
        <v>124</v>
      </c>
      <c r="D134" s="205"/>
      <c r="E134" s="210" t="s">
        <v>135</v>
      </c>
      <c r="F134" s="210"/>
      <c r="G134" s="205" t="s">
        <v>103</v>
      </c>
      <c r="H134" s="205"/>
      <c r="I134" s="205" t="s">
        <v>135</v>
      </c>
      <c r="J134" s="205"/>
      <c r="K134" s="205" t="s">
        <v>103</v>
      </c>
      <c r="L134" s="205"/>
      <c r="M134" s="205" t="s">
        <v>103</v>
      </c>
      <c r="N134" s="205"/>
      <c r="O134" s="205" t="s">
        <v>135</v>
      </c>
      <c r="P134" s="205"/>
      <c r="Q134" s="210" t="s">
        <v>103</v>
      </c>
      <c r="R134" s="210"/>
      <c r="S134" s="205" t="s">
        <v>103</v>
      </c>
      <c r="T134" s="205"/>
      <c r="U134" s="205" t="s">
        <v>135</v>
      </c>
      <c r="V134" s="205"/>
      <c r="W134" s="205" t="s">
        <v>103</v>
      </c>
      <c r="X134" s="205"/>
      <c r="Y134" s="205" t="s">
        <v>103</v>
      </c>
      <c r="Z134" s="205"/>
      <c r="AA134" s="255" t="s">
        <v>103</v>
      </c>
      <c r="AB134" s="255"/>
      <c r="AC134" s="2"/>
      <c r="AD134" s="2"/>
      <c r="AE134" s="2"/>
      <c r="AF134" s="2"/>
      <c r="AG134" s="2"/>
      <c r="AH134" s="2"/>
      <c r="AI134" s="2"/>
      <c r="AJ134" s="2"/>
      <c r="AK134" s="2"/>
      <c r="AL134" s="2"/>
      <c r="AM134" s="2"/>
      <c r="AN134" s="2"/>
      <c r="AO134" s="2"/>
      <c r="AP134" s="2"/>
      <c r="AQ134" s="2"/>
      <c r="AR134" s="2"/>
    </row>
    <row r="135" customFormat="false" ht="14.25" hidden="false" customHeight="true" outlineLevel="0" collapsed="false">
      <c r="A135" s="203"/>
      <c r="B135" s="203"/>
      <c r="C135" s="205"/>
      <c r="D135" s="205"/>
      <c r="E135" s="210"/>
      <c r="F135" s="210"/>
      <c r="G135" s="208"/>
      <c r="H135" s="208"/>
      <c r="I135" s="208"/>
      <c r="J135" s="208"/>
      <c r="K135" s="208"/>
      <c r="L135" s="208"/>
      <c r="M135" s="208"/>
      <c r="N135" s="208"/>
      <c r="O135" s="208"/>
      <c r="P135" s="208"/>
      <c r="Q135" s="210"/>
      <c r="R135" s="210"/>
      <c r="S135" s="208"/>
      <c r="T135" s="208"/>
      <c r="U135" s="208"/>
      <c r="V135" s="208"/>
      <c r="W135" s="208"/>
      <c r="X135" s="208"/>
      <c r="Y135" s="208"/>
      <c r="Z135" s="208"/>
      <c r="AA135" s="256"/>
      <c r="AB135" s="256"/>
      <c r="AC135" s="2"/>
      <c r="AD135" s="2"/>
      <c r="AE135" s="2"/>
      <c r="AF135" s="2"/>
      <c r="AG135" s="2"/>
      <c r="AH135" s="2"/>
      <c r="AI135" s="2"/>
      <c r="AJ135" s="2"/>
      <c r="AK135" s="2"/>
      <c r="AL135" s="2"/>
      <c r="AM135" s="2"/>
      <c r="AN135" s="2"/>
      <c r="AO135" s="2"/>
      <c r="AP135" s="2"/>
      <c r="AQ135" s="2"/>
      <c r="AR135" s="2"/>
    </row>
    <row r="136" customFormat="false" ht="14.25" hidden="false" customHeight="true" outlineLevel="0" collapsed="false">
      <c r="A136" s="203"/>
      <c r="B136" s="203"/>
      <c r="C136" s="206"/>
      <c r="D136" s="206"/>
      <c r="E136" s="211"/>
      <c r="F136" s="211"/>
      <c r="G136" s="206"/>
      <c r="H136" s="206"/>
      <c r="I136" s="206"/>
      <c r="J136" s="206"/>
      <c r="K136" s="206"/>
      <c r="L136" s="206"/>
      <c r="M136" s="206"/>
      <c r="N136" s="206"/>
      <c r="O136" s="206"/>
      <c r="P136" s="206"/>
      <c r="Q136" s="211"/>
      <c r="R136" s="211"/>
      <c r="S136" s="206"/>
      <c r="T136" s="206"/>
      <c r="U136" s="206"/>
      <c r="V136" s="206"/>
      <c r="W136" s="206"/>
      <c r="X136" s="206"/>
      <c r="Y136" s="206"/>
      <c r="Z136" s="206"/>
      <c r="AA136" s="257"/>
      <c r="AB136" s="257"/>
      <c r="AC136" s="2"/>
      <c r="AD136" s="2"/>
      <c r="AE136" s="2"/>
      <c r="AF136" s="2"/>
      <c r="AG136" s="2"/>
      <c r="AH136" s="2"/>
      <c r="AI136" s="2"/>
      <c r="AJ136" s="2"/>
      <c r="AK136" s="2"/>
      <c r="AL136" s="2"/>
      <c r="AM136" s="2"/>
      <c r="AN136" s="2"/>
      <c r="AO136" s="2"/>
      <c r="AP136" s="2"/>
      <c r="AQ136" s="2"/>
      <c r="AR136" s="2"/>
    </row>
    <row r="137" customFormat="false" ht="25.5" hidden="false" customHeight="true" outlineLevel="0" collapsed="false">
      <c r="A137" s="212"/>
      <c r="B137" s="212"/>
      <c r="C137" s="184"/>
      <c r="D137" s="184"/>
      <c r="E137" s="213"/>
      <c r="F137" s="213"/>
      <c r="G137" s="213"/>
      <c r="H137" s="213"/>
      <c r="I137" s="213"/>
      <c r="J137" s="213"/>
      <c r="K137" s="213"/>
      <c r="L137" s="213"/>
      <c r="M137" s="213"/>
      <c r="N137" s="213"/>
      <c r="O137" s="213"/>
      <c r="P137" s="213"/>
      <c r="Q137" s="213"/>
      <c r="R137" s="213"/>
      <c r="S137" s="213"/>
      <c r="T137" s="213"/>
      <c r="U137" s="213"/>
      <c r="V137" s="213"/>
      <c r="W137" s="213"/>
      <c r="X137" s="213"/>
      <c r="Y137" s="213"/>
      <c r="Z137" s="213"/>
      <c r="AA137" s="213"/>
      <c r="AB137" s="213"/>
      <c r="AC137" s="2"/>
      <c r="AD137" s="2"/>
      <c r="AE137" s="2"/>
      <c r="AF137" s="2"/>
      <c r="AG137" s="2"/>
      <c r="AH137" s="2"/>
      <c r="AI137" s="2"/>
      <c r="AJ137" s="2"/>
      <c r="AK137" s="2"/>
      <c r="AL137" s="2"/>
      <c r="AM137" s="2"/>
      <c r="AN137" s="2"/>
      <c r="AO137" s="2"/>
      <c r="AP137" s="2"/>
      <c r="AQ137" s="2"/>
      <c r="AR137" s="2"/>
    </row>
    <row r="138" customFormat="false" ht="25.5" hidden="false" customHeight="true" outlineLevel="0" collapsed="false">
      <c r="A138" s="214"/>
      <c r="B138" s="214"/>
      <c r="C138" s="216"/>
      <c r="D138" s="216"/>
      <c r="E138" s="217"/>
      <c r="F138" s="217"/>
      <c r="G138" s="217"/>
      <c r="H138" s="217"/>
      <c r="I138" s="217"/>
      <c r="J138" s="217"/>
      <c r="K138" s="217"/>
      <c r="L138" s="217"/>
      <c r="M138" s="217"/>
      <c r="N138" s="217"/>
      <c r="O138" s="217"/>
      <c r="P138" s="217"/>
      <c r="Q138" s="217"/>
      <c r="R138" s="217"/>
      <c r="S138" s="217"/>
      <c r="T138" s="217"/>
      <c r="U138" s="217"/>
      <c r="V138" s="217"/>
      <c r="W138" s="217"/>
      <c r="X138" s="217"/>
      <c r="Y138" s="217"/>
      <c r="Z138" s="217"/>
      <c r="AA138" s="217"/>
      <c r="AB138" s="217"/>
      <c r="AC138" s="215"/>
      <c r="AD138" s="215"/>
      <c r="AE138" s="215"/>
      <c r="AF138" s="215"/>
      <c r="AG138" s="215"/>
      <c r="AH138" s="215"/>
      <c r="AI138" s="215"/>
      <c r="AJ138" s="215"/>
      <c r="AK138" s="215"/>
      <c r="AL138" s="215"/>
      <c r="AM138" s="215"/>
      <c r="AN138" s="215"/>
      <c r="AO138" s="215"/>
      <c r="AP138" s="215"/>
      <c r="AQ138" s="215"/>
      <c r="AR138" s="2"/>
    </row>
    <row r="139" customFormat="false" ht="25.5" hidden="false" customHeight="true" outlineLevel="0" collapsed="false">
      <c r="A139" s="212"/>
      <c r="B139" s="212"/>
      <c r="C139" s="184"/>
      <c r="D139" s="184"/>
      <c r="E139" s="213"/>
      <c r="F139" s="213"/>
      <c r="G139" s="213"/>
      <c r="H139" s="213"/>
      <c r="I139" s="213"/>
      <c r="J139" s="213"/>
      <c r="K139" s="213"/>
      <c r="L139" s="213"/>
      <c r="M139" s="213"/>
      <c r="N139" s="213"/>
      <c r="O139" s="213"/>
      <c r="P139" s="213"/>
      <c r="Q139" s="213"/>
      <c r="R139" s="213"/>
      <c r="S139" s="213"/>
      <c r="T139" s="213"/>
      <c r="U139" s="213"/>
      <c r="V139" s="213"/>
      <c r="W139" s="213"/>
      <c r="X139" s="213"/>
      <c r="Y139" s="213"/>
      <c r="Z139" s="213"/>
      <c r="AA139" s="213"/>
      <c r="AB139" s="213"/>
      <c r="AC139" s="2"/>
      <c r="AD139" s="2"/>
      <c r="AE139" s="2"/>
      <c r="AF139" s="2"/>
      <c r="AG139" s="2"/>
      <c r="AH139" s="2"/>
      <c r="AI139" s="2"/>
      <c r="AJ139" s="2"/>
      <c r="AK139" s="2"/>
      <c r="AL139" s="2"/>
      <c r="AM139" s="2"/>
      <c r="AN139" s="2"/>
      <c r="AO139" s="2"/>
      <c r="AP139" s="2"/>
      <c r="AQ139" s="2"/>
      <c r="AR139" s="2"/>
    </row>
    <row r="140" customFormat="false" ht="25.5" hidden="false" customHeight="true" outlineLevel="0" collapsed="false">
      <c r="A140" s="12" t="s">
        <v>136</v>
      </c>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2"/>
      <c r="AD140" s="2"/>
      <c r="AE140" s="2"/>
      <c r="AF140" s="2"/>
      <c r="AG140" s="2"/>
      <c r="AH140" s="2"/>
      <c r="AI140" s="2"/>
      <c r="AJ140" s="2"/>
      <c r="AK140" s="2"/>
      <c r="AL140" s="2"/>
      <c r="AM140" s="2"/>
      <c r="AN140" s="2"/>
      <c r="AO140" s="2"/>
      <c r="AP140" s="2"/>
      <c r="AQ140" s="2"/>
      <c r="AR140" s="2"/>
    </row>
    <row r="141" customFormat="false" ht="14.25" hidden="false" customHeight="true" outlineLevel="0" collapsed="false">
      <c r="A141" s="258" t="s">
        <v>79</v>
      </c>
      <c r="B141" s="259" t="s">
        <v>57</v>
      </c>
      <c r="C141" s="260" t="s">
        <v>80</v>
      </c>
      <c r="D141" s="260"/>
      <c r="E141" s="261" t="s">
        <v>81</v>
      </c>
      <c r="F141" s="261"/>
      <c r="G141" s="94" t="s">
        <v>82</v>
      </c>
      <c r="H141" s="94"/>
      <c r="I141" s="94" t="s">
        <v>83</v>
      </c>
      <c r="J141" s="94"/>
      <c r="K141" s="94" t="s">
        <v>84</v>
      </c>
      <c r="L141" s="94"/>
      <c r="M141" s="94" t="s">
        <v>85</v>
      </c>
      <c r="N141" s="94"/>
      <c r="O141" s="94" t="s">
        <v>86</v>
      </c>
      <c r="P141" s="94"/>
      <c r="Q141" s="94" t="s">
        <v>87</v>
      </c>
      <c r="R141" s="94"/>
      <c r="S141" s="94" t="s">
        <v>88</v>
      </c>
      <c r="T141" s="94"/>
      <c r="U141" s="94" t="s">
        <v>89</v>
      </c>
      <c r="V141" s="94"/>
      <c r="W141" s="94" t="s">
        <v>90</v>
      </c>
      <c r="X141" s="94"/>
      <c r="Y141" s="94" t="s">
        <v>91</v>
      </c>
      <c r="Z141" s="94"/>
      <c r="AA141" s="94" t="s">
        <v>92</v>
      </c>
      <c r="AB141" s="94"/>
      <c r="AC141" s="2"/>
      <c r="AD141" s="2"/>
      <c r="AE141" s="2"/>
      <c r="AF141" s="2"/>
      <c r="AG141" s="2"/>
      <c r="AH141" s="2"/>
      <c r="AI141" s="2"/>
      <c r="AJ141" s="2"/>
      <c r="AK141" s="2"/>
      <c r="AL141" s="2"/>
      <c r="AM141" s="2"/>
      <c r="AN141" s="2"/>
      <c r="AO141" s="2"/>
      <c r="AP141" s="2"/>
      <c r="AQ141" s="2"/>
      <c r="AR141" s="2"/>
    </row>
    <row r="142" customFormat="false" ht="14.25" hidden="false" customHeight="true" outlineLevel="0" collapsed="false">
      <c r="A142" s="258"/>
      <c r="B142" s="259"/>
      <c r="C142" s="95" t="s">
        <v>37</v>
      </c>
      <c r="D142" s="220" t="s">
        <v>93</v>
      </c>
      <c r="E142" s="97" t="n">
        <f aca="false">F157/$D$157</f>
        <v>0.0643864120220097</v>
      </c>
      <c r="F142" s="97"/>
      <c r="G142" s="97" t="n">
        <f aca="false">H157/$D$157</f>
        <v>0.0672552749374208</v>
      </c>
      <c r="H142" s="97"/>
      <c r="I142" s="97" t="n">
        <f aca="false">J157/$D$157</f>
        <v>0.0707520559711753</v>
      </c>
      <c r="J142" s="97"/>
      <c r="K142" s="97" t="n">
        <f aca="false">L157/$D$157</f>
        <v>0.0738519587359994</v>
      </c>
      <c r="L142" s="97"/>
      <c r="M142" s="97" t="n">
        <f aca="false">N157/$D$157</f>
        <v>0.0772140846427954</v>
      </c>
      <c r="N142" s="97"/>
      <c r="O142" s="97" t="n">
        <f aca="false">P157/$D$157</f>
        <v>0.0804061198629069</v>
      </c>
      <c r="P142" s="97"/>
      <c r="Q142" s="97" t="n">
        <f aca="false">R157/$D$157</f>
        <v>0.0842260732013619</v>
      </c>
      <c r="R142" s="97"/>
      <c r="S142" s="97" t="n">
        <f aca="false">T157/$D$157</f>
        <v>0.0876491482708864</v>
      </c>
      <c r="T142" s="97"/>
      <c r="U142" s="97" t="n">
        <f aca="false">V157/$D$157</f>
        <v>0.0923238073099307</v>
      </c>
      <c r="V142" s="97"/>
      <c r="W142" s="97" t="n">
        <f aca="false">X157/$D$157</f>
        <v>0.0961338386916624</v>
      </c>
      <c r="X142" s="97"/>
      <c r="Y142" s="97" t="n">
        <f aca="false">Z157/$D$157</f>
        <v>0.100834011333709</v>
      </c>
      <c r="Z142" s="97"/>
      <c r="AA142" s="97" t="n">
        <f aca="false">AB157/$D$157</f>
        <v>0.104967215020142</v>
      </c>
      <c r="AB142" s="97"/>
      <c r="AC142" s="2"/>
      <c r="AD142" s="2"/>
      <c r="AE142" s="2"/>
      <c r="AF142" s="2"/>
      <c r="AG142" s="2"/>
      <c r="AH142" s="2"/>
      <c r="AI142" s="2"/>
      <c r="AJ142" s="2"/>
      <c r="AK142" s="2"/>
      <c r="AL142" s="2"/>
      <c r="AM142" s="2"/>
      <c r="AN142" s="2"/>
      <c r="AO142" s="2"/>
      <c r="AP142" s="2"/>
      <c r="AQ142" s="2"/>
      <c r="AR142" s="2"/>
    </row>
    <row r="143" customFormat="false" ht="14.25" hidden="false" customHeight="true" outlineLevel="0" collapsed="false">
      <c r="A143" s="258"/>
      <c r="B143" s="259"/>
      <c r="C143" s="95"/>
      <c r="D143" s="220"/>
      <c r="E143" s="221" t="s">
        <v>37</v>
      </c>
      <c r="F143" s="222" t="s">
        <v>93</v>
      </c>
      <c r="G143" s="221" t="s">
        <v>37</v>
      </c>
      <c r="H143" s="222" t="s">
        <v>93</v>
      </c>
      <c r="I143" s="221" t="s">
        <v>37</v>
      </c>
      <c r="J143" s="222" t="s">
        <v>93</v>
      </c>
      <c r="K143" s="221" t="s">
        <v>37</v>
      </c>
      <c r="L143" s="222" t="s">
        <v>93</v>
      </c>
      <c r="M143" s="221" t="s">
        <v>37</v>
      </c>
      <c r="N143" s="222" t="s">
        <v>93</v>
      </c>
      <c r="O143" s="221" t="s">
        <v>37</v>
      </c>
      <c r="P143" s="222" t="s">
        <v>93</v>
      </c>
      <c r="Q143" s="221" t="s">
        <v>37</v>
      </c>
      <c r="R143" s="222" t="s">
        <v>93</v>
      </c>
      <c r="S143" s="98" t="s">
        <v>37</v>
      </c>
      <c r="T143" s="99" t="s">
        <v>93</v>
      </c>
      <c r="U143" s="98" t="s">
        <v>37</v>
      </c>
      <c r="V143" s="99" t="s">
        <v>93</v>
      </c>
      <c r="W143" s="98" t="s">
        <v>37</v>
      </c>
      <c r="X143" s="99" t="s">
        <v>93</v>
      </c>
      <c r="Y143" s="98" t="s">
        <v>37</v>
      </c>
      <c r="Z143" s="99" t="s">
        <v>93</v>
      </c>
      <c r="AA143" s="98" t="s">
        <v>37</v>
      </c>
      <c r="AB143" s="99" t="s">
        <v>93</v>
      </c>
      <c r="AC143" s="2"/>
      <c r="AD143" s="2"/>
      <c r="AE143" s="2"/>
      <c r="AF143" s="2"/>
      <c r="AG143" s="2"/>
      <c r="AH143" s="2"/>
      <c r="AI143" s="2"/>
      <c r="AJ143" s="2"/>
      <c r="AK143" s="2"/>
      <c r="AL143" s="2"/>
      <c r="AM143" s="2"/>
      <c r="AN143" s="2"/>
      <c r="AO143" s="2"/>
      <c r="AP143" s="2"/>
      <c r="AQ143" s="2"/>
      <c r="AR143" s="2"/>
    </row>
    <row r="144" customFormat="false" ht="15" hidden="false" customHeight="true" outlineLevel="0" collapsed="false">
      <c r="A144" s="100" t="str">
        <f aca="false">Hipótesis!$B$58</f>
        <v>Alta e instalación Plan Básico</v>
      </c>
      <c r="B144" s="101" t="n">
        <f aca="false">Hipótesis!C58</f>
        <v>40</v>
      </c>
      <c r="C144" s="102" t="n">
        <f aca="false">E144+G144+I144+K144+M144+O144+Q144+S144+U144+W144+Y144+AA144</f>
        <v>118</v>
      </c>
      <c r="D144" s="223" t="n">
        <f aca="false">B144*C144</f>
        <v>4720</v>
      </c>
      <c r="E144" s="104" t="n">
        <v>8</v>
      </c>
      <c r="F144" s="105" t="n">
        <f aca="false">E144*$B$144</f>
        <v>320</v>
      </c>
      <c r="G144" s="104" t="n">
        <v>8</v>
      </c>
      <c r="H144" s="105" t="n">
        <f aca="false">G144*$B$144</f>
        <v>320</v>
      </c>
      <c r="I144" s="104" t="n">
        <v>9</v>
      </c>
      <c r="J144" s="105" t="n">
        <f aca="false">I144*$B$144</f>
        <v>360</v>
      </c>
      <c r="K144" s="104" t="n">
        <v>9</v>
      </c>
      <c r="L144" s="105" t="n">
        <f aca="false">K144*$B$144</f>
        <v>360</v>
      </c>
      <c r="M144" s="104" t="n">
        <v>9</v>
      </c>
      <c r="N144" s="105" t="n">
        <f aca="false">M144*$B$144</f>
        <v>360</v>
      </c>
      <c r="O144" s="104" t="n">
        <v>9</v>
      </c>
      <c r="P144" s="105" t="n">
        <f aca="false">O144*$B$144</f>
        <v>360</v>
      </c>
      <c r="Q144" s="104" t="n">
        <v>10</v>
      </c>
      <c r="R144" s="105" t="n">
        <f aca="false">Q144*$B$144</f>
        <v>400</v>
      </c>
      <c r="S144" s="104" t="n">
        <v>10</v>
      </c>
      <c r="T144" s="105" t="n">
        <f aca="false">S144*$B$144</f>
        <v>400</v>
      </c>
      <c r="U144" s="104" t="n">
        <v>11</v>
      </c>
      <c r="V144" s="105" t="n">
        <f aca="false">U144*$B$144</f>
        <v>440</v>
      </c>
      <c r="W144" s="104" t="n">
        <v>11</v>
      </c>
      <c r="X144" s="105" t="n">
        <f aca="false">W144*$B$144</f>
        <v>440</v>
      </c>
      <c r="Y144" s="104" t="n">
        <v>12</v>
      </c>
      <c r="Z144" s="105" t="n">
        <f aca="false">Y144*$B$144</f>
        <v>480</v>
      </c>
      <c r="AA144" s="104" t="n">
        <v>12</v>
      </c>
      <c r="AB144" s="105" t="n">
        <f aca="false">AA144*$B$144</f>
        <v>480</v>
      </c>
      <c r="AC144" s="2"/>
      <c r="AD144" s="2"/>
      <c r="AE144" s="2"/>
      <c r="AF144" s="2"/>
      <c r="AG144" s="2"/>
      <c r="AH144" s="2"/>
      <c r="AI144" s="2"/>
      <c r="AJ144" s="2"/>
      <c r="AK144" s="2"/>
      <c r="AL144" s="2"/>
      <c r="AM144" s="2"/>
      <c r="AN144" s="2"/>
      <c r="AO144" s="2"/>
      <c r="AP144" s="2"/>
      <c r="AQ144" s="2"/>
      <c r="AR144" s="2"/>
    </row>
    <row r="145" customFormat="false" ht="15" hidden="false" customHeight="true" outlineLevel="0" collapsed="false">
      <c r="A145" s="100" t="str">
        <f aca="false">Hipótesis!$B$59</f>
        <v>Alta e instalación Plan Vidriera</v>
      </c>
      <c r="B145" s="106" t="n">
        <f aca="false">Hipótesis!C59</f>
        <v>120</v>
      </c>
      <c r="C145" s="107" t="n">
        <f aca="false">E145+G145+I145+K145+M145+O145+Q145+S145+U145+W145+Y145+AA145</f>
        <v>278</v>
      </c>
      <c r="D145" s="109" t="n">
        <f aca="false">B145*C145</f>
        <v>33360</v>
      </c>
      <c r="E145" s="107" t="n">
        <v>19</v>
      </c>
      <c r="F145" s="109" t="n">
        <f aca="false">E145*$B$145</f>
        <v>2280</v>
      </c>
      <c r="G145" s="107" t="n">
        <v>19</v>
      </c>
      <c r="H145" s="109" t="n">
        <f aca="false">G145*$B$145</f>
        <v>2280</v>
      </c>
      <c r="I145" s="107" t="n">
        <v>21</v>
      </c>
      <c r="J145" s="109" t="n">
        <f aca="false">I145*$B$145</f>
        <v>2520</v>
      </c>
      <c r="K145" s="107" t="n">
        <v>21</v>
      </c>
      <c r="L145" s="109" t="n">
        <f aca="false">K145*$B$145</f>
        <v>2520</v>
      </c>
      <c r="M145" s="107" t="n">
        <v>22</v>
      </c>
      <c r="N145" s="109" t="n">
        <f aca="false">M145*$B$145</f>
        <v>2640</v>
      </c>
      <c r="O145" s="107" t="n">
        <v>22</v>
      </c>
      <c r="P145" s="109" t="n">
        <f aca="false">O145*$B$145</f>
        <v>2640</v>
      </c>
      <c r="Q145" s="107" t="n">
        <v>24</v>
      </c>
      <c r="R145" s="109" t="n">
        <f aca="false">Q145*$B$145</f>
        <v>2880</v>
      </c>
      <c r="S145" s="107" t="n">
        <v>24</v>
      </c>
      <c r="T145" s="109" t="n">
        <f aca="false">S145*$B$145</f>
        <v>2880</v>
      </c>
      <c r="U145" s="107" t="n">
        <v>25</v>
      </c>
      <c r="V145" s="109" t="n">
        <f aca="false">U145*$B$145</f>
        <v>3000</v>
      </c>
      <c r="W145" s="107" t="n">
        <v>25</v>
      </c>
      <c r="X145" s="109" t="n">
        <f aca="false">W145*$B$145</f>
        <v>3000</v>
      </c>
      <c r="Y145" s="107" t="n">
        <v>28</v>
      </c>
      <c r="Z145" s="109" t="n">
        <f aca="false">Y145*$B$145</f>
        <v>3360</v>
      </c>
      <c r="AA145" s="107" t="n">
        <v>28</v>
      </c>
      <c r="AB145" s="109" t="n">
        <f aca="false">AA145*$B$145</f>
        <v>3360</v>
      </c>
      <c r="AC145" s="2"/>
      <c r="AD145" s="2"/>
      <c r="AE145" s="2"/>
      <c r="AF145" s="2"/>
      <c r="AG145" s="2"/>
      <c r="AH145" s="2"/>
      <c r="AI145" s="2"/>
      <c r="AJ145" s="2"/>
      <c r="AK145" s="2"/>
      <c r="AL145" s="2"/>
      <c r="AM145" s="2"/>
      <c r="AN145" s="2"/>
      <c r="AO145" s="2"/>
      <c r="AP145" s="2"/>
      <c r="AQ145" s="2"/>
      <c r="AR145" s="2"/>
    </row>
    <row r="146" customFormat="false" ht="15" hidden="false" customHeight="true" outlineLevel="0" collapsed="false">
      <c r="A146" s="100" t="str">
        <f aca="false">Hipótesis!$B$60</f>
        <v>Alta e instalación Plan Cadena</v>
      </c>
      <c r="B146" s="110" t="n">
        <f aca="false">Hipótesis!C60</f>
        <v>450</v>
      </c>
      <c r="C146" s="111" t="n">
        <f aca="false">E146+G146+I146+K146+M146+O146+Q146+S146+U146+W146+Y146+AA146</f>
        <v>40</v>
      </c>
      <c r="D146" s="224" t="n">
        <f aca="false">B146*C146</f>
        <v>18000</v>
      </c>
      <c r="E146" s="112" t="n">
        <v>3</v>
      </c>
      <c r="F146" s="113" t="n">
        <f aca="false">E146*$B$146</f>
        <v>1350</v>
      </c>
      <c r="G146" s="112" t="n">
        <v>3</v>
      </c>
      <c r="H146" s="113" t="n">
        <f aca="false">G146*$B$146</f>
        <v>1350</v>
      </c>
      <c r="I146" s="112" t="n">
        <v>3</v>
      </c>
      <c r="J146" s="113" t="n">
        <f aca="false">I146*$B$146</f>
        <v>1350</v>
      </c>
      <c r="K146" s="112" t="n">
        <v>3</v>
      </c>
      <c r="L146" s="113" t="n">
        <f aca="false">K146*$B$146</f>
        <v>1350</v>
      </c>
      <c r="M146" s="112" t="n">
        <v>3</v>
      </c>
      <c r="N146" s="113" t="n">
        <f aca="false">M146*$B$146</f>
        <v>1350</v>
      </c>
      <c r="O146" s="112" t="n">
        <v>3</v>
      </c>
      <c r="P146" s="113" t="n">
        <f aca="false">O146*$B$146</f>
        <v>1350</v>
      </c>
      <c r="Q146" s="112" t="n">
        <v>3</v>
      </c>
      <c r="R146" s="113" t="n">
        <f aca="false">Q146*$B$146</f>
        <v>1350</v>
      </c>
      <c r="S146" s="112" t="n">
        <v>3</v>
      </c>
      <c r="T146" s="113" t="n">
        <f aca="false">S146*$B$146</f>
        <v>1350</v>
      </c>
      <c r="U146" s="112" t="n">
        <v>4</v>
      </c>
      <c r="V146" s="113" t="n">
        <f aca="false">U146*$B$146</f>
        <v>1800</v>
      </c>
      <c r="W146" s="112" t="n">
        <v>4</v>
      </c>
      <c r="X146" s="113" t="n">
        <f aca="false">W146*$B$146</f>
        <v>1800</v>
      </c>
      <c r="Y146" s="112" t="n">
        <v>4</v>
      </c>
      <c r="Z146" s="113" t="n">
        <f aca="false">Y146*$B$146</f>
        <v>1800</v>
      </c>
      <c r="AA146" s="112" t="n">
        <v>4</v>
      </c>
      <c r="AB146" s="113" t="n">
        <f aca="false">AA146*$B$146</f>
        <v>1800</v>
      </c>
      <c r="AC146" s="2"/>
      <c r="AD146" s="2"/>
      <c r="AE146" s="2"/>
      <c r="AF146" s="2"/>
      <c r="AG146" s="2"/>
      <c r="AH146" s="2"/>
      <c r="AI146" s="2"/>
      <c r="AJ146" s="2"/>
      <c r="AK146" s="2"/>
      <c r="AL146" s="2"/>
      <c r="AM146" s="2"/>
      <c r="AN146" s="2"/>
      <c r="AO146" s="2"/>
      <c r="AP146" s="2"/>
      <c r="AQ146" s="2"/>
      <c r="AR146" s="2"/>
    </row>
    <row r="147" customFormat="false" ht="15" hidden="false" customHeight="true" outlineLevel="0" collapsed="false">
      <c r="A147" s="114" t="str">
        <f aca="false">Hipótesis!$B$61</f>
        <v>Abono Plan Básico</v>
      </c>
      <c r="B147" s="115" t="n">
        <f aca="false">Hipótesis!C61</f>
        <v>33</v>
      </c>
      <c r="C147" s="116" t="n">
        <f aca="false">E147+G147+I147+K147+M147+O147+Q147+S147+U147+W147+Y147+AA147</f>
        <v>2657</v>
      </c>
      <c r="D147" s="118" t="n">
        <f aca="false">B147*C147</f>
        <v>87681</v>
      </c>
      <c r="E147" s="117" t="n">
        <f aca="false">AA85+E144</f>
        <v>170</v>
      </c>
      <c r="F147" s="225" t="n">
        <f aca="false">E147*$B$147</f>
        <v>5610</v>
      </c>
      <c r="G147" s="117" t="n">
        <f aca="false">E147+G144</f>
        <v>178</v>
      </c>
      <c r="H147" s="118" t="n">
        <f aca="false">G147*$B$147</f>
        <v>5874</v>
      </c>
      <c r="I147" s="117" t="n">
        <f aca="false">G147+I144</f>
        <v>187</v>
      </c>
      <c r="J147" s="118" t="n">
        <f aca="false">I147*$B$147</f>
        <v>6171</v>
      </c>
      <c r="K147" s="117" t="n">
        <f aca="false">I147+K144</f>
        <v>196</v>
      </c>
      <c r="L147" s="118" t="n">
        <f aca="false">K147*$B$147</f>
        <v>6468</v>
      </c>
      <c r="M147" s="117" t="n">
        <f aca="false">K147+M144</f>
        <v>205</v>
      </c>
      <c r="N147" s="118" t="n">
        <f aca="false">M147*$B$147</f>
        <v>6765</v>
      </c>
      <c r="O147" s="117" t="n">
        <f aca="false">M147+O144</f>
        <v>214</v>
      </c>
      <c r="P147" s="118" t="n">
        <f aca="false">O147*$B$147</f>
        <v>7062</v>
      </c>
      <c r="Q147" s="117" t="n">
        <f aca="false">O147+Q144</f>
        <v>224</v>
      </c>
      <c r="R147" s="118" t="n">
        <f aca="false">Q147*$B$147</f>
        <v>7392</v>
      </c>
      <c r="S147" s="117" t="n">
        <f aca="false">Q147+S144</f>
        <v>234</v>
      </c>
      <c r="T147" s="118" t="n">
        <f aca="false">S147*$B$147</f>
        <v>7722</v>
      </c>
      <c r="U147" s="117" t="n">
        <f aca="false">S147+U144</f>
        <v>245</v>
      </c>
      <c r="V147" s="118" t="n">
        <f aca="false">U147*$B$147</f>
        <v>8085</v>
      </c>
      <c r="W147" s="117" t="n">
        <f aca="false">U147+W144</f>
        <v>256</v>
      </c>
      <c r="X147" s="118" t="n">
        <f aca="false">W147*$B$147</f>
        <v>8448</v>
      </c>
      <c r="Y147" s="117" t="n">
        <f aca="false">W147+Y144</f>
        <v>268</v>
      </c>
      <c r="Z147" s="118" t="n">
        <f aca="false">Y147*$B$147</f>
        <v>8844</v>
      </c>
      <c r="AA147" s="117" t="n">
        <f aca="false">Y147+AA144</f>
        <v>280</v>
      </c>
      <c r="AB147" s="118" t="n">
        <f aca="false">AA147*$B$147</f>
        <v>9240</v>
      </c>
      <c r="AC147" s="2"/>
      <c r="AD147" s="2"/>
      <c r="AE147" s="2"/>
      <c r="AF147" s="2"/>
      <c r="AG147" s="2"/>
      <c r="AH147" s="2"/>
      <c r="AI147" s="2"/>
      <c r="AJ147" s="2"/>
      <c r="AK147" s="2"/>
      <c r="AL147" s="2"/>
      <c r="AM147" s="2"/>
      <c r="AN147" s="2"/>
      <c r="AO147" s="2"/>
      <c r="AP147" s="2"/>
      <c r="AQ147" s="2"/>
      <c r="AR147" s="2"/>
    </row>
    <row r="148" customFormat="false" ht="15" hidden="false" customHeight="true" outlineLevel="0" collapsed="false">
      <c r="A148" s="114" t="str">
        <f aca="false">Hipótesis!$B$62</f>
        <v>Abono Plan Vidriera</v>
      </c>
      <c r="B148" s="119" t="n">
        <f aca="false">Hipótesis!C62</f>
        <v>65</v>
      </c>
      <c r="C148" s="120" t="n">
        <f aca="false">E148+G148+I148+K148+M148+O148+Q148+S148+U148+W148+Y148+AA148</f>
        <v>6273</v>
      </c>
      <c r="D148" s="121" t="n">
        <f aca="false">B148*C148</f>
        <v>407745</v>
      </c>
      <c r="E148" s="120" t="n">
        <f aca="false">AA86+E145</f>
        <v>401</v>
      </c>
      <c r="F148" s="226" t="n">
        <f aca="false">E148*$B$148</f>
        <v>26065</v>
      </c>
      <c r="G148" s="120" t="n">
        <f aca="false">E148+G145</f>
        <v>420</v>
      </c>
      <c r="H148" s="121" t="n">
        <f aca="false">G148*$B$148</f>
        <v>27300</v>
      </c>
      <c r="I148" s="120" t="n">
        <f aca="false">G148+I145</f>
        <v>441</v>
      </c>
      <c r="J148" s="121" t="n">
        <f aca="false">I148*$B$148</f>
        <v>28665</v>
      </c>
      <c r="K148" s="120" t="n">
        <f aca="false">I148+K145</f>
        <v>462</v>
      </c>
      <c r="L148" s="121" t="n">
        <f aca="false">K148*$B$148</f>
        <v>30030</v>
      </c>
      <c r="M148" s="120" t="n">
        <f aca="false">K148+M145</f>
        <v>484</v>
      </c>
      <c r="N148" s="121" t="n">
        <f aca="false">M148*$B$148</f>
        <v>31460</v>
      </c>
      <c r="O148" s="120" t="n">
        <f aca="false">M148+O145</f>
        <v>506</v>
      </c>
      <c r="P148" s="121" t="n">
        <f aca="false">O148*$B$148</f>
        <v>32890</v>
      </c>
      <c r="Q148" s="120" t="n">
        <f aca="false">O148+Q145</f>
        <v>530</v>
      </c>
      <c r="R148" s="121" t="n">
        <f aca="false">Q148*$B$148</f>
        <v>34450</v>
      </c>
      <c r="S148" s="120" t="n">
        <f aca="false">Q148+S145</f>
        <v>554</v>
      </c>
      <c r="T148" s="121" t="n">
        <f aca="false">S148*$B$148</f>
        <v>36010</v>
      </c>
      <c r="U148" s="120" t="n">
        <f aca="false">S148+U145</f>
        <v>579</v>
      </c>
      <c r="V148" s="121" t="n">
        <f aca="false">U148*$B$148</f>
        <v>37635</v>
      </c>
      <c r="W148" s="120" t="n">
        <f aca="false">U148+W145</f>
        <v>604</v>
      </c>
      <c r="X148" s="121" t="n">
        <f aca="false">W148*$B$148</f>
        <v>39260</v>
      </c>
      <c r="Y148" s="120" t="n">
        <f aca="false">W148+Y145</f>
        <v>632</v>
      </c>
      <c r="Z148" s="121" t="n">
        <f aca="false">Y148*$B$148</f>
        <v>41080</v>
      </c>
      <c r="AA148" s="120" t="n">
        <f aca="false">Y148+AA145</f>
        <v>660</v>
      </c>
      <c r="AB148" s="121" t="n">
        <f aca="false">AA148*$B$148</f>
        <v>42900</v>
      </c>
      <c r="AC148" s="2"/>
      <c r="AD148" s="2"/>
      <c r="AE148" s="2"/>
      <c r="AF148" s="2"/>
      <c r="AG148" s="2"/>
      <c r="AH148" s="2"/>
      <c r="AI148" s="2"/>
      <c r="AJ148" s="2"/>
      <c r="AK148" s="2"/>
      <c r="AL148" s="2"/>
      <c r="AM148" s="2"/>
      <c r="AN148" s="2"/>
      <c r="AO148" s="2"/>
      <c r="AP148" s="2"/>
      <c r="AQ148" s="2"/>
      <c r="AR148" s="2"/>
    </row>
    <row r="149" customFormat="false" ht="15" hidden="false" customHeight="true" outlineLevel="0" collapsed="false">
      <c r="A149" s="114" t="str">
        <f aca="false">Hipótesis!$B$63</f>
        <v>Abono Plan Cadena</v>
      </c>
      <c r="B149" s="119" t="n">
        <f aca="false">Hipótesis!C63</f>
        <v>175</v>
      </c>
      <c r="C149" s="120" t="n">
        <f aca="false">E149+G149+I149+K149+M149+O149+Q149+S149+U149+W149+Y149+AA149</f>
        <v>880</v>
      </c>
      <c r="D149" s="121" t="n">
        <f aca="false">B149*C149</f>
        <v>154000</v>
      </c>
      <c r="E149" s="120" t="n">
        <f aca="false">AA87+E146</f>
        <v>56</v>
      </c>
      <c r="F149" s="226" t="n">
        <f aca="false">E149*$B$149</f>
        <v>9800</v>
      </c>
      <c r="G149" s="120" t="n">
        <f aca="false">E149+G146</f>
        <v>59</v>
      </c>
      <c r="H149" s="121" t="n">
        <f aca="false">G149*$B$149</f>
        <v>10325</v>
      </c>
      <c r="I149" s="120" t="n">
        <f aca="false">G149+I146</f>
        <v>62</v>
      </c>
      <c r="J149" s="121" t="n">
        <f aca="false">I149*$B$149</f>
        <v>10850</v>
      </c>
      <c r="K149" s="120" t="n">
        <f aca="false">I149+K146</f>
        <v>65</v>
      </c>
      <c r="L149" s="121" t="n">
        <f aca="false">K149*$B$149</f>
        <v>11375</v>
      </c>
      <c r="M149" s="120" t="n">
        <f aca="false">K149+M146</f>
        <v>68</v>
      </c>
      <c r="N149" s="121" t="n">
        <f aca="false">M149*$B$149</f>
        <v>11900</v>
      </c>
      <c r="O149" s="120" t="n">
        <f aca="false">M149+O146</f>
        <v>71</v>
      </c>
      <c r="P149" s="121" t="n">
        <f aca="false">O149*$B$149</f>
        <v>12425</v>
      </c>
      <c r="Q149" s="120" t="n">
        <f aca="false">O149+Q146</f>
        <v>74</v>
      </c>
      <c r="R149" s="121" t="n">
        <f aca="false">Q149*$B$149</f>
        <v>12950</v>
      </c>
      <c r="S149" s="120" t="n">
        <f aca="false">Q149+S146</f>
        <v>77</v>
      </c>
      <c r="T149" s="121" t="n">
        <f aca="false">S149*$B$149</f>
        <v>13475</v>
      </c>
      <c r="U149" s="120" t="n">
        <f aca="false">S149+U146</f>
        <v>81</v>
      </c>
      <c r="V149" s="121" t="n">
        <f aca="false">U149*$B$149</f>
        <v>14175</v>
      </c>
      <c r="W149" s="120" t="n">
        <f aca="false">U149+W146</f>
        <v>85</v>
      </c>
      <c r="X149" s="121" t="n">
        <f aca="false">W149*$B$149</f>
        <v>14875</v>
      </c>
      <c r="Y149" s="120" t="n">
        <f aca="false">W149+Y146</f>
        <v>89</v>
      </c>
      <c r="Z149" s="121" t="n">
        <f aca="false">Y149*$B$149</f>
        <v>15575</v>
      </c>
      <c r="AA149" s="120" t="n">
        <f aca="false">Y149+AA146</f>
        <v>93</v>
      </c>
      <c r="AB149" s="121" t="n">
        <f aca="false">AA149*$B$149</f>
        <v>16275</v>
      </c>
      <c r="AC149" s="2"/>
      <c r="AD149" s="2"/>
      <c r="AE149" s="2"/>
      <c r="AF149" s="2"/>
      <c r="AG149" s="2"/>
      <c r="AH149" s="2"/>
      <c r="AI149" s="2"/>
      <c r="AJ149" s="2"/>
      <c r="AK149" s="2"/>
      <c r="AL149" s="2"/>
      <c r="AM149" s="2"/>
      <c r="AN149" s="2"/>
      <c r="AO149" s="2"/>
      <c r="AP149" s="2"/>
      <c r="AQ149" s="2"/>
      <c r="AR149" s="2"/>
    </row>
    <row r="150" customFormat="false" ht="15" hidden="false" customHeight="true" outlineLevel="0" collapsed="false">
      <c r="A150" s="122"/>
      <c r="B150" s="123"/>
      <c r="C150" s="124"/>
      <c r="D150" s="125"/>
      <c r="E150" s="124"/>
      <c r="F150" s="226"/>
      <c r="G150" s="124"/>
      <c r="H150" s="121"/>
      <c r="I150" s="124"/>
      <c r="J150" s="121"/>
      <c r="K150" s="124"/>
      <c r="L150" s="121"/>
      <c r="M150" s="124"/>
      <c r="N150" s="121"/>
      <c r="O150" s="124"/>
      <c r="P150" s="121"/>
      <c r="Q150" s="124"/>
      <c r="R150" s="121"/>
      <c r="S150" s="124"/>
      <c r="T150" s="121"/>
      <c r="U150" s="124"/>
      <c r="V150" s="121"/>
      <c r="W150" s="124"/>
      <c r="X150" s="121"/>
      <c r="Y150" s="124"/>
      <c r="Z150" s="121"/>
      <c r="AA150" s="124"/>
      <c r="AB150" s="121"/>
      <c r="AC150" s="2"/>
      <c r="AD150" s="2"/>
      <c r="AE150" s="2"/>
      <c r="AF150" s="2"/>
      <c r="AG150" s="2"/>
      <c r="AH150" s="2"/>
      <c r="AI150" s="2"/>
      <c r="AJ150" s="2"/>
      <c r="AK150" s="2"/>
      <c r="AL150" s="2"/>
      <c r="AM150" s="2"/>
      <c r="AN150" s="2"/>
      <c r="AO150" s="2"/>
      <c r="AP150" s="2"/>
      <c r="AQ150" s="2"/>
      <c r="AR150" s="2"/>
    </row>
    <row r="151" customFormat="false" ht="15" hidden="false" customHeight="true" outlineLevel="0" collapsed="false">
      <c r="A151" s="126"/>
      <c r="B151" s="127"/>
      <c r="C151" s="128"/>
      <c r="D151" s="129"/>
      <c r="E151" s="128"/>
      <c r="F151" s="129"/>
      <c r="G151" s="128"/>
      <c r="H151" s="129"/>
      <c r="I151" s="128"/>
      <c r="J151" s="129"/>
      <c r="K151" s="128"/>
      <c r="L151" s="129"/>
      <c r="M151" s="128"/>
      <c r="N151" s="129"/>
      <c r="O151" s="128"/>
      <c r="P151" s="129"/>
      <c r="Q151" s="128"/>
      <c r="R151" s="129"/>
      <c r="S151" s="128"/>
      <c r="T151" s="129"/>
      <c r="U151" s="128"/>
      <c r="V151" s="129"/>
      <c r="W151" s="128"/>
      <c r="X151" s="129"/>
      <c r="Y151" s="128"/>
      <c r="Z151" s="229"/>
      <c r="AA151" s="128"/>
      <c r="AB151" s="129"/>
      <c r="AC151" s="2"/>
      <c r="AD151" s="2"/>
      <c r="AE151" s="2"/>
      <c r="AF151" s="2"/>
      <c r="AG151" s="2"/>
      <c r="AH151" s="2"/>
      <c r="AI151" s="2"/>
      <c r="AJ151" s="2"/>
      <c r="AK151" s="2"/>
      <c r="AL151" s="2"/>
      <c r="AM151" s="2"/>
      <c r="AN151" s="2"/>
      <c r="AO151" s="2"/>
      <c r="AP151" s="2"/>
      <c r="AQ151" s="2"/>
      <c r="AR151" s="2"/>
    </row>
    <row r="152" customFormat="false" ht="15" hidden="false" customHeight="true" outlineLevel="0" collapsed="false">
      <c r="A152" s="132"/>
      <c r="B152" s="133"/>
      <c r="C152" s="134"/>
      <c r="D152" s="135"/>
      <c r="E152" s="134"/>
      <c r="F152" s="135"/>
      <c r="G152" s="134"/>
      <c r="H152" s="135"/>
      <c r="I152" s="134"/>
      <c r="J152" s="135"/>
      <c r="K152" s="134"/>
      <c r="L152" s="135"/>
      <c r="M152" s="134"/>
      <c r="N152" s="135"/>
      <c r="O152" s="134"/>
      <c r="P152" s="135"/>
      <c r="Q152" s="134"/>
      <c r="R152" s="135"/>
      <c r="S152" s="134"/>
      <c r="T152" s="135"/>
      <c r="U152" s="134"/>
      <c r="V152" s="135"/>
      <c r="W152" s="134"/>
      <c r="X152" s="135"/>
      <c r="Y152" s="134"/>
      <c r="Z152" s="231"/>
      <c r="AA152" s="134"/>
      <c r="AB152" s="135"/>
      <c r="AC152" s="2"/>
      <c r="AD152" s="2"/>
      <c r="AE152" s="2"/>
      <c r="AF152" s="2"/>
      <c r="AG152" s="2"/>
      <c r="AH152" s="2"/>
      <c r="AI152" s="2"/>
      <c r="AJ152" s="2"/>
      <c r="AK152" s="2"/>
      <c r="AL152" s="2"/>
      <c r="AM152" s="2"/>
      <c r="AN152" s="2"/>
      <c r="AO152" s="2"/>
      <c r="AP152" s="2"/>
      <c r="AQ152" s="2"/>
      <c r="AR152" s="2"/>
    </row>
    <row r="153" customFormat="false" ht="15" hidden="false" customHeight="true" outlineLevel="0" collapsed="false">
      <c r="A153" s="132"/>
      <c r="B153" s="133"/>
      <c r="C153" s="134"/>
      <c r="D153" s="135"/>
      <c r="E153" s="134"/>
      <c r="F153" s="135"/>
      <c r="G153" s="134"/>
      <c r="H153" s="135"/>
      <c r="I153" s="134"/>
      <c r="J153" s="135"/>
      <c r="K153" s="134"/>
      <c r="L153" s="135"/>
      <c r="M153" s="134"/>
      <c r="N153" s="135"/>
      <c r="O153" s="134"/>
      <c r="P153" s="135"/>
      <c r="Q153" s="134"/>
      <c r="R153" s="135"/>
      <c r="S153" s="134"/>
      <c r="T153" s="135"/>
      <c r="U153" s="134"/>
      <c r="V153" s="135"/>
      <c r="W153" s="134"/>
      <c r="X153" s="135"/>
      <c r="Y153" s="134"/>
      <c r="Z153" s="231"/>
      <c r="AA153" s="134"/>
      <c r="AB153" s="135"/>
      <c r="AC153" s="2"/>
      <c r="AD153" s="2"/>
      <c r="AE153" s="2"/>
      <c r="AF153" s="2"/>
      <c r="AG153" s="2"/>
      <c r="AH153" s="2"/>
      <c r="AI153" s="2"/>
      <c r="AJ153" s="2"/>
      <c r="AK153" s="2"/>
      <c r="AL153" s="2"/>
      <c r="AM153" s="2"/>
      <c r="AN153" s="2"/>
      <c r="AO153" s="2"/>
      <c r="AP153" s="2"/>
      <c r="AQ153" s="2"/>
      <c r="AR153" s="2"/>
    </row>
    <row r="154" customFormat="false" ht="15" hidden="false" customHeight="true" outlineLevel="0" collapsed="false">
      <c r="A154" s="132"/>
      <c r="B154" s="133"/>
      <c r="C154" s="134"/>
      <c r="D154" s="135"/>
      <c r="E154" s="134"/>
      <c r="F154" s="135"/>
      <c r="G154" s="134"/>
      <c r="H154" s="135"/>
      <c r="I154" s="134"/>
      <c r="J154" s="135"/>
      <c r="K154" s="134"/>
      <c r="L154" s="135"/>
      <c r="M154" s="134"/>
      <c r="N154" s="135"/>
      <c r="O154" s="134"/>
      <c r="P154" s="135"/>
      <c r="Q154" s="134"/>
      <c r="R154" s="135"/>
      <c r="S154" s="134"/>
      <c r="T154" s="135"/>
      <c r="U154" s="134"/>
      <c r="V154" s="135"/>
      <c r="W154" s="134"/>
      <c r="X154" s="135"/>
      <c r="Y154" s="134"/>
      <c r="Z154" s="231"/>
      <c r="AA154" s="134"/>
      <c r="AB154" s="135"/>
      <c r="AC154" s="2"/>
      <c r="AD154" s="2"/>
      <c r="AE154" s="2"/>
      <c r="AF154" s="2"/>
      <c r="AG154" s="2"/>
      <c r="AH154" s="2"/>
      <c r="AI154" s="2"/>
      <c r="AJ154" s="2"/>
      <c r="AK154" s="2"/>
      <c r="AL154" s="2"/>
      <c r="AM154" s="2"/>
      <c r="AN154" s="2"/>
      <c r="AO154" s="2"/>
      <c r="AP154" s="2"/>
      <c r="AQ154" s="2"/>
      <c r="AR154" s="2"/>
    </row>
    <row r="155" customFormat="false" ht="15" hidden="false" customHeight="true" outlineLevel="0" collapsed="false">
      <c r="A155" s="136"/>
      <c r="B155" s="137"/>
      <c r="C155" s="138"/>
      <c r="D155" s="139"/>
      <c r="E155" s="138"/>
      <c r="F155" s="139"/>
      <c r="G155" s="138"/>
      <c r="H155" s="139"/>
      <c r="I155" s="138"/>
      <c r="J155" s="139"/>
      <c r="K155" s="138"/>
      <c r="L155" s="139"/>
      <c r="M155" s="138"/>
      <c r="N155" s="139"/>
      <c r="O155" s="138"/>
      <c r="P155" s="139"/>
      <c r="Q155" s="138"/>
      <c r="R155" s="139"/>
      <c r="S155" s="138"/>
      <c r="T155" s="139"/>
      <c r="U155" s="138"/>
      <c r="V155" s="139"/>
      <c r="W155" s="138"/>
      <c r="X155" s="139"/>
      <c r="Y155" s="138"/>
      <c r="Z155" s="233"/>
      <c r="AA155" s="138"/>
      <c r="AB155" s="139"/>
      <c r="AC155" s="2"/>
      <c r="AD155" s="2"/>
      <c r="AE155" s="2"/>
      <c r="AF155" s="2"/>
      <c r="AG155" s="2"/>
      <c r="AH155" s="2"/>
      <c r="AI155" s="2"/>
      <c r="AJ155" s="2"/>
      <c r="AK155" s="2"/>
      <c r="AL155" s="2"/>
      <c r="AM155" s="2"/>
      <c r="AN155" s="2"/>
      <c r="AO155" s="2"/>
      <c r="AP155" s="2"/>
      <c r="AQ155" s="2"/>
      <c r="AR155" s="2"/>
    </row>
    <row r="156" customFormat="false" ht="15" hidden="false" customHeight="true" outlineLevel="0" collapsed="false">
      <c r="A156" s="262"/>
      <c r="B156" s="263"/>
      <c r="C156" s="264"/>
      <c r="D156" s="265"/>
      <c r="E156" s="264"/>
      <c r="F156" s="265"/>
      <c r="G156" s="264"/>
      <c r="H156" s="265"/>
      <c r="I156" s="264"/>
      <c r="J156" s="265"/>
      <c r="K156" s="264"/>
      <c r="L156" s="265"/>
      <c r="M156" s="264"/>
      <c r="N156" s="265"/>
      <c r="O156" s="264"/>
      <c r="P156" s="265"/>
      <c r="Q156" s="264"/>
      <c r="R156" s="265"/>
      <c r="S156" s="264"/>
      <c r="T156" s="265"/>
      <c r="U156" s="264"/>
      <c r="V156" s="265"/>
      <c r="W156" s="264"/>
      <c r="X156" s="265"/>
      <c r="Y156" s="264"/>
      <c r="Z156" s="266"/>
      <c r="AA156" s="264"/>
      <c r="AB156" s="265"/>
      <c r="AC156" s="2"/>
      <c r="AD156" s="2"/>
      <c r="AE156" s="2"/>
      <c r="AF156" s="2"/>
      <c r="AG156" s="2"/>
      <c r="AH156" s="2"/>
      <c r="AI156" s="2"/>
      <c r="AJ156" s="2"/>
      <c r="AK156" s="2"/>
      <c r="AL156" s="2"/>
      <c r="AM156" s="2"/>
      <c r="AN156" s="2"/>
      <c r="AO156" s="2"/>
      <c r="AP156" s="2"/>
      <c r="AQ156" s="2"/>
      <c r="AR156" s="2"/>
    </row>
    <row r="157" customFormat="false" ht="14.25" hidden="false" customHeight="true" outlineLevel="0" collapsed="false">
      <c r="A157" s="267" t="s">
        <v>94</v>
      </c>
      <c r="B157" s="267"/>
      <c r="C157" s="215"/>
      <c r="D157" s="150" t="n">
        <f aca="false">SUM(D144:D156)</f>
        <v>705506</v>
      </c>
      <c r="E157" s="149"/>
      <c r="F157" s="150" t="n">
        <f aca="false">SUM(F144:F156)</f>
        <v>45425</v>
      </c>
      <c r="G157" s="149"/>
      <c r="H157" s="150" t="n">
        <f aca="false">SUM(H144:H156)</f>
        <v>47449</v>
      </c>
      <c r="I157" s="149"/>
      <c r="J157" s="150" t="n">
        <f aca="false">SUM(J144:J156)</f>
        <v>49916</v>
      </c>
      <c r="K157" s="149"/>
      <c r="L157" s="150" t="n">
        <f aca="false">SUM(L144:L156)</f>
        <v>52103</v>
      </c>
      <c r="M157" s="149"/>
      <c r="N157" s="150" t="n">
        <f aca="false">SUM(N144:N156)</f>
        <v>54475</v>
      </c>
      <c r="O157" s="149"/>
      <c r="P157" s="150" t="n">
        <f aca="false">SUM(P144:P156)</f>
        <v>56727</v>
      </c>
      <c r="Q157" s="149"/>
      <c r="R157" s="150" t="n">
        <f aca="false">SUM(R144:R156)</f>
        <v>59422</v>
      </c>
      <c r="S157" s="149"/>
      <c r="T157" s="150" t="n">
        <f aca="false">SUM(T144:T156)</f>
        <v>61837</v>
      </c>
      <c r="U157" s="149"/>
      <c r="V157" s="150" t="n">
        <f aca="false">SUM(V144:V156)</f>
        <v>65135</v>
      </c>
      <c r="W157" s="149"/>
      <c r="X157" s="150" t="n">
        <f aca="false">SUM(X144:X156)</f>
        <v>67823</v>
      </c>
      <c r="Y157" s="149"/>
      <c r="Z157" s="150" t="n">
        <f aca="false">SUM(Z144:Z156)</f>
        <v>71139</v>
      </c>
      <c r="AA157" s="149"/>
      <c r="AB157" s="150" t="n">
        <f aca="false">SUM(AB144:AB156)</f>
        <v>74055</v>
      </c>
      <c r="AC157" s="2"/>
      <c r="AD157" s="2"/>
      <c r="AE157" s="2"/>
      <c r="AF157" s="2"/>
      <c r="AG157" s="2"/>
      <c r="AH157" s="2"/>
      <c r="AI157" s="2"/>
      <c r="AJ157" s="2"/>
      <c r="AK157" s="2"/>
      <c r="AL157" s="2"/>
      <c r="AM157" s="2"/>
      <c r="AN157" s="2"/>
      <c r="AO157" s="2"/>
      <c r="AP157" s="2"/>
      <c r="AQ157" s="2"/>
      <c r="AR157" s="2"/>
    </row>
    <row r="158" customFormat="false" ht="15" hidden="false" customHeight="true" outlineLevel="0" collapsed="false">
      <c r="A158" s="241"/>
      <c r="B158" s="241"/>
      <c r="C158" s="153" t="n">
        <f aca="false">C144</f>
        <v>118</v>
      </c>
      <c r="D158" s="156"/>
      <c r="E158" s="155" t="n">
        <f aca="false">E144</f>
        <v>8</v>
      </c>
      <c r="F158" s="156"/>
      <c r="G158" s="155" t="n">
        <f aca="false">G144</f>
        <v>8</v>
      </c>
      <c r="H158" s="156"/>
      <c r="I158" s="155" t="n">
        <f aca="false">I144</f>
        <v>9</v>
      </c>
      <c r="J158" s="156"/>
      <c r="K158" s="155" t="n">
        <f aca="false">K144</f>
        <v>9</v>
      </c>
      <c r="L158" s="156"/>
      <c r="M158" s="155" t="n">
        <f aca="false">M144</f>
        <v>9</v>
      </c>
      <c r="N158" s="156"/>
      <c r="O158" s="155" t="n">
        <f aca="false">O144</f>
        <v>9</v>
      </c>
      <c r="P158" s="156"/>
      <c r="Q158" s="155" t="n">
        <f aca="false">Q144</f>
        <v>10</v>
      </c>
      <c r="R158" s="156"/>
      <c r="S158" s="155" t="n">
        <f aca="false">S144</f>
        <v>10</v>
      </c>
      <c r="T158" s="156"/>
      <c r="U158" s="155" t="n">
        <f aca="false">U144</f>
        <v>11</v>
      </c>
      <c r="V158" s="156"/>
      <c r="W158" s="155" t="n">
        <f aca="false">W144</f>
        <v>11</v>
      </c>
      <c r="X158" s="156"/>
      <c r="Y158" s="155" t="n">
        <f aca="false">Y144</f>
        <v>12</v>
      </c>
      <c r="Z158" s="156"/>
      <c r="AA158" s="155" t="n">
        <f aca="false">AA144</f>
        <v>12</v>
      </c>
      <c r="AB158" s="154"/>
      <c r="AC158" s="2"/>
      <c r="AD158" s="2"/>
      <c r="AE158" s="2"/>
      <c r="AF158" s="2"/>
      <c r="AG158" s="2"/>
      <c r="AH158" s="2"/>
      <c r="AI158" s="2"/>
      <c r="AJ158" s="2"/>
      <c r="AK158" s="2"/>
      <c r="AL158" s="2"/>
      <c r="AM158" s="2"/>
      <c r="AN158" s="2"/>
      <c r="AO158" s="2"/>
      <c r="AP158" s="2"/>
      <c r="AQ158" s="2"/>
      <c r="AR158" s="2"/>
    </row>
    <row r="159" customFormat="false" ht="15" hidden="false" customHeight="true" outlineLevel="0" collapsed="false">
      <c r="A159" s="152"/>
      <c r="B159" s="152"/>
      <c r="C159" s="157" t="n">
        <f aca="false">C145</f>
        <v>278</v>
      </c>
      <c r="D159" s="160"/>
      <c r="E159" s="159" t="n">
        <f aca="false">E145</f>
        <v>19</v>
      </c>
      <c r="F159" s="160"/>
      <c r="G159" s="159" t="n">
        <f aca="false">G145</f>
        <v>19</v>
      </c>
      <c r="H159" s="160"/>
      <c r="I159" s="159" t="n">
        <f aca="false">I145</f>
        <v>21</v>
      </c>
      <c r="J159" s="160"/>
      <c r="K159" s="159" t="n">
        <f aca="false">K145</f>
        <v>21</v>
      </c>
      <c r="L159" s="160"/>
      <c r="M159" s="159" t="n">
        <f aca="false">M145</f>
        <v>22</v>
      </c>
      <c r="N159" s="160"/>
      <c r="O159" s="159" t="n">
        <f aca="false">O145</f>
        <v>22</v>
      </c>
      <c r="P159" s="160"/>
      <c r="Q159" s="159" t="n">
        <f aca="false">Q145</f>
        <v>24</v>
      </c>
      <c r="R159" s="160"/>
      <c r="S159" s="159" t="n">
        <f aca="false">S145</f>
        <v>24</v>
      </c>
      <c r="T159" s="160"/>
      <c r="U159" s="159" t="n">
        <f aca="false">U145</f>
        <v>25</v>
      </c>
      <c r="V159" s="160"/>
      <c r="W159" s="159" t="n">
        <f aca="false">W145</f>
        <v>25</v>
      </c>
      <c r="X159" s="160"/>
      <c r="Y159" s="159" t="n">
        <f aca="false">Y145</f>
        <v>28</v>
      </c>
      <c r="Z159" s="160"/>
      <c r="AA159" s="159" t="n">
        <f aca="false">AA145</f>
        <v>28</v>
      </c>
      <c r="AB159" s="158"/>
      <c r="AC159" s="2"/>
      <c r="AD159" s="2"/>
      <c r="AE159" s="2"/>
      <c r="AF159" s="2"/>
      <c r="AG159" s="2"/>
      <c r="AH159" s="2"/>
      <c r="AI159" s="2"/>
      <c r="AJ159" s="2"/>
      <c r="AK159" s="2"/>
      <c r="AL159" s="2"/>
      <c r="AM159" s="2"/>
      <c r="AN159" s="2"/>
      <c r="AO159" s="2"/>
      <c r="AP159" s="2"/>
      <c r="AQ159" s="2"/>
      <c r="AR159" s="2"/>
    </row>
    <row r="160" customFormat="false" ht="15" hidden="false" customHeight="true" outlineLevel="0" collapsed="false">
      <c r="A160" s="161"/>
      <c r="B160" s="161"/>
      <c r="C160" s="162" t="n">
        <f aca="false">C146</f>
        <v>40</v>
      </c>
      <c r="D160" s="165"/>
      <c r="E160" s="164" t="n">
        <f aca="false">E146</f>
        <v>3</v>
      </c>
      <c r="F160" s="165"/>
      <c r="G160" s="164" t="n">
        <f aca="false">G146</f>
        <v>3</v>
      </c>
      <c r="H160" s="165"/>
      <c r="I160" s="164" t="n">
        <f aca="false">I146</f>
        <v>3</v>
      </c>
      <c r="J160" s="165"/>
      <c r="K160" s="164" t="n">
        <f aca="false">K146</f>
        <v>3</v>
      </c>
      <c r="L160" s="165"/>
      <c r="M160" s="164" t="n">
        <f aca="false">M146</f>
        <v>3</v>
      </c>
      <c r="N160" s="165"/>
      <c r="O160" s="164" t="n">
        <f aca="false">O146</f>
        <v>3</v>
      </c>
      <c r="P160" s="165"/>
      <c r="Q160" s="164" t="n">
        <f aca="false">Q146</f>
        <v>3</v>
      </c>
      <c r="R160" s="165"/>
      <c r="S160" s="164" t="n">
        <f aca="false">S146</f>
        <v>3</v>
      </c>
      <c r="T160" s="165"/>
      <c r="U160" s="164" t="n">
        <f aca="false">U146</f>
        <v>4</v>
      </c>
      <c r="V160" s="165"/>
      <c r="W160" s="164" t="n">
        <f aca="false">W146</f>
        <v>4</v>
      </c>
      <c r="X160" s="165"/>
      <c r="Y160" s="164" t="n">
        <f aca="false">Y146</f>
        <v>4</v>
      </c>
      <c r="Z160" s="165"/>
      <c r="AA160" s="164" t="n">
        <f aca="false">AA146</f>
        <v>4</v>
      </c>
      <c r="AB160" s="163"/>
      <c r="AC160" s="2"/>
      <c r="AD160" s="2"/>
      <c r="AE160" s="2"/>
      <c r="AF160" s="2"/>
      <c r="AG160" s="2"/>
      <c r="AH160" s="2"/>
      <c r="AI160" s="2"/>
      <c r="AJ160" s="2"/>
      <c r="AK160" s="2"/>
      <c r="AL160" s="2"/>
      <c r="AM160" s="2"/>
      <c r="AN160" s="2"/>
      <c r="AO160" s="2"/>
      <c r="AP160" s="2"/>
      <c r="AQ160" s="2"/>
      <c r="AR160" s="2"/>
    </row>
    <row r="161" customFormat="false" ht="15" hidden="false" customHeight="true" outlineLevel="0" collapsed="false">
      <c r="A161" s="268"/>
      <c r="B161" s="268"/>
      <c r="C161" s="243" t="n">
        <f aca="false">SUM(C147:C150)</f>
        <v>9810</v>
      </c>
      <c r="D161" s="168"/>
      <c r="E161" s="169" t="n">
        <f aca="false">SUM(E147:E150)</f>
        <v>627</v>
      </c>
      <c r="F161" s="170"/>
      <c r="G161" s="169" t="n">
        <f aca="false">SUM(G147:G150)</f>
        <v>657</v>
      </c>
      <c r="H161" s="170"/>
      <c r="I161" s="169" t="n">
        <f aca="false">SUM(I147:I150)</f>
        <v>690</v>
      </c>
      <c r="J161" s="170"/>
      <c r="K161" s="169" t="n">
        <f aca="false">SUM(K147:K150)</f>
        <v>723</v>
      </c>
      <c r="L161" s="170"/>
      <c r="M161" s="169" t="n">
        <f aca="false">SUM(M147:M150)</f>
        <v>757</v>
      </c>
      <c r="N161" s="170"/>
      <c r="O161" s="169" t="n">
        <f aca="false">SUM(O147:O150)</f>
        <v>791</v>
      </c>
      <c r="P161" s="170"/>
      <c r="Q161" s="169" t="n">
        <f aca="false">SUM(Q147:Q150)</f>
        <v>828</v>
      </c>
      <c r="R161" s="170"/>
      <c r="S161" s="169" t="n">
        <f aca="false">SUM(S147:S150)</f>
        <v>865</v>
      </c>
      <c r="T161" s="170"/>
      <c r="U161" s="169" t="n">
        <f aca="false">SUM(U147:U150)</f>
        <v>905</v>
      </c>
      <c r="V161" s="170"/>
      <c r="W161" s="169" t="n">
        <f aca="false">SUM(W147:W150)</f>
        <v>945</v>
      </c>
      <c r="X161" s="170"/>
      <c r="Y161" s="169" t="n">
        <f aca="false">SUM(Y147:Y150)</f>
        <v>989</v>
      </c>
      <c r="Z161" s="170"/>
      <c r="AA161" s="169" t="n">
        <f aca="false">SUM(AA147:AA150)</f>
        <v>1033</v>
      </c>
      <c r="AB161" s="171"/>
      <c r="AC161" s="2"/>
      <c r="AD161" s="2"/>
      <c r="AE161" s="2"/>
      <c r="AF161" s="2"/>
      <c r="AG161" s="2"/>
      <c r="AH161" s="2"/>
      <c r="AI161" s="2"/>
      <c r="AJ161" s="2"/>
      <c r="AK161" s="2"/>
      <c r="AL161" s="2"/>
      <c r="AM161" s="2"/>
      <c r="AN161" s="2"/>
      <c r="AO161" s="2"/>
      <c r="AP161" s="2"/>
      <c r="AQ161" s="2"/>
      <c r="AR161" s="2"/>
    </row>
    <row r="162" customFormat="false" ht="15" hidden="false" customHeight="true" outlineLevel="0" collapsed="false">
      <c r="A162" s="244"/>
      <c r="B162" s="244"/>
      <c r="C162" s="245" t="n">
        <f aca="false">SUM(C151:C155)</f>
        <v>0</v>
      </c>
      <c r="D162" s="246"/>
      <c r="E162" s="175" t="n">
        <f aca="false">SUM(E151:E155)</f>
        <v>0</v>
      </c>
      <c r="F162" s="176"/>
      <c r="G162" s="175" t="n">
        <f aca="false">SUM(G151:G155)</f>
        <v>0</v>
      </c>
      <c r="H162" s="176"/>
      <c r="I162" s="175" t="n">
        <f aca="false">SUM(I151:I155)</f>
        <v>0</v>
      </c>
      <c r="J162" s="176"/>
      <c r="K162" s="175" t="n">
        <f aca="false">SUM(K151:K155)</f>
        <v>0</v>
      </c>
      <c r="L162" s="176"/>
      <c r="M162" s="175" t="n">
        <f aca="false">SUM(M151:M155)</f>
        <v>0</v>
      </c>
      <c r="N162" s="176"/>
      <c r="O162" s="175" t="n">
        <f aca="false">SUM(O151:O155)</f>
        <v>0</v>
      </c>
      <c r="P162" s="176"/>
      <c r="Q162" s="175" t="n">
        <f aca="false">SUM(Q151:Q155)</f>
        <v>0</v>
      </c>
      <c r="R162" s="176"/>
      <c r="S162" s="175" t="n">
        <f aca="false">SUM(S151:S155)</f>
        <v>0</v>
      </c>
      <c r="T162" s="176"/>
      <c r="U162" s="175" t="n">
        <f aca="false">SUM(U151:U155)</f>
        <v>0</v>
      </c>
      <c r="V162" s="176"/>
      <c r="W162" s="175" t="n">
        <f aca="false">SUM(W151:W155)</f>
        <v>0</v>
      </c>
      <c r="X162" s="176"/>
      <c r="Y162" s="175" t="n">
        <f aca="false">SUM(Y151:Y155)</f>
        <v>0</v>
      </c>
      <c r="Z162" s="176"/>
      <c r="AA162" s="175" t="n">
        <f aca="false">SUM(AA151:AA155)</f>
        <v>0</v>
      </c>
      <c r="AB162" s="177"/>
      <c r="AC162" s="2"/>
      <c r="AD162" s="2"/>
      <c r="AE162" s="2"/>
      <c r="AF162" s="2"/>
      <c r="AG162" s="2"/>
      <c r="AH162" s="2"/>
      <c r="AI162" s="2"/>
      <c r="AJ162" s="2"/>
      <c r="AK162" s="2"/>
      <c r="AL162" s="2"/>
      <c r="AM162" s="2"/>
      <c r="AN162" s="2"/>
      <c r="AO162" s="2"/>
      <c r="AP162" s="2"/>
      <c r="AQ162" s="2"/>
      <c r="AR162" s="2"/>
    </row>
    <row r="163" customFormat="false" ht="15" hidden="false" customHeight="true" outlineLevel="0" collapsed="false">
      <c r="A163" s="269"/>
      <c r="B163" s="269"/>
      <c r="C163" s="179" t="n">
        <f aca="false">C156</f>
        <v>0</v>
      </c>
      <c r="D163" s="248"/>
      <c r="E163" s="181" t="n">
        <f aca="false">E156</f>
        <v>0</v>
      </c>
      <c r="F163" s="182"/>
      <c r="G163" s="181" t="n">
        <f aca="false">G156</f>
        <v>0</v>
      </c>
      <c r="H163" s="182"/>
      <c r="I163" s="181" t="n">
        <f aca="false">I156</f>
        <v>0</v>
      </c>
      <c r="J163" s="182"/>
      <c r="K163" s="181" t="n">
        <f aca="false">K156</f>
        <v>0</v>
      </c>
      <c r="L163" s="182"/>
      <c r="M163" s="181" t="n">
        <f aca="false">M156</f>
        <v>0</v>
      </c>
      <c r="N163" s="182"/>
      <c r="O163" s="181" t="n">
        <f aca="false">O156</f>
        <v>0</v>
      </c>
      <c r="P163" s="182"/>
      <c r="Q163" s="181" t="n">
        <f aca="false">Q156</f>
        <v>0</v>
      </c>
      <c r="R163" s="182"/>
      <c r="S163" s="181" t="n">
        <f aca="false">S156</f>
        <v>0</v>
      </c>
      <c r="T163" s="182"/>
      <c r="U163" s="181" t="n">
        <f aca="false">U156</f>
        <v>0</v>
      </c>
      <c r="V163" s="182"/>
      <c r="W163" s="181" t="n">
        <f aca="false">W156</f>
        <v>0</v>
      </c>
      <c r="X163" s="182"/>
      <c r="Y163" s="181" t="n">
        <f aca="false">Y156</f>
        <v>0</v>
      </c>
      <c r="Z163" s="182"/>
      <c r="AA163" s="181" t="n">
        <f aca="false">AA156</f>
        <v>0</v>
      </c>
      <c r="AB163" s="183"/>
      <c r="AC163" s="2"/>
      <c r="AD163" s="2"/>
      <c r="AE163" s="2"/>
      <c r="AF163" s="2"/>
      <c r="AG163" s="2"/>
      <c r="AH163" s="2"/>
      <c r="AI163" s="2"/>
      <c r="AJ163" s="2"/>
      <c r="AK163" s="2"/>
      <c r="AL163" s="2"/>
      <c r="AM163" s="2"/>
      <c r="AN163" s="2"/>
      <c r="AO163" s="2"/>
      <c r="AP163" s="2"/>
      <c r="AQ163" s="2"/>
      <c r="AR163" s="2"/>
    </row>
    <row r="164" customFormat="false" ht="14.25" hidden="false" customHeight="true" outlineLevel="0" collapsed="false">
      <c r="A164" s="2"/>
      <c r="B164" s="2"/>
      <c r="C164" s="2"/>
      <c r="D164" s="151"/>
      <c r="E164" s="151"/>
      <c r="F164" s="151"/>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row>
    <row r="165" customFormat="false" ht="25.5" hidden="false" customHeight="true" outlineLevel="0" collapsed="false">
      <c r="A165" s="91" t="s">
        <v>137</v>
      </c>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c r="AA165" s="91"/>
      <c r="AB165" s="91"/>
      <c r="AC165" s="2"/>
      <c r="AD165" s="2"/>
      <c r="AE165" s="2"/>
      <c r="AF165" s="2"/>
      <c r="AG165" s="2"/>
      <c r="AH165" s="2"/>
      <c r="AI165" s="2"/>
      <c r="AJ165" s="2"/>
      <c r="AK165" s="2"/>
      <c r="AL165" s="2"/>
      <c r="AM165" s="2"/>
      <c r="AN165" s="2"/>
      <c r="AO165" s="2"/>
      <c r="AP165" s="2"/>
      <c r="AQ165" s="2"/>
      <c r="AR165" s="2"/>
    </row>
    <row r="166" customFormat="false" ht="66" hidden="false" customHeight="true" outlineLevel="0" collapsed="false">
      <c r="A166" s="186" t="s">
        <v>96</v>
      </c>
      <c r="B166" s="187" t="s">
        <v>128</v>
      </c>
      <c r="C166" s="187"/>
      <c r="D166" s="187"/>
      <c r="E166" s="187"/>
      <c r="F166" s="187"/>
      <c r="G166" s="187"/>
      <c r="H166" s="187"/>
      <c r="I166" s="187"/>
      <c r="J166" s="187"/>
      <c r="K166" s="187"/>
      <c r="L166" s="187"/>
      <c r="M166" s="187"/>
      <c r="N166" s="187"/>
      <c r="O166" s="187"/>
      <c r="P166" s="187"/>
      <c r="Q166" s="187"/>
      <c r="R166" s="187"/>
      <c r="S166" s="187"/>
      <c r="T166" s="187"/>
      <c r="U166" s="187"/>
      <c r="V166" s="187"/>
      <c r="W166" s="187"/>
      <c r="X166" s="187"/>
      <c r="Y166" s="187"/>
      <c r="Z166" s="187"/>
      <c r="AA166" s="187"/>
      <c r="AB166" s="187"/>
      <c r="AC166" s="2"/>
      <c r="AD166" s="2"/>
      <c r="AE166" s="2"/>
      <c r="AF166" s="2"/>
      <c r="AG166" s="2"/>
      <c r="AH166" s="2"/>
      <c r="AI166" s="2"/>
      <c r="AJ166" s="2"/>
      <c r="AK166" s="2"/>
      <c r="AL166" s="2"/>
      <c r="AM166" s="2"/>
      <c r="AN166" s="2"/>
      <c r="AO166" s="2"/>
      <c r="AP166" s="2"/>
      <c r="AQ166" s="2"/>
      <c r="AR166" s="2"/>
    </row>
    <row r="167" customFormat="false" ht="21" hidden="false" customHeight="true" outlineLevel="0" collapsed="false">
      <c r="A167" s="249"/>
      <c r="B167" s="249"/>
      <c r="C167" s="250" t="s">
        <v>98</v>
      </c>
      <c r="D167" s="250"/>
      <c r="E167" s="190" t="s">
        <v>81</v>
      </c>
      <c r="F167" s="190"/>
      <c r="G167" s="191" t="s">
        <v>82</v>
      </c>
      <c r="H167" s="191"/>
      <c r="I167" s="191" t="s">
        <v>83</v>
      </c>
      <c r="J167" s="191"/>
      <c r="K167" s="191" t="s">
        <v>84</v>
      </c>
      <c r="L167" s="191"/>
      <c r="M167" s="191" t="s">
        <v>85</v>
      </c>
      <c r="N167" s="191"/>
      <c r="O167" s="191" t="s">
        <v>86</v>
      </c>
      <c r="P167" s="191"/>
      <c r="Q167" s="191" t="s">
        <v>87</v>
      </c>
      <c r="R167" s="191"/>
      <c r="S167" s="191" t="s">
        <v>88</v>
      </c>
      <c r="T167" s="191"/>
      <c r="U167" s="191" t="s">
        <v>89</v>
      </c>
      <c r="V167" s="191"/>
      <c r="W167" s="191" t="s">
        <v>90</v>
      </c>
      <c r="X167" s="191"/>
      <c r="Y167" s="191" t="s">
        <v>91</v>
      </c>
      <c r="Z167" s="191"/>
      <c r="AA167" s="191" t="s">
        <v>92</v>
      </c>
      <c r="AB167" s="191"/>
      <c r="AC167" s="2"/>
      <c r="AD167" s="2"/>
      <c r="AE167" s="2"/>
      <c r="AF167" s="2"/>
      <c r="AG167" s="2"/>
      <c r="AH167" s="2"/>
      <c r="AI167" s="2"/>
      <c r="AJ167" s="2"/>
      <c r="AK167" s="2"/>
      <c r="AL167" s="2"/>
      <c r="AM167" s="2"/>
      <c r="AN167" s="2"/>
      <c r="AO167" s="2"/>
      <c r="AP167" s="2"/>
      <c r="AQ167" s="2"/>
      <c r="AR167" s="2"/>
    </row>
    <row r="168" customFormat="false" ht="14.25" hidden="false" customHeight="true" outlineLevel="0" collapsed="false">
      <c r="A168" s="186" t="s">
        <v>101</v>
      </c>
      <c r="B168" s="186"/>
      <c r="C168" s="192" t="s">
        <v>102</v>
      </c>
      <c r="D168" s="192"/>
      <c r="E168" s="204" t="s">
        <v>103</v>
      </c>
      <c r="F168" s="204"/>
      <c r="G168" s="204" t="s">
        <v>103</v>
      </c>
      <c r="H168" s="204"/>
      <c r="I168" s="204" t="s">
        <v>103</v>
      </c>
      <c r="J168" s="204"/>
      <c r="K168" s="204" t="s">
        <v>103</v>
      </c>
      <c r="L168" s="204"/>
      <c r="M168" s="204" t="s">
        <v>103</v>
      </c>
      <c r="N168" s="204"/>
      <c r="O168" s="204" t="s">
        <v>103</v>
      </c>
      <c r="P168" s="204"/>
      <c r="Q168" s="204" t="s">
        <v>103</v>
      </c>
      <c r="R168" s="204"/>
      <c r="S168" s="204" t="s">
        <v>103</v>
      </c>
      <c r="T168" s="204"/>
      <c r="U168" s="204" t="s">
        <v>103</v>
      </c>
      <c r="V168" s="204"/>
      <c r="W168" s="204" t="s">
        <v>103</v>
      </c>
      <c r="X168" s="204"/>
      <c r="Y168" s="204" t="s">
        <v>103</v>
      </c>
      <c r="Z168" s="204"/>
      <c r="AA168" s="204" t="s">
        <v>103</v>
      </c>
      <c r="AB168" s="204"/>
      <c r="AC168" s="2"/>
      <c r="AD168" s="2"/>
      <c r="AE168" s="2"/>
      <c r="AF168" s="2"/>
      <c r="AG168" s="2"/>
      <c r="AH168" s="2"/>
      <c r="AI168" s="2"/>
      <c r="AJ168" s="2"/>
      <c r="AK168" s="2"/>
      <c r="AL168" s="2"/>
      <c r="AM168" s="2"/>
      <c r="AN168" s="2"/>
      <c r="AO168" s="2"/>
      <c r="AP168" s="2"/>
      <c r="AQ168" s="2"/>
      <c r="AR168" s="2"/>
    </row>
    <row r="169" customFormat="false" ht="14.25" hidden="false" customHeight="true" outlineLevel="0" collapsed="false">
      <c r="A169" s="186"/>
      <c r="B169" s="186"/>
      <c r="C169" s="196" t="s">
        <v>104</v>
      </c>
      <c r="D169" s="196"/>
      <c r="E169" s="205" t="s">
        <v>103</v>
      </c>
      <c r="F169" s="205"/>
      <c r="G169" s="205" t="s">
        <v>103</v>
      </c>
      <c r="H169" s="205"/>
      <c r="I169" s="205" t="s">
        <v>103</v>
      </c>
      <c r="J169" s="205"/>
      <c r="K169" s="205" t="s">
        <v>103</v>
      </c>
      <c r="L169" s="205"/>
      <c r="M169" s="205" t="s">
        <v>103</v>
      </c>
      <c r="N169" s="205"/>
      <c r="O169" s="205" t="s">
        <v>103</v>
      </c>
      <c r="P169" s="205"/>
      <c r="Q169" s="205" t="s">
        <v>103</v>
      </c>
      <c r="R169" s="205"/>
      <c r="S169" s="205" t="s">
        <v>103</v>
      </c>
      <c r="T169" s="205"/>
      <c r="U169" s="205" t="s">
        <v>103</v>
      </c>
      <c r="V169" s="205"/>
      <c r="W169" s="205" t="s">
        <v>103</v>
      </c>
      <c r="X169" s="205"/>
      <c r="Y169" s="205" t="s">
        <v>103</v>
      </c>
      <c r="Z169" s="205"/>
      <c r="AA169" s="205" t="s">
        <v>103</v>
      </c>
      <c r="AB169" s="205"/>
      <c r="AC169" s="2"/>
      <c r="AD169" s="2"/>
      <c r="AE169" s="2"/>
      <c r="AF169" s="2"/>
      <c r="AG169" s="2"/>
      <c r="AH169" s="2"/>
      <c r="AI169" s="2"/>
      <c r="AJ169" s="2"/>
      <c r="AK169" s="2"/>
      <c r="AL169" s="2"/>
      <c r="AM169" s="2"/>
      <c r="AN169" s="2"/>
      <c r="AO169" s="2"/>
      <c r="AP169" s="2"/>
      <c r="AQ169" s="2"/>
      <c r="AR169" s="2"/>
    </row>
    <row r="170" customFormat="false" ht="14.25" hidden="false" customHeight="true" outlineLevel="0" collapsed="false">
      <c r="A170" s="186"/>
      <c r="B170" s="186"/>
      <c r="C170" s="196" t="s">
        <v>105</v>
      </c>
      <c r="D170" s="196"/>
      <c r="E170" s="205" t="s">
        <v>103</v>
      </c>
      <c r="F170" s="205"/>
      <c r="G170" s="205" t="s">
        <v>103</v>
      </c>
      <c r="H170" s="205"/>
      <c r="I170" s="205" t="s">
        <v>103</v>
      </c>
      <c r="J170" s="205"/>
      <c r="K170" s="205" t="s">
        <v>103</v>
      </c>
      <c r="L170" s="205"/>
      <c r="M170" s="205" t="s">
        <v>103</v>
      </c>
      <c r="N170" s="205"/>
      <c r="O170" s="205" t="s">
        <v>103</v>
      </c>
      <c r="P170" s="205"/>
      <c r="Q170" s="205" t="s">
        <v>103</v>
      </c>
      <c r="R170" s="205"/>
      <c r="S170" s="205" t="s">
        <v>103</v>
      </c>
      <c r="T170" s="205"/>
      <c r="U170" s="205" t="s">
        <v>103</v>
      </c>
      <c r="V170" s="205"/>
      <c r="W170" s="205" t="s">
        <v>103</v>
      </c>
      <c r="X170" s="205"/>
      <c r="Y170" s="205" t="s">
        <v>103</v>
      </c>
      <c r="Z170" s="205"/>
      <c r="AA170" s="205" t="s">
        <v>103</v>
      </c>
      <c r="AB170" s="205"/>
      <c r="AC170" s="2"/>
      <c r="AD170" s="2"/>
      <c r="AE170" s="2"/>
      <c r="AF170" s="2"/>
      <c r="AG170" s="2"/>
      <c r="AH170" s="2"/>
      <c r="AI170" s="2"/>
      <c r="AJ170" s="2"/>
      <c r="AK170" s="2"/>
      <c r="AL170" s="2"/>
      <c r="AM170" s="2"/>
      <c r="AN170" s="2"/>
      <c r="AO170" s="2"/>
      <c r="AP170" s="2"/>
      <c r="AQ170" s="2"/>
      <c r="AR170" s="2"/>
    </row>
    <row r="171" customFormat="false" ht="14.25" hidden="false" customHeight="true" outlineLevel="0" collapsed="false">
      <c r="A171" s="186"/>
      <c r="B171" s="186"/>
      <c r="C171" s="196" t="s">
        <v>107</v>
      </c>
      <c r="D171" s="196"/>
      <c r="E171" s="205" t="s">
        <v>103</v>
      </c>
      <c r="F171" s="205"/>
      <c r="G171" s="205" t="s">
        <v>103</v>
      </c>
      <c r="H171" s="205"/>
      <c r="I171" s="205" t="s">
        <v>103</v>
      </c>
      <c r="J171" s="205"/>
      <c r="K171" s="205" t="s">
        <v>103</v>
      </c>
      <c r="L171" s="205"/>
      <c r="M171" s="205" t="s">
        <v>103</v>
      </c>
      <c r="N171" s="205"/>
      <c r="O171" s="205" t="s">
        <v>103</v>
      </c>
      <c r="P171" s="205"/>
      <c r="Q171" s="205" t="s">
        <v>103</v>
      </c>
      <c r="R171" s="205"/>
      <c r="S171" s="205" t="s">
        <v>103</v>
      </c>
      <c r="T171" s="205"/>
      <c r="U171" s="205" t="s">
        <v>103</v>
      </c>
      <c r="V171" s="205"/>
      <c r="W171" s="205" t="s">
        <v>103</v>
      </c>
      <c r="X171" s="205"/>
      <c r="Y171" s="205" t="s">
        <v>103</v>
      </c>
      <c r="Z171" s="205"/>
      <c r="AA171" s="205" t="s">
        <v>103</v>
      </c>
      <c r="AB171" s="205"/>
      <c r="AC171" s="2"/>
      <c r="AD171" s="2"/>
      <c r="AE171" s="2"/>
      <c r="AF171" s="2"/>
      <c r="AG171" s="2"/>
      <c r="AH171" s="2"/>
      <c r="AI171" s="2"/>
      <c r="AJ171" s="2"/>
      <c r="AK171" s="2"/>
      <c r="AL171" s="2"/>
      <c r="AM171" s="2"/>
      <c r="AN171" s="2"/>
      <c r="AO171" s="2"/>
      <c r="AP171" s="2"/>
      <c r="AQ171" s="2"/>
      <c r="AR171" s="2"/>
    </row>
    <row r="172" customFormat="false" ht="14.25" hidden="false" customHeight="true" outlineLevel="0" collapsed="false">
      <c r="A172" s="186"/>
      <c r="B172" s="186"/>
      <c r="C172" s="196" t="s">
        <v>109</v>
      </c>
      <c r="D172" s="196"/>
      <c r="E172" s="205" t="s">
        <v>103</v>
      </c>
      <c r="F172" s="205"/>
      <c r="G172" s="210" t="s">
        <v>103</v>
      </c>
      <c r="H172" s="210"/>
      <c r="I172" s="205" t="s">
        <v>103</v>
      </c>
      <c r="J172" s="205"/>
      <c r="K172" s="205" t="s">
        <v>103</v>
      </c>
      <c r="L172" s="205"/>
      <c r="M172" s="205" t="s">
        <v>103</v>
      </c>
      <c r="N172" s="205"/>
      <c r="O172" s="205" t="s">
        <v>103</v>
      </c>
      <c r="P172" s="205"/>
      <c r="Q172" s="210" t="s">
        <v>103</v>
      </c>
      <c r="R172" s="210"/>
      <c r="S172" s="205" t="s">
        <v>103</v>
      </c>
      <c r="T172" s="205"/>
      <c r="U172" s="205" t="s">
        <v>103</v>
      </c>
      <c r="V172" s="205"/>
      <c r="W172" s="205" t="s">
        <v>103</v>
      </c>
      <c r="X172" s="205"/>
      <c r="Y172" s="205" t="s">
        <v>103</v>
      </c>
      <c r="Z172" s="205"/>
      <c r="AA172" s="205" t="s">
        <v>103</v>
      </c>
      <c r="AB172" s="205"/>
      <c r="AC172" s="2"/>
      <c r="AD172" s="2"/>
      <c r="AE172" s="2"/>
      <c r="AF172" s="2"/>
      <c r="AG172" s="2"/>
      <c r="AH172" s="2"/>
      <c r="AI172" s="2"/>
      <c r="AJ172" s="2"/>
      <c r="AK172" s="2"/>
      <c r="AL172" s="2"/>
      <c r="AM172" s="2"/>
      <c r="AN172" s="2"/>
      <c r="AO172" s="2"/>
      <c r="AP172" s="2"/>
      <c r="AQ172" s="2"/>
      <c r="AR172" s="2"/>
    </row>
    <row r="173" customFormat="false" ht="14.25" hidden="false" customHeight="true" outlineLevel="0" collapsed="false">
      <c r="A173" s="186"/>
      <c r="B173" s="186"/>
      <c r="C173" s="196"/>
      <c r="D173" s="196"/>
      <c r="E173" s="205"/>
      <c r="F173" s="205"/>
      <c r="G173" s="205"/>
      <c r="H173" s="205"/>
      <c r="I173" s="205"/>
      <c r="J173" s="205"/>
      <c r="K173" s="205"/>
      <c r="L173" s="205"/>
      <c r="M173" s="205"/>
      <c r="N173" s="205"/>
      <c r="O173" s="205"/>
      <c r="P173" s="205"/>
      <c r="Q173" s="205"/>
      <c r="R173" s="205"/>
      <c r="S173" s="205"/>
      <c r="T173" s="205"/>
      <c r="U173" s="205"/>
      <c r="V173" s="205"/>
      <c r="W173" s="205"/>
      <c r="X173" s="205"/>
      <c r="Y173" s="205"/>
      <c r="Z173" s="205"/>
      <c r="AA173" s="205"/>
      <c r="AB173" s="205"/>
      <c r="AC173" s="2"/>
      <c r="AD173" s="2"/>
      <c r="AE173" s="2"/>
      <c r="AF173" s="2"/>
      <c r="AG173" s="2"/>
      <c r="AH173" s="2"/>
      <c r="AI173" s="2"/>
      <c r="AJ173" s="2"/>
      <c r="AK173" s="2"/>
      <c r="AL173" s="2"/>
      <c r="AM173" s="2"/>
      <c r="AN173" s="2"/>
      <c r="AO173" s="2"/>
      <c r="AP173" s="2"/>
      <c r="AQ173" s="2"/>
      <c r="AR173" s="2"/>
    </row>
    <row r="174" customFormat="false" ht="14.25" hidden="false" customHeight="true" outlineLevel="0" collapsed="false">
      <c r="A174" s="186"/>
      <c r="B174" s="186"/>
      <c r="C174" s="196"/>
      <c r="D174" s="196"/>
      <c r="E174" s="210"/>
      <c r="F174" s="210"/>
      <c r="G174" s="205"/>
      <c r="H174" s="205"/>
      <c r="I174" s="205"/>
      <c r="J174" s="205"/>
      <c r="K174" s="205"/>
      <c r="L174" s="205"/>
      <c r="M174" s="205"/>
      <c r="N174" s="205"/>
      <c r="O174" s="205"/>
      <c r="P174" s="205"/>
      <c r="Q174" s="205"/>
      <c r="R174" s="205"/>
      <c r="S174" s="205"/>
      <c r="T174" s="205"/>
      <c r="U174" s="205"/>
      <c r="V174" s="205"/>
      <c r="W174" s="205"/>
      <c r="X174" s="205"/>
      <c r="Y174" s="205"/>
      <c r="Z174" s="205"/>
      <c r="AA174" s="205"/>
      <c r="AB174" s="205"/>
      <c r="AC174" s="2"/>
      <c r="AD174" s="2"/>
      <c r="AE174" s="2"/>
      <c r="AF174" s="2"/>
      <c r="AG174" s="2"/>
      <c r="AH174" s="2"/>
      <c r="AI174" s="2"/>
      <c r="AJ174" s="2"/>
      <c r="AK174" s="2"/>
      <c r="AL174" s="2"/>
      <c r="AM174" s="2"/>
      <c r="AN174" s="2"/>
      <c r="AO174" s="2"/>
      <c r="AP174" s="2"/>
      <c r="AQ174" s="2"/>
      <c r="AR174" s="2"/>
    </row>
    <row r="175" customFormat="false" ht="14.25" hidden="false" customHeight="true" outlineLevel="0" collapsed="false">
      <c r="A175" s="186"/>
      <c r="B175" s="186"/>
      <c r="C175" s="196"/>
      <c r="D175" s="196"/>
      <c r="E175" s="205"/>
      <c r="F175" s="205"/>
      <c r="G175" s="205"/>
      <c r="H175" s="205"/>
      <c r="I175" s="205"/>
      <c r="J175" s="205"/>
      <c r="K175" s="205"/>
      <c r="L175" s="205"/>
      <c r="M175" s="205"/>
      <c r="N175" s="205"/>
      <c r="O175" s="205"/>
      <c r="P175" s="205"/>
      <c r="Q175" s="205"/>
      <c r="R175" s="205"/>
      <c r="S175" s="205"/>
      <c r="T175" s="205"/>
      <c r="U175" s="205"/>
      <c r="V175" s="205"/>
      <c r="W175" s="205"/>
      <c r="X175" s="205"/>
      <c r="Y175" s="205"/>
      <c r="Z175" s="205"/>
      <c r="AA175" s="205"/>
      <c r="AB175" s="205"/>
      <c r="AC175" s="2"/>
      <c r="AD175" s="2"/>
      <c r="AE175" s="2"/>
      <c r="AF175" s="2"/>
      <c r="AG175" s="2"/>
      <c r="AH175" s="2"/>
      <c r="AI175" s="2"/>
      <c r="AJ175" s="2"/>
      <c r="AK175" s="2"/>
      <c r="AL175" s="2"/>
      <c r="AM175" s="2"/>
      <c r="AN175" s="2"/>
      <c r="AO175" s="2"/>
      <c r="AP175" s="2"/>
      <c r="AQ175" s="2"/>
      <c r="AR175" s="2"/>
    </row>
    <row r="176" customFormat="false" ht="14.25" hidden="false" customHeight="true" outlineLevel="0" collapsed="false">
      <c r="A176" s="186"/>
      <c r="B176" s="186"/>
      <c r="C176" s="196"/>
      <c r="D176" s="196"/>
      <c r="E176" s="205"/>
      <c r="F176" s="205"/>
      <c r="G176" s="205"/>
      <c r="H176" s="205"/>
      <c r="I176" s="205"/>
      <c r="J176" s="205"/>
      <c r="K176" s="205"/>
      <c r="L176" s="205"/>
      <c r="M176" s="205"/>
      <c r="N176" s="205"/>
      <c r="O176" s="205"/>
      <c r="P176" s="205"/>
      <c r="Q176" s="205"/>
      <c r="R176" s="205"/>
      <c r="S176" s="205"/>
      <c r="T176" s="205"/>
      <c r="U176" s="205"/>
      <c r="V176" s="205"/>
      <c r="W176" s="205"/>
      <c r="X176" s="205"/>
      <c r="Y176" s="205"/>
      <c r="Z176" s="205"/>
      <c r="AA176" s="205"/>
      <c r="AB176" s="205"/>
      <c r="AC176" s="2"/>
      <c r="AD176" s="2"/>
      <c r="AE176" s="2"/>
      <c r="AF176" s="2"/>
      <c r="AG176" s="2"/>
      <c r="AH176" s="2"/>
      <c r="AI176" s="2"/>
      <c r="AJ176" s="2"/>
      <c r="AK176" s="2"/>
      <c r="AL176" s="2"/>
      <c r="AM176" s="2"/>
      <c r="AN176" s="2"/>
      <c r="AO176" s="2"/>
      <c r="AP176" s="2"/>
      <c r="AQ176" s="2"/>
      <c r="AR176" s="2"/>
    </row>
    <row r="177" customFormat="false" ht="14.25" hidden="false" customHeight="true" outlineLevel="0" collapsed="false">
      <c r="A177" s="186"/>
      <c r="B177" s="186"/>
      <c r="C177" s="196"/>
      <c r="D177" s="196"/>
      <c r="E177" s="205"/>
      <c r="F177" s="205"/>
      <c r="G177" s="205"/>
      <c r="H177" s="205"/>
      <c r="I177" s="205"/>
      <c r="J177" s="205"/>
      <c r="K177" s="205"/>
      <c r="L177" s="205"/>
      <c r="M177" s="205"/>
      <c r="N177" s="205"/>
      <c r="O177" s="205"/>
      <c r="P177" s="205"/>
      <c r="Q177" s="205"/>
      <c r="R177" s="205"/>
      <c r="S177" s="205"/>
      <c r="T177" s="205"/>
      <c r="U177" s="205"/>
      <c r="V177" s="205"/>
      <c r="W177" s="205"/>
      <c r="X177" s="205"/>
      <c r="Y177" s="205"/>
      <c r="Z177" s="205"/>
      <c r="AA177" s="205"/>
      <c r="AB177" s="205"/>
      <c r="AC177" s="2"/>
      <c r="AD177" s="2"/>
      <c r="AE177" s="2"/>
      <c r="AF177" s="2"/>
      <c r="AG177" s="2"/>
      <c r="AH177" s="2"/>
      <c r="AI177" s="2"/>
      <c r="AJ177" s="2"/>
      <c r="AK177" s="2"/>
      <c r="AL177" s="2"/>
      <c r="AM177" s="2"/>
      <c r="AN177" s="2"/>
      <c r="AO177" s="2"/>
      <c r="AP177" s="2"/>
      <c r="AQ177" s="2"/>
      <c r="AR177" s="2"/>
    </row>
    <row r="178" customFormat="false" ht="14.25" hidden="false" customHeight="true" outlineLevel="0" collapsed="false">
      <c r="A178" s="186"/>
      <c r="B178" s="186"/>
      <c r="C178" s="196"/>
      <c r="D178" s="196"/>
      <c r="E178" s="205"/>
      <c r="F178" s="205"/>
      <c r="G178" s="205"/>
      <c r="H178" s="205"/>
      <c r="I178" s="205"/>
      <c r="J178" s="205"/>
      <c r="K178" s="205"/>
      <c r="L178" s="205"/>
      <c r="M178" s="205"/>
      <c r="N178" s="205"/>
      <c r="O178" s="205"/>
      <c r="P178" s="205"/>
      <c r="Q178" s="205"/>
      <c r="R178" s="205"/>
      <c r="S178" s="205"/>
      <c r="T178" s="205"/>
      <c r="U178" s="205"/>
      <c r="V178" s="205"/>
      <c r="W178" s="205"/>
      <c r="X178" s="205"/>
      <c r="Y178" s="205"/>
      <c r="Z178" s="205"/>
      <c r="AA178" s="205"/>
      <c r="AB178" s="205"/>
      <c r="AC178" s="2"/>
      <c r="AD178" s="2"/>
      <c r="AE178" s="2"/>
      <c r="AF178" s="2"/>
      <c r="AG178" s="2"/>
      <c r="AH178" s="2"/>
      <c r="AI178" s="2"/>
      <c r="AJ178" s="2"/>
      <c r="AK178" s="2"/>
      <c r="AL178" s="2"/>
      <c r="AM178" s="2"/>
      <c r="AN178" s="2"/>
      <c r="AO178" s="2"/>
      <c r="AP178" s="2"/>
      <c r="AQ178" s="2"/>
      <c r="AR178" s="2"/>
    </row>
    <row r="179" customFormat="false" ht="14.25" hidden="false" customHeight="true" outlineLevel="0" collapsed="false">
      <c r="A179" s="186"/>
      <c r="B179" s="186"/>
      <c r="C179" s="196"/>
      <c r="D179" s="196"/>
      <c r="E179" s="205"/>
      <c r="F179" s="205"/>
      <c r="G179" s="205"/>
      <c r="H179" s="205"/>
      <c r="I179" s="205"/>
      <c r="J179" s="205"/>
      <c r="K179" s="205"/>
      <c r="L179" s="205"/>
      <c r="M179" s="205"/>
      <c r="N179" s="205"/>
      <c r="O179" s="205"/>
      <c r="P179" s="205"/>
      <c r="Q179" s="205"/>
      <c r="R179" s="205"/>
      <c r="S179" s="205"/>
      <c r="T179" s="205"/>
      <c r="U179" s="205"/>
      <c r="V179" s="205"/>
      <c r="W179" s="205"/>
      <c r="X179" s="205"/>
      <c r="Y179" s="205"/>
      <c r="Z179" s="205"/>
      <c r="AA179" s="205"/>
      <c r="AB179" s="205"/>
      <c r="AC179" s="2"/>
      <c r="AD179" s="2"/>
      <c r="AE179" s="2"/>
      <c r="AF179" s="2"/>
      <c r="AG179" s="2"/>
      <c r="AH179" s="2"/>
      <c r="AI179" s="2"/>
      <c r="AJ179" s="2"/>
      <c r="AK179" s="2"/>
      <c r="AL179" s="2"/>
      <c r="AM179" s="2"/>
      <c r="AN179" s="2"/>
      <c r="AO179" s="2"/>
      <c r="AP179" s="2"/>
      <c r="AQ179" s="2"/>
      <c r="AR179" s="2"/>
    </row>
    <row r="180" customFormat="false" ht="14.25" hidden="false" customHeight="true" outlineLevel="0" collapsed="false">
      <c r="A180" s="186"/>
      <c r="B180" s="186"/>
      <c r="C180" s="196"/>
      <c r="D180" s="196"/>
      <c r="E180" s="205"/>
      <c r="F180" s="205"/>
      <c r="G180" s="205"/>
      <c r="H180" s="205"/>
      <c r="I180" s="205"/>
      <c r="J180" s="205"/>
      <c r="K180" s="205"/>
      <c r="L180" s="205"/>
      <c r="M180" s="205"/>
      <c r="N180" s="205"/>
      <c r="O180" s="205"/>
      <c r="P180" s="205"/>
      <c r="Q180" s="205"/>
      <c r="R180" s="205"/>
      <c r="S180" s="205"/>
      <c r="T180" s="205"/>
      <c r="U180" s="205"/>
      <c r="V180" s="205"/>
      <c r="W180" s="205"/>
      <c r="X180" s="205"/>
      <c r="Y180" s="205"/>
      <c r="Z180" s="205"/>
      <c r="AA180" s="205"/>
      <c r="AB180" s="205"/>
      <c r="AC180" s="2"/>
      <c r="AD180" s="2"/>
      <c r="AE180" s="2"/>
      <c r="AF180" s="2"/>
      <c r="AG180" s="2"/>
      <c r="AH180" s="2"/>
      <c r="AI180" s="2"/>
      <c r="AJ180" s="2"/>
      <c r="AK180" s="2"/>
      <c r="AL180" s="2"/>
      <c r="AM180" s="2"/>
      <c r="AN180" s="2"/>
      <c r="AO180" s="2"/>
      <c r="AP180" s="2"/>
      <c r="AQ180" s="2"/>
      <c r="AR180" s="2"/>
    </row>
    <row r="181" customFormat="false" ht="14.25" hidden="false" customHeight="true" outlineLevel="0" collapsed="false">
      <c r="A181" s="186"/>
      <c r="B181" s="186"/>
      <c r="C181" s="196"/>
      <c r="D181" s="196"/>
      <c r="E181" s="205"/>
      <c r="F181" s="205"/>
      <c r="G181" s="205"/>
      <c r="H181" s="205"/>
      <c r="I181" s="205"/>
      <c r="J181" s="205"/>
      <c r="K181" s="205"/>
      <c r="L181" s="205"/>
      <c r="M181" s="205"/>
      <c r="N181" s="205"/>
      <c r="O181" s="205"/>
      <c r="P181" s="205"/>
      <c r="Q181" s="205"/>
      <c r="R181" s="205"/>
      <c r="S181" s="205"/>
      <c r="T181" s="205"/>
      <c r="U181" s="205"/>
      <c r="V181" s="205"/>
      <c r="W181" s="205"/>
      <c r="X181" s="205"/>
      <c r="Y181" s="205"/>
      <c r="Z181" s="205"/>
      <c r="AA181" s="205"/>
      <c r="AB181" s="205"/>
      <c r="AC181" s="2"/>
      <c r="AD181" s="2"/>
      <c r="AE181" s="2"/>
      <c r="AF181" s="2"/>
      <c r="AG181" s="2"/>
      <c r="AH181" s="2"/>
      <c r="AI181" s="2"/>
      <c r="AJ181" s="2"/>
      <c r="AK181" s="2"/>
      <c r="AL181" s="2"/>
      <c r="AM181" s="2"/>
      <c r="AN181" s="2"/>
      <c r="AO181" s="2"/>
      <c r="AP181" s="2"/>
      <c r="AQ181" s="2"/>
      <c r="AR181" s="2"/>
    </row>
    <row r="182" customFormat="false" ht="14.25" hidden="false" customHeight="true" outlineLevel="0" collapsed="false">
      <c r="A182" s="186"/>
      <c r="B182" s="186"/>
      <c r="C182" s="196"/>
      <c r="D182" s="196"/>
      <c r="E182" s="205"/>
      <c r="F182" s="205"/>
      <c r="G182" s="205"/>
      <c r="H182" s="205"/>
      <c r="I182" s="205"/>
      <c r="J182" s="205"/>
      <c r="K182" s="205"/>
      <c r="L182" s="205"/>
      <c r="M182" s="205"/>
      <c r="N182" s="205"/>
      <c r="O182" s="205"/>
      <c r="P182" s="205"/>
      <c r="Q182" s="205"/>
      <c r="R182" s="205"/>
      <c r="S182" s="205"/>
      <c r="T182" s="205"/>
      <c r="U182" s="205"/>
      <c r="V182" s="205"/>
      <c r="W182" s="205"/>
      <c r="X182" s="205"/>
      <c r="Y182" s="205"/>
      <c r="Z182" s="205"/>
      <c r="AA182" s="205"/>
      <c r="AB182" s="205"/>
      <c r="AC182" s="2"/>
      <c r="AD182" s="2"/>
      <c r="AE182" s="2"/>
      <c r="AF182" s="2"/>
      <c r="AG182" s="2"/>
      <c r="AH182" s="2"/>
      <c r="AI182" s="2"/>
      <c r="AJ182" s="2"/>
      <c r="AK182" s="2"/>
      <c r="AL182" s="2"/>
      <c r="AM182" s="2"/>
      <c r="AN182" s="2"/>
      <c r="AO182" s="2"/>
      <c r="AP182" s="2"/>
      <c r="AQ182" s="2"/>
      <c r="AR182" s="2"/>
    </row>
    <row r="183" customFormat="false" ht="14.25" hidden="false" customHeight="true" outlineLevel="0" collapsed="false">
      <c r="A183" s="186"/>
      <c r="B183" s="186"/>
      <c r="C183" s="196"/>
      <c r="D183" s="196"/>
      <c r="E183" s="205"/>
      <c r="F183" s="205"/>
      <c r="G183" s="205"/>
      <c r="H183" s="205"/>
      <c r="I183" s="205"/>
      <c r="J183" s="205"/>
      <c r="K183" s="205"/>
      <c r="L183" s="205"/>
      <c r="M183" s="205"/>
      <c r="N183" s="205"/>
      <c r="O183" s="205"/>
      <c r="P183" s="205"/>
      <c r="Q183" s="205"/>
      <c r="R183" s="205"/>
      <c r="S183" s="205"/>
      <c r="T183" s="205"/>
      <c r="U183" s="205"/>
      <c r="V183" s="205"/>
      <c r="W183" s="205"/>
      <c r="X183" s="205"/>
      <c r="Y183" s="205"/>
      <c r="Z183" s="205"/>
      <c r="AA183" s="205"/>
      <c r="AB183" s="205"/>
      <c r="AC183" s="2"/>
      <c r="AD183" s="2"/>
      <c r="AE183" s="2"/>
      <c r="AF183" s="2"/>
      <c r="AG183" s="2"/>
      <c r="AH183" s="2"/>
      <c r="AI183" s="2"/>
      <c r="AJ183" s="2"/>
      <c r="AK183" s="2"/>
      <c r="AL183" s="2"/>
      <c r="AM183" s="2"/>
      <c r="AN183" s="2"/>
      <c r="AO183" s="2"/>
      <c r="AP183" s="2"/>
      <c r="AQ183" s="2"/>
      <c r="AR183" s="2"/>
    </row>
    <row r="184" customFormat="false" ht="14.25" hidden="false" customHeight="true" outlineLevel="0" collapsed="false">
      <c r="A184" s="186"/>
      <c r="B184" s="186"/>
      <c r="C184" s="196"/>
      <c r="D184" s="196"/>
      <c r="E184" s="205"/>
      <c r="F184" s="205"/>
      <c r="G184" s="205"/>
      <c r="H184" s="205"/>
      <c r="I184" s="205"/>
      <c r="J184" s="205"/>
      <c r="K184" s="205"/>
      <c r="L184" s="205"/>
      <c r="M184" s="205"/>
      <c r="N184" s="205"/>
      <c r="O184" s="205"/>
      <c r="P184" s="205"/>
      <c r="Q184" s="205"/>
      <c r="R184" s="205"/>
      <c r="S184" s="205"/>
      <c r="T184" s="205"/>
      <c r="U184" s="205"/>
      <c r="V184" s="205"/>
      <c r="W184" s="205"/>
      <c r="X184" s="205"/>
      <c r="Y184" s="205"/>
      <c r="Z184" s="205"/>
      <c r="AA184" s="205"/>
      <c r="AB184" s="205"/>
      <c r="AC184" s="2"/>
      <c r="AD184" s="2"/>
      <c r="AE184" s="2"/>
      <c r="AF184" s="2"/>
      <c r="AG184" s="2"/>
      <c r="AH184" s="2"/>
      <c r="AI184" s="2"/>
      <c r="AJ184" s="2"/>
      <c r="AK184" s="2"/>
      <c r="AL184" s="2"/>
      <c r="AM184" s="2"/>
      <c r="AN184" s="2"/>
      <c r="AO184" s="2"/>
      <c r="AP184" s="2"/>
      <c r="AQ184" s="2"/>
      <c r="AR184" s="2"/>
    </row>
    <row r="185" customFormat="false" ht="14.25" hidden="false" customHeight="true" outlineLevel="0" collapsed="false">
      <c r="A185" s="186"/>
      <c r="B185" s="186"/>
      <c r="C185" s="200"/>
      <c r="D185" s="200"/>
      <c r="E185" s="206"/>
      <c r="F185" s="206"/>
      <c r="G185" s="206"/>
      <c r="H185" s="206"/>
      <c r="I185" s="206"/>
      <c r="J185" s="206"/>
      <c r="K185" s="206"/>
      <c r="L185" s="206"/>
      <c r="M185" s="206"/>
      <c r="N185" s="206"/>
      <c r="O185" s="206"/>
      <c r="P185" s="206"/>
      <c r="Q185" s="206"/>
      <c r="R185" s="206"/>
      <c r="S185" s="206"/>
      <c r="T185" s="206"/>
      <c r="U185" s="251"/>
      <c r="V185" s="251"/>
      <c r="W185" s="206"/>
      <c r="X185" s="206"/>
      <c r="Y185" s="206"/>
      <c r="Z185" s="206"/>
      <c r="AA185" s="206"/>
      <c r="AB185" s="206"/>
      <c r="AC185" s="2"/>
      <c r="AD185" s="2"/>
      <c r="AE185" s="2"/>
      <c r="AF185" s="2"/>
      <c r="AG185" s="2"/>
      <c r="AH185" s="2"/>
      <c r="AI185" s="2"/>
      <c r="AJ185" s="2"/>
      <c r="AK185" s="2"/>
      <c r="AL185" s="2"/>
      <c r="AM185" s="2"/>
      <c r="AN185" s="2"/>
      <c r="AO185" s="2"/>
      <c r="AP185" s="2"/>
      <c r="AQ185" s="2"/>
      <c r="AR185" s="2"/>
    </row>
    <row r="186" customFormat="false" ht="14.25" hidden="false" customHeight="true" outlineLevel="0" collapsed="false">
      <c r="A186" s="203" t="s">
        <v>111</v>
      </c>
      <c r="B186" s="203"/>
      <c r="C186" s="204" t="s">
        <v>112</v>
      </c>
      <c r="D186" s="204"/>
      <c r="E186" s="252" t="s">
        <v>103</v>
      </c>
      <c r="F186" s="252"/>
      <c r="G186" s="204" t="s">
        <v>103</v>
      </c>
      <c r="H186" s="204"/>
      <c r="I186" s="204" t="s">
        <v>103</v>
      </c>
      <c r="J186" s="204"/>
      <c r="K186" s="252" t="s">
        <v>103</v>
      </c>
      <c r="L186" s="252"/>
      <c r="M186" s="204" t="s">
        <v>103</v>
      </c>
      <c r="N186" s="204"/>
      <c r="O186" s="204" t="s">
        <v>103</v>
      </c>
      <c r="P186" s="204"/>
      <c r="Q186" s="204" t="s">
        <v>103</v>
      </c>
      <c r="R186" s="204"/>
      <c r="S186" s="204" t="s">
        <v>103</v>
      </c>
      <c r="T186" s="204"/>
      <c r="U186" s="204" t="s">
        <v>103</v>
      </c>
      <c r="V186" s="204"/>
      <c r="W186" s="204" t="s">
        <v>103</v>
      </c>
      <c r="X186" s="204"/>
      <c r="Y186" s="204" t="s">
        <v>103</v>
      </c>
      <c r="Z186" s="204"/>
      <c r="AA186" s="204" t="s">
        <v>103</v>
      </c>
      <c r="AB186" s="204"/>
      <c r="AC186" s="2"/>
      <c r="AD186" s="2"/>
      <c r="AE186" s="2"/>
      <c r="AF186" s="2"/>
      <c r="AG186" s="2"/>
      <c r="AH186" s="2"/>
      <c r="AI186" s="2"/>
      <c r="AJ186" s="2"/>
      <c r="AK186" s="2"/>
      <c r="AL186" s="2"/>
      <c r="AM186" s="2"/>
      <c r="AN186" s="2"/>
      <c r="AO186" s="2"/>
      <c r="AP186" s="2"/>
      <c r="AQ186" s="2"/>
      <c r="AR186" s="2"/>
    </row>
    <row r="187" customFormat="false" ht="14.25" hidden="false" customHeight="true" outlineLevel="0" collapsed="false">
      <c r="A187" s="203"/>
      <c r="B187" s="203"/>
      <c r="C187" s="205" t="s">
        <v>114</v>
      </c>
      <c r="D187" s="205"/>
      <c r="E187" s="210" t="s">
        <v>138</v>
      </c>
      <c r="F187" s="210"/>
      <c r="G187" s="205" t="s">
        <v>103</v>
      </c>
      <c r="H187" s="205"/>
      <c r="I187" s="205" t="s">
        <v>103</v>
      </c>
      <c r="J187" s="205"/>
      <c r="K187" s="270" t="s">
        <v>103</v>
      </c>
      <c r="L187" s="270"/>
      <c r="M187" s="205" t="s">
        <v>103</v>
      </c>
      <c r="N187" s="205"/>
      <c r="O187" s="205" t="s">
        <v>103</v>
      </c>
      <c r="P187" s="205"/>
      <c r="Q187" s="205" t="s">
        <v>103</v>
      </c>
      <c r="R187" s="205"/>
      <c r="S187" s="205" t="s">
        <v>103</v>
      </c>
      <c r="T187" s="205"/>
      <c r="U187" s="205" t="s">
        <v>103</v>
      </c>
      <c r="V187" s="205"/>
      <c r="W187" s="205" t="s">
        <v>103</v>
      </c>
      <c r="X187" s="205"/>
      <c r="Y187" s="205" t="s">
        <v>103</v>
      </c>
      <c r="Z187" s="205"/>
      <c r="AA187" s="205" t="s">
        <v>103</v>
      </c>
      <c r="AB187" s="205"/>
      <c r="AC187" s="2"/>
      <c r="AD187" s="2"/>
      <c r="AE187" s="2"/>
      <c r="AF187" s="2"/>
      <c r="AG187" s="2"/>
      <c r="AH187" s="2"/>
      <c r="AI187" s="2"/>
      <c r="AJ187" s="2"/>
      <c r="AK187" s="2"/>
      <c r="AL187" s="2"/>
      <c r="AM187" s="2"/>
      <c r="AN187" s="2"/>
      <c r="AO187" s="2"/>
      <c r="AP187" s="2"/>
      <c r="AQ187" s="2"/>
      <c r="AR187" s="2"/>
    </row>
    <row r="188" customFormat="false" ht="14.25" hidden="false" customHeight="true" outlineLevel="0" collapsed="false">
      <c r="A188" s="203"/>
      <c r="B188" s="203"/>
      <c r="C188" s="205" t="s">
        <v>115</v>
      </c>
      <c r="D188" s="205"/>
      <c r="E188" s="210" t="s">
        <v>130</v>
      </c>
      <c r="F188" s="210"/>
      <c r="G188" s="205" t="s">
        <v>103</v>
      </c>
      <c r="H188" s="205"/>
      <c r="I188" s="205" t="s">
        <v>103</v>
      </c>
      <c r="J188" s="205"/>
      <c r="K188" s="270" t="s">
        <v>103</v>
      </c>
      <c r="L188" s="270"/>
      <c r="M188" s="205" t="s">
        <v>103</v>
      </c>
      <c r="N188" s="205"/>
      <c r="O188" s="205" t="s">
        <v>103</v>
      </c>
      <c r="P188" s="205"/>
      <c r="Q188" s="205" t="s">
        <v>103</v>
      </c>
      <c r="R188" s="205"/>
      <c r="S188" s="205" t="s">
        <v>103</v>
      </c>
      <c r="T188" s="205"/>
      <c r="U188" s="205" t="s">
        <v>103</v>
      </c>
      <c r="V188" s="205"/>
      <c r="W188" s="205" t="s">
        <v>103</v>
      </c>
      <c r="X188" s="205"/>
      <c r="Y188" s="205" t="s">
        <v>103</v>
      </c>
      <c r="Z188" s="205"/>
      <c r="AA188" s="205" t="s">
        <v>103</v>
      </c>
      <c r="AB188" s="205"/>
      <c r="AC188" s="2"/>
      <c r="AD188" s="2"/>
      <c r="AE188" s="2"/>
      <c r="AF188" s="2"/>
      <c r="AG188" s="2"/>
      <c r="AH188" s="2"/>
      <c r="AI188" s="2"/>
      <c r="AJ188" s="2"/>
      <c r="AK188" s="2"/>
      <c r="AL188" s="2"/>
      <c r="AM188" s="2"/>
      <c r="AN188" s="2"/>
      <c r="AO188" s="2"/>
      <c r="AP188" s="2"/>
      <c r="AQ188" s="2"/>
      <c r="AR188" s="2"/>
    </row>
    <row r="189" customFormat="false" ht="14.25" hidden="false" customHeight="true" outlineLevel="0" collapsed="false">
      <c r="A189" s="203"/>
      <c r="B189" s="203"/>
      <c r="C189" s="205" t="s">
        <v>116</v>
      </c>
      <c r="D189" s="205"/>
      <c r="E189" s="210" t="s">
        <v>131</v>
      </c>
      <c r="F189" s="210"/>
      <c r="G189" s="205" t="s">
        <v>103</v>
      </c>
      <c r="H189" s="205"/>
      <c r="I189" s="205" t="s">
        <v>103</v>
      </c>
      <c r="J189" s="205"/>
      <c r="K189" s="270" t="s">
        <v>103</v>
      </c>
      <c r="L189" s="270"/>
      <c r="M189" s="205" t="s">
        <v>103</v>
      </c>
      <c r="N189" s="205"/>
      <c r="O189" s="205" t="s">
        <v>103</v>
      </c>
      <c r="P189" s="205"/>
      <c r="Q189" s="205" t="s">
        <v>103</v>
      </c>
      <c r="R189" s="205"/>
      <c r="S189" s="205" t="s">
        <v>103</v>
      </c>
      <c r="T189" s="205"/>
      <c r="U189" s="205" t="s">
        <v>103</v>
      </c>
      <c r="V189" s="205"/>
      <c r="W189" s="205" t="s">
        <v>103</v>
      </c>
      <c r="X189" s="205"/>
      <c r="Y189" s="205" t="s">
        <v>103</v>
      </c>
      <c r="Z189" s="205"/>
      <c r="AA189" s="205" t="s">
        <v>103</v>
      </c>
      <c r="AB189" s="205"/>
      <c r="AC189" s="2"/>
      <c r="AD189" s="2"/>
      <c r="AE189" s="2"/>
      <c r="AF189" s="2"/>
      <c r="AG189" s="2"/>
      <c r="AH189" s="2"/>
      <c r="AI189" s="2"/>
      <c r="AJ189" s="2"/>
      <c r="AK189" s="2"/>
      <c r="AL189" s="2"/>
      <c r="AM189" s="2"/>
      <c r="AN189" s="2"/>
      <c r="AO189" s="2"/>
      <c r="AP189" s="2"/>
      <c r="AQ189" s="2"/>
      <c r="AR189" s="2"/>
    </row>
    <row r="190" customFormat="false" ht="14.25" hidden="false" customHeight="true" outlineLevel="0" collapsed="false">
      <c r="A190" s="203"/>
      <c r="B190" s="203"/>
      <c r="C190" s="205" t="n">
        <v>0</v>
      </c>
      <c r="D190" s="205"/>
      <c r="E190" s="205" t="s">
        <v>103</v>
      </c>
      <c r="F190" s="205"/>
      <c r="G190" s="205" t="s">
        <v>103</v>
      </c>
      <c r="H190" s="205"/>
      <c r="I190" s="205" t="s">
        <v>103</v>
      </c>
      <c r="J190" s="205"/>
      <c r="K190" s="270" t="s">
        <v>103</v>
      </c>
      <c r="L190" s="270"/>
      <c r="M190" s="205" t="s">
        <v>103</v>
      </c>
      <c r="N190" s="205"/>
      <c r="O190" s="205" t="s">
        <v>103</v>
      </c>
      <c r="P190" s="205"/>
      <c r="Q190" s="205" t="s">
        <v>103</v>
      </c>
      <c r="R190" s="205"/>
      <c r="S190" s="205" t="s">
        <v>103</v>
      </c>
      <c r="T190" s="205"/>
      <c r="U190" s="205" t="s">
        <v>103</v>
      </c>
      <c r="V190" s="205"/>
      <c r="W190" s="205" t="s">
        <v>103</v>
      </c>
      <c r="X190" s="205"/>
      <c r="Y190" s="205" t="s">
        <v>103</v>
      </c>
      <c r="Z190" s="205"/>
      <c r="AA190" s="205" t="s">
        <v>103</v>
      </c>
      <c r="AB190" s="205"/>
      <c r="AC190" s="2"/>
      <c r="AD190" s="2"/>
      <c r="AE190" s="2"/>
      <c r="AF190" s="2"/>
      <c r="AG190" s="2"/>
      <c r="AH190" s="2"/>
      <c r="AI190" s="2"/>
      <c r="AJ190" s="2"/>
      <c r="AK190" s="2"/>
      <c r="AL190" s="2"/>
      <c r="AM190" s="2"/>
      <c r="AN190" s="2"/>
      <c r="AO190" s="2"/>
      <c r="AP190" s="2"/>
      <c r="AQ190" s="2"/>
      <c r="AR190" s="2"/>
    </row>
    <row r="191" customFormat="false" ht="14.25" hidden="false" customHeight="true" outlineLevel="0" collapsed="false">
      <c r="A191" s="203"/>
      <c r="B191" s="203"/>
      <c r="C191" s="205" t="n">
        <v>0</v>
      </c>
      <c r="D191" s="205"/>
      <c r="E191" s="205" t="s">
        <v>103</v>
      </c>
      <c r="F191" s="205"/>
      <c r="G191" s="205" t="s">
        <v>103</v>
      </c>
      <c r="H191" s="205"/>
      <c r="I191" s="205" t="s">
        <v>103</v>
      </c>
      <c r="J191" s="205"/>
      <c r="K191" s="270" t="s">
        <v>103</v>
      </c>
      <c r="L191" s="270"/>
      <c r="M191" s="205" t="s">
        <v>103</v>
      </c>
      <c r="N191" s="205"/>
      <c r="O191" s="205" t="s">
        <v>103</v>
      </c>
      <c r="P191" s="205"/>
      <c r="Q191" s="205" t="s">
        <v>103</v>
      </c>
      <c r="R191" s="205"/>
      <c r="S191" s="205" t="s">
        <v>103</v>
      </c>
      <c r="T191" s="205"/>
      <c r="U191" s="205" t="s">
        <v>103</v>
      </c>
      <c r="V191" s="205"/>
      <c r="W191" s="205" t="s">
        <v>103</v>
      </c>
      <c r="X191" s="205"/>
      <c r="Y191" s="205" t="s">
        <v>103</v>
      </c>
      <c r="Z191" s="205"/>
      <c r="AA191" s="205" t="s">
        <v>103</v>
      </c>
      <c r="AB191" s="205"/>
      <c r="AC191" s="2"/>
      <c r="AD191" s="2"/>
      <c r="AE191" s="2"/>
      <c r="AF191" s="2"/>
      <c r="AG191" s="2"/>
      <c r="AH191" s="2"/>
      <c r="AI191" s="2"/>
      <c r="AJ191" s="2"/>
      <c r="AK191" s="2"/>
      <c r="AL191" s="2"/>
      <c r="AM191" s="2"/>
      <c r="AN191" s="2"/>
      <c r="AO191" s="2"/>
      <c r="AP191" s="2"/>
      <c r="AQ191" s="2"/>
      <c r="AR191" s="2"/>
    </row>
    <row r="192" customFormat="false" ht="14.25" hidden="false" customHeight="true" outlineLevel="0" collapsed="false">
      <c r="A192" s="203"/>
      <c r="B192" s="203"/>
      <c r="C192" s="206" t="n">
        <v>0</v>
      </c>
      <c r="D192" s="206"/>
      <c r="E192" s="251" t="s">
        <v>103</v>
      </c>
      <c r="F192" s="251"/>
      <c r="G192" s="251" t="s">
        <v>103</v>
      </c>
      <c r="H192" s="251"/>
      <c r="I192" s="251" t="s">
        <v>103</v>
      </c>
      <c r="J192" s="251"/>
      <c r="K192" s="251" t="s">
        <v>103</v>
      </c>
      <c r="L192" s="251"/>
      <c r="M192" s="251" t="s">
        <v>103</v>
      </c>
      <c r="N192" s="251"/>
      <c r="O192" s="251" t="s">
        <v>103</v>
      </c>
      <c r="P192" s="251"/>
      <c r="Q192" s="251" t="s">
        <v>103</v>
      </c>
      <c r="R192" s="251"/>
      <c r="S192" s="251" t="s">
        <v>103</v>
      </c>
      <c r="T192" s="251"/>
      <c r="U192" s="251" t="s">
        <v>103</v>
      </c>
      <c r="V192" s="251"/>
      <c r="W192" s="251" t="s">
        <v>103</v>
      </c>
      <c r="X192" s="251"/>
      <c r="Y192" s="251" t="s">
        <v>103</v>
      </c>
      <c r="Z192" s="251"/>
      <c r="AA192" s="251" t="s">
        <v>103</v>
      </c>
      <c r="AB192" s="251"/>
      <c r="AC192" s="2"/>
      <c r="AD192" s="2"/>
      <c r="AE192" s="2"/>
      <c r="AF192" s="2"/>
      <c r="AG192" s="2"/>
      <c r="AH192" s="2"/>
      <c r="AI192" s="2"/>
      <c r="AJ192" s="2"/>
      <c r="AK192" s="2"/>
      <c r="AL192" s="2"/>
      <c r="AM192" s="2"/>
      <c r="AN192" s="2"/>
      <c r="AO192" s="2"/>
      <c r="AP192" s="2"/>
      <c r="AQ192" s="2"/>
      <c r="AR192" s="2"/>
    </row>
    <row r="193" customFormat="false" ht="14.25" hidden="false" customHeight="true" outlineLevel="0" collapsed="false">
      <c r="A193" s="203" t="s">
        <v>117</v>
      </c>
      <c r="B193" s="203"/>
      <c r="C193" s="208" t="s">
        <v>118</v>
      </c>
      <c r="D193" s="208"/>
      <c r="E193" s="209" t="s">
        <v>139</v>
      </c>
      <c r="F193" s="209"/>
      <c r="G193" s="204" t="s">
        <v>103</v>
      </c>
      <c r="H193" s="204"/>
      <c r="I193" s="204" t="s">
        <v>103</v>
      </c>
      <c r="J193" s="204"/>
      <c r="K193" s="204" t="s">
        <v>139</v>
      </c>
      <c r="L193" s="204"/>
      <c r="M193" s="204" t="s">
        <v>103</v>
      </c>
      <c r="N193" s="204"/>
      <c r="O193" s="204" t="s">
        <v>103</v>
      </c>
      <c r="P193" s="204"/>
      <c r="Q193" s="204" t="s">
        <v>140</v>
      </c>
      <c r="R193" s="204"/>
      <c r="S193" s="204" t="s">
        <v>103</v>
      </c>
      <c r="T193" s="204"/>
      <c r="U193" s="204" t="s">
        <v>103</v>
      </c>
      <c r="V193" s="204"/>
      <c r="W193" s="204" t="s">
        <v>140</v>
      </c>
      <c r="X193" s="204"/>
      <c r="Y193" s="204" t="s">
        <v>103</v>
      </c>
      <c r="Z193" s="204"/>
      <c r="AA193" s="204" t="s">
        <v>103</v>
      </c>
      <c r="AB193" s="204"/>
      <c r="AC193" s="2"/>
      <c r="AD193" s="2"/>
      <c r="AE193" s="2"/>
      <c r="AF193" s="2"/>
      <c r="AG193" s="2"/>
      <c r="AH193" s="2"/>
      <c r="AI193" s="2"/>
      <c r="AJ193" s="2"/>
      <c r="AK193" s="2"/>
      <c r="AL193" s="2"/>
      <c r="AM193" s="2"/>
      <c r="AN193" s="2"/>
      <c r="AO193" s="2"/>
      <c r="AP193" s="2"/>
      <c r="AQ193" s="2"/>
      <c r="AR193" s="2"/>
    </row>
    <row r="194" customFormat="false" ht="14.25" hidden="false" customHeight="true" outlineLevel="0" collapsed="false">
      <c r="A194" s="203"/>
      <c r="B194" s="203"/>
      <c r="C194" s="205" t="s">
        <v>120</v>
      </c>
      <c r="D194" s="205"/>
      <c r="E194" s="210" t="s">
        <v>141</v>
      </c>
      <c r="F194" s="210"/>
      <c r="G194" s="205" t="s">
        <v>103</v>
      </c>
      <c r="H194" s="205"/>
      <c r="I194" s="205" t="s">
        <v>103</v>
      </c>
      <c r="J194" s="205"/>
      <c r="K194" s="270" t="s">
        <v>141</v>
      </c>
      <c r="L194" s="270"/>
      <c r="M194" s="205" t="s">
        <v>103</v>
      </c>
      <c r="N194" s="205"/>
      <c r="O194" s="205" t="s">
        <v>103</v>
      </c>
      <c r="P194" s="205"/>
      <c r="Q194" s="205" t="s">
        <v>142</v>
      </c>
      <c r="R194" s="205"/>
      <c r="S194" s="205" t="s">
        <v>103</v>
      </c>
      <c r="T194" s="205"/>
      <c r="U194" s="210" t="s">
        <v>103</v>
      </c>
      <c r="V194" s="210"/>
      <c r="W194" s="205" t="s">
        <v>142</v>
      </c>
      <c r="X194" s="205"/>
      <c r="Y194" s="205" t="s">
        <v>103</v>
      </c>
      <c r="Z194" s="205"/>
      <c r="AA194" s="205" t="s">
        <v>103</v>
      </c>
      <c r="AB194" s="205"/>
      <c r="AC194" s="2"/>
      <c r="AD194" s="2"/>
      <c r="AE194" s="2"/>
      <c r="AF194" s="2"/>
      <c r="AG194" s="2"/>
      <c r="AH194" s="2"/>
      <c r="AI194" s="2"/>
      <c r="AJ194" s="2"/>
      <c r="AK194" s="2"/>
      <c r="AL194" s="2"/>
      <c r="AM194" s="2"/>
      <c r="AN194" s="2"/>
      <c r="AO194" s="2"/>
      <c r="AP194" s="2"/>
      <c r="AQ194" s="2"/>
      <c r="AR194" s="2"/>
    </row>
    <row r="195" customFormat="false" ht="14.25" hidden="false" customHeight="true" outlineLevel="0" collapsed="false">
      <c r="A195" s="203"/>
      <c r="B195" s="203"/>
      <c r="C195" s="205" t="s">
        <v>122</v>
      </c>
      <c r="D195" s="205"/>
      <c r="E195" s="210" t="s">
        <v>143</v>
      </c>
      <c r="F195" s="210"/>
      <c r="G195" s="205" t="s">
        <v>103</v>
      </c>
      <c r="H195" s="205"/>
      <c r="I195" s="205" t="s">
        <v>103</v>
      </c>
      <c r="J195" s="205"/>
      <c r="K195" s="270" t="s">
        <v>143</v>
      </c>
      <c r="L195" s="270"/>
      <c r="M195" s="205" t="s">
        <v>103</v>
      </c>
      <c r="N195" s="205"/>
      <c r="O195" s="205" t="s">
        <v>103</v>
      </c>
      <c r="P195" s="205"/>
      <c r="Q195" s="205" t="s">
        <v>144</v>
      </c>
      <c r="R195" s="205"/>
      <c r="S195" s="205" t="s">
        <v>103</v>
      </c>
      <c r="T195" s="205"/>
      <c r="U195" s="210" t="s">
        <v>103</v>
      </c>
      <c r="V195" s="210"/>
      <c r="W195" s="205" t="s">
        <v>144</v>
      </c>
      <c r="X195" s="205"/>
      <c r="Y195" s="205" t="s">
        <v>103</v>
      </c>
      <c r="Z195" s="205"/>
      <c r="AA195" s="205" t="s">
        <v>103</v>
      </c>
      <c r="AB195" s="205"/>
      <c r="AC195" s="2"/>
      <c r="AD195" s="2"/>
      <c r="AE195" s="2"/>
      <c r="AF195" s="2"/>
      <c r="AG195" s="2"/>
      <c r="AH195" s="2"/>
      <c r="AI195" s="2"/>
      <c r="AJ195" s="2"/>
      <c r="AK195" s="2"/>
      <c r="AL195" s="2"/>
      <c r="AM195" s="2"/>
      <c r="AN195" s="2"/>
      <c r="AO195" s="2"/>
      <c r="AP195" s="2"/>
      <c r="AQ195" s="2"/>
      <c r="AR195" s="2"/>
    </row>
    <row r="196" customFormat="false" ht="14.25" hidden="false" customHeight="true" outlineLevel="0" collapsed="false">
      <c r="A196" s="203"/>
      <c r="B196" s="203"/>
      <c r="C196" s="205" t="s">
        <v>124</v>
      </c>
      <c r="D196" s="205"/>
      <c r="E196" s="210" t="s">
        <v>145</v>
      </c>
      <c r="F196" s="210"/>
      <c r="G196" s="205" t="s">
        <v>103</v>
      </c>
      <c r="H196" s="205"/>
      <c r="I196" s="205" t="s">
        <v>103</v>
      </c>
      <c r="J196" s="205"/>
      <c r="K196" s="205" t="s">
        <v>145</v>
      </c>
      <c r="L196" s="205"/>
      <c r="M196" s="205" t="s">
        <v>103</v>
      </c>
      <c r="N196" s="205"/>
      <c r="O196" s="205" t="s">
        <v>103</v>
      </c>
      <c r="P196" s="205"/>
      <c r="Q196" s="205" t="s">
        <v>146</v>
      </c>
      <c r="R196" s="205"/>
      <c r="S196" s="205" t="s">
        <v>103</v>
      </c>
      <c r="T196" s="205"/>
      <c r="U196" s="210" t="s">
        <v>103</v>
      </c>
      <c r="V196" s="210"/>
      <c r="W196" s="205" t="s">
        <v>146</v>
      </c>
      <c r="X196" s="205"/>
      <c r="Y196" s="205" t="s">
        <v>103</v>
      </c>
      <c r="Z196" s="205"/>
      <c r="AA196" s="205" t="s">
        <v>103</v>
      </c>
      <c r="AB196" s="205"/>
      <c r="AC196" s="2"/>
      <c r="AD196" s="2"/>
      <c r="AE196" s="2"/>
      <c r="AF196" s="2"/>
      <c r="AG196" s="2"/>
      <c r="AH196" s="2"/>
      <c r="AI196" s="2"/>
      <c r="AJ196" s="2"/>
      <c r="AK196" s="2"/>
      <c r="AL196" s="2"/>
      <c r="AM196" s="2"/>
      <c r="AN196" s="2"/>
      <c r="AO196" s="2"/>
      <c r="AP196" s="2"/>
      <c r="AQ196" s="2"/>
      <c r="AR196" s="2"/>
    </row>
    <row r="197" customFormat="false" ht="14.25" hidden="false" customHeight="true" outlineLevel="0" collapsed="false">
      <c r="A197" s="203"/>
      <c r="B197" s="203"/>
      <c r="C197" s="205"/>
      <c r="D197" s="205"/>
      <c r="E197" s="210"/>
      <c r="F197" s="210"/>
      <c r="G197" s="208"/>
      <c r="H197" s="208"/>
      <c r="I197" s="208"/>
      <c r="J197" s="208"/>
      <c r="K197" s="208"/>
      <c r="L197" s="208"/>
      <c r="M197" s="208"/>
      <c r="N197" s="208"/>
      <c r="O197" s="208"/>
      <c r="P197" s="208"/>
      <c r="Q197" s="208"/>
      <c r="R197" s="208"/>
      <c r="S197" s="208"/>
      <c r="T197" s="208"/>
      <c r="U197" s="210"/>
      <c r="V197" s="210"/>
      <c r="W197" s="208"/>
      <c r="X197" s="208"/>
      <c r="Y197" s="208"/>
      <c r="Z197" s="208"/>
      <c r="AA197" s="208"/>
      <c r="AB197" s="208"/>
      <c r="AC197" s="2"/>
      <c r="AD197" s="2"/>
      <c r="AE197" s="2"/>
      <c r="AF197" s="2"/>
      <c r="AG197" s="2"/>
      <c r="AH197" s="2"/>
      <c r="AI197" s="2"/>
      <c r="AJ197" s="2"/>
      <c r="AK197" s="2"/>
      <c r="AL197" s="2"/>
      <c r="AM197" s="2"/>
      <c r="AN197" s="2"/>
      <c r="AO197" s="2"/>
      <c r="AP197" s="2"/>
      <c r="AQ197" s="2"/>
      <c r="AR197" s="2"/>
    </row>
    <row r="198" customFormat="false" ht="14.25" hidden="false" customHeight="true" outlineLevel="0" collapsed="false">
      <c r="A198" s="203"/>
      <c r="B198" s="203"/>
      <c r="C198" s="206"/>
      <c r="D198" s="206"/>
      <c r="E198" s="211"/>
      <c r="F198" s="211"/>
      <c r="G198" s="206"/>
      <c r="H198" s="206"/>
      <c r="I198" s="206"/>
      <c r="J198" s="206"/>
      <c r="K198" s="206"/>
      <c r="L198" s="206"/>
      <c r="M198" s="206"/>
      <c r="N198" s="206"/>
      <c r="O198" s="206"/>
      <c r="P198" s="206"/>
      <c r="Q198" s="206"/>
      <c r="R198" s="206"/>
      <c r="S198" s="206"/>
      <c r="T198" s="206"/>
      <c r="U198" s="211"/>
      <c r="V198" s="211"/>
      <c r="W198" s="206"/>
      <c r="X198" s="206"/>
      <c r="Y198" s="206"/>
      <c r="Z198" s="206"/>
      <c r="AA198" s="206"/>
      <c r="AB198" s="206"/>
      <c r="AC198" s="2"/>
      <c r="AD198" s="2"/>
      <c r="AE198" s="2"/>
      <c r="AF198" s="2"/>
      <c r="AG198" s="2"/>
      <c r="AH198" s="2"/>
      <c r="AI198" s="2"/>
      <c r="AJ198" s="2"/>
      <c r="AK198" s="2"/>
      <c r="AL198" s="2"/>
      <c r="AM198" s="2"/>
      <c r="AN198" s="2"/>
      <c r="AO198" s="2"/>
      <c r="AP198" s="2"/>
      <c r="AQ198" s="2"/>
      <c r="AR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row>
    <row r="221" customFormat="false" ht="14.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row>
    <row r="222" customFormat="false" ht="14.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row>
    <row r="223" customFormat="false" ht="14.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row>
    <row r="224" customFormat="false" ht="14.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row>
    <row r="225" customFormat="false" ht="14.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row>
    <row r="226" customFormat="false" ht="14.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row>
    <row r="227" customFormat="false" ht="14.2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row>
    <row r="228" customFormat="false" ht="14.2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row>
    <row r="229" customFormat="false" ht="14.2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row>
    <row r="230" customFormat="false" ht="14.2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row>
    <row r="231" customFormat="false" ht="14.2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row>
    <row r="232" customFormat="false" ht="14.2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row>
    <row r="233" customFormat="false" ht="14.2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row>
    <row r="234" customFormat="false" ht="14.2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row>
    <row r="235" customFormat="false" ht="14.2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row>
    <row r="236" customFormat="false" ht="14.2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row>
    <row r="237" customFormat="false" ht="14.2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row>
    <row r="238" customFormat="false" ht="14.2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row>
    <row r="239" customFormat="false" ht="14.2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row>
    <row r="240" customFormat="false" ht="14.2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row>
    <row r="241" customFormat="false" ht="14.2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row>
    <row r="242" customFormat="false" ht="14.2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row>
    <row r="243" customFormat="false" ht="14.2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row>
    <row r="244" customFormat="false" ht="14.2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row>
    <row r="245" customFormat="false" ht="14.2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row>
    <row r="246" customFormat="false" ht="14.2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row>
    <row r="247" customFormat="false" ht="14.2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row>
    <row r="248" customFormat="false" ht="14.2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row>
    <row r="249" customFormat="false" ht="14.2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row>
    <row r="250" customFormat="false" ht="14.2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row>
    <row r="251" customFormat="false" ht="14.2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row>
    <row r="252" customFormat="false" ht="14.2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row>
    <row r="253" customFormat="false" ht="14.2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row>
    <row r="254" customFormat="false" ht="14.2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row>
    <row r="255" customFormat="false" ht="14.2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row>
    <row r="256" customFormat="false" ht="14.2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row>
    <row r="257" customFormat="false" ht="14.2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row>
    <row r="258" customFormat="false" ht="14.2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row>
    <row r="259" customFormat="false" ht="14.2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row>
    <row r="260" customFormat="false" ht="14.2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row>
    <row r="261" customFormat="false" ht="14.2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row>
    <row r="262" customFormat="false" ht="14.2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row>
    <row r="263" customFormat="false" ht="14.2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row>
    <row r="264" customFormat="false" ht="14.2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row>
    <row r="265" customFormat="false" ht="14.2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row>
    <row r="266" customFormat="false" ht="14.2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row>
    <row r="267" customFormat="false" ht="14.2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row>
    <row r="268" customFormat="false" ht="14.2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row>
    <row r="269" customFormat="false" ht="14.2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row>
    <row r="270" customFormat="false" ht="14.2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row>
    <row r="271" customFormat="false" ht="14.2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row>
    <row r="272" customFormat="false" ht="14.2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row>
    <row r="273" customFormat="false" ht="14.2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row>
    <row r="274" customFormat="false" ht="14.2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row>
    <row r="275" customFormat="false" ht="14.2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row>
    <row r="276" customFormat="false" ht="14.2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row>
    <row r="277" customFormat="false" ht="14.2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row>
    <row r="278" customFormat="false" ht="14.2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row>
    <row r="279" customFormat="false" ht="14.2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row>
    <row r="280" customFormat="false" ht="14.2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row>
    <row r="281" customFormat="false" ht="14.2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row>
    <row r="282" customFormat="false" ht="14.2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row>
    <row r="283" customFormat="false" ht="14.2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row>
    <row r="284" customFormat="false" ht="14.2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row>
    <row r="285" customFormat="false" ht="14.2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row>
    <row r="286" customFormat="false" ht="14.2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row>
    <row r="287" customFormat="false" ht="14.2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row>
    <row r="288" customFormat="false" ht="14.2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row>
    <row r="289" customFormat="false" ht="14.2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row>
    <row r="290" customFormat="false" ht="14.2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row>
    <row r="291" customFormat="false" ht="14.2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row>
    <row r="292" customFormat="false" ht="14.2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row>
    <row r="293" customFormat="false" ht="14.2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row>
    <row r="294" customFormat="false" ht="14.2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row>
    <row r="295" customFormat="false" ht="14.2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row>
    <row r="296" customFormat="false" ht="14.2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row>
    <row r="297" customFormat="false" ht="14.2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row>
    <row r="298" customFormat="false" ht="14.2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row>
    <row r="299" customFormat="false" ht="14.2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row>
    <row r="300" customFormat="false" ht="14.2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row>
    <row r="301" customFormat="false" ht="14.2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row>
    <row r="302" customFormat="false" ht="14.2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row>
    <row r="303" customFormat="false" ht="14.2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row>
    <row r="304" customFormat="false" ht="14.2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row>
    <row r="305" customFormat="false" ht="14.2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row>
    <row r="306" customFormat="false" ht="14.2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row>
    <row r="307" customFormat="false" ht="14.2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row>
    <row r="308" customFormat="false" ht="14.2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row>
    <row r="309" customFormat="false" ht="14.2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row>
    <row r="310" customFormat="false" ht="14.2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row>
    <row r="311" customFormat="false" ht="14.2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row>
    <row r="312" customFormat="false" ht="14.2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row>
    <row r="313" customFormat="false" ht="14.2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row>
    <row r="314" customFormat="false" ht="14.2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row>
    <row r="315" customFormat="false" ht="14.2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row>
    <row r="316" customFormat="false" ht="14.2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row>
    <row r="317" customFormat="false" ht="14.2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row>
    <row r="318" customFormat="false" ht="14.2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row>
    <row r="319" customFormat="false" ht="14.2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row>
    <row r="320" customFormat="false" ht="14.2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row>
    <row r="321" customFormat="false" ht="14.2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row>
    <row r="322" customFormat="false" ht="14.2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row>
    <row r="323" customFormat="false" ht="14.2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row>
    <row r="324" customFormat="false" ht="14.2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row>
    <row r="325" customFormat="false" ht="14.2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row>
    <row r="326" customFormat="false" ht="14.2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row>
    <row r="327" customFormat="false" ht="14.2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row>
    <row r="328" customFormat="false" ht="14.2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row>
    <row r="329" customFormat="false" ht="14.2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row>
    <row r="330" customFormat="false" ht="14.2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row>
    <row r="331" customFormat="false" ht="14.2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row>
    <row r="332" customFormat="false" ht="14.2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row>
    <row r="333" customFormat="false" ht="14.2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row>
    <row r="334" customFormat="false" ht="14.2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row>
    <row r="335" customFormat="false" ht="14.2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row>
    <row r="336" customFormat="false" ht="14.2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row>
    <row r="337" customFormat="false" ht="14.2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row>
    <row r="338" customFormat="false" ht="14.2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row>
    <row r="339" customFormat="false" ht="14.2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row>
    <row r="340" customFormat="false" ht="14.2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row>
    <row r="341" customFormat="false" ht="14.2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row>
    <row r="342" customFormat="false" ht="14.2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row>
    <row r="343" customFormat="false" ht="14.2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row>
    <row r="344" customFormat="false" ht="14.2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row>
    <row r="345" customFormat="false" ht="14.2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row>
    <row r="346" customFormat="false" ht="14.2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row>
    <row r="347" customFormat="false" ht="14.2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row>
    <row r="348" customFormat="false" ht="14.2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row>
    <row r="349" customFormat="false" ht="14.2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row>
    <row r="350" customFormat="false" ht="14.2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row>
    <row r="351" customFormat="false" ht="14.2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row>
    <row r="352" customFormat="false" ht="14.2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row>
    <row r="353" customFormat="false" ht="14.2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row>
    <row r="354" customFormat="false" ht="14.2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row>
    <row r="355" customFormat="false" ht="14.2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row>
    <row r="356" customFormat="false" ht="14.2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row>
    <row r="357" customFormat="false" ht="14.2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row>
    <row r="358" customFormat="false" ht="14.2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row>
    <row r="359" customFormat="false" ht="14.2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row>
    <row r="360" customFormat="false" ht="14.2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row>
    <row r="361" customFormat="false" ht="14.2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row>
    <row r="362" customFormat="false" ht="14.2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row>
    <row r="363" customFormat="false" ht="14.2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row>
    <row r="364" customFormat="false" ht="14.2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row>
    <row r="365" customFormat="false" ht="14.2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row>
    <row r="366" customFormat="false" ht="14.2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row>
    <row r="367" customFormat="false" ht="14.2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row>
    <row r="368" customFormat="false" ht="14.2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row>
    <row r="369" customFormat="false" ht="14.2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row>
    <row r="370" customFormat="false" ht="14.2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row>
    <row r="371" customFormat="false" ht="14.2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row>
    <row r="372" customFormat="false" ht="14.2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row>
    <row r="373" customFormat="false" ht="14.2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row>
    <row r="374" customFormat="false" ht="14.2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row>
    <row r="375" customFormat="false" ht="14.2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row>
    <row r="376" customFormat="false" ht="14.2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row>
    <row r="377" customFormat="false" ht="14.2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row>
    <row r="378" customFormat="false" ht="14.2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row>
    <row r="379" customFormat="false" ht="14.2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row>
    <row r="380" customFormat="false" ht="14.2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row>
    <row r="381" customFormat="false" ht="14.2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row>
    <row r="382" customFormat="false" ht="14.2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row>
    <row r="383" customFormat="false" ht="14.2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row>
    <row r="384" customFormat="false" ht="14.2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row>
    <row r="385" customFormat="false" ht="14.2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row>
    <row r="386" customFormat="false" ht="14.2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row>
    <row r="387" customFormat="false" ht="14.2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row>
    <row r="388" customFormat="false" ht="14.2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row>
    <row r="389" customFormat="false" ht="14.2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row>
    <row r="390" customFormat="false" ht="14.2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row>
    <row r="391" customFormat="false" ht="14.2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row>
    <row r="392" customFormat="false" ht="14.2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row>
    <row r="393" customFormat="false" ht="14.2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row>
    <row r="394" customFormat="false" ht="14.2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row>
    <row r="395" customFormat="false" ht="14.2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row>
    <row r="396" customFormat="false" ht="14.2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row>
    <row r="397" customFormat="false" ht="14.2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row>
    <row r="398" customFormat="false" ht="14.2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row>
  </sheetData>
  <mergeCells count="1382">
    <mergeCell ref="B5:D5"/>
    <mergeCell ref="G5:L5"/>
    <mergeCell ref="G6:L12"/>
    <mergeCell ref="A15:AB15"/>
    <mergeCell ref="A16:A18"/>
    <mergeCell ref="B16:B18"/>
    <mergeCell ref="C16:D16"/>
    <mergeCell ref="E16:F16"/>
    <mergeCell ref="G16:H16"/>
    <mergeCell ref="I16:J16"/>
    <mergeCell ref="K16:L16"/>
    <mergeCell ref="M16:N16"/>
    <mergeCell ref="O16:P16"/>
    <mergeCell ref="Q16:R16"/>
    <mergeCell ref="S16:T16"/>
    <mergeCell ref="U16:V16"/>
    <mergeCell ref="W16:X16"/>
    <mergeCell ref="Y16:Z16"/>
    <mergeCell ref="AA16:AB16"/>
    <mergeCell ref="C17:C18"/>
    <mergeCell ref="D17:D18"/>
    <mergeCell ref="E17:F17"/>
    <mergeCell ref="G17:H17"/>
    <mergeCell ref="I17:J17"/>
    <mergeCell ref="K17:L17"/>
    <mergeCell ref="M17:N17"/>
    <mergeCell ref="O17:P17"/>
    <mergeCell ref="Q17:R17"/>
    <mergeCell ref="S17:T17"/>
    <mergeCell ref="U17:V17"/>
    <mergeCell ref="W17:X17"/>
    <mergeCell ref="Y17:Z17"/>
    <mergeCell ref="AA17:AB17"/>
    <mergeCell ref="A32:B32"/>
    <mergeCell ref="A33:B33"/>
    <mergeCell ref="A34:B34"/>
    <mergeCell ref="A35:B35"/>
    <mergeCell ref="A36:B36"/>
    <mergeCell ref="A37:B37"/>
    <mergeCell ref="A38:B38"/>
    <mergeCell ref="A40:AB40"/>
    <mergeCell ref="B41:AB41"/>
    <mergeCell ref="A42:B43"/>
    <mergeCell ref="C42:D42"/>
    <mergeCell ref="E42:AB42"/>
    <mergeCell ref="C43:D43"/>
    <mergeCell ref="E43:F43"/>
    <mergeCell ref="G43:H43"/>
    <mergeCell ref="I43:J43"/>
    <mergeCell ref="K43:L43"/>
    <mergeCell ref="M43:N43"/>
    <mergeCell ref="O43:P43"/>
    <mergeCell ref="Q43:R43"/>
    <mergeCell ref="S43:T43"/>
    <mergeCell ref="U43:V43"/>
    <mergeCell ref="W43:X43"/>
    <mergeCell ref="Y43:Z43"/>
    <mergeCell ref="AA43:AB43"/>
    <mergeCell ref="A44:B61"/>
    <mergeCell ref="C44:D44"/>
    <mergeCell ref="E44:F44"/>
    <mergeCell ref="G44:H44"/>
    <mergeCell ref="I44:J44"/>
    <mergeCell ref="K44:L44"/>
    <mergeCell ref="M44:N44"/>
    <mergeCell ref="O44:P44"/>
    <mergeCell ref="Q44:R44"/>
    <mergeCell ref="S44:T44"/>
    <mergeCell ref="U44:V44"/>
    <mergeCell ref="W44:X44"/>
    <mergeCell ref="Y44:Z44"/>
    <mergeCell ref="AA44:AB44"/>
    <mergeCell ref="C45:D45"/>
    <mergeCell ref="E45:F45"/>
    <mergeCell ref="G45:H45"/>
    <mergeCell ref="I45:J45"/>
    <mergeCell ref="K45:L45"/>
    <mergeCell ref="M45:N45"/>
    <mergeCell ref="O45:P45"/>
    <mergeCell ref="Q45:R45"/>
    <mergeCell ref="S45:T45"/>
    <mergeCell ref="U45:V45"/>
    <mergeCell ref="W45:X45"/>
    <mergeCell ref="Y45:Z45"/>
    <mergeCell ref="AA45:AB45"/>
    <mergeCell ref="C46:D46"/>
    <mergeCell ref="E46:F46"/>
    <mergeCell ref="G46:H46"/>
    <mergeCell ref="I46:J46"/>
    <mergeCell ref="K46:L46"/>
    <mergeCell ref="M46:N46"/>
    <mergeCell ref="O46:P46"/>
    <mergeCell ref="Q46:R46"/>
    <mergeCell ref="S46:T46"/>
    <mergeCell ref="U46:V46"/>
    <mergeCell ref="W46:X46"/>
    <mergeCell ref="Y46:Z46"/>
    <mergeCell ref="AA46:AB46"/>
    <mergeCell ref="C47:D47"/>
    <mergeCell ref="E47:F47"/>
    <mergeCell ref="G47:H47"/>
    <mergeCell ref="I47:J47"/>
    <mergeCell ref="K47:L47"/>
    <mergeCell ref="M47:N47"/>
    <mergeCell ref="O47:P47"/>
    <mergeCell ref="Q47:R47"/>
    <mergeCell ref="S47:T47"/>
    <mergeCell ref="U47:V47"/>
    <mergeCell ref="W47:X47"/>
    <mergeCell ref="Y47:Z47"/>
    <mergeCell ref="AA47:AB47"/>
    <mergeCell ref="C48:D48"/>
    <mergeCell ref="E48:F48"/>
    <mergeCell ref="G48:H48"/>
    <mergeCell ref="I48:J48"/>
    <mergeCell ref="K48:L48"/>
    <mergeCell ref="M48:N48"/>
    <mergeCell ref="O48:P48"/>
    <mergeCell ref="Q48:R48"/>
    <mergeCell ref="S48:T48"/>
    <mergeCell ref="U48:V48"/>
    <mergeCell ref="W48:X48"/>
    <mergeCell ref="Y48:Z48"/>
    <mergeCell ref="AA48:AB48"/>
    <mergeCell ref="C49:D49"/>
    <mergeCell ref="E49:F49"/>
    <mergeCell ref="G49:H49"/>
    <mergeCell ref="I49:J49"/>
    <mergeCell ref="K49:L49"/>
    <mergeCell ref="M49:N49"/>
    <mergeCell ref="O49:P49"/>
    <mergeCell ref="Q49:R49"/>
    <mergeCell ref="S49:T49"/>
    <mergeCell ref="U49:V49"/>
    <mergeCell ref="W49:X49"/>
    <mergeCell ref="Y49:Z49"/>
    <mergeCell ref="AA49:AB49"/>
    <mergeCell ref="C50:D50"/>
    <mergeCell ref="E50:F50"/>
    <mergeCell ref="G50:H50"/>
    <mergeCell ref="I50:J50"/>
    <mergeCell ref="K50:L50"/>
    <mergeCell ref="M50:N50"/>
    <mergeCell ref="O50:P50"/>
    <mergeCell ref="Q50:R50"/>
    <mergeCell ref="S50:T50"/>
    <mergeCell ref="U50:V50"/>
    <mergeCell ref="W50:X50"/>
    <mergeCell ref="Y50:Z50"/>
    <mergeCell ref="AA50:AB50"/>
    <mergeCell ref="C51:D51"/>
    <mergeCell ref="E51:F51"/>
    <mergeCell ref="G51:H51"/>
    <mergeCell ref="I51:J51"/>
    <mergeCell ref="K51:L51"/>
    <mergeCell ref="M51:N51"/>
    <mergeCell ref="O51:P51"/>
    <mergeCell ref="Q51:R51"/>
    <mergeCell ref="S51:T51"/>
    <mergeCell ref="U51:V51"/>
    <mergeCell ref="W51:X51"/>
    <mergeCell ref="Y51:Z51"/>
    <mergeCell ref="AA51:AB51"/>
    <mergeCell ref="C52:D52"/>
    <mergeCell ref="E52:F52"/>
    <mergeCell ref="G52:H52"/>
    <mergeCell ref="I52:J52"/>
    <mergeCell ref="K52:L52"/>
    <mergeCell ref="M52:N52"/>
    <mergeCell ref="O52:P52"/>
    <mergeCell ref="Q52:R52"/>
    <mergeCell ref="S52:T52"/>
    <mergeCell ref="U52:V52"/>
    <mergeCell ref="W52:X52"/>
    <mergeCell ref="Y52:Z52"/>
    <mergeCell ref="AA52:AB52"/>
    <mergeCell ref="C53:D53"/>
    <mergeCell ref="E53:F53"/>
    <mergeCell ref="G53:H53"/>
    <mergeCell ref="I53:J53"/>
    <mergeCell ref="K53:L53"/>
    <mergeCell ref="M53:N53"/>
    <mergeCell ref="O53:P53"/>
    <mergeCell ref="Q53:R53"/>
    <mergeCell ref="S53:T53"/>
    <mergeCell ref="U53:V53"/>
    <mergeCell ref="W53:X53"/>
    <mergeCell ref="Y53:Z53"/>
    <mergeCell ref="AA53:AB53"/>
    <mergeCell ref="C54:D54"/>
    <mergeCell ref="E54:F54"/>
    <mergeCell ref="G54:H54"/>
    <mergeCell ref="I54:J54"/>
    <mergeCell ref="K54:L54"/>
    <mergeCell ref="M54:N54"/>
    <mergeCell ref="O54:P54"/>
    <mergeCell ref="Q54:R54"/>
    <mergeCell ref="S54:T54"/>
    <mergeCell ref="U54:V54"/>
    <mergeCell ref="W54:X54"/>
    <mergeCell ref="Y54:Z54"/>
    <mergeCell ref="AA54:AB54"/>
    <mergeCell ref="C55:D55"/>
    <mergeCell ref="E55:F55"/>
    <mergeCell ref="G55:H55"/>
    <mergeCell ref="I55:J55"/>
    <mergeCell ref="K55:L55"/>
    <mergeCell ref="M55:N55"/>
    <mergeCell ref="O55:P55"/>
    <mergeCell ref="Q55:R55"/>
    <mergeCell ref="S55:T55"/>
    <mergeCell ref="U55:V55"/>
    <mergeCell ref="W55:X55"/>
    <mergeCell ref="Y55:Z55"/>
    <mergeCell ref="AA55:AB55"/>
    <mergeCell ref="C56:D56"/>
    <mergeCell ref="E56:F56"/>
    <mergeCell ref="G56:H56"/>
    <mergeCell ref="I56:J56"/>
    <mergeCell ref="K56:L56"/>
    <mergeCell ref="M56:N56"/>
    <mergeCell ref="O56:P56"/>
    <mergeCell ref="Q56:R56"/>
    <mergeCell ref="S56:T56"/>
    <mergeCell ref="U56:V56"/>
    <mergeCell ref="W56:X56"/>
    <mergeCell ref="Y56:Z56"/>
    <mergeCell ref="AA56:AB56"/>
    <mergeCell ref="C57:D57"/>
    <mergeCell ref="E57:F57"/>
    <mergeCell ref="G57:H57"/>
    <mergeCell ref="I57:J57"/>
    <mergeCell ref="K57:L57"/>
    <mergeCell ref="M57:N57"/>
    <mergeCell ref="O57:P57"/>
    <mergeCell ref="Q57:R57"/>
    <mergeCell ref="S57:T57"/>
    <mergeCell ref="U57:V57"/>
    <mergeCell ref="W57:X57"/>
    <mergeCell ref="Y57:Z57"/>
    <mergeCell ref="AA57:AB57"/>
    <mergeCell ref="C58:D58"/>
    <mergeCell ref="E58:F58"/>
    <mergeCell ref="G58:H58"/>
    <mergeCell ref="I58:J58"/>
    <mergeCell ref="K58:L58"/>
    <mergeCell ref="M58:N58"/>
    <mergeCell ref="O58:P58"/>
    <mergeCell ref="Q58:R58"/>
    <mergeCell ref="S58:T58"/>
    <mergeCell ref="U58:V58"/>
    <mergeCell ref="W58:X58"/>
    <mergeCell ref="Y58:Z58"/>
    <mergeCell ref="AA58:AB58"/>
    <mergeCell ref="C59:D59"/>
    <mergeCell ref="E59:F59"/>
    <mergeCell ref="G59:H59"/>
    <mergeCell ref="I59:J59"/>
    <mergeCell ref="K59:L59"/>
    <mergeCell ref="M59:N59"/>
    <mergeCell ref="O59:P59"/>
    <mergeCell ref="Q59:R59"/>
    <mergeCell ref="S59:T59"/>
    <mergeCell ref="U59:V59"/>
    <mergeCell ref="W59:X59"/>
    <mergeCell ref="Y59:Z59"/>
    <mergeCell ref="AA59:AB59"/>
    <mergeCell ref="C60:D60"/>
    <mergeCell ref="E60:F60"/>
    <mergeCell ref="G60:H60"/>
    <mergeCell ref="I60:J60"/>
    <mergeCell ref="K60:L60"/>
    <mergeCell ref="M60:N60"/>
    <mergeCell ref="O60:P60"/>
    <mergeCell ref="Q60:R60"/>
    <mergeCell ref="S60:T60"/>
    <mergeCell ref="U60:V60"/>
    <mergeCell ref="W60:X60"/>
    <mergeCell ref="Y60:Z60"/>
    <mergeCell ref="AA60:AB60"/>
    <mergeCell ref="C61:D61"/>
    <mergeCell ref="E61:F61"/>
    <mergeCell ref="G61:H61"/>
    <mergeCell ref="I61:J61"/>
    <mergeCell ref="K61:L61"/>
    <mergeCell ref="M61:N61"/>
    <mergeCell ref="O61:P61"/>
    <mergeCell ref="Q61:R61"/>
    <mergeCell ref="S61:T61"/>
    <mergeCell ref="U61:V61"/>
    <mergeCell ref="W61:X61"/>
    <mergeCell ref="Y61:Z61"/>
    <mergeCell ref="AA61:AB61"/>
    <mergeCell ref="A62:B68"/>
    <mergeCell ref="C62:D62"/>
    <mergeCell ref="E62:F62"/>
    <mergeCell ref="G62:H62"/>
    <mergeCell ref="I62:J62"/>
    <mergeCell ref="K62:L62"/>
    <mergeCell ref="M62:N62"/>
    <mergeCell ref="O62:P62"/>
    <mergeCell ref="Q62:R62"/>
    <mergeCell ref="S62:T62"/>
    <mergeCell ref="U62:V62"/>
    <mergeCell ref="W62:X62"/>
    <mergeCell ref="Y62:Z62"/>
    <mergeCell ref="AA62:AB62"/>
    <mergeCell ref="C63:D63"/>
    <mergeCell ref="E63:F63"/>
    <mergeCell ref="G63:H63"/>
    <mergeCell ref="I63:J63"/>
    <mergeCell ref="K63:L63"/>
    <mergeCell ref="M63:N63"/>
    <mergeCell ref="O63:P63"/>
    <mergeCell ref="Q63:R63"/>
    <mergeCell ref="S63:T63"/>
    <mergeCell ref="U63:V63"/>
    <mergeCell ref="W63:X63"/>
    <mergeCell ref="Y63:Z63"/>
    <mergeCell ref="AA63:AB63"/>
    <mergeCell ref="C64:D64"/>
    <mergeCell ref="E64:F64"/>
    <mergeCell ref="G64:H64"/>
    <mergeCell ref="I64:J64"/>
    <mergeCell ref="K64:L64"/>
    <mergeCell ref="M64:N64"/>
    <mergeCell ref="O64:P64"/>
    <mergeCell ref="Q64:R64"/>
    <mergeCell ref="S64:T64"/>
    <mergeCell ref="U64:V64"/>
    <mergeCell ref="W64:X64"/>
    <mergeCell ref="Y64:Z64"/>
    <mergeCell ref="AA64:AB64"/>
    <mergeCell ref="C65:D65"/>
    <mergeCell ref="E65:F65"/>
    <mergeCell ref="G65:H65"/>
    <mergeCell ref="I65:J65"/>
    <mergeCell ref="K65:L65"/>
    <mergeCell ref="M65:N65"/>
    <mergeCell ref="O65:P65"/>
    <mergeCell ref="Q65:R65"/>
    <mergeCell ref="S65:T65"/>
    <mergeCell ref="U65:V65"/>
    <mergeCell ref="W65:X65"/>
    <mergeCell ref="Y65:Z65"/>
    <mergeCell ref="AA65:AB65"/>
    <mergeCell ref="C66:D66"/>
    <mergeCell ref="E66:F66"/>
    <mergeCell ref="G66:H66"/>
    <mergeCell ref="I66:J66"/>
    <mergeCell ref="K66:L66"/>
    <mergeCell ref="M66:N66"/>
    <mergeCell ref="O66:P66"/>
    <mergeCell ref="Q66:R66"/>
    <mergeCell ref="S66:T66"/>
    <mergeCell ref="U66:V66"/>
    <mergeCell ref="W66:X66"/>
    <mergeCell ref="Y66:Z66"/>
    <mergeCell ref="AA66:AB66"/>
    <mergeCell ref="C67:D67"/>
    <mergeCell ref="E67:F67"/>
    <mergeCell ref="G67:H67"/>
    <mergeCell ref="I67:J67"/>
    <mergeCell ref="K67:L67"/>
    <mergeCell ref="M67:N67"/>
    <mergeCell ref="O67:P67"/>
    <mergeCell ref="Q67:R67"/>
    <mergeCell ref="S67:T67"/>
    <mergeCell ref="U67:V67"/>
    <mergeCell ref="W67:X67"/>
    <mergeCell ref="Y67:Z67"/>
    <mergeCell ref="AA67:AB67"/>
    <mergeCell ref="C68:D68"/>
    <mergeCell ref="E68:F68"/>
    <mergeCell ref="G68:H68"/>
    <mergeCell ref="I68:J68"/>
    <mergeCell ref="K68:L68"/>
    <mergeCell ref="M68:N68"/>
    <mergeCell ref="O68:P68"/>
    <mergeCell ref="Q68:R68"/>
    <mergeCell ref="S68:T68"/>
    <mergeCell ref="U68:V68"/>
    <mergeCell ref="W68:X68"/>
    <mergeCell ref="Y68:Z68"/>
    <mergeCell ref="AA68:AB68"/>
    <mergeCell ref="A69:B74"/>
    <mergeCell ref="C69:D69"/>
    <mergeCell ref="E69:F69"/>
    <mergeCell ref="G69:H69"/>
    <mergeCell ref="I69:J69"/>
    <mergeCell ref="K69:L69"/>
    <mergeCell ref="M69:N69"/>
    <mergeCell ref="O69:P69"/>
    <mergeCell ref="Q69:R69"/>
    <mergeCell ref="S69:T69"/>
    <mergeCell ref="U69:V69"/>
    <mergeCell ref="W69:X69"/>
    <mergeCell ref="Y69:Z69"/>
    <mergeCell ref="AA69:AB69"/>
    <mergeCell ref="C70:D70"/>
    <mergeCell ref="E70:F70"/>
    <mergeCell ref="G70:H70"/>
    <mergeCell ref="I70:J70"/>
    <mergeCell ref="K70:L70"/>
    <mergeCell ref="M70:N70"/>
    <mergeCell ref="O70:P70"/>
    <mergeCell ref="Q70:R70"/>
    <mergeCell ref="S70:T70"/>
    <mergeCell ref="U70:V70"/>
    <mergeCell ref="W70:X70"/>
    <mergeCell ref="Y70:Z70"/>
    <mergeCell ref="AA70:AB70"/>
    <mergeCell ref="C71:D71"/>
    <mergeCell ref="E71:F71"/>
    <mergeCell ref="G71:H71"/>
    <mergeCell ref="I71:J71"/>
    <mergeCell ref="K71:L71"/>
    <mergeCell ref="M71:N71"/>
    <mergeCell ref="O71:P71"/>
    <mergeCell ref="Q71:R71"/>
    <mergeCell ref="S71:T71"/>
    <mergeCell ref="U71:V71"/>
    <mergeCell ref="W71:X71"/>
    <mergeCell ref="Y71:Z71"/>
    <mergeCell ref="AA71:AB71"/>
    <mergeCell ref="C72:D72"/>
    <mergeCell ref="E72:F72"/>
    <mergeCell ref="G72:H72"/>
    <mergeCell ref="I72:J72"/>
    <mergeCell ref="K72:L72"/>
    <mergeCell ref="M72:N72"/>
    <mergeCell ref="O72:P72"/>
    <mergeCell ref="Q72:R72"/>
    <mergeCell ref="S72:T72"/>
    <mergeCell ref="U72:V72"/>
    <mergeCell ref="W72:X72"/>
    <mergeCell ref="Y72:Z72"/>
    <mergeCell ref="AA72:AB72"/>
    <mergeCell ref="C73:D73"/>
    <mergeCell ref="E73:F73"/>
    <mergeCell ref="G73:H73"/>
    <mergeCell ref="I73:J73"/>
    <mergeCell ref="K73:L73"/>
    <mergeCell ref="M73:N73"/>
    <mergeCell ref="O73:P73"/>
    <mergeCell ref="Q73:R73"/>
    <mergeCell ref="S73:T73"/>
    <mergeCell ref="U73:V73"/>
    <mergeCell ref="W73:X73"/>
    <mergeCell ref="Y73:Z73"/>
    <mergeCell ref="AA73:AB73"/>
    <mergeCell ref="C74:D74"/>
    <mergeCell ref="E74:F74"/>
    <mergeCell ref="G74:H74"/>
    <mergeCell ref="I74:J74"/>
    <mergeCell ref="K74:L74"/>
    <mergeCell ref="M74:N74"/>
    <mergeCell ref="O74:P74"/>
    <mergeCell ref="Q74:R74"/>
    <mergeCell ref="S74:T74"/>
    <mergeCell ref="U74:V74"/>
    <mergeCell ref="W74:X74"/>
    <mergeCell ref="Y74:Z74"/>
    <mergeCell ref="AA74:AB74"/>
    <mergeCell ref="A78:AB78"/>
    <mergeCell ref="A79:A81"/>
    <mergeCell ref="B79:B81"/>
    <mergeCell ref="C79:D79"/>
    <mergeCell ref="E79:F79"/>
    <mergeCell ref="G79:H79"/>
    <mergeCell ref="I79:J79"/>
    <mergeCell ref="K79:L79"/>
    <mergeCell ref="M79:N79"/>
    <mergeCell ref="O79:P79"/>
    <mergeCell ref="Q79:R79"/>
    <mergeCell ref="S79:T79"/>
    <mergeCell ref="U79:V79"/>
    <mergeCell ref="W79:X79"/>
    <mergeCell ref="Y79:Z79"/>
    <mergeCell ref="AA79:AB79"/>
    <mergeCell ref="C80:C81"/>
    <mergeCell ref="D80:D81"/>
    <mergeCell ref="E80:F80"/>
    <mergeCell ref="G80:H80"/>
    <mergeCell ref="I80:J80"/>
    <mergeCell ref="K80:L80"/>
    <mergeCell ref="M80:N80"/>
    <mergeCell ref="O80:P80"/>
    <mergeCell ref="Q80:R80"/>
    <mergeCell ref="S80:T80"/>
    <mergeCell ref="U80:V80"/>
    <mergeCell ref="W80:X80"/>
    <mergeCell ref="Y80:Z80"/>
    <mergeCell ref="AA80:AB80"/>
    <mergeCell ref="A95:B95"/>
    <mergeCell ref="A96:B96"/>
    <mergeCell ref="A97:B97"/>
    <mergeCell ref="A98:B98"/>
    <mergeCell ref="A99:B99"/>
    <mergeCell ref="A100:B100"/>
    <mergeCell ref="A101:B101"/>
    <mergeCell ref="A103:AB103"/>
    <mergeCell ref="B104:AB104"/>
    <mergeCell ref="A105:B105"/>
    <mergeCell ref="C105:D105"/>
    <mergeCell ref="E105:F105"/>
    <mergeCell ref="G105:H105"/>
    <mergeCell ref="I105:J105"/>
    <mergeCell ref="K105:L105"/>
    <mergeCell ref="M105:N105"/>
    <mergeCell ref="O105:P105"/>
    <mergeCell ref="Q105:R105"/>
    <mergeCell ref="S105:T105"/>
    <mergeCell ref="U105:V105"/>
    <mergeCell ref="W105:X105"/>
    <mergeCell ref="Y105:Z105"/>
    <mergeCell ref="AA105:AB105"/>
    <mergeCell ref="A106:B123"/>
    <mergeCell ref="C106:D106"/>
    <mergeCell ref="E106:F106"/>
    <mergeCell ref="G106:H106"/>
    <mergeCell ref="I106:J106"/>
    <mergeCell ref="K106:L106"/>
    <mergeCell ref="M106:N106"/>
    <mergeCell ref="O106:P106"/>
    <mergeCell ref="Q106:R106"/>
    <mergeCell ref="S106:T106"/>
    <mergeCell ref="U106:V106"/>
    <mergeCell ref="W106:X106"/>
    <mergeCell ref="Y106:Z106"/>
    <mergeCell ref="AA106:AB106"/>
    <mergeCell ref="C107:D107"/>
    <mergeCell ref="E107:F107"/>
    <mergeCell ref="G107:H107"/>
    <mergeCell ref="I107:J107"/>
    <mergeCell ref="K107:L107"/>
    <mergeCell ref="M107:N107"/>
    <mergeCell ref="O107:P107"/>
    <mergeCell ref="Q107:R107"/>
    <mergeCell ref="S107:T107"/>
    <mergeCell ref="U107:V107"/>
    <mergeCell ref="W107:X107"/>
    <mergeCell ref="Y107:Z107"/>
    <mergeCell ref="AA107:AB107"/>
    <mergeCell ref="C108:D108"/>
    <mergeCell ref="E108:F108"/>
    <mergeCell ref="G108:H108"/>
    <mergeCell ref="I108:J108"/>
    <mergeCell ref="K108:L108"/>
    <mergeCell ref="M108:N108"/>
    <mergeCell ref="O108:P108"/>
    <mergeCell ref="Q108:R108"/>
    <mergeCell ref="S108:T108"/>
    <mergeCell ref="U108:V108"/>
    <mergeCell ref="W108:X108"/>
    <mergeCell ref="Y108:Z108"/>
    <mergeCell ref="AA108:AB108"/>
    <mergeCell ref="C109:D109"/>
    <mergeCell ref="E109:F109"/>
    <mergeCell ref="G109:H109"/>
    <mergeCell ref="I109:J109"/>
    <mergeCell ref="K109:L109"/>
    <mergeCell ref="M109:N109"/>
    <mergeCell ref="O109:P109"/>
    <mergeCell ref="Q109:R109"/>
    <mergeCell ref="S109:T109"/>
    <mergeCell ref="U109:V109"/>
    <mergeCell ref="W109:X109"/>
    <mergeCell ref="Y109:Z109"/>
    <mergeCell ref="AA109:AB109"/>
    <mergeCell ref="C110:D110"/>
    <mergeCell ref="E110:F110"/>
    <mergeCell ref="G110:H110"/>
    <mergeCell ref="I110:J110"/>
    <mergeCell ref="K110:L110"/>
    <mergeCell ref="M110:N110"/>
    <mergeCell ref="O110:P110"/>
    <mergeCell ref="Q110:R110"/>
    <mergeCell ref="S110:T110"/>
    <mergeCell ref="U110:V110"/>
    <mergeCell ref="W110:X110"/>
    <mergeCell ref="Y110:Z110"/>
    <mergeCell ref="AA110:AB110"/>
    <mergeCell ref="C111:D111"/>
    <mergeCell ref="E111:F111"/>
    <mergeCell ref="G111:H111"/>
    <mergeCell ref="I111:J111"/>
    <mergeCell ref="K111:L111"/>
    <mergeCell ref="M111:N111"/>
    <mergeCell ref="O111:P111"/>
    <mergeCell ref="Q111:R111"/>
    <mergeCell ref="S111:T111"/>
    <mergeCell ref="U111:V111"/>
    <mergeCell ref="W111:X111"/>
    <mergeCell ref="Y111:Z111"/>
    <mergeCell ref="AA111:AB111"/>
    <mergeCell ref="C112:D112"/>
    <mergeCell ref="E112:F112"/>
    <mergeCell ref="G112:H112"/>
    <mergeCell ref="I112:J112"/>
    <mergeCell ref="K112:L112"/>
    <mergeCell ref="M112:N112"/>
    <mergeCell ref="O112:P112"/>
    <mergeCell ref="Q112:R112"/>
    <mergeCell ref="S112:T112"/>
    <mergeCell ref="U112:V112"/>
    <mergeCell ref="W112:X112"/>
    <mergeCell ref="Y112:Z112"/>
    <mergeCell ref="AA112:AB112"/>
    <mergeCell ref="C113:D113"/>
    <mergeCell ref="E113:F113"/>
    <mergeCell ref="G113:H113"/>
    <mergeCell ref="I113:J113"/>
    <mergeCell ref="K113:L113"/>
    <mergeCell ref="M113:N113"/>
    <mergeCell ref="O113:P113"/>
    <mergeCell ref="Q113:R113"/>
    <mergeCell ref="S113:T113"/>
    <mergeCell ref="U113:V113"/>
    <mergeCell ref="W113:X113"/>
    <mergeCell ref="Y113:Z113"/>
    <mergeCell ref="AA113:AB113"/>
    <mergeCell ref="C114:D114"/>
    <mergeCell ref="E114:F114"/>
    <mergeCell ref="G114:H114"/>
    <mergeCell ref="I114:J114"/>
    <mergeCell ref="K114:L114"/>
    <mergeCell ref="M114:N114"/>
    <mergeCell ref="O114:P114"/>
    <mergeCell ref="Q114:R114"/>
    <mergeCell ref="S114:T114"/>
    <mergeCell ref="U114:V114"/>
    <mergeCell ref="W114:X114"/>
    <mergeCell ref="Y114:Z114"/>
    <mergeCell ref="AA114:AB114"/>
    <mergeCell ref="C115:D115"/>
    <mergeCell ref="E115:F115"/>
    <mergeCell ref="G115:H115"/>
    <mergeCell ref="I115:J115"/>
    <mergeCell ref="K115:L115"/>
    <mergeCell ref="M115:N115"/>
    <mergeCell ref="O115:P115"/>
    <mergeCell ref="Q115:R115"/>
    <mergeCell ref="S115:T115"/>
    <mergeCell ref="U115:V115"/>
    <mergeCell ref="W115:X115"/>
    <mergeCell ref="Y115:Z115"/>
    <mergeCell ref="AA115:AB115"/>
    <mergeCell ref="C116:D116"/>
    <mergeCell ref="E116:F116"/>
    <mergeCell ref="G116:H116"/>
    <mergeCell ref="I116:J116"/>
    <mergeCell ref="K116:L116"/>
    <mergeCell ref="M116:N116"/>
    <mergeCell ref="O116:P116"/>
    <mergeCell ref="Q116:R116"/>
    <mergeCell ref="S116:T116"/>
    <mergeCell ref="U116:V116"/>
    <mergeCell ref="W116:X116"/>
    <mergeCell ref="Y116:Z116"/>
    <mergeCell ref="AA116:AB116"/>
    <mergeCell ref="C117:D117"/>
    <mergeCell ref="E117:F117"/>
    <mergeCell ref="G117:H117"/>
    <mergeCell ref="I117:J117"/>
    <mergeCell ref="K117:L117"/>
    <mergeCell ref="M117:N117"/>
    <mergeCell ref="O117:P117"/>
    <mergeCell ref="Q117:R117"/>
    <mergeCell ref="S117:T117"/>
    <mergeCell ref="U117:V117"/>
    <mergeCell ref="W117:X117"/>
    <mergeCell ref="Y117:Z117"/>
    <mergeCell ref="AA117:AB117"/>
    <mergeCell ref="C118:D118"/>
    <mergeCell ref="E118:F118"/>
    <mergeCell ref="G118:H118"/>
    <mergeCell ref="I118:J118"/>
    <mergeCell ref="K118:L118"/>
    <mergeCell ref="M118:N118"/>
    <mergeCell ref="O118:P118"/>
    <mergeCell ref="Q118:R118"/>
    <mergeCell ref="S118:T118"/>
    <mergeCell ref="U118:V118"/>
    <mergeCell ref="W118:X118"/>
    <mergeCell ref="Y118:Z118"/>
    <mergeCell ref="AA118:AB118"/>
    <mergeCell ref="C119:D119"/>
    <mergeCell ref="E119:F119"/>
    <mergeCell ref="G119:H119"/>
    <mergeCell ref="I119:J119"/>
    <mergeCell ref="K119:L119"/>
    <mergeCell ref="M119:N119"/>
    <mergeCell ref="O119:P119"/>
    <mergeCell ref="Q119:R119"/>
    <mergeCell ref="S119:T119"/>
    <mergeCell ref="U119:V119"/>
    <mergeCell ref="W119:X119"/>
    <mergeCell ref="Y119:Z119"/>
    <mergeCell ref="AA119:AB119"/>
    <mergeCell ref="C120:D120"/>
    <mergeCell ref="E120:F120"/>
    <mergeCell ref="G120:H120"/>
    <mergeCell ref="I120:J120"/>
    <mergeCell ref="K120:L120"/>
    <mergeCell ref="M120:N120"/>
    <mergeCell ref="O120:P120"/>
    <mergeCell ref="Q120:R120"/>
    <mergeCell ref="S120:T120"/>
    <mergeCell ref="U120:V120"/>
    <mergeCell ref="W120:X120"/>
    <mergeCell ref="Y120:Z120"/>
    <mergeCell ref="AA120:AB120"/>
    <mergeCell ref="C121:D121"/>
    <mergeCell ref="E121:F121"/>
    <mergeCell ref="G121:H121"/>
    <mergeCell ref="I121:J121"/>
    <mergeCell ref="K121:L121"/>
    <mergeCell ref="M121:N121"/>
    <mergeCell ref="O121:P121"/>
    <mergeCell ref="Q121:R121"/>
    <mergeCell ref="S121:T121"/>
    <mergeCell ref="U121:V121"/>
    <mergeCell ref="W121:X121"/>
    <mergeCell ref="Y121:Z121"/>
    <mergeCell ref="AA121:AB121"/>
    <mergeCell ref="C122:D122"/>
    <mergeCell ref="E122:F122"/>
    <mergeCell ref="G122:H122"/>
    <mergeCell ref="I122:J122"/>
    <mergeCell ref="K122:L122"/>
    <mergeCell ref="M122:N122"/>
    <mergeCell ref="O122:P122"/>
    <mergeCell ref="Q122:R122"/>
    <mergeCell ref="S122:T122"/>
    <mergeCell ref="U122:V122"/>
    <mergeCell ref="W122:X122"/>
    <mergeCell ref="Y122:Z122"/>
    <mergeCell ref="AA122:AB122"/>
    <mergeCell ref="C123:D123"/>
    <mergeCell ref="E123:F123"/>
    <mergeCell ref="G123:H123"/>
    <mergeCell ref="I123:J123"/>
    <mergeCell ref="K123:L123"/>
    <mergeCell ref="M123:N123"/>
    <mergeCell ref="O123:P123"/>
    <mergeCell ref="Q123:R123"/>
    <mergeCell ref="S123:T123"/>
    <mergeCell ref="U123:V123"/>
    <mergeCell ref="W123:X123"/>
    <mergeCell ref="Y123:Z123"/>
    <mergeCell ref="AA123:AB123"/>
    <mergeCell ref="A124:B130"/>
    <mergeCell ref="C124:D124"/>
    <mergeCell ref="E124:F124"/>
    <mergeCell ref="G124:H124"/>
    <mergeCell ref="I124:J124"/>
    <mergeCell ref="K124:L124"/>
    <mergeCell ref="M124:N124"/>
    <mergeCell ref="O124:P124"/>
    <mergeCell ref="Q124:R124"/>
    <mergeCell ref="S124:T124"/>
    <mergeCell ref="U124:V124"/>
    <mergeCell ref="W124:X124"/>
    <mergeCell ref="Y124:Z124"/>
    <mergeCell ref="AA124:AB124"/>
    <mergeCell ref="C125:D125"/>
    <mergeCell ref="E125:F125"/>
    <mergeCell ref="G125:H125"/>
    <mergeCell ref="I125:J125"/>
    <mergeCell ref="K125:L125"/>
    <mergeCell ref="M125:N125"/>
    <mergeCell ref="O125:P125"/>
    <mergeCell ref="Q125:R125"/>
    <mergeCell ref="S125:T125"/>
    <mergeCell ref="U125:V125"/>
    <mergeCell ref="W125:X125"/>
    <mergeCell ref="Y125:Z125"/>
    <mergeCell ref="AA125:AB125"/>
    <mergeCell ref="C126:D126"/>
    <mergeCell ref="E126:F126"/>
    <mergeCell ref="G126:H126"/>
    <mergeCell ref="I126:J126"/>
    <mergeCell ref="K126:L126"/>
    <mergeCell ref="M126:N126"/>
    <mergeCell ref="O126:P126"/>
    <mergeCell ref="Q126:R126"/>
    <mergeCell ref="S126:T126"/>
    <mergeCell ref="U126:V126"/>
    <mergeCell ref="W126:X126"/>
    <mergeCell ref="Y126:Z126"/>
    <mergeCell ref="AA126:AB126"/>
    <mergeCell ref="C127:D127"/>
    <mergeCell ref="E127:F127"/>
    <mergeCell ref="G127:H127"/>
    <mergeCell ref="I127:J127"/>
    <mergeCell ref="K127:L127"/>
    <mergeCell ref="M127:N127"/>
    <mergeCell ref="O127:P127"/>
    <mergeCell ref="Q127:R127"/>
    <mergeCell ref="S127:T127"/>
    <mergeCell ref="U127:V127"/>
    <mergeCell ref="W127:X127"/>
    <mergeCell ref="Y127:Z127"/>
    <mergeCell ref="AA127:AB127"/>
    <mergeCell ref="C128:D128"/>
    <mergeCell ref="E128:F128"/>
    <mergeCell ref="G128:H128"/>
    <mergeCell ref="I128:J128"/>
    <mergeCell ref="K128:L128"/>
    <mergeCell ref="M128:N128"/>
    <mergeCell ref="O128:P128"/>
    <mergeCell ref="Q128:R128"/>
    <mergeCell ref="S128:T128"/>
    <mergeCell ref="U128:V128"/>
    <mergeCell ref="W128:X128"/>
    <mergeCell ref="Y128:Z128"/>
    <mergeCell ref="AA128:AB128"/>
    <mergeCell ref="C129:D129"/>
    <mergeCell ref="E129:F129"/>
    <mergeCell ref="G129:H129"/>
    <mergeCell ref="I129:J129"/>
    <mergeCell ref="K129:L129"/>
    <mergeCell ref="M129:N129"/>
    <mergeCell ref="O129:P129"/>
    <mergeCell ref="Q129:R129"/>
    <mergeCell ref="S129:T129"/>
    <mergeCell ref="U129:V129"/>
    <mergeCell ref="W129:X129"/>
    <mergeCell ref="Y129:Z129"/>
    <mergeCell ref="AA129:AB129"/>
    <mergeCell ref="C130:D130"/>
    <mergeCell ref="E130:F130"/>
    <mergeCell ref="G130:H130"/>
    <mergeCell ref="I130:J130"/>
    <mergeCell ref="K130:L130"/>
    <mergeCell ref="M130:N130"/>
    <mergeCell ref="O130:P130"/>
    <mergeCell ref="Q130:R130"/>
    <mergeCell ref="S130:T130"/>
    <mergeCell ref="U130:V130"/>
    <mergeCell ref="W130:X130"/>
    <mergeCell ref="Y130:Z130"/>
    <mergeCell ref="AA130:AB130"/>
    <mergeCell ref="A131:B136"/>
    <mergeCell ref="C131:D131"/>
    <mergeCell ref="E131:F131"/>
    <mergeCell ref="G131:H131"/>
    <mergeCell ref="I131:J131"/>
    <mergeCell ref="K131:L131"/>
    <mergeCell ref="M131:N131"/>
    <mergeCell ref="O131:P131"/>
    <mergeCell ref="Q131:R131"/>
    <mergeCell ref="S131:T131"/>
    <mergeCell ref="U131:V131"/>
    <mergeCell ref="W131:X131"/>
    <mergeCell ref="Y131:Z131"/>
    <mergeCell ref="AA131:AB131"/>
    <mergeCell ref="C132:D132"/>
    <mergeCell ref="E132:F132"/>
    <mergeCell ref="G132:H132"/>
    <mergeCell ref="I132:J132"/>
    <mergeCell ref="K132:L132"/>
    <mergeCell ref="M132:N132"/>
    <mergeCell ref="O132:P132"/>
    <mergeCell ref="Q132:R132"/>
    <mergeCell ref="S132:T132"/>
    <mergeCell ref="U132:V132"/>
    <mergeCell ref="W132:X132"/>
    <mergeCell ref="Y132:Z132"/>
    <mergeCell ref="AA132:AB132"/>
    <mergeCell ref="C133:D133"/>
    <mergeCell ref="E133:F133"/>
    <mergeCell ref="G133:H133"/>
    <mergeCell ref="I133:J133"/>
    <mergeCell ref="K133:L133"/>
    <mergeCell ref="M133:N133"/>
    <mergeCell ref="O133:P133"/>
    <mergeCell ref="Q133:R133"/>
    <mergeCell ref="S133:T133"/>
    <mergeCell ref="U133:V133"/>
    <mergeCell ref="W133:X133"/>
    <mergeCell ref="Y133:Z133"/>
    <mergeCell ref="AA133:AB133"/>
    <mergeCell ref="C134:D134"/>
    <mergeCell ref="E134:F134"/>
    <mergeCell ref="G134:H134"/>
    <mergeCell ref="I134:J134"/>
    <mergeCell ref="K134:L134"/>
    <mergeCell ref="M134:N134"/>
    <mergeCell ref="O134:P134"/>
    <mergeCell ref="Q134:R134"/>
    <mergeCell ref="S134:T134"/>
    <mergeCell ref="U134:V134"/>
    <mergeCell ref="W134:X134"/>
    <mergeCell ref="Y134:Z134"/>
    <mergeCell ref="AA134:AB134"/>
    <mergeCell ref="C135:D135"/>
    <mergeCell ref="E135:F135"/>
    <mergeCell ref="G135:H135"/>
    <mergeCell ref="I135:J135"/>
    <mergeCell ref="K135:L135"/>
    <mergeCell ref="M135:N135"/>
    <mergeCell ref="O135:P135"/>
    <mergeCell ref="Q135:R135"/>
    <mergeCell ref="S135:T135"/>
    <mergeCell ref="U135:V135"/>
    <mergeCell ref="W135:X135"/>
    <mergeCell ref="Y135:Z135"/>
    <mergeCell ref="AA135:AB135"/>
    <mergeCell ref="C136:D136"/>
    <mergeCell ref="E136:F136"/>
    <mergeCell ref="G136:H136"/>
    <mergeCell ref="I136:J136"/>
    <mergeCell ref="K136:L136"/>
    <mergeCell ref="M136:N136"/>
    <mergeCell ref="O136:P136"/>
    <mergeCell ref="Q136:R136"/>
    <mergeCell ref="S136:T136"/>
    <mergeCell ref="U136:V136"/>
    <mergeCell ref="W136:X136"/>
    <mergeCell ref="Y136:Z136"/>
    <mergeCell ref="AA136:AB136"/>
    <mergeCell ref="A140:AB140"/>
    <mergeCell ref="A141:A143"/>
    <mergeCell ref="B141:B143"/>
    <mergeCell ref="C141:D141"/>
    <mergeCell ref="E141:F141"/>
    <mergeCell ref="G141:H141"/>
    <mergeCell ref="I141:J141"/>
    <mergeCell ref="K141:L141"/>
    <mergeCell ref="M141:N141"/>
    <mergeCell ref="O141:P141"/>
    <mergeCell ref="Q141:R141"/>
    <mergeCell ref="S141:T141"/>
    <mergeCell ref="U141:V141"/>
    <mergeCell ref="W141:X141"/>
    <mergeCell ref="Y141:Z141"/>
    <mergeCell ref="AA141:AB141"/>
    <mergeCell ref="C142:C143"/>
    <mergeCell ref="D142:D143"/>
    <mergeCell ref="E142:F142"/>
    <mergeCell ref="G142:H142"/>
    <mergeCell ref="I142:J142"/>
    <mergeCell ref="K142:L142"/>
    <mergeCell ref="M142:N142"/>
    <mergeCell ref="O142:P142"/>
    <mergeCell ref="Q142:R142"/>
    <mergeCell ref="S142:T142"/>
    <mergeCell ref="U142:V142"/>
    <mergeCell ref="W142:X142"/>
    <mergeCell ref="Y142:Z142"/>
    <mergeCell ref="AA142:AB142"/>
    <mergeCell ref="A157:B157"/>
    <mergeCell ref="A158:B158"/>
    <mergeCell ref="A159:B159"/>
    <mergeCell ref="A160:B160"/>
    <mergeCell ref="A161:B161"/>
    <mergeCell ref="A162:B162"/>
    <mergeCell ref="A163:B163"/>
    <mergeCell ref="A165:AB165"/>
    <mergeCell ref="B166:AB166"/>
    <mergeCell ref="A167:B167"/>
    <mergeCell ref="C167:D167"/>
    <mergeCell ref="E167:F167"/>
    <mergeCell ref="G167:H167"/>
    <mergeCell ref="I167:J167"/>
    <mergeCell ref="K167:L167"/>
    <mergeCell ref="M167:N167"/>
    <mergeCell ref="O167:P167"/>
    <mergeCell ref="Q167:R167"/>
    <mergeCell ref="S167:T167"/>
    <mergeCell ref="U167:V167"/>
    <mergeCell ref="W167:X167"/>
    <mergeCell ref="Y167:Z167"/>
    <mergeCell ref="AA167:AB167"/>
    <mergeCell ref="A168:B185"/>
    <mergeCell ref="C168:D168"/>
    <mergeCell ref="E168:F168"/>
    <mergeCell ref="G168:H168"/>
    <mergeCell ref="I168:J168"/>
    <mergeCell ref="K168:L168"/>
    <mergeCell ref="M168:N168"/>
    <mergeCell ref="O168:P168"/>
    <mergeCell ref="Q168:R168"/>
    <mergeCell ref="S168:T168"/>
    <mergeCell ref="U168:V168"/>
    <mergeCell ref="W168:X168"/>
    <mergeCell ref="Y168:Z168"/>
    <mergeCell ref="AA168:AB168"/>
    <mergeCell ref="C169:D169"/>
    <mergeCell ref="E169:F169"/>
    <mergeCell ref="G169:H169"/>
    <mergeCell ref="I169:J169"/>
    <mergeCell ref="K169:L169"/>
    <mergeCell ref="M169:N169"/>
    <mergeCell ref="O169:P169"/>
    <mergeCell ref="Q169:R169"/>
    <mergeCell ref="S169:T169"/>
    <mergeCell ref="U169:V169"/>
    <mergeCell ref="W169:X169"/>
    <mergeCell ref="Y169:Z169"/>
    <mergeCell ref="AA169:AB169"/>
    <mergeCell ref="C170:D170"/>
    <mergeCell ref="E170:F170"/>
    <mergeCell ref="G170:H170"/>
    <mergeCell ref="I170:J170"/>
    <mergeCell ref="K170:L170"/>
    <mergeCell ref="M170:N170"/>
    <mergeCell ref="O170:P170"/>
    <mergeCell ref="Q170:R170"/>
    <mergeCell ref="S170:T170"/>
    <mergeCell ref="U170:V170"/>
    <mergeCell ref="W170:X170"/>
    <mergeCell ref="Y170:Z170"/>
    <mergeCell ref="AA170:AB170"/>
    <mergeCell ref="C171:D171"/>
    <mergeCell ref="E171:F171"/>
    <mergeCell ref="G171:H171"/>
    <mergeCell ref="I171:J171"/>
    <mergeCell ref="K171:L171"/>
    <mergeCell ref="M171:N171"/>
    <mergeCell ref="O171:P171"/>
    <mergeCell ref="Q171:R171"/>
    <mergeCell ref="S171:T171"/>
    <mergeCell ref="U171:V171"/>
    <mergeCell ref="W171:X171"/>
    <mergeCell ref="Y171:Z171"/>
    <mergeCell ref="AA171:AB171"/>
    <mergeCell ref="C172:D172"/>
    <mergeCell ref="E172:F172"/>
    <mergeCell ref="G172:H172"/>
    <mergeCell ref="I172:J172"/>
    <mergeCell ref="K172:L172"/>
    <mergeCell ref="M172:N172"/>
    <mergeCell ref="O172:P172"/>
    <mergeCell ref="Q172:R172"/>
    <mergeCell ref="S172:T172"/>
    <mergeCell ref="U172:V172"/>
    <mergeCell ref="W172:X172"/>
    <mergeCell ref="Y172:Z172"/>
    <mergeCell ref="AA172:AB172"/>
    <mergeCell ref="C173:D173"/>
    <mergeCell ref="E173:F173"/>
    <mergeCell ref="G173:H173"/>
    <mergeCell ref="I173:J173"/>
    <mergeCell ref="K173:L173"/>
    <mergeCell ref="M173:N173"/>
    <mergeCell ref="O173:P173"/>
    <mergeCell ref="Q173:R173"/>
    <mergeCell ref="S173:T173"/>
    <mergeCell ref="U173:V173"/>
    <mergeCell ref="W173:X173"/>
    <mergeCell ref="Y173:Z173"/>
    <mergeCell ref="AA173:AB173"/>
    <mergeCell ref="C174:D174"/>
    <mergeCell ref="E174:F174"/>
    <mergeCell ref="G174:H174"/>
    <mergeCell ref="I174:J174"/>
    <mergeCell ref="K174:L174"/>
    <mergeCell ref="M174:N174"/>
    <mergeCell ref="O174:P174"/>
    <mergeCell ref="Q174:R174"/>
    <mergeCell ref="S174:T174"/>
    <mergeCell ref="U174:V174"/>
    <mergeCell ref="W174:X174"/>
    <mergeCell ref="Y174:Z174"/>
    <mergeCell ref="AA174:AB174"/>
    <mergeCell ref="C175:D175"/>
    <mergeCell ref="E175:F175"/>
    <mergeCell ref="G175:H175"/>
    <mergeCell ref="I175:J175"/>
    <mergeCell ref="K175:L175"/>
    <mergeCell ref="M175:N175"/>
    <mergeCell ref="O175:P175"/>
    <mergeCell ref="Q175:R175"/>
    <mergeCell ref="S175:T175"/>
    <mergeCell ref="U175:V175"/>
    <mergeCell ref="W175:X175"/>
    <mergeCell ref="Y175:Z175"/>
    <mergeCell ref="AA175:AB175"/>
    <mergeCell ref="C176:D176"/>
    <mergeCell ref="E176:F176"/>
    <mergeCell ref="G176:H176"/>
    <mergeCell ref="I176:J176"/>
    <mergeCell ref="K176:L176"/>
    <mergeCell ref="M176:N176"/>
    <mergeCell ref="O176:P176"/>
    <mergeCell ref="Q176:R176"/>
    <mergeCell ref="S176:T176"/>
    <mergeCell ref="U176:V176"/>
    <mergeCell ref="W176:X176"/>
    <mergeCell ref="Y176:Z176"/>
    <mergeCell ref="AA176:AB176"/>
    <mergeCell ref="C177:D177"/>
    <mergeCell ref="E177:F177"/>
    <mergeCell ref="G177:H177"/>
    <mergeCell ref="I177:J177"/>
    <mergeCell ref="K177:L177"/>
    <mergeCell ref="M177:N177"/>
    <mergeCell ref="O177:P177"/>
    <mergeCell ref="Q177:R177"/>
    <mergeCell ref="S177:T177"/>
    <mergeCell ref="U177:V177"/>
    <mergeCell ref="W177:X177"/>
    <mergeCell ref="Y177:Z177"/>
    <mergeCell ref="AA177:AB177"/>
    <mergeCell ref="C178:D178"/>
    <mergeCell ref="E178:F178"/>
    <mergeCell ref="G178:H178"/>
    <mergeCell ref="I178:J178"/>
    <mergeCell ref="K178:L178"/>
    <mergeCell ref="M178:N178"/>
    <mergeCell ref="O178:P178"/>
    <mergeCell ref="Q178:R178"/>
    <mergeCell ref="S178:T178"/>
    <mergeCell ref="U178:V178"/>
    <mergeCell ref="W178:X178"/>
    <mergeCell ref="Y178:Z178"/>
    <mergeCell ref="AA178:AB178"/>
    <mergeCell ref="C179:D179"/>
    <mergeCell ref="E179:F179"/>
    <mergeCell ref="G179:H179"/>
    <mergeCell ref="I179:J179"/>
    <mergeCell ref="K179:L179"/>
    <mergeCell ref="M179:N179"/>
    <mergeCell ref="O179:P179"/>
    <mergeCell ref="Q179:R179"/>
    <mergeCell ref="S179:T179"/>
    <mergeCell ref="U179:V179"/>
    <mergeCell ref="W179:X179"/>
    <mergeCell ref="Y179:Z179"/>
    <mergeCell ref="AA179:AB179"/>
    <mergeCell ref="C180:D180"/>
    <mergeCell ref="E180:F180"/>
    <mergeCell ref="G180:H180"/>
    <mergeCell ref="I180:J180"/>
    <mergeCell ref="K180:L180"/>
    <mergeCell ref="M180:N180"/>
    <mergeCell ref="O180:P180"/>
    <mergeCell ref="Q180:R180"/>
    <mergeCell ref="S180:T180"/>
    <mergeCell ref="U180:V180"/>
    <mergeCell ref="W180:X180"/>
    <mergeCell ref="Y180:Z180"/>
    <mergeCell ref="AA180:AB180"/>
    <mergeCell ref="C181:D181"/>
    <mergeCell ref="E181:F181"/>
    <mergeCell ref="G181:H181"/>
    <mergeCell ref="I181:J181"/>
    <mergeCell ref="K181:L181"/>
    <mergeCell ref="M181:N181"/>
    <mergeCell ref="O181:P181"/>
    <mergeCell ref="Q181:R181"/>
    <mergeCell ref="S181:T181"/>
    <mergeCell ref="U181:V181"/>
    <mergeCell ref="W181:X181"/>
    <mergeCell ref="Y181:Z181"/>
    <mergeCell ref="AA181:AB181"/>
    <mergeCell ref="C182:D182"/>
    <mergeCell ref="E182:F182"/>
    <mergeCell ref="G182:H182"/>
    <mergeCell ref="I182:J182"/>
    <mergeCell ref="K182:L182"/>
    <mergeCell ref="M182:N182"/>
    <mergeCell ref="O182:P182"/>
    <mergeCell ref="Q182:R182"/>
    <mergeCell ref="S182:T182"/>
    <mergeCell ref="U182:V182"/>
    <mergeCell ref="W182:X182"/>
    <mergeCell ref="Y182:Z182"/>
    <mergeCell ref="AA182:AB182"/>
    <mergeCell ref="C183:D183"/>
    <mergeCell ref="E183:F183"/>
    <mergeCell ref="G183:H183"/>
    <mergeCell ref="I183:J183"/>
    <mergeCell ref="K183:L183"/>
    <mergeCell ref="M183:N183"/>
    <mergeCell ref="O183:P183"/>
    <mergeCell ref="Q183:R183"/>
    <mergeCell ref="S183:T183"/>
    <mergeCell ref="U183:V183"/>
    <mergeCell ref="W183:X183"/>
    <mergeCell ref="Y183:Z183"/>
    <mergeCell ref="AA183:AB183"/>
    <mergeCell ref="C184:D184"/>
    <mergeCell ref="E184:F184"/>
    <mergeCell ref="G184:H184"/>
    <mergeCell ref="I184:J184"/>
    <mergeCell ref="K184:L184"/>
    <mergeCell ref="M184:N184"/>
    <mergeCell ref="O184:P184"/>
    <mergeCell ref="Q184:R184"/>
    <mergeCell ref="S184:T184"/>
    <mergeCell ref="U184:V184"/>
    <mergeCell ref="W184:X184"/>
    <mergeCell ref="Y184:Z184"/>
    <mergeCell ref="AA184:AB184"/>
    <mergeCell ref="C185:D185"/>
    <mergeCell ref="E185:F185"/>
    <mergeCell ref="G185:H185"/>
    <mergeCell ref="I185:J185"/>
    <mergeCell ref="K185:L185"/>
    <mergeCell ref="M185:N185"/>
    <mergeCell ref="O185:P185"/>
    <mergeCell ref="Q185:R185"/>
    <mergeCell ref="S185:T185"/>
    <mergeCell ref="U185:V185"/>
    <mergeCell ref="W185:X185"/>
    <mergeCell ref="Y185:Z185"/>
    <mergeCell ref="AA185:AB185"/>
    <mergeCell ref="A186:B192"/>
    <mergeCell ref="C186:D186"/>
    <mergeCell ref="E186:F186"/>
    <mergeCell ref="G186:H186"/>
    <mergeCell ref="I186:J186"/>
    <mergeCell ref="K186:L186"/>
    <mergeCell ref="M186:N186"/>
    <mergeCell ref="O186:P186"/>
    <mergeCell ref="Q186:R186"/>
    <mergeCell ref="S186:T186"/>
    <mergeCell ref="U186:V186"/>
    <mergeCell ref="W186:X186"/>
    <mergeCell ref="Y186:Z186"/>
    <mergeCell ref="AA186:AB186"/>
    <mergeCell ref="C187:D187"/>
    <mergeCell ref="E187:F187"/>
    <mergeCell ref="G187:H187"/>
    <mergeCell ref="I187:J187"/>
    <mergeCell ref="K187:L187"/>
    <mergeCell ref="M187:N187"/>
    <mergeCell ref="O187:P187"/>
    <mergeCell ref="Q187:R187"/>
    <mergeCell ref="S187:T187"/>
    <mergeCell ref="U187:V187"/>
    <mergeCell ref="W187:X187"/>
    <mergeCell ref="Y187:Z187"/>
    <mergeCell ref="AA187:AB187"/>
    <mergeCell ref="C188:D188"/>
    <mergeCell ref="E188:F188"/>
    <mergeCell ref="G188:H188"/>
    <mergeCell ref="I188:J188"/>
    <mergeCell ref="K188:L188"/>
    <mergeCell ref="M188:N188"/>
    <mergeCell ref="O188:P188"/>
    <mergeCell ref="Q188:R188"/>
    <mergeCell ref="S188:T188"/>
    <mergeCell ref="U188:V188"/>
    <mergeCell ref="W188:X188"/>
    <mergeCell ref="Y188:Z188"/>
    <mergeCell ref="AA188:AB188"/>
    <mergeCell ref="C189:D189"/>
    <mergeCell ref="E189:F189"/>
    <mergeCell ref="G189:H189"/>
    <mergeCell ref="I189:J189"/>
    <mergeCell ref="K189:L189"/>
    <mergeCell ref="M189:N189"/>
    <mergeCell ref="O189:P189"/>
    <mergeCell ref="Q189:R189"/>
    <mergeCell ref="S189:T189"/>
    <mergeCell ref="U189:V189"/>
    <mergeCell ref="W189:X189"/>
    <mergeCell ref="Y189:Z189"/>
    <mergeCell ref="AA189:AB189"/>
    <mergeCell ref="C190:D190"/>
    <mergeCell ref="E190:F190"/>
    <mergeCell ref="G190:H190"/>
    <mergeCell ref="I190:J190"/>
    <mergeCell ref="K190:L190"/>
    <mergeCell ref="M190:N190"/>
    <mergeCell ref="O190:P190"/>
    <mergeCell ref="Q190:R190"/>
    <mergeCell ref="S190:T190"/>
    <mergeCell ref="U190:V190"/>
    <mergeCell ref="W190:X190"/>
    <mergeCell ref="Y190:Z190"/>
    <mergeCell ref="AA190:AB190"/>
    <mergeCell ref="C191:D191"/>
    <mergeCell ref="E191:F191"/>
    <mergeCell ref="G191:H191"/>
    <mergeCell ref="I191:J191"/>
    <mergeCell ref="K191:L191"/>
    <mergeCell ref="M191:N191"/>
    <mergeCell ref="O191:P191"/>
    <mergeCell ref="Q191:R191"/>
    <mergeCell ref="S191:T191"/>
    <mergeCell ref="U191:V191"/>
    <mergeCell ref="W191:X191"/>
    <mergeCell ref="Y191:Z191"/>
    <mergeCell ref="AA191:AB191"/>
    <mergeCell ref="C192:D192"/>
    <mergeCell ref="E192:F192"/>
    <mergeCell ref="G192:H192"/>
    <mergeCell ref="I192:J192"/>
    <mergeCell ref="K192:L192"/>
    <mergeCell ref="M192:N192"/>
    <mergeCell ref="O192:P192"/>
    <mergeCell ref="Q192:R192"/>
    <mergeCell ref="S192:T192"/>
    <mergeCell ref="U192:V192"/>
    <mergeCell ref="W192:X192"/>
    <mergeCell ref="Y192:Z192"/>
    <mergeCell ref="AA192:AB192"/>
    <mergeCell ref="A193:B198"/>
    <mergeCell ref="C193:D193"/>
    <mergeCell ref="E193:F193"/>
    <mergeCell ref="G193:H193"/>
    <mergeCell ref="I193:J193"/>
    <mergeCell ref="K193:L193"/>
    <mergeCell ref="M193:N193"/>
    <mergeCell ref="O193:P193"/>
    <mergeCell ref="Q193:R193"/>
    <mergeCell ref="S193:T193"/>
    <mergeCell ref="U193:V193"/>
    <mergeCell ref="W193:X193"/>
    <mergeCell ref="Y193:Z193"/>
    <mergeCell ref="AA193:AB193"/>
    <mergeCell ref="C194:D194"/>
    <mergeCell ref="E194:F194"/>
    <mergeCell ref="G194:H194"/>
    <mergeCell ref="I194:J194"/>
    <mergeCell ref="K194:L194"/>
    <mergeCell ref="M194:N194"/>
    <mergeCell ref="O194:P194"/>
    <mergeCell ref="Q194:R194"/>
    <mergeCell ref="S194:T194"/>
    <mergeCell ref="U194:V194"/>
    <mergeCell ref="W194:X194"/>
    <mergeCell ref="Y194:Z194"/>
    <mergeCell ref="AA194:AB194"/>
    <mergeCell ref="C195:D195"/>
    <mergeCell ref="E195:F195"/>
    <mergeCell ref="G195:H195"/>
    <mergeCell ref="I195:J195"/>
    <mergeCell ref="K195:L195"/>
    <mergeCell ref="M195:N195"/>
    <mergeCell ref="O195:P195"/>
    <mergeCell ref="Q195:R195"/>
    <mergeCell ref="S195:T195"/>
    <mergeCell ref="U195:V195"/>
    <mergeCell ref="W195:X195"/>
    <mergeCell ref="Y195:Z195"/>
    <mergeCell ref="AA195:AB195"/>
    <mergeCell ref="C196:D196"/>
    <mergeCell ref="E196:F196"/>
    <mergeCell ref="G196:H196"/>
    <mergeCell ref="I196:J196"/>
    <mergeCell ref="K196:L196"/>
    <mergeCell ref="M196:N196"/>
    <mergeCell ref="O196:P196"/>
    <mergeCell ref="Q196:R196"/>
    <mergeCell ref="S196:T196"/>
    <mergeCell ref="U196:V196"/>
    <mergeCell ref="W196:X196"/>
    <mergeCell ref="Y196:Z196"/>
    <mergeCell ref="AA196:AB196"/>
    <mergeCell ref="C197:D197"/>
    <mergeCell ref="E197:F197"/>
    <mergeCell ref="G197:H197"/>
    <mergeCell ref="I197:J197"/>
    <mergeCell ref="K197:L197"/>
    <mergeCell ref="M197:N197"/>
    <mergeCell ref="O197:P197"/>
    <mergeCell ref="Q197:R197"/>
    <mergeCell ref="S197:T197"/>
    <mergeCell ref="U197:V197"/>
    <mergeCell ref="W197:X197"/>
    <mergeCell ref="Y197:Z197"/>
    <mergeCell ref="AA197:AB197"/>
    <mergeCell ref="C198:D198"/>
    <mergeCell ref="E198:F198"/>
    <mergeCell ref="G198:H198"/>
    <mergeCell ref="I198:J198"/>
    <mergeCell ref="K198:L198"/>
    <mergeCell ref="M198:N198"/>
    <mergeCell ref="O198:P198"/>
    <mergeCell ref="Q198:R198"/>
    <mergeCell ref="S198:T198"/>
    <mergeCell ref="U198:V198"/>
    <mergeCell ref="W198:X198"/>
    <mergeCell ref="Y198:Z198"/>
    <mergeCell ref="AA198:AB19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310"/>
  <sheetViews>
    <sheetView showFormulas="false" showGridLines="true" showRowColHeaders="true" showZeros="true" rightToLeft="false" tabSelected="true" showOutlineSymbols="true" defaultGridColor="true" view="normal" topLeftCell="C101" colorId="64" zoomScale="100" zoomScaleNormal="100" zoomScalePageLayoutView="100" workbookViewId="0">
      <selection pane="topLeft" activeCell="A1" activeCellId="0" sqref="A1"/>
    </sheetView>
  </sheetViews>
  <sheetFormatPr defaultColWidth="8.66796875" defaultRowHeight="13.5" customHeight="false" zeroHeight="false" outlineLevelRow="0" outlineLevelCol="0"/>
  <cols>
    <col collapsed="false" customWidth="true" hidden="false" outlineLevel="0" max="1" min="1" style="1" width="34.5"/>
    <col collapsed="false" customWidth="true" hidden="false" outlineLevel="0" max="2" min="2" style="1" width="31.66"/>
    <col collapsed="false" customWidth="true" hidden="false" outlineLevel="0" max="3" min="3" style="1" width="36.33"/>
    <col collapsed="false" customWidth="true" hidden="false" outlineLevel="0" max="4" min="4" style="1" width="41.33"/>
    <col collapsed="false" customWidth="true" hidden="false" outlineLevel="0" max="5" min="5" style="1" width="29.16"/>
    <col collapsed="false" customWidth="true" hidden="false" outlineLevel="0" max="6" min="6" style="1" width="13.83"/>
    <col collapsed="false" customWidth="true" hidden="false" outlineLevel="0" max="7" min="7" style="1" width="12.83"/>
    <col collapsed="false" customWidth="true" hidden="false" outlineLevel="0" max="8" min="8" style="1" width="36.66"/>
    <col collapsed="false" customWidth="true" hidden="false" outlineLevel="0" max="9" min="9" style="1" width="22.34"/>
    <col collapsed="false" customWidth="true" hidden="false" outlineLevel="0" max="10" min="10" style="1" width="24"/>
    <col collapsed="false" customWidth="true" hidden="false" outlineLevel="0" max="11" min="11" style="1" width="29.67"/>
    <col collapsed="false" customWidth="true" hidden="false" outlineLevel="0" max="12" min="12" style="1" width="24"/>
    <col collapsed="false" customWidth="true" hidden="false" outlineLevel="0" max="13" min="13" style="1" width="14.67"/>
    <col collapsed="false" customWidth="true" hidden="false" outlineLevel="0" max="14" min="14" style="1" width="13.5"/>
    <col collapsed="false" customWidth="true" hidden="false" outlineLevel="0" max="15" min="15" style="1" width="19.16"/>
    <col collapsed="false" customWidth="true" hidden="false" outlineLevel="0" max="16" min="16" style="1" width="11.66"/>
    <col collapsed="false" customWidth="true" hidden="false" outlineLevel="0" max="17" min="17" style="1" width="14.16"/>
    <col collapsed="false" customWidth="true" hidden="false" outlineLevel="0" max="18" min="18" style="1" width="12.17"/>
    <col collapsed="false" customWidth="true" hidden="false" outlineLevel="0" max="19" min="19" style="1" width="14"/>
    <col collapsed="false" customWidth="true" hidden="false" outlineLevel="0" max="20" min="20" style="1" width="15"/>
    <col collapsed="false" customWidth="true" hidden="false" outlineLevel="0" max="21" min="21" style="1" width="13.16"/>
    <col collapsed="false" customWidth="true" hidden="false" outlineLevel="0" max="22" min="22" style="1" width="12.34"/>
    <col collapsed="false" customWidth="true" hidden="false" outlineLevel="0" max="23" min="23" style="1" width="12.5"/>
    <col collapsed="false" customWidth="true" hidden="false" outlineLevel="0" max="24" min="24" style="1" width="12.83"/>
    <col collapsed="false" customWidth="true" hidden="false" outlineLevel="0" max="26" min="26" style="1" width="12.5"/>
    <col collapsed="false" customWidth="true" hidden="false" outlineLevel="0" max="30" min="30" style="1" width="12.66"/>
    <col collapsed="false" customWidth="true" hidden="false" outlineLevel="0" max="32" min="32" style="1" width="12.66"/>
  </cols>
  <sheetData>
    <row r="1" customFormat="false" ht="42.75" hidden="false" customHeight="true" outlineLevel="0" collapsed="false">
      <c r="A1" s="9"/>
      <c r="B1" s="271"/>
      <c r="C1" s="272" t="s">
        <v>147</v>
      </c>
      <c r="D1" s="9"/>
      <c r="E1" s="272"/>
      <c r="F1" s="9"/>
      <c r="G1" s="9"/>
      <c r="H1" s="9"/>
      <c r="I1" s="9"/>
      <c r="J1" s="9"/>
      <c r="K1" s="9"/>
      <c r="L1" s="9"/>
      <c r="M1" s="9"/>
      <c r="N1" s="9"/>
      <c r="O1" s="9"/>
      <c r="P1" s="2"/>
      <c r="Q1" s="2"/>
      <c r="R1" s="2"/>
      <c r="S1" s="2"/>
      <c r="T1" s="2"/>
      <c r="U1" s="2"/>
      <c r="V1" s="2"/>
      <c r="W1" s="2"/>
      <c r="X1" s="2"/>
      <c r="Y1" s="2"/>
      <c r="Z1" s="2"/>
      <c r="AA1" s="2"/>
      <c r="AB1" s="2"/>
      <c r="AC1" s="2"/>
    </row>
    <row r="2" customFormat="false" ht="15" hidden="false" customHeight="true" outlineLevel="0" collapsed="false">
      <c r="A2" s="2"/>
      <c r="B2" s="273"/>
      <c r="C2" s="2"/>
      <c r="D2" s="2"/>
      <c r="E2" s="2"/>
      <c r="F2" s="2"/>
      <c r="G2" s="2"/>
      <c r="H2" s="2"/>
      <c r="I2" s="2"/>
      <c r="J2" s="2"/>
      <c r="K2" s="2"/>
      <c r="L2" s="2"/>
      <c r="M2" s="2"/>
      <c r="N2" s="2"/>
      <c r="O2" s="2"/>
      <c r="P2" s="2"/>
      <c r="Q2" s="2"/>
      <c r="R2" s="2"/>
      <c r="S2" s="2"/>
      <c r="T2" s="2"/>
      <c r="U2" s="2"/>
      <c r="V2" s="2"/>
      <c r="W2" s="2"/>
      <c r="X2" s="2"/>
      <c r="Y2" s="2"/>
      <c r="Z2" s="2"/>
      <c r="AA2" s="2"/>
      <c r="AB2" s="2"/>
      <c r="AC2" s="2"/>
    </row>
    <row r="3" customFormat="false" ht="53.25" hidden="false" customHeight="true" outlineLevel="0" collapsed="false">
      <c r="A3" s="274" t="s">
        <v>148</v>
      </c>
      <c r="B3" s="274"/>
      <c r="C3" s="274"/>
      <c r="D3" s="274"/>
      <c r="E3" s="274"/>
      <c r="F3" s="2"/>
      <c r="G3" s="2"/>
      <c r="H3" s="275" t="s">
        <v>149</v>
      </c>
      <c r="I3" s="275"/>
      <c r="J3" s="275"/>
      <c r="K3" s="275"/>
      <c r="L3" s="275"/>
      <c r="M3" s="2"/>
      <c r="N3" s="2"/>
      <c r="O3" s="2" t="s">
        <v>150</v>
      </c>
      <c r="P3" s="276" t="n">
        <v>6</v>
      </c>
      <c r="Q3" s="2"/>
      <c r="R3" s="2"/>
      <c r="S3" s="277" t="s">
        <v>151</v>
      </c>
      <c r="T3" s="277"/>
      <c r="U3" s="277"/>
      <c r="V3" s="277"/>
      <c r="W3" s="277"/>
      <c r="X3" s="2"/>
      <c r="Y3" s="277" t="s">
        <v>152</v>
      </c>
      <c r="Z3" s="277"/>
      <c r="AA3" s="277"/>
      <c r="AB3" s="277"/>
      <c r="AC3" s="277"/>
    </row>
    <row r="4" customFormat="false" ht="49.5" hidden="false" customHeight="true" outlineLevel="0" collapsed="false">
      <c r="A4" s="278"/>
      <c r="B4" s="278"/>
      <c r="C4" s="278"/>
      <c r="D4" s="278"/>
      <c r="E4" s="278"/>
      <c r="F4" s="2"/>
      <c r="G4" s="2"/>
      <c r="H4" s="278"/>
      <c r="I4" s="278"/>
      <c r="J4" s="278"/>
      <c r="K4" s="278"/>
      <c r="L4" s="278"/>
      <c r="M4" s="2"/>
      <c r="N4" s="2"/>
      <c r="O4" s="2"/>
      <c r="P4" s="2"/>
      <c r="Q4" s="2"/>
      <c r="R4" s="2"/>
      <c r="S4" s="278"/>
      <c r="T4" s="278"/>
      <c r="U4" s="278"/>
      <c r="V4" s="278"/>
      <c r="W4" s="278"/>
      <c r="X4" s="2"/>
      <c r="Y4" s="278"/>
      <c r="Z4" s="278"/>
      <c r="AA4" s="278"/>
      <c r="AB4" s="278"/>
      <c r="AC4" s="278"/>
    </row>
    <row r="5" customFormat="false" ht="26.25" hidden="false" customHeight="true" outlineLevel="0" collapsed="false">
      <c r="A5" s="2"/>
      <c r="B5" s="273"/>
      <c r="C5" s="2"/>
      <c r="D5" s="2"/>
      <c r="E5" s="2"/>
      <c r="F5" s="2"/>
      <c r="G5" s="2"/>
      <c r="H5" s="2"/>
      <c r="I5" s="2"/>
      <c r="J5" s="2"/>
      <c r="K5" s="2"/>
      <c r="L5" s="2"/>
      <c r="M5" s="2"/>
      <c r="N5" s="2"/>
      <c r="O5" s="2"/>
      <c r="P5" s="2"/>
      <c r="Q5" s="2"/>
      <c r="R5" s="2"/>
      <c r="S5" s="2"/>
      <c r="T5" s="2"/>
      <c r="U5" s="2"/>
      <c r="V5" s="2"/>
      <c r="W5" s="2"/>
      <c r="X5" s="2"/>
      <c r="Y5" s="2"/>
      <c r="Z5" s="2"/>
      <c r="AA5" s="2"/>
      <c r="AB5" s="2"/>
      <c r="AC5" s="2"/>
    </row>
    <row r="6" customFormat="false" ht="51.75" hidden="false" customHeight="true" outlineLevel="0" collapsed="false">
      <c r="A6" s="274" t="s">
        <v>153</v>
      </c>
      <c r="B6" s="274"/>
      <c r="C6" s="274"/>
      <c r="D6" s="279"/>
      <c r="E6" s="279"/>
      <c r="F6" s="2"/>
      <c r="G6" s="2"/>
      <c r="H6" s="2"/>
      <c r="I6" s="2"/>
      <c r="J6" s="2"/>
      <c r="K6" s="2"/>
      <c r="L6" s="2"/>
      <c r="M6" s="2"/>
      <c r="N6" s="2"/>
      <c r="O6" s="2"/>
      <c r="P6" s="2"/>
      <c r="Q6" s="2"/>
      <c r="R6" s="2"/>
      <c r="S6" s="2"/>
      <c r="T6" s="2"/>
      <c r="U6" s="2"/>
      <c r="V6" s="2"/>
      <c r="W6" s="2"/>
      <c r="X6" s="2"/>
      <c r="Y6" s="2"/>
      <c r="Z6" s="2"/>
      <c r="AA6" s="2"/>
      <c r="AB6" s="2"/>
      <c r="AC6" s="2"/>
    </row>
    <row r="7" customFormat="false" ht="15" hidden="false" customHeight="true" outlineLevel="0" collapsed="false">
      <c r="A7" s="280" t="s">
        <v>154</v>
      </c>
      <c r="B7" s="281" t="n">
        <v>52</v>
      </c>
      <c r="C7" s="282" t="s">
        <v>155</v>
      </c>
      <c r="D7" s="2"/>
      <c r="E7" s="2"/>
      <c r="F7" s="2"/>
      <c r="G7" s="2"/>
      <c r="H7" s="2"/>
      <c r="I7" s="2"/>
      <c r="J7" s="2"/>
      <c r="K7" s="2"/>
      <c r="L7" s="2"/>
      <c r="M7" s="2"/>
      <c r="N7" s="2"/>
      <c r="O7" s="2"/>
      <c r="P7" s="2"/>
      <c r="Q7" s="2"/>
      <c r="R7" s="2"/>
      <c r="S7" s="2"/>
      <c r="T7" s="2"/>
      <c r="U7" s="2"/>
      <c r="V7" s="2"/>
      <c r="W7" s="2"/>
      <c r="X7" s="2"/>
      <c r="Y7" s="2"/>
      <c r="Z7" s="2"/>
      <c r="AA7" s="2"/>
      <c r="AB7" s="2"/>
      <c r="AC7" s="2"/>
    </row>
    <row r="8" customFormat="false" ht="15" hidden="false" customHeight="true" outlineLevel="0" collapsed="false">
      <c r="A8" s="280" t="s">
        <v>156</v>
      </c>
      <c r="B8" s="281" t="n">
        <v>2</v>
      </c>
      <c r="C8" s="282" t="s">
        <v>155</v>
      </c>
      <c r="D8" s="2"/>
      <c r="E8" s="2"/>
      <c r="F8" s="2"/>
      <c r="G8" s="2"/>
      <c r="H8" s="2"/>
      <c r="I8" s="2"/>
      <c r="J8" s="2"/>
      <c r="K8" s="2"/>
      <c r="L8" s="2"/>
      <c r="M8" s="2"/>
      <c r="N8" s="2"/>
      <c r="O8" s="2"/>
      <c r="P8" s="2"/>
      <c r="Q8" s="2"/>
      <c r="R8" s="2"/>
      <c r="S8" s="2"/>
      <c r="T8" s="2"/>
      <c r="U8" s="2"/>
      <c r="V8" s="2"/>
      <c r="W8" s="2"/>
      <c r="X8" s="2"/>
      <c r="Y8" s="2"/>
      <c r="Z8" s="2"/>
      <c r="AA8" s="2"/>
      <c r="AB8" s="2"/>
      <c r="AC8" s="2"/>
    </row>
    <row r="9" customFormat="false" ht="15" hidden="false" customHeight="true" outlineLevel="0" collapsed="false">
      <c r="A9" s="280" t="s">
        <v>157</v>
      </c>
      <c r="B9" s="281" t="n">
        <v>14</v>
      </c>
      <c r="C9" s="282" t="s">
        <v>158</v>
      </c>
      <c r="D9" s="2"/>
      <c r="E9" s="2"/>
      <c r="F9" s="2"/>
      <c r="G9" s="2"/>
      <c r="H9" s="2"/>
      <c r="I9" s="2"/>
      <c r="J9" s="2"/>
      <c r="K9" s="2"/>
      <c r="L9" s="2"/>
      <c r="M9" s="2"/>
      <c r="N9" s="2"/>
      <c r="O9" s="2"/>
      <c r="P9" s="2"/>
      <c r="Q9" s="2"/>
      <c r="R9" s="2"/>
      <c r="S9" s="2"/>
      <c r="T9" s="2"/>
      <c r="U9" s="2"/>
      <c r="V9" s="2"/>
      <c r="W9" s="2"/>
      <c r="X9" s="2"/>
      <c r="Y9" s="2"/>
      <c r="Z9" s="2"/>
      <c r="AA9" s="2"/>
      <c r="AB9" s="2"/>
      <c r="AC9" s="2"/>
    </row>
    <row r="10" customFormat="false" ht="15" hidden="false" customHeight="true" outlineLevel="0" collapsed="false">
      <c r="A10" s="280" t="s">
        <v>159</v>
      </c>
      <c r="B10" s="281" t="n">
        <f aca="false">(B7-B8)*5 -B9</f>
        <v>236</v>
      </c>
      <c r="C10" s="282" t="s">
        <v>158</v>
      </c>
      <c r="D10" s="2"/>
      <c r="E10" s="2"/>
      <c r="F10" s="2"/>
      <c r="G10" s="2"/>
      <c r="H10" s="2"/>
      <c r="I10" s="2"/>
      <c r="J10" s="2"/>
      <c r="K10" s="2"/>
      <c r="L10" s="2"/>
      <c r="M10" s="2"/>
      <c r="N10" s="2"/>
      <c r="O10" s="2"/>
      <c r="P10" s="2"/>
      <c r="Q10" s="2"/>
      <c r="R10" s="2"/>
      <c r="S10" s="2"/>
      <c r="T10" s="2"/>
      <c r="U10" s="2"/>
      <c r="V10" s="2"/>
      <c r="W10" s="2"/>
      <c r="X10" s="2"/>
      <c r="Y10" s="2"/>
      <c r="Z10" s="2"/>
      <c r="AA10" s="2"/>
      <c r="AB10" s="2"/>
      <c r="AC10" s="2"/>
    </row>
    <row r="11" customFormat="false" ht="87" hidden="false" customHeight="true" outlineLevel="0" collapsed="false">
      <c r="A11" s="280" t="s">
        <v>160</v>
      </c>
      <c r="B11" s="281" t="n">
        <v>8</v>
      </c>
      <c r="C11" s="282" t="s">
        <v>161</v>
      </c>
      <c r="D11" s="2"/>
      <c r="E11" s="2"/>
      <c r="F11" s="2"/>
      <c r="G11" s="2"/>
      <c r="H11" s="2"/>
      <c r="I11" s="2"/>
      <c r="J11" s="2"/>
      <c r="K11" s="2"/>
      <c r="L11" s="2"/>
      <c r="M11" s="2"/>
      <c r="N11" s="2"/>
      <c r="O11" s="2"/>
      <c r="P11" s="2"/>
      <c r="Q11" s="2"/>
      <c r="R11" s="2"/>
      <c r="S11" s="2"/>
      <c r="T11" s="283" t="s">
        <v>162</v>
      </c>
      <c r="U11" s="2"/>
      <c r="V11" s="2"/>
      <c r="W11" s="2"/>
      <c r="X11" s="2"/>
      <c r="Y11" s="2"/>
      <c r="Z11" s="2"/>
      <c r="AA11" s="2"/>
      <c r="AB11" s="2"/>
      <c r="AC11" s="2"/>
    </row>
    <row r="12" customFormat="false" ht="64.5" hidden="false" customHeight="true" outlineLevel="0" collapsed="false">
      <c r="A12" s="284" t="s">
        <v>163</v>
      </c>
      <c r="B12" s="285" t="n">
        <f aca="false">B10*B11</f>
        <v>1888</v>
      </c>
      <c r="C12" s="286" t="s">
        <v>161</v>
      </c>
      <c r="D12" s="2"/>
      <c r="E12" s="2"/>
      <c r="F12" s="2"/>
      <c r="G12" s="2"/>
      <c r="H12" s="2"/>
      <c r="I12" s="2"/>
      <c r="J12" s="2"/>
      <c r="K12" s="2"/>
      <c r="L12" s="2"/>
      <c r="M12" s="2"/>
      <c r="N12" s="2"/>
      <c r="O12" s="2"/>
      <c r="P12" s="2"/>
      <c r="Q12" s="2"/>
      <c r="R12" s="2"/>
      <c r="S12" s="2"/>
      <c r="T12" s="287" t="s">
        <v>164</v>
      </c>
      <c r="U12" s="2"/>
      <c r="V12" s="2"/>
      <c r="W12" s="2"/>
      <c r="X12" s="2"/>
      <c r="Y12" s="2"/>
      <c r="Z12" s="2"/>
      <c r="AA12" s="2"/>
      <c r="AB12" s="2"/>
      <c r="AC12" s="2"/>
    </row>
    <row r="13" customFormat="false" ht="99" hidden="false" customHeight="true" outlineLevel="0" collapsed="false">
      <c r="A13" s="288" t="s">
        <v>165</v>
      </c>
      <c r="B13" s="289" t="n">
        <v>1800</v>
      </c>
      <c r="C13" s="290" t="s">
        <v>166</v>
      </c>
      <c r="D13" s="2"/>
      <c r="E13" s="2"/>
      <c r="F13" s="2"/>
      <c r="G13" s="2"/>
      <c r="H13" s="2"/>
      <c r="I13" s="2"/>
      <c r="J13" s="2"/>
      <c r="K13" s="2"/>
      <c r="L13" s="2"/>
      <c r="M13" s="2"/>
      <c r="N13" s="2"/>
      <c r="O13" s="2"/>
      <c r="P13" s="2"/>
      <c r="Q13" s="2"/>
      <c r="R13" s="2"/>
      <c r="S13" s="2"/>
      <c r="T13" s="291" t="s">
        <v>167</v>
      </c>
      <c r="U13" s="2"/>
      <c r="V13" s="2"/>
      <c r="W13" s="2"/>
      <c r="X13" s="2"/>
      <c r="Y13" s="2"/>
      <c r="Z13" s="2"/>
      <c r="AA13" s="2"/>
      <c r="AB13" s="2"/>
      <c r="AC13" s="2"/>
    </row>
    <row r="14" customFormat="false" ht="60.75" hidden="false" customHeight="true" outlineLevel="0" collapsed="false">
      <c r="A14" s="288"/>
      <c r="B14" s="292" t="n">
        <v>150</v>
      </c>
      <c r="C14" s="293" t="s">
        <v>168</v>
      </c>
      <c r="D14" s="2"/>
      <c r="E14" s="2"/>
      <c r="F14" s="2"/>
      <c r="G14" s="2"/>
      <c r="H14" s="2"/>
      <c r="I14" s="2"/>
      <c r="J14" s="2"/>
      <c r="K14" s="2"/>
      <c r="L14" s="2"/>
      <c r="M14" s="2"/>
      <c r="N14" s="2"/>
      <c r="O14" s="2"/>
      <c r="P14" s="2"/>
      <c r="Q14" s="2"/>
      <c r="R14" s="2"/>
      <c r="S14" s="2"/>
      <c r="T14" s="2"/>
      <c r="U14" s="2"/>
      <c r="V14" s="2"/>
      <c r="W14" s="2"/>
      <c r="X14" s="2"/>
      <c r="Y14" s="2"/>
      <c r="Z14" s="2"/>
      <c r="AA14" s="2"/>
      <c r="AB14" s="2"/>
      <c r="AC14" s="2"/>
    </row>
    <row r="15" customFormat="false" ht="15" hidden="false" customHeight="true" outlineLevel="0" collapsed="false">
      <c r="A15" s="294"/>
      <c r="B15" s="295"/>
      <c r="C15" s="296"/>
      <c r="D15" s="2"/>
      <c r="E15" s="2"/>
      <c r="F15" s="2"/>
      <c r="G15" s="2"/>
      <c r="H15" s="2"/>
      <c r="I15" s="2"/>
      <c r="J15" s="2"/>
      <c r="K15" s="2"/>
      <c r="L15" s="2"/>
      <c r="M15" s="2"/>
      <c r="N15" s="2"/>
      <c r="O15" s="2"/>
      <c r="P15" s="2"/>
      <c r="Q15" s="2"/>
      <c r="R15" s="2"/>
      <c r="S15" s="2"/>
      <c r="T15" s="2"/>
      <c r="U15" s="2"/>
      <c r="V15" s="2"/>
      <c r="W15" s="2"/>
      <c r="X15" s="2"/>
      <c r="Y15" s="2"/>
      <c r="Z15" s="2"/>
      <c r="AA15" s="2"/>
      <c r="AB15" s="2"/>
      <c r="AC15" s="2"/>
    </row>
    <row r="16" customFormat="false" ht="15" hidden="false" customHeight="true" outlineLevel="0" collapsed="false">
      <c r="A16" s="297"/>
      <c r="B16" s="298"/>
      <c r="C16" s="299"/>
      <c r="D16" s="215"/>
      <c r="E16" s="215"/>
      <c r="F16" s="215"/>
      <c r="G16" s="215"/>
      <c r="H16" s="215"/>
      <c r="I16" s="215"/>
      <c r="J16" s="215"/>
      <c r="K16" s="215"/>
      <c r="L16" s="215"/>
      <c r="M16" s="215"/>
      <c r="N16" s="215"/>
      <c r="O16" s="2"/>
      <c r="P16" s="2"/>
      <c r="Q16" s="2"/>
      <c r="R16" s="2"/>
      <c r="S16" s="2"/>
      <c r="T16" s="2"/>
      <c r="U16" s="2"/>
      <c r="V16" s="2"/>
      <c r="W16" s="2"/>
      <c r="X16" s="2"/>
      <c r="Y16" s="2"/>
      <c r="Z16" s="2"/>
      <c r="AA16" s="2"/>
      <c r="AB16" s="2"/>
      <c r="AC16" s="2"/>
    </row>
    <row r="17" customFormat="false" ht="15" hidden="false" customHeight="true" outlineLevel="0" collapsed="false">
      <c r="A17" s="2"/>
      <c r="B17" s="273"/>
      <c r="C17" s="78"/>
      <c r="D17" s="78"/>
      <c r="E17" s="78"/>
      <c r="F17" s="78"/>
      <c r="G17" s="2"/>
      <c r="H17" s="2"/>
      <c r="I17" s="2"/>
      <c r="J17" s="2"/>
      <c r="K17" s="2"/>
      <c r="L17" s="2"/>
      <c r="M17" s="2"/>
      <c r="N17" s="2"/>
      <c r="O17" s="2"/>
      <c r="P17" s="2"/>
      <c r="Q17" s="2"/>
      <c r="R17" s="2"/>
      <c r="S17" s="2"/>
      <c r="T17" s="2"/>
      <c r="U17" s="2"/>
      <c r="V17" s="2"/>
      <c r="W17" s="2"/>
      <c r="X17" s="2"/>
      <c r="Y17" s="2"/>
      <c r="Z17" s="2"/>
      <c r="AA17" s="2"/>
      <c r="AB17" s="2"/>
      <c r="AC17" s="2"/>
    </row>
    <row r="18" customFormat="false" ht="29.25" hidden="false" customHeight="true" outlineLevel="0" collapsed="false">
      <c r="A18" s="274" t="s">
        <v>60</v>
      </c>
      <c r="B18" s="274"/>
      <c r="C18" s="274"/>
      <c r="D18" s="274"/>
      <c r="E18" s="274"/>
      <c r="F18" s="294"/>
      <c r="G18" s="2"/>
      <c r="H18" s="275" t="s">
        <v>169</v>
      </c>
      <c r="I18" s="275"/>
      <c r="J18" s="275"/>
      <c r="K18" s="275"/>
      <c r="L18" s="275"/>
      <c r="M18" s="2"/>
      <c r="N18" s="2"/>
      <c r="O18" s="2"/>
      <c r="P18" s="2"/>
      <c r="Q18" s="2"/>
      <c r="R18" s="2"/>
      <c r="S18" s="300" t="s">
        <v>170</v>
      </c>
      <c r="T18" s="300"/>
      <c r="U18" s="300"/>
      <c r="V18" s="300"/>
      <c r="W18" s="300"/>
      <c r="X18" s="2"/>
      <c r="Y18" s="300" t="s">
        <v>169</v>
      </c>
      <c r="Z18" s="300"/>
      <c r="AA18" s="300"/>
      <c r="AB18" s="300"/>
      <c r="AC18" s="300"/>
    </row>
    <row r="19" customFormat="false" ht="66" hidden="false" customHeight="true" outlineLevel="0" collapsed="false">
      <c r="A19" s="301" t="s">
        <v>171</v>
      </c>
      <c r="B19" s="302" t="s">
        <v>172</v>
      </c>
      <c r="C19" s="302" t="s">
        <v>173</v>
      </c>
      <c r="D19" s="302" t="s">
        <v>174</v>
      </c>
      <c r="E19" s="303" t="s">
        <v>175</v>
      </c>
      <c r="F19" s="294"/>
      <c r="G19" s="2"/>
      <c r="H19" s="304" t="s">
        <v>171</v>
      </c>
      <c r="I19" s="305" t="s">
        <v>172</v>
      </c>
      <c r="J19" s="305" t="s">
        <v>173</v>
      </c>
      <c r="K19" s="305" t="s">
        <v>174</v>
      </c>
      <c r="L19" s="306" t="s">
        <v>175</v>
      </c>
      <c r="M19" s="2"/>
      <c r="N19" s="2"/>
      <c r="O19" s="2"/>
      <c r="P19" s="2"/>
      <c r="Q19" s="2"/>
      <c r="R19" s="2"/>
      <c r="S19" s="307" t="s">
        <v>176</v>
      </c>
      <c r="T19" s="307"/>
      <c r="U19" s="308" t="s">
        <v>37</v>
      </c>
      <c r="V19" s="308" t="s">
        <v>177</v>
      </c>
      <c r="W19" s="309" t="s">
        <v>178</v>
      </c>
      <c r="X19" s="2"/>
      <c r="Y19" s="307" t="s">
        <v>176</v>
      </c>
      <c r="Z19" s="307"/>
      <c r="AA19" s="308" t="s">
        <v>37</v>
      </c>
      <c r="AB19" s="308" t="s">
        <v>177</v>
      </c>
      <c r="AC19" s="309" t="s">
        <v>178</v>
      </c>
    </row>
    <row r="20" customFormat="false" ht="15" hidden="false" customHeight="true" outlineLevel="0" collapsed="false">
      <c r="A20" s="310" t="n">
        <v>1</v>
      </c>
      <c r="B20" s="311" t="s">
        <v>179</v>
      </c>
      <c r="C20" s="312" t="n">
        <v>0.08</v>
      </c>
      <c r="D20" s="312" t="n">
        <v>1</v>
      </c>
      <c r="E20" s="313" t="n">
        <f aca="false">D20*C20</f>
        <v>0.08</v>
      </c>
      <c r="F20" s="2"/>
      <c r="G20" s="2"/>
      <c r="H20" s="310" t="n">
        <v>1</v>
      </c>
      <c r="I20" s="311" t="s">
        <v>180</v>
      </c>
      <c r="J20" s="312" t="n">
        <v>0.05</v>
      </c>
      <c r="K20" s="312" t="n">
        <v>1</v>
      </c>
      <c r="L20" s="313" t="n">
        <f aca="false">K20*J20</f>
        <v>0.05</v>
      </c>
      <c r="M20" s="2"/>
      <c r="N20" s="2"/>
      <c r="O20" s="2"/>
      <c r="P20" s="2"/>
      <c r="Q20" s="2"/>
      <c r="R20" s="2"/>
      <c r="S20" s="314" t="s">
        <v>181</v>
      </c>
      <c r="T20" s="314"/>
      <c r="U20" s="315" t="n">
        <f aca="false">$E$32</f>
        <v>0.5</v>
      </c>
      <c r="V20" s="316" t="n">
        <f aca="false">$P$3</f>
        <v>6</v>
      </c>
      <c r="W20" s="317" t="n">
        <f aca="false">V20*U20</f>
        <v>3</v>
      </c>
      <c r="X20" s="2"/>
      <c r="Y20" s="314" t="s">
        <v>182</v>
      </c>
      <c r="Z20" s="314"/>
      <c r="AA20" s="315" t="n">
        <f aca="false">$L$32</f>
        <v>0.15</v>
      </c>
      <c r="AB20" s="318" t="n">
        <f aca="false">$P$3</f>
        <v>6</v>
      </c>
      <c r="AC20" s="319" t="n">
        <f aca="false">AB20*AA20</f>
        <v>0.9</v>
      </c>
    </row>
    <row r="21" customFormat="false" ht="15" hidden="false" customHeight="true" outlineLevel="0" collapsed="false">
      <c r="A21" s="320" t="n">
        <v>2</v>
      </c>
      <c r="B21" s="321" t="s">
        <v>183</v>
      </c>
      <c r="C21" s="322" t="n">
        <v>0.08</v>
      </c>
      <c r="D21" s="322" t="n">
        <v>1</v>
      </c>
      <c r="E21" s="313" t="n">
        <f aca="false">D21*C21</f>
        <v>0.08</v>
      </c>
      <c r="F21" s="2"/>
      <c r="G21" s="2"/>
      <c r="H21" s="320" t="n">
        <v>2</v>
      </c>
      <c r="I21" s="321" t="s">
        <v>184</v>
      </c>
      <c r="J21" s="322" t="n">
        <v>0.07</v>
      </c>
      <c r="K21" s="322" t="n">
        <v>1</v>
      </c>
      <c r="L21" s="313" t="n">
        <f aca="false">K21*J21</f>
        <v>0.07</v>
      </c>
      <c r="M21" s="2"/>
      <c r="N21" s="2"/>
      <c r="O21" s="2"/>
      <c r="P21" s="2"/>
      <c r="Q21" s="2"/>
      <c r="R21" s="2"/>
      <c r="S21" s="323"/>
      <c r="T21" s="282"/>
      <c r="U21" s="282"/>
      <c r="V21" s="324"/>
      <c r="W21" s="325"/>
      <c r="X21" s="2"/>
      <c r="Y21" s="323"/>
      <c r="Z21" s="323"/>
      <c r="AA21" s="282"/>
      <c r="AB21" s="282"/>
      <c r="AC21" s="326"/>
    </row>
    <row r="22" customFormat="false" ht="15" hidden="false" customHeight="true" outlineLevel="0" collapsed="false">
      <c r="A22" s="320" t="n">
        <v>3</v>
      </c>
      <c r="B22" s="321" t="s">
        <v>185</v>
      </c>
      <c r="C22" s="322" t="n">
        <v>0.17</v>
      </c>
      <c r="D22" s="322" t="n">
        <v>1</v>
      </c>
      <c r="E22" s="313" t="n">
        <f aca="false">D22*C22</f>
        <v>0.17</v>
      </c>
      <c r="F22" s="2"/>
      <c r="G22" s="2"/>
      <c r="H22" s="320" t="n">
        <v>3</v>
      </c>
      <c r="I22" s="321" t="s">
        <v>186</v>
      </c>
      <c r="J22" s="322" t="n">
        <v>0.03</v>
      </c>
      <c r="K22" s="322" t="n">
        <v>1</v>
      </c>
      <c r="L22" s="313" t="n">
        <f aca="false">K22*J22</f>
        <v>0.03</v>
      </c>
      <c r="M22" s="2"/>
      <c r="N22" s="2"/>
      <c r="O22" s="2"/>
      <c r="P22" s="2"/>
      <c r="Q22" s="2"/>
      <c r="R22" s="2"/>
      <c r="S22" s="323"/>
      <c r="T22" s="323"/>
      <c r="U22" s="327"/>
      <c r="V22" s="324"/>
      <c r="W22" s="325"/>
      <c r="X22" s="2"/>
      <c r="Y22" s="323"/>
      <c r="Z22" s="323"/>
      <c r="AA22" s="282"/>
      <c r="AB22" s="282" t="n">
        <f aca="false">V3</f>
        <v>0</v>
      </c>
      <c r="AC22" s="326"/>
    </row>
    <row r="23" customFormat="false" ht="15" hidden="false" customHeight="true" outlineLevel="0" collapsed="false">
      <c r="A23" s="320" t="n">
        <v>4</v>
      </c>
      <c r="B23" s="321" t="s">
        <v>187</v>
      </c>
      <c r="C23" s="322" t="n">
        <v>0.12</v>
      </c>
      <c r="D23" s="322" t="n">
        <v>1</v>
      </c>
      <c r="E23" s="313" t="n">
        <f aca="false">D23*C23</f>
        <v>0.12</v>
      </c>
      <c r="F23" s="2"/>
      <c r="G23" s="2"/>
      <c r="H23" s="320" t="n">
        <v>4</v>
      </c>
      <c r="I23" s="321"/>
      <c r="J23" s="322"/>
      <c r="K23" s="322"/>
      <c r="L23" s="313" t="n">
        <f aca="false">K23*J23</f>
        <v>0</v>
      </c>
      <c r="M23" s="2"/>
      <c r="N23" s="2"/>
      <c r="O23" s="2"/>
      <c r="P23" s="2"/>
      <c r="Q23" s="2"/>
      <c r="R23" s="2"/>
      <c r="S23" s="323"/>
      <c r="T23" s="323"/>
      <c r="U23" s="282"/>
      <c r="V23" s="282"/>
      <c r="W23" s="326"/>
      <c r="X23" s="2"/>
      <c r="Y23" s="323"/>
      <c r="Z23" s="323"/>
      <c r="AA23" s="282"/>
      <c r="AB23" s="282"/>
      <c r="AC23" s="326"/>
    </row>
    <row r="24" customFormat="false" ht="15" hidden="false" customHeight="true" outlineLevel="0" collapsed="false">
      <c r="A24" s="320" t="n">
        <v>5</v>
      </c>
      <c r="B24" s="321" t="s">
        <v>188</v>
      </c>
      <c r="C24" s="322" t="n">
        <v>0.05</v>
      </c>
      <c r="D24" s="322" t="n">
        <v>1</v>
      </c>
      <c r="E24" s="313" t="n">
        <f aca="false">D24*C24</f>
        <v>0.05</v>
      </c>
      <c r="F24" s="2"/>
      <c r="G24" s="2"/>
      <c r="H24" s="320" t="n">
        <v>5</v>
      </c>
      <c r="I24" s="321"/>
      <c r="J24" s="322"/>
      <c r="K24" s="322"/>
      <c r="L24" s="313" t="n">
        <f aca="false">K24*J24</f>
        <v>0</v>
      </c>
      <c r="M24" s="2"/>
      <c r="N24" s="2"/>
      <c r="O24" s="2"/>
      <c r="P24" s="2"/>
      <c r="Q24" s="2"/>
      <c r="R24" s="2"/>
      <c r="S24" s="323"/>
      <c r="T24" s="323"/>
      <c r="U24" s="282"/>
      <c r="V24" s="282"/>
      <c r="W24" s="326"/>
      <c r="X24" s="2"/>
      <c r="Y24" s="323"/>
      <c r="Z24" s="323"/>
      <c r="AA24" s="282"/>
      <c r="AB24" s="282"/>
      <c r="AC24" s="326"/>
    </row>
    <row r="25" customFormat="false" ht="15" hidden="false" customHeight="true" outlineLevel="0" collapsed="false">
      <c r="A25" s="320" t="n">
        <v>6</v>
      </c>
      <c r="B25" s="321"/>
      <c r="C25" s="322"/>
      <c r="D25" s="322"/>
      <c r="E25" s="313" t="n">
        <f aca="false">D25*C25</f>
        <v>0</v>
      </c>
      <c r="F25" s="2"/>
      <c r="G25" s="2"/>
      <c r="H25" s="320" t="n">
        <v>6</v>
      </c>
      <c r="I25" s="321"/>
      <c r="J25" s="322"/>
      <c r="K25" s="322"/>
      <c r="L25" s="313"/>
      <c r="M25" s="2"/>
      <c r="N25" s="2"/>
      <c r="O25" s="2"/>
      <c r="P25" s="2"/>
      <c r="Q25" s="2"/>
      <c r="R25" s="2"/>
      <c r="S25" s="323"/>
      <c r="T25" s="323"/>
      <c r="U25" s="282"/>
      <c r="V25" s="282"/>
      <c r="W25" s="326"/>
      <c r="X25" s="2"/>
      <c r="Y25" s="323"/>
      <c r="Z25" s="323"/>
      <c r="AA25" s="282"/>
      <c r="AB25" s="282"/>
      <c r="AC25" s="326"/>
    </row>
    <row r="26" customFormat="false" ht="15" hidden="false" customHeight="true" outlineLevel="0" collapsed="false">
      <c r="A26" s="328" t="n">
        <v>7</v>
      </c>
      <c r="B26" s="329"/>
      <c r="C26" s="330"/>
      <c r="D26" s="330"/>
      <c r="E26" s="313" t="n">
        <f aca="false">D26*C26</f>
        <v>0</v>
      </c>
      <c r="F26" s="2"/>
      <c r="G26" s="2"/>
      <c r="H26" s="320" t="n">
        <v>7</v>
      </c>
      <c r="I26" s="321"/>
      <c r="J26" s="322"/>
      <c r="K26" s="322"/>
      <c r="L26" s="313"/>
      <c r="M26" s="2"/>
      <c r="N26" s="2"/>
      <c r="O26" s="2"/>
      <c r="P26" s="2"/>
      <c r="Q26" s="2"/>
      <c r="R26" s="2"/>
      <c r="S26" s="323"/>
      <c r="T26" s="323"/>
      <c r="U26" s="282"/>
      <c r="V26" s="282"/>
      <c r="W26" s="326"/>
      <c r="X26" s="2"/>
      <c r="Y26" s="323"/>
      <c r="Z26" s="323"/>
      <c r="AA26" s="282"/>
      <c r="AB26" s="282"/>
      <c r="AC26" s="326"/>
    </row>
    <row r="27" customFormat="false" ht="15" hidden="false" customHeight="true" outlineLevel="0" collapsed="false">
      <c r="A27" s="328" t="n">
        <v>8</v>
      </c>
      <c r="B27" s="329"/>
      <c r="C27" s="330"/>
      <c r="D27" s="330"/>
      <c r="E27" s="313" t="n">
        <f aca="false">D27*C27</f>
        <v>0</v>
      </c>
      <c r="F27" s="2"/>
      <c r="G27" s="2"/>
      <c r="H27" s="320" t="n">
        <v>8</v>
      </c>
      <c r="I27" s="321"/>
      <c r="J27" s="322"/>
      <c r="K27" s="322"/>
      <c r="L27" s="313"/>
      <c r="M27" s="2"/>
      <c r="N27" s="2"/>
      <c r="O27" s="2"/>
      <c r="P27" s="2"/>
      <c r="Q27" s="2"/>
      <c r="R27" s="2"/>
      <c r="S27" s="331"/>
      <c r="T27" s="331"/>
      <c r="U27" s="332"/>
      <c r="V27" s="332"/>
      <c r="W27" s="333"/>
      <c r="X27" s="2"/>
      <c r="Y27" s="331"/>
      <c r="Z27" s="331"/>
      <c r="AA27" s="332"/>
      <c r="AB27" s="332"/>
      <c r="AC27" s="333"/>
    </row>
    <row r="28" customFormat="false" ht="15" hidden="false" customHeight="true" outlineLevel="0" collapsed="false">
      <c r="A28" s="328" t="n">
        <v>9</v>
      </c>
      <c r="B28" s="329"/>
      <c r="C28" s="330"/>
      <c r="D28" s="330"/>
      <c r="E28" s="313" t="n">
        <f aca="false">D28*C28</f>
        <v>0</v>
      </c>
      <c r="F28" s="2"/>
      <c r="G28" s="2"/>
      <c r="H28" s="320" t="n">
        <v>9</v>
      </c>
      <c r="I28" s="321"/>
      <c r="J28" s="322"/>
      <c r="K28" s="322"/>
      <c r="L28" s="313"/>
      <c r="M28" s="2"/>
      <c r="N28" s="2"/>
      <c r="O28" s="2"/>
      <c r="P28" s="2"/>
      <c r="Q28" s="2"/>
      <c r="R28" s="2"/>
      <c r="S28" s="334" t="s">
        <v>189</v>
      </c>
      <c r="T28" s="334"/>
      <c r="U28" s="335"/>
      <c r="V28" s="335"/>
      <c r="W28" s="336" t="n">
        <f aca="false">SUM(W20:W25)</f>
        <v>3</v>
      </c>
      <c r="X28" s="2"/>
      <c r="Y28" s="334" t="s">
        <v>189</v>
      </c>
      <c r="Z28" s="334"/>
      <c r="AA28" s="335"/>
      <c r="AB28" s="335"/>
      <c r="AC28" s="337" t="n">
        <f aca="false">SUM(AC20:AC25)</f>
        <v>0.9</v>
      </c>
    </row>
    <row r="29" customFormat="false" ht="15" hidden="false" customHeight="true" outlineLevel="0" collapsed="false">
      <c r="A29" s="338" t="n">
        <v>10</v>
      </c>
      <c r="B29" s="339"/>
      <c r="C29" s="340"/>
      <c r="D29" s="340"/>
      <c r="E29" s="313" t="n">
        <f aca="false">D29*C29</f>
        <v>0</v>
      </c>
      <c r="F29" s="2"/>
      <c r="G29" s="2"/>
      <c r="H29" s="320" t="n">
        <v>10</v>
      </c>
      <c r="I29" s="321"/>
      <c r="J29" s="322"/>
      <c r="K29" s="322"/>
      <c r="L29" s="313"/>
      <c r="M29" s="2"/>
      <c r="N29" s="2"/>
      <c r="O29" s="2"/>
      <c r="P29" s="2"/>
      <c r="Q29" s="2"/>
      <c r="R29" s="2"/>
      <c r="S29" s="2"/>
      <c r="T29" s="2"/>
      <c r="U29" s="2"/>
      <c r="V29" s="2"/>
      <c r="W29" s="2"/>
      <c r="X29" s="2"/>
      <c r="Y29" s="2"/>
      <c r="Z29" s="2"/>
      <c r="AA29" s="2"/>
      <c r="AB29" s="2"/>
      <c r="AC29" s="2"/>
    </row>
    <row r="30" customFormat="false" ht="15" hidden="false" customHeight="true" outlineLevel="0" collapsed="false">
      <c r="A30" s="338" t="n">
        <v>11</v>
      </c>
      <c r="B30" s="339"/>
      <c r="C30" s="340"/>
      <c r="D30" s="340"/>
      <c r="E30" s="313" t="n">
        <f aca="false">D30*C30</f>
        <v>0</v>
      </c>
      <c r="F30" s="2"/>
      <c r="G30" s="2"/>
      <c r="H30" s="320" t="n">
        <v>11</v>
      </c>
      <c r="I30" s="321"/>
      <c r="J30" s="322"/>
      <c r="K30" s="322"/>
      <c r="L30" s="313"/>
      <c r="M30" s="2"/>
      <c r="N30" s="2"/>
      <c r="O30" s="2"/>
      <c r="P30" s="2"/>
      <c r="Q30" s="2"/>
      <c r="R30" s="2"/>
      <c r="S30" s="2"/>
      <c r="T30" s="2"/>
      <c r="U30" s="2"/>
      <c r="V30" s="2"/>
      <c r="W30" s="2"/>
      <c r="X30" s="2"/>
      <c r="Y30" s="2"/>
      <c r="Z30" s="2"/>
      <c r="AA30" s="2"/>
      <c r="AB30" s="2"/>
      <c r="AC30" s="2"/>
    </row>
    <row r="31" customFormat="false" ht="15" hidden="false" customHeight="true" outlineLevel="0" collapsed="false">
      <c r="A31" s="341" t="n">
        <v>12</v>
      </c>
      <c r="B31" s="342"/>
      <c r="C31" s="343"/>
      <c r="D31" s="343"/>
      <c r="E31" s="313" t="n">
        <f aca="false">D31*C31</f>
        <v>0</v>
      </c>
      <c r="F31" s="2"/>
      <c r="G31" s="2"/>
      <c r="H31" s="320" t="n">
        <v>12</v>
      </c>
      <c r="I31" s="321"/>
      <c r="J31" s="322"/>
      <c r="K31" s="322"/>
      <c r="L31" s="313"/>
      <c r="M31" s="2"/>
      <c r="N31" s="2"/>
      <c r="O31" s="2"/>
      <c r="P31" s="2"/>
      <c r="Q31" s="2"/>
      <c r="R31" s="2"/>
      <c r="S31" s="2"/>
      <c r="T31" s="2"/>
      <c r="U31" s="2"/>
      <c r="V31" s="2"/>
      <c r="W31" s="2"/>
      <c r="X31" s="2"/>
      <c r="Y31" s="2"/>
      <c r="Z31" s="2"/>
      <c r="AA31" s="2"/>
      <c r="AB31" s="2"/>
      <c r="AC31" s="2"/>
    </row>
    <row r="32" customFormat="false" ht="114.75" hidden="false" customHeight="true" outlineLevel="0" collapsed="false">
      <c r="A32" s="344" t="s">
        <v>190</v>
      </c>
      <c r="B32" s="344"/>
      <c r="C32" s="344"/>
      <c r="D32" s="301" t="s">
        <v>191</v>
      </c>
      <c r="E32" s="345" t="n">
        <f aca="false">SUM(E20:E31)</f>
        <v>0.5</v>
      </c>
      <c r="F32" s="2" t="s">
        <v>192</v>
      </c>
      <c r="G32" s="2"/>
      <c r="H32" s="344" t="s">
        <v>193</v>
      </c>
      <c r="I32" s="344"/>
      <c r="J32" s="344"/>
      <c r="K32" s="301" t="s">
        <v>194</v>
      </c>
      <c r="L32" s="345" t="n">
        <f aca="false">SUM(L20:L31)</f>
        <v>0.15</v>
      </c>
      <c r="M32" s="2"/>
      <c r="N32" s="2"/>
      <c r="O32" s="2"/>
      <c r="P32" s="2"/>
      <c r="Q32" s="2"/>
      <c r="R32" s="2"/>
      <c r="S32" s="2"/>
      <c r="T32" s="2"/>
      <c r="U32" s="2"/>
      <c r="V32" s="2"/>
      <c r="W32" s="2"/>
      <c r="X32" s="2"/>
      <c r="Y32" s="2"/>
      <c r="Z32" s="2"/>
      <c r="AA32" s="2"/>
      <c r="AB32" s="2"/>
      <c r="AC32" s="2"/>
    </row>
    <row r="33" customFormat="false" ht="57.75" hidden="false" customHeight="true" outlineLevel="0" collapsed="false">
      <c r="A33" s="344"/>
      <c r="B33" s="344"/>
      <c r="C33" s="344"/>
      <c r="D33" s="292" t="s">
        <v>195</v>
      </c>
      <c r="E33" s="346" t="n">
        <f aca="false">E32/$B$14</f>
        <v>0.00333333333333333</v>
      </c>
      <c r="F33" s="347" t="n">
        <f aca="false">$P$3*E32</f>
        <v>3</v>
      </c>
      <c r="G33" s="2"/>
      <c r="H33" s="344"/>
      <c r="I33" s="344"/>
      <c r="J33" s="344"/>
      <c r="K33" s="292" t="s">
        <v>196</v>
      </c>
      <c r="L33" s="346" t="n">
        <f aca="false">L32/$B$14</f>
        <v>0.001</v>
      </c>
      <c r="M33" s="348"/>
      <c r="N33" s="2"/>
      <c r="O33" s="2"/>
      <c r="P33" s="2"/>
      <c r="Q33" s="2"/>
      <c r="R33" s="2"/>
      <c r="S33" s="2"/>
      <c r="T33" s="2"/>
      <c r="U33" s="2"/>
      <c r="V33" s="2"/>
      <c r="W33" s="2"/>
      <c r="X33" s="2"/>
      <c r="Y33" s="2"/>
      <c r="Z33" s="2"/>
      <c r="AA33" s="2"/>
      <c r="AB33" s="2"/>
      <c r="AC33" s="2"/>
    </row>
    <row r="34" customFormat="false" ht="14.25" hidden="false" customHeight="true" outlineLevel="0" collapsed="false">
      <c r="A34" s="2"/>
      <c r="B34" s="273"/>
      <c r="C34" s="349"/>
      <c r="D34" s="349"/>
      <c r="E34" s="350"/>
      <c r="F34" s="2"/>
      <c r="G34" s="2"/>
      <c r="H34" s="2"/>
      <c r="I34" s="2"/>
      <c r="J34" s="2"/>
      <c r="K34" s="2"/>
      <c r="L34" s="2"/>
      <c r="M34" s="2"/>
      <c r="N34" s="2"/>
      <c r="O34" s="2"/>
      <c r="P34" s="2"/>
      <c r="Q34" s="2"/>
      <c r="R34" s="2"/>
      <c r="S34" s="2"/>
      <c r="T34" s="2"/>
      <c r="U34" s="2"/>
      <c r="V34" s="2"/>
      <c r="W34" s="2"/>
      <c r="X34" s="2"/>
      <c r="Y34" s="2"/>
      <c r="Z34" s="2"/>
      <c r="AA34" s="2"/>
      <c r="AB34" s="2"/>
      <c r="AC34" s="2"/>
    </row>
    <row r="35" customFormat="false" ht="14.25" hidden="false" customHeight="true" outlineLevel="0" collapsed="false">
      <c r="A35" s="215"/>
      <c r="B35" s="351"/>
      <c r="C35" s="352"/>
      <c r="D35" s="352"/>
      <c r="E35" s="353"/>
      <c r="F35" s="215"/>
      <c r="G35" s="215"/>
      <c r="H35" s="215"/>
      <c r="I35" s="215"/>
      <c r="J35" s="215"/>
      <c r="K35" s="215"/>
      <c r="L35" s="215"/>
      <c r="M35" s="215"/>
      <c r="N35" s="215"/>
      <c r="O35" s="2"/>
      <c r="P35" s="2"/>
      <c r="Q35" s="2"/>
      <c r="R35" s="2"/>
      <c r="S35" s="2"/>
      <c r="T35" s="2"/>
      <c r="U35" s="2"/>
      <c r="V35" s="2"/>
      <c r="W35" s="2"/>
      <c r="X35" s="2"/>
      <c r="Y35" s="2"/>
      <c r="Z35" s="2"/>
      <c r="AA35" s="2"/>
      <c r="AB35" s="2"/>
      <c r="AC35" s="2"/>
    </row>
    <row r="36" customFormat="false" ht="15" hidden="false" customHeight="true" outlineLevel="0" collapsed="false">
      <c r="A36" s="2"/>
      <c r="B36" s="273"/>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customFormat="false" ht="27" hidden="false" customHeight="true" outlineLevel="0" collapsed="false">
      <c r="A37" s="274" t="s">
        <v>63</v>
      </c>
      <c r="B37" s="274"/>
      <c r="C37" s="274"/>
      <c r="D37" s="274"/>
      <c r="E37" s="274"/>
      <c r="F37" s="2"/>
      <c r="G37" s="2"/>
      <c r="H37" s="275" t="s">
        <v>197</v>
      </c>
      <c r="I37" s="275"/>
      <c r="J37" s="275"/>
      <c r="K37" s="275"/>
      <c r="L37" s="275"/>
      <c r="N37" s="2"/>
      <c r="O37" s="2"/>
      <c r="P37" s="2"/>
      <c r="Q37" s="2"/>
      <c r="R37" s="2"/>
      <c r="S37" s="300" t="s">
        <v>198</v>
      </c>
      <c r="T37" s="300"/>
      <c r="U37" s="300"/>
      <c r="V37" s="300"/>
      <c r="W37" s="300"/>
      <c r="X37" s="2"/>
      <c r="Y37" s="300" t="s">
        <v>197</v>
      </c>
      <c r="Z37" s="300"/>
      <c r="AA37" s="300"/>
      <c r="AB37" s="300"/>
      <c r="AC37" s="300"/>
    </row>
    <row r="38" customFormat="false" ht="69.75" hidden="false" customHeight="true" outlineLevel="0" collapsed="false">
      <c r="A38" s="301" t="s">
        <v>171</v>
      </c>
      <c r="B38" s="302" t="s">
        <v>172</v>
      </c>
      <c r="C38" s="302" t="s">
        <v>173</v>
      </c>
      <c r="D38" s="302" t="s">
        <v>174</v>
      </c>
      <c r="E38" s="303" t="s">
        <v>175</v>
      </c>
      <c r="F38" s="2"/>
      <c r="G38" s="2"/>
      <c r="H38" s="304" t="s">
        <v>171</v>
      </c>
      <c r="I38" s="305" t="s">
        <v>172</v>
      </c>
      <c r="J38" s="305" t="s">
        <v>173</v>
      </c>
      <c r="K38" s="305" t="s">
        <v>174</v>
      </c>
      <c r="L38" s="306" t="s">
        <v>175</v>
      </c>
      <c r="N38" s="2"/>
      <c r="O38" s="2"/>
      <c r="P38" s="2"/>
      <c r="Q38" s="2"/>
      <c r="R38" s="2"/>
      <c r="S38" s="307" t="s">
        <v>176</v>
      </c>
      <c r="T38" s="307"/>
      <c r="U38" s="308" t="s">
        <v>37</v>
      </c>
      <c r="V38" s="308" t="s">
        <v>177</v>
      </c>
      <c r="W38" s="309" t="s">
        <v>178</v>
      </c>
      <c r="X38" s="2"/>
      <c r="Y38" s="307" t="s">
        <v>176</v>
      </c>
      <c r="Z38" s="307"/>
      <c r="AA38" s="308" t="s">
        <v>37</v>
      </c>
      <c r="AB38" s="308" t="s">
        <v>177</v>
      </c>
      <c r="AC38" s="309" t="s">
        <v>178</v>
      </c>
    </row>
    <row r="39" customFormat="false" ht="15" hidden="false" customHeight="true" outlineLevel="0" collapsed="false">
      <c r="A39" s="310" t="n">
        <v>1</v>
      </c>
      <c r="B39" s="311" t="s">
        <v>199</v>
      </c>
      <c r="C39" s="312" t="n">
        <v>0.25</v>
      </c>
      <c r="D39" s="312" t="n">
        <v>1</v>
      </c>
      <c r="E39" s="313" t="n">
        <f aca="false">D39*C39</f>
        <v>0.25</v>
      </c>
      <c r="F39" s="2"/>
      <c r="G39" s="2"/>
      <c r="H39" s="310" t="n">
        <v>1</v>
      </c>
      <c r="I39" s="311" t="s">
        <v>180</v>
      </c>
      <c r="J39" s="312" t="n">
        <v>0.05</v>
      </c>
      <c r="K39" s="312" t="n">
        <v>1</v>
      </c>
      <c r="L39" s="313" t="n">
        <f aca="false">K39*J39</f>
        <v>0.05</v>
      </c>
      <c r="N39" s="2"/>
      <c r="O39" s="2"/>
      <c r="P39" s="2"/>
      <c r="Q39" s="2"/>
      <c r="R39" s="2"/>
      <c r="S39" s="314" t="s">
        <v>200</v>
      </c>
      <c r="T39" s="314"/>
      <c r="U39" s="354" t="n">
        <v>1</v>
      </c>
      <c r="V39" s="316" t="n">
        <v>14</v>
      </c>
      <c r="W39" s="317" t="n">
        <f aca="false">V39*U39</f>
        <v>14</v>
      </c>
      <c r="X39" s="2"/>
      <c r="Y39" s="314" t="s">
        <v>182</v>
      </c>
      <c r="Z39" s="314"/>
      <c r="AA39" s="315" t="n">
        <f aca="false">$L$51</f>
        <v>0.25</v>
      </c>
      <c r="AB39" s="318" t="n">
        <f aca="false">$P$3</f>
        <v>6</v>
      </c>
      <c r="AC39" s="319" t="n">
        <f aca="false">AB39*AA39</f>
        <v>1.5</v>
      </c>
    </row>
    <row r="40" customFormat="false" ht="29.25" hidden="false" customHeight="true" outlineLevel="0" collapsed="false">
      <c r="A40" s="320" t="n">
        <v>2</v>
      </c>
      <c r="B40" s="321" t="s">
        <v>201</v>
      </c>
      <c r="C40" s="322" t="n">
        <v>0.5</v>
      </c>
      <c r="D40" s="322" t="n">
        <v>1</v>
      </c>
      <c r="E40" s="313" t="n">
        <f aca="false">D40*C40</f>
        <v>0.5</v>
      </c>
      <c r="F40" s="2"/>
      <c r="G40" s="2"/>
      <c r="H40" s="320" t="n">
        <v>2</v>
      </c>
      <c r="I40" s="321" t="s">
        <v>202</v>
      </c>
      <c r="J40" s="322" t="n">
        <v>0.07</v>
      </c>
      <c r="K40" s="322" t="n">
        <v>1</v>
      </c>
      <c r="L40" s="313" t="n">
        <f aca="false">K40*J40</f>
        <v>0.07</v>
      </c>
      <c r="N40" s="2"/>
      <c r="O40" s="2"/>
      <c r="P40" s="2"/>
      <c r="Q40" s="2"/>
      <c r="R40" s="2"/>
      <c r="S40" s="323" t="s">
        <v>203</v>
      </c>
      <c r="T40" s="282"/>
      <c r="U40" s="282" t="n">
        <v>1</v>
      </c>
      <c r="V40" s="324" t="n">
        <v>9</v>
      </c>
      <c r="W40" s="325" t="n">
        <f aca="false">V40*U40</f>
        <v>9</v>
      </c>
      <c r="X40" s="2"/>
      <c r="Y40" s="323"/>
      <c r="Z40" s="323"/>
      <c r="AA40" s="282"/>
      <c r="AB40" s="282"/>
      <c r="AC40" s="326"/>
    </row>
    <row r="41" customFormat="false" ht="29.25" hidden="false" customHeight="true" outlineLevel="0" collapsed="false">
      <c r="A41" s="320" t="n">
        <v>3</v>
      </c>
      <c r="B41" s="355" t="s">
        <v>204</v>
      </c>
      <c r="C41" s="322" t="n">
        <v>0.75</v>
      </c>
      <c r="D41" s="322" t="n">
        <v>1</v>
      </c>
      <c r="E41" s="313" t="n">
        <f aca="false">D41*C41</f>
        <v>0.75</v>
      </c>
      <c r="F41" s="2"/>
      <c r="G41" s="2"/>
      <c r="H41" s="320" t="n">
        <v>3</v>
      </c>
      <c r="I41" s="321" t="s">
        <v>184</v>
      </c>
      <c r="J41" s="322" t="n">
        <v>0.08</v>
      </c>
      <c r="K41" s="322" t="n">
        <v>1</v>
      </c>
      <c r="L41" s="313" t="n">
        <f aca="false">K41*J41</f>
        <v>0.08</v>
      </c>
      <c r="N41" s="2"/>
      <c r="O41" s="2"/>
      <c r="P41" s="2"/>
      <c r="Q41" s="2"/>
      <c r="R41" s="2"/>
      <c r="S41" s="323" t="s">
        <v>205</v>
      </c>
      <c r="T41" s="282"/>
      <c r="U41" s="282" t="n">
        <v>1</v>
      </c>
      <c r="V41" s="324" t="n">
        <v>7</v>
      </c>
      <c r="W41" s="325" t="n">
        <f aca="false">V41*U41</f>
        <v>7</v>
      </c>
      <c r="X41" s="2"/>
      <c r="Y41" s="323"/>
      <c r="Z41" s="323"/>
      <c r="AA41" s="282"/>
      <c r="AB41" s="282"/>
      <c r="AC41" s="326"/>
    </row>
    <row r="42" customFormat="false" ht="29.25" hidden="false" customHeight="true" outlineLevel="0" collapsed="false">
      <c r="A42" s="320" t="n">
        <v>4</v>
      </c>
      <c r="B42" s="321" t="s">
        <v>206</v>
      </c>
      <c r="C42" s="322" t="n">
        <v>0.5</v>
      </c>
      <c r="D42" s="322" t="n">
        <v>1</v>
      </c>
      <c r="E42" s="313" t="n">
        <f aca="false">D42*C42</f>
        <v>0.5</v>
      </c>
      <c r="F42" s="2"/>
      <c r="G42" s="2"/>
      <c r="H42" s="320" t="n">
        <v>4</v>
      </c>
      <c r="I42" s="321" t="s">
        <v>186</v>
      </c>
      <c r="J42" s="322" t="n">
        <v>0.05</v>
      </c>
      <c r="K42" s="322" t="n">
        <v>1</v>
      </c>
      <c r="L42" s="313" t="n">
        <f aca="false">K42*J42</f>
        <v>0.05</v>
      </c>
      <c r="N42" s="2"/>
      <c r="O42" s="2"/>
      <c r="P42" s="2"/>
      <c r="Q42" s="2"/>
      <c r="R42" s="2"/>
      <c r="S42" s="323" t="s">
        <v>207</v>
      </c>
      <c r="T42" s="323"/>
      <c r="U42" s="327" t="n">
        <v>1</v>
      </c>
      <c r="V42" s="324" t="n">
        <v>4</v>
      </c>
      <c r="W42" s="325" t="n">
        <f aca="false">V42*U42</f>
        <v>4</v>
      </c>
      <c r="X42" s="2"/>
      <c r="Y42" s="323"/>
      <c r="Z42" s="323"/>
      <c r="AA42" s="282"/>
      <c r="AB42" s="282"/>
      <c r="AC42" s="326"/>
    </row>
    <row r="43" customFormat="false" ht="29.25" hidden="false" customHeight="true" outlineLevel="0" collapsed="false">
      <c r="A43" s="320" t="n">
        <v>5</v>
      </c>
      <c r="B43" s="321" t="s">
        <v>185</v>
      </c>
      <c r="C43" s="322" t="n">
        <v>0.25</v>
      </c>
      <c r="D43" s="322" t="n">
        <v>1</v>
      </c>
      <c r="E43" s="313" t="n">
        <f aca="false">D43*C43</f>
        <v>0.25</v>
      </c>
      <c r="F43" s="2"/>
      <c r="G43" s="2"/>
      <c r="H43" s="320" t="n">
        <v>5</v>
      </c>
      <c r="I43" s="321"/>
      <c r="J43" s="322"/>
      <c r="K43" s="322"/>
      <c r="L43" s="313" t="n">
        <f aca="false">K43*J43</f>
        <v>0</v>
      </c>
      <c r="M43" s="2"/>
      <c r="N43" s="2"/>
      <c r="O43" s="2"/>
      <c r="P43" s="2"/>
      <c r="Q43" s="2"/>
      <c r="R43" s="2"/>
      <c r="S43" s="323" t="s">
        <v>181</v>
      </c>
      <c r="T43" s="323"/>
      <c r="U43" s="327" t="n">
        <f aca="false">$E$51</f>
        <v>3</v>
      </c>
      <c r="V43" s="324" t="n">
        <f aca="false">$P$3</f>
        <v>6</v>
      </c>
      <c r="W43" s="325" t="n">
        <f aca="false">V43*U43</f>
        <v>18</v>
      </c>
      <c r="X43" s="2"/>
      <c r="Y43" s="323"/>
      <c r="Z43" s="323"/>
      <c r="AA43" s="282"/>
      <c r="AB43" s="282"/>
      <c r="AC43" s="326"/>
    </row>
    <row r="44" customFormat="false" ht="15" hidden="false" customHeight="true" outlineLevel="0" collapsed="false">
      <c r="A44" s="320" t="n">
        <v>6</v>
      </c>
      <c r="B44" s="321" t="s">
        <v>208</v>
      </c>
      <c r="C44" s="322" t="n">
        <v>0.5</v>
      </c>
      <c r="D44" s="322" t="n">
        <v>1</v>
      </c>
      <c r="E44" s="313" t="n">
        <f aca="false">D44*C44</f>
        <v>0.5</v>
      </c>
      <c r="F44" s="2"/>
      <c r="G44" s="2"/>
      <c r="H44" s="320" t="n">
        <v>6</v>
      </c>
      <c r="I44" s="321"/>
      <c r="J44" s="322"/>
      <c r="K44" s="322"/>
      <c r="L44" s="313" t="n">
        <f aca="false">K44*J44</f>
        <v>0</v>
      </c>
      <c r="M44" s="2"/>
      <c r="N44" s="2"/>
      <c r="O44" s="2"/>
      <c r="P44" s="2"/>
      <c r="Q44" s="2"/>
      <c r="R44" s="2"/>
      <c r="S44" s="323"/>
      <c r="T44" s="323"/>
      <c r="U44" s="282"/>
      <c r="V44" s="282"/>
      <c r="W44" s="326"/>
      <c r="X44" s="2"/>
      <c r="Y44" s="323"/>
      <c r="Z44" s="323"/>
      <c r="AA44" s="282"/>
      <c r="AB44" s="282"/>
      <c r="AC44" s="326"/>
    </row>
    <row r="45" customFormat="false" ht="15" hidden="false" customHeight="true" outlineLevel="0" collapsed="false">
      <c r="A45" s="328" t="n">
        <v>7</v>
      </c>
      <c r="B45" s="329" t="s">
        <v>209</v>
      </c>
      <c r="C45" s="330" t="n">
        <v>0.25</v>
      </c>
      <c r="D45" s="330" t="n">
        <v>1</v>
      </c>
      <c r="E45" s="313" t="n">
        <f aca="false">D45*C45</f>
        <v>0.25</v>
      </c>
      <c r="F45" s="2"/>
      <c r="G45" s="2"/>
      <c r="H45" s="320" t="n">
        <v>7</v>
      </c>
      <c r="I45" s="321"/>
      <c r="J45" s="322"/>
      <c r="K45" s="322"/>
      <c r="L45" s="313" t="n">
        <v>0</v>
      </c>
      <c r="M45" s="2"/>
      <c r="N45" s="2"/>
      <c r="O45" s="2"/>
      <c r="P45" s="2"/>
      <c r="Q45" s="2"/>
      <c r="R45" s="2"/>
      <c r="S45" s="323"/>
      <c r="T45" s="323"/>
      <c r="U45" s="282"/>
      <c r="V45" s="282"/>
      <c r="W45" s="326"/>
      <c r="X45" s="2"/>
      <c r="Y45" s="323"/>
      <c r="Z45" s="323"/>
      <c r="AA45" s="282"/>
      <c r="AB45" s="282"/>
      <c r="AC45" s="326"/>
    </row>
    <row r="46" customFormat="false" ht="15" hidden="false" customHeight="true" outlineLevel="0" collapsed="false">
      <c r="A46" s="328" t="n">
        <v>8</v>
      </c>
      <c r="B46" s="329"/>
      <c r="C46" s="330"/>
      <c r="D46" s="330"/>
      <c r="E46" s="313" t="n">
        <f aca="false">D46*C46</f>
        <v>0</v>
      </c>
      <c r="F46" s="2"/>
      <c r="G46" s="2"/>
      <c r="H46" s="320" t="n">
        <v>8</v>
      </c>
      <c r="I46" s="321"/>
      <c r="J46" s="322"/>
      <c r="K46" s="322"/>
      <c r="L46" s="313" t="n">
        <v>0</v>
      </c>
      <c r="M46" s="2"/>
      <c r="N46" s="2"/>
      <c r="O46" s="2"/>
      <c r="P46" s="2"/>
      <c r="Q46" s="2"/>
      <c r="R46" s="2"/>
      <c r="S46" s="331"/>
      <c r="T46" s="331"/>
      <c r="U46" s="332"/>
      <c r="V46" s="332"/>
      <c r="W46" s="333"/>
      <c r="X46" s="2"/>
      <c r="Y46" s="331"/>
      <c r="Z46" s="331"/>
      <c r="AA46" s="332"/>
      <c r="AB46" s="332"/>
      <c r="AC46" s="333"/>
    </row>
    <row r="47" customFormat="false" ht="15" hidden="false" customHeight="true" outlineLevel="0" collapsed="false">
      <c r="A47" s="328" t="n">
        <v>9</v>
      </c>
      <c r="B47" s="329"/>
      <c r="C47" s="330"/>
      <c r="D47" s="330"/>
      <c r="E47" s="313" t="n">
        <f aca="false">D47*C47</f>
        <v>0</v>
      </c>
      <c r="F47" s="2"/>
      <c r="G47" s="2"/>
      <c r="H47" s="320" t="n">
        <v>9</v>
      </c>
      <c r="I47" s="321"/>
      <c r="J47" s="322"/>
      <c r="K47" s="322"/>
      <c r="L47" s="313" t="n">
        <v>0</v>
      </c>
      <c r="M47" s="2"/>
      <c r="N47" s="2"/>
      <c r="O47" s="2"/>
      <c r="P47" s="2"/>
      <c r="Q47" s="2"/>
      <c r="R47" s="2"/>
      <c r="S47" s="334" t="s">
        <v>189</v>
      </c>
      <c r="T47" s="334"/>
      <c r="U47" s="335"/>
      <c r="V47" s="335"/>
      <c r="W47" s="336" t="n">
        <f aca="false">SUM(W39:W44)</f>
        <v>52</v>
      </c>
      <c r="X47" s="2"/>
      <c r="Y47" s="334" t="s">
        <v>189</v>
      </c>
      <c r="Z47" s="334"/>
      <c r="AA47" s="335"/>
      <c r="AB47" s="335"/>
      <c r="AC47" s="337" t="n">
        <f aca="false">SUM(AC39:AC44)</f>
        <v>1.5</v>
      </c>
    </row>
    <row r="48" customFormat="false" ht="15" hidden="false" customHeight="true" outlineLevel="0" collapsed="false">
      <c r="A48" s="338" t="n">
        <v>10</v>
      </c>
      <c r="B48" s="339"/>
      <c r="C48" s="340"/>
      <c r="D48" s="340"/>
      <c r="E48" s="313" t="n">
        <f aca="false">D48*C48</f>
        <v>0</v>
      </c>
      <c r="F48" s="2"/>
      <c r="G48" s="2"/>
      <c r="H48" s="320" t="n">
        <v>10</v>
      </c>
      <c r="I48" s="321"/>
      <c r="J48" s="322"/>
      <c r="K48" s="322"/>
      <c r="L48" s="313" t="n">
        <v>0</v>
      </c>
      <c r="M48" s="2"/>
      <c r="N48" s="2"/>
      <c r="O48" s="2"/>
      <c r="P48" s="2"/>
      <c r="Q48" s="2"/>
      <c r="R48" s="2"/>
      <c r="S48" s="2"/>
      <c r="T48" s="2"/>
      <c r="U48" s="2"/>
      <c r="V48" s="2"/>
      <c r="W48" s="2"/>
      <c r="X48" s="2"/>
      <c r="Y48" s="2"/>
      <c r="Z48" s="2"/>
      <c r="AA48" s="2"/>
      <c r="AB48" s="2"/>
      <c r="AC48" s="2"/>
    </row>
    <row r="49" customFormat="false" ht="15" hidden="false" customHeight="true" outlineLevel="0" collapsed="false">
      <c r="A49" s="338" t="n">
        <v>11</v>
      </c>
      <c r="B49" s="339"/>
      <c r="C49" s="340"/>
      <c r="D49" s="340"/>
      <c r="E49" s="313" t="n">
        <f aca="false">D49*C49</f>
        <v>0</v>
      </c>
      <c r="F49" s="2"/>
      <c r="G49" s="2"/>
      <c r="H49" s="320" t="n">
        <v>11</v>
      </c>
      <c r="I49" s="321"/>
      <c r="J49" s="322"/>
      <c r="K49" s="322"/>
      <c r="L49" s="313" t="n">
        <v>0</v>
      </c>
      <c r="M49" s="2"/>
      <c r="N49" s="2"/>
      <c r="O49" s="2"/>
      <c r="P49" s="2"/>
      <c r="Q49" s="2"/>
      <c r="R49" s="2"/>
      <c r="S49" s="2"/>
      <c r="T49" s="2"/>
      <c r="U49" s="2"/>
      <c r="V49" s="2"/>
      <c r="W49" s="2"/>
      <c r="X49" s="2"/>
      <c r="Y49" s="2"/>
      <c r="Z49" s="2"/>
      <c r="AA49" s="2"/>
      <c r="AB49" s="2"/>
      <c r="AC49" s="2"/>
    </row>
    <row r="50" customFormat="false" ht="15" hidden="false" customHeight="true" outlineLevel="0" collapsed="false">
      <c r="A50" s="341" t="n">
        <v>12</v>
      </c>
      <c r="B50" s="342"/>
      <c r="C50" s="343"/>
      <c r="D50" s="343"/>
      <c r="E50" s="313" t="n">
        <f aca="false">D50*C50</f>
        <v>0</v>
      </c>
      <c r="F50" s="2"/>
      <c r="G50" s="2"/>
      <c r="H50" s="320" t="n">
        <v>12</v>
      </c>
      <c r="I50" s="321"/>
      <c r="J50" s="322"/>
      <c r="K50" s="322"/>
      <c r="L50" s="313" t="n">
        <v>0</v>
      </c>
      <c r="M50" s="2"/>
      <c r="N50" s="2"/>
      <c r="O50" s="2"/>
      <c r="P50" s="2"/>
      <c r="Q50" s="2"/>
      <c r="R50" s="2"/>
      <c r="S50" s="2"/>
      <c r="T50" s="2"/>
      <c r="U50" s="2"/>
      <c r="V50" s="2"/>
      <c r="W50" s="2"/>
      <c r="X50" s="2"/>
      <c r="Y50" s="2"/>
      <c r="Z50" s="2"/>
      <c r="AA50" s="2"/>
      <c r="AB50" s="2"/>
      <c r="AC50" s="2"/>
    </row>
    <row r="51" customFormat="false" ht="57.75" hidden="false" customHeight="true" outlineLevel="0" collapsed="false">
      <c r="A51" s="356" t="s">
        <v>210</v>
      </c>
      <c r="B51" s="356"/>
      <c r="C51" s="356"/>
      <c r="D51" s="301" t="s">
        <v>191</v>
      </c>
      <c r="E51" s="357" t="n">
        <f aca="false">SUM(E39:E50)</f>
        <v>3</v>
      </c>
      <c r="F51" s="2" t="s">
        <v>192</v>
      </c>
      <c r="G51" s="2"/>
      <c r="H51" s="344" t="s">
        <v>211</v>
      </c>
      <c r="I51" s="344"/>
      <c r="J51" s="344"/>
      <c r="K51" s="301" t="s">
        <v>194</v>
      </c>
      <c r="L51" s="345" t="n">
        <f aca="false">SUM(L39:L50)</f>
        <v>0.25</v>
      </c>
      <c r="M51" s="2"/>
      <c r="N51" s="2"/>
      <c r="O51" s="2"/>
      <c r="P51" s="2"/>
      <c r="Q51" s="2"/>
      <c r="R51" s="2"/>
      <c r="S51" s="2"/>
      <c r="T51" s="2"/>
      <c r="U51" s="2"/>
      <c r="V51" s="2"/>
      <c r="W51" s="2"/>
      <c r="X51" s="2"/>
      <c r="Y51" s="2"/>
      <c r="Z51" s="2"/>
      <c r="AA51" s="2"/>
      <c r="AB51" s="2"/>
      <c r="AC51" s="2"/>
    </row>
    <row r="52" customFormat="false" ht="57.75" hidden="false" customHeight="true" outlineLevel="0" collapsed="false">
      <c r="A52" s="356"/>
      <c r="B52" s="356"/>
      <c r="C52" s="356"/>
      <c r="D52" s="292" t="s">
        <v>212</v>
      </c>
      <c r="E52" s="346" t="n">
        <f aca="false">E51/$B$14</f>
        <v>0.02</v>
      </c>
      <c r="F52" s="347" t="n">
        <f aca="false">$P$3*E51</f>
        <v>18</v>
      </c>
      <c r="G52" s="2"/>
      <c r="H52" s="344"/>
      <c r="I52" s="344"/>
      <c r="J52" s="344"/>
      <c r="K52" s="292" t="s">
        <v>196</v>
      </c>
      <c r="L52" s="358" t="n">
        <f aca="false">L51/$B$14</f>
        <v>0.00166666666666667</v>
      </c>
      <c r="M52" s="348"/>
      <c r="N52" s="2"/>
      <c r="O52" s="2"/>
      <c r="P52" s="2"/>
      <c r="Q52" s="2"/>
      <c r="R52" s="2"/>
      <c r="S52" s="2"/>
      <c r="T52" s="2"/>
      <c r="U52" s="2"/>
      <c r="V52" s="2"/>
      <c r="W52" s="2"/>
      <c r="X52" s="2"/>
      <c r="Y52" s="2"/>
      <c r="Z52" s="2"/>
      <c r="AA52" s="2"/>
      <c r="AB52" s="2"/>
      <c r="AC52" s="2"/>
    </row>
    <row r="53" customFormat="false" ht="14.25" hidden="false" customHeight="true" outlineLevel="0" collapsed="false">
      <c r="A53" s="2"/>
      <c r="B53" s="273"/>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customFormat="false" ht="14.25" hidden="false" customHeight="true" outlineLevel="0" collapsed="false">
      <c r="A54" s="215"/>
      <c r="B54" s="351"/>
      <c r="C54" s="215"/>
      <c r="D54" s="215"/>
      <c r="E54" s="215"/>
      <c r="F54" s="215"/>
      <c r="G54" s="215"/>
      <c r="H54" s="215"/>
      <c r="I54" s="215"/>
      <c r="J54" s="215"/>
      <c r="K54" s="215"/>
      <c r="L54" s="215"/>
      <c r="M54" s="215"/>
      <c r="N54" s="215"/>
      <c r="O54" s="2"/>
      <c r="P54" s="2"/>
      <c r="Q54" s="2"/>
      <c r="R54" s="2"/>
      <c r="S54" s="2"/>
      <c r="T54" s="2"/>
      <c r="U54" s="2"/>
      <c r="V54" s="2"/>
      <c r="W54" s="2"/>
      <c r="X54" s="2"/>
      <c r="Y54" s="2"/>
      <c r="Z54" s="2"/>
      <c r="AA54" s="2"/>
      <c r="AB54" s="2"/>
      <c r="AC54" s="2"/>
    </row>
    <row r="55" customFormat="false" ht="15" hidden="false" customHeight="true" outlineLevel="0" collapsed="false">
      <c r="A55" s="2"/>
      <c r="B55" s="273"/>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customFormat="false" ht="27" hidden="false" customHeight="true" outlineLevel="0" collapsed="false">
      <c r="A56" s="274" t="s">
        <v>65</v>
      </c>
      <c r="B56" s="274"/>
      <c r="C56" s="274"/>
      <c r="D56" s="274"/>
      <c r="E56" s="274"/>
      <c r="F56" s="2"/>
      <c r="G56" s="2"/>
      <c r="H56" s="275" t="s">
        <v>213</v>
      </c>
      <c r="I56" s="275"/>
      <c r="J56" s="275"/>
      <c r="K56" s="275"/>
      <c r="L56" s="275"/>
      <c r="M56" s="2"/>
      <c r="N56" s="2"/>
      <c r="O56" s="2"/>
      <c r="P56" s="2"/>
      <c r="Q56" s="2"/>
      <c r="R56" s="2"/>
      <c r="S56" s="300" t="s">
        <v>214</v>
      </c>
      <c r="T56" s="300"/>
      <c r="U56" s="300"/>
      <c r="V56" s="300"/>
      <c r="W56" s="300"/>
      <c r="X56" s="2"/>
      <c r="Y56" s="300" t="s">
        <v>213</v>
      </c>
      <c r="Z56" s="300"/>
      <c r="AA56" s="300"/>
      <c r="AB56" s="300"/>
      <c r="AC56" s="300"/>
    </row>
    <row r="57" customFormat="false" ht="43.5" hidden="false" customHeight="true" outlineLevel="0" collapsed="false">
      <c r="A57" s="301" t="s">
        <v>171</v>
      </c>
      <c r="B57" s="302" t="s">
        <v>172</v>
      </c>
      <c r="C57" s="302" t="s">
        <v>173</v>
      </c>
      <c r="D57" s="302" t="s">
        <v>174</v>
      </c>
      <c r="E57" s="303" t="s">
        <v>175</v>
      </c>
      <c r="F57" s="2"/>
      <c r="G57" s="2"/>
      <c r="H57" s="304" t="s">
        <v>171</v>
      </c>
      <c r="I57" s="305" t="s">
        <v>172</v>
      </c>
      <c r="J57" s="305" t="s">
        <v>173</v>
      </c>
      <c r="K57" s="305" t="s">
        <v>174</v>
      </c>
      <c r="L57" s="306" t="s">
        <v>175</v>
      </c>
      <c r="M57" s="2"/>
      <c r="N57" s="2"/>
      <c r="O57" s="2"/>
      <c r="P57" s="2"/>
      <c r="Q57" s="2"/>
      <c r="R57" s="2"/>
      <c r="S57" s="307" t="s">
        <v>176</v>
      </c>
      <c r="T57" s="307"/>
      <c r="U57" s="308" t="s">
        <v>37</v>
      </c>
      <c r="V57" s="308" t="s">
        <v>177</v>
      </c>
      <c r="W57" s="309" t="s">
        <v>178</v>
      </c>
      <c r="X57" s="2"/>
      <c r="Y57" s="307" t="s">
        <v>176</v>
      </c>
      <c r="Z57" s="307"/>
      <c r="AA57" s="308" t="s">
        <v>37</v>
      </c>
      <c r="AB57" s="308" t="s">
        <v>177</v>
      </c>
      <c r="AC57" s="309" t="s">
        <v>178</v>
      </c>
    </row>
    <row r="58" customFormat="false" ht="15" hidden="false" customHeight="true" outlineLevel="0" collapsed="false">
      <c r="A58" s="310" t="n">
        <v>1</v>
      </c>
      <c r="B58" s="311" t="s">
        <v>215</v>
      </c>
      <c r="C58" s="312" t="n">
        <v>1</v>
      </c>
      <c r="D58" s="312" t="n">
        <v>1</v>
      </c>
      <c r="E58" s="313" t="n">
        <f aca="false">D58*C58</f>
        <v>1</v>
      </c>
      <c r="F58" s="2"/>
      <c r="G58" s="2"/>
      <c r="H58" s="310" t="n">
        <v>1</v>
      </c>
      <c r="I58" s="311" t="s">
        <v>216</v>
      </c>
      <c r="J58" s="312" t="n">
        <v>0.04</v>
      </c>
      <c r="K58" s="312" t="n">
        <v>5</v>
      </c>
      <c r="L58" s="313" t="n">
        <f aca="false">K58*J58</f>
        <v>0.2</v>
      </c>
      <c r="M58" s="2"/>
      <c r="N58" s="2"/>
      <c r="O58" s="2"/>
      <c r="P58" s="2"/>
      <c r="Q58" s="2"/>
      <c r="R58" s="2"/>
      <c r="S58" s="314" t="s">
        <v>200</v>
      </c>
      <c r="T58" s="314"/>
      <c r="U58" s="354" t="n">
        <v>5</v>
      </c>
      <c r="V58" s="316" t="n">
        <v>14</v>
      </c>
      <c r="W58" s="317" t="n">
        <f aca="false">V58*U58</f>
        <v>70</v>
      </c>
      <c r="X58" s="2"/>
      <c r="Y58" s="314" t="s">
        <v>182</v>
      </c>
      <c r="Z58" s="314"/>
      <c r="AA58" s="315" t="n">
        <f aca="false">$L$70</f>
        <v>0.6</v>
      </c>
      <c r="AB58" s="318" t="n">
        <f aca="false">$P$3</f>
        <v>6</v>
      </c>
      <c r="AC58" s="319" t="n">
        <f aca="false">AB58*AA58</f>
        <v>3.6</v>
      </c>
    </row>
    <row r="59" customFormat="false" ht="29.25" hidden="false" customHeight="true" outlineLevel="0" collapsed="false">
      <c r="A59" s="320" t="n">
        <v>2</v>
      </c>
      <c r="B59" s="321" t="s">
        <v>217</v>
      </c>
      <c r="C59" s="322" t="n">
        <v>0.5</v>
      </c>
      <c r="D59" s="322" t="n">
        <v>1</v>
      </c>
      <c r="E59" s="313" t="n">
        <f aca="false">D59*C59</f>
        <v>0.5</v>
      </c>
      <c r="F59" s="2"/>
      <c r="G59" s="2"/>
      <c r="H59" s="320" t="n">
        <v>2</v>
      </c>
      <c r="I59" s="321" t="s">
        <v>218</v>
      </c>
      <c r="J59" s="322" t="n">
        <v>0.03</v>
      </c>
      <c r="K59" s="322" t="n">
        <v>5</v>
      </c>
      <c r="L59" s="313" t="n">
        <f aca="false">K59*J59</f>
        <v>0.15</v>
      </c>
      <c r="M59" s="2"/>
      <c r="N59" s="2"/>
      <c r="O59" s="2"/>
      <c r="P59" s="2"/>
      <c r="Q59" s="2"/>
      <c r="R59" s="2"/>
      <c r="S59" s="323" t="s">
        <v>203</v>
      </c>
      <c r="T59" s="282"/>
      <c r="U59" s="282" t="n">
        <v>5</v>
      </c>
      <c r="V59" s="324" t="n">
        <v>9</v>
      </c>
      <c r="W59" s="325" t="n">
        <f aca="false">V59*U59</f>
        <v>45</v>
      </c>
      <c r="X59" s="2"/>
      <c r="Y59" s="323"/>
      <c r="Z59" s="323"/>
      <c r="AA59" s="282"/>
      <c r="AB59" s="282"/>
      <c r="AC59" s="326"/>
    </row>
    <row r="60" customFormat="false" ht="29.25" hidden="false" customHeight="true" outlineLevel="0" collapsed="false">
      <c r="A60" s="320" t="n">
        <v>3</v>
      </c>
      <c r="B60" s="1" t="s">
        <v>219</v>
      </c>
      <c r="C60" s="322" t="n">
        <v>0.5</v>
      </c>
      <c r="D60" s="322" t="n">
        <v>5</v>
      </c>
      <c r="E60" s="313" t="n">
        <f aca="false">D60*C60</f>
        <v>2.5</v>
      </c>
      <c r="F60" s="2"/>
      <c r="G60" s="2"/>
      <c r="H60" s="320" t="n">
        <v>3</v>
      </c>
      <c r="I60" s="321" t="s">
        <v>220</v>
      </c>
      <c r="J60" s="322" t="n">
        <v>0.1</v>
      </c>
      <c r="K60" s="322" t="n">
        <v>1</v>
      </c>
      <c r="L60" s="313" t="n">
        <f aca="false">K60*J60</f>
        <v>0.1</v>
      </c>
      <c r="M60" s="2"/>
      <c r="N60" s="2"/>
      <c r="O60" s="2"/>
      <c r="P60" s="2"/>
      <c r="Q60" s="2"/>
      <c r="R60" s="2"/>
      <c r="S60" s="323" t="s">
        <v>205</v>
      </c>
      <c r="T60" s="282"/>
      <c r="U60" s="282" t="n">
        <v>5</v>
      </c>
      <c r="V60" s="324" t="n">
        <v>7</v>
      </c>
      <c r="W60" s="325" t="n">
        <f aca="false">V60*U60</f>
        <v>35</v>
      </c>
      <c r="X60" s="2"/>
      <c r="Y60" s="323"/>
      <c r="Z60" s="323"/>
      <c r="AA60" s="282"/>
      <c r="AB60" s="282"/>
      <c r="AC60" s="326"/>
    </row>
    <row r="61" customFormat="false" ht="29.25" hidden="false" customHeight="true" outlineLevel="0" collapsed="false">
      <c r="A61" s="320" t="n">
        <v>4</v>
      </c>
      <c r="B61" s="321" t="s">
        <v>221</v>
      </c>
      <c r="C61" s="322" t="n">
        <v>0.75</v>
      </c>
      <c r="D61" s="322" t="n">
        <v>5</v>
      </c>
      <c r="E61" s="313" t="n">
        <f aca="false">D61*C61</f>
        <v>3.75</v>
      </c>
      <c r="F61" s="2"/>
      <c r="G61" s="2"/>
      <c r="H61" s="320" t="n">
        <v>4</v>
      </c>
      <c r="I61" s="321" t="s">
        <v>222</v>
      </c>
      <c r="J61" s="322" t="n">
        <v>0.15</v>
      </c>
      <c r="K61" s="322" t="n">
        <v>1</v>
      </c>
      <c r="L61" s="313" t="n">
        <f aca="false">K61*J61</f>
        <v>0.15</v>
      </c>
      <c r="M61" s="2"/>
      <c r="N61" s="2"/>
      <c r="O61" s="2"/>
      <c r="P61" s="2"/>
      <c r="Q61" s="2"/>
      <c r="R61" s="2"/>
      <c r="S61" s="323" t="s">
        <v>207</v>
      </c>
      <c r="T61" s="323"/>
      <c r="U61" s="282" t="n">
        <v>5</v>
      </c>
      <c r="V61" s="324" t="n">
        <v>4</v>
      </c>
      <c r="W61" s="325" t="n">
        <f aca="false">V61*U61</f>
        <v>20</v>
      </c>
      <c r="X61" s="2"/>
      <c r="Y61" s="323"/>
      <c r="Z61" s="323"/>
      <c r="AA61" s="282"/>
      <c r="AB61" s="282"/>
      <c r="AC61" s="326"/>
    </row>
    <row r="62" customFormat="false" ht="15" hidden="false" customHeight="true" outlineLevel="0" collapsed="false">
      <c r="A62" s="320" t="n">
        <v>5</v>
      </c>
      <c r="B62" s="321" t="s">
        <v>206</v>
      </c>
      <c r="C62" s="322" t="n">
        <v>0.4</v>
      </c>
      <c r="D62" s="322" t="n">
        <v>5</v>
      </c>
      <c r="E62" s="313" t="n">
        <f aca="false">D62*C62</f>
        <v>2</v>
      </c>
      <c r="F62" s="2"/>
      <c r="G62" s="2"/>
      <c r="H62" s="320" t="n">
        <v>5</v>
      </c>
      <c r="I62" s="321"/>
      <c r="J62" s="322"/>
      <c r="K62" s="322"/>
      <c r="L62" s="313" t="n">
        <f aca="false">K62*J62</f>
        <v>0</v>
      </c>
      <c r="M62" s="2"/>
      <c r="N62" s="2"/>
      <c r="O62" s="2"/>
      <c r="P62" s="2"/>
      <c r="Q62" s="2"/>
      <c r="R62" s="2"/>
      <c r="S62" s="323" t="s">
        <v>181</v>
      </c>
      <c r="T62" s="323"/>
      <c r="U62" s="327" t="n">
        <f aca="false">$E$70</f>
        <v>12</v>
      </c>
      <c r="V62" s="324" t="n">
        <f aca="false">$P$3</f>
        <v>6</v>
      </c>
      <c r="W62" s="325" t="n">
        <f aca="false">V62*U62</f>
        <v>72</v>
      </c>
      <c r="X62" s="2"/>
      <c r="Y62" s="323"/>
      <c r="Z62" s="323"/>
      <c r="AA62" s="282"/>
      <c r="AB62" s="282"/>
      <c r="AC62" s="326"/>
    </row>
    <row r="63" customFormat="false" ht="15" hidden="false" customHeight="true" outlineLevel="0" collapsed="false">
      <c r="A63" s="320" t="n">
        <v>6</v>
      </c>
      <c r="B63" s="321" t="s">
        <v>223</v>
      </c>
      <c r="C63" s="322" t="n">
        <v>0.2</v>
      </c>
      <c r="D63" s="322" t="n">
        <v>5</v>
      </c>
      <c r="E63" s="313" t="n">
        <f aca="false">D63*C63</f>
        <v>1</v>
      </c>
      <c r="F63" s="2"/>
      <c r="G63" s="2"/>
      <c r="H63" s="320" t="n">
        <v>6</v>
      </c>
      <c r="I63" s="321"/>
      <c r="J63" s="322"/>
      <c r="K63" s="322"/>
      <c r="L63" s="313" t="n">
        <f aca="false">K63*J63</f>
        <v>0</v>
      </c>
      <c r="M63" s="2"/>
      <c r="N63" s="2"/>
      <c r="O63" s="2"/>
      <c r="P63" s="2"/>
      <c r="Q63" s="2"/>
      <c r="R63" s="2"/>
      <c r="S63" s="323"/>
      <c r="T63" s="323"/>
      <c r="U63" s="282"/>
      <c r="V63" s="324"/>
      <c r="W63" s="325"/>
      <c r="X63" s="2"/>
      <c r="Y63" s="323"/>
      <c r="Z63" s="323"/>
      <c r="AA63" s="282"/>
      <c r="AB63" s="282"/>
      <c r="AC63" s="326"/>
    </row>
    <row r="64" customFormat="false" ht="29.25" hidden="false" customHeight="true" outlineLevel="0" collapsed="false">
      <c r="A64" s="328" t="n">
        <v>7</v>
      </c>
      <c r="B64" s="329" t="s">
        <v>224</v>
      </c>
      <c r="C64" s="330" t="n">
        <v>0.75</v>
      </c>
      <c r="D64" s="330" t="n">
        <v>1</v>
      </c>
      <c r="E64" s="313" t="n">
        <f aca="false">D64*C64</f>
        <v>0.75</v>
      </c>
      <c r="F64" s="2"/>
      <c r="G64" s="2"/>
      <c r="H64" s="320" t="n">
        <v>7</v>
      </c>
      <c r="I64" s="321"/>
      <c r="J64" s="322"/>
      <c r="K64" s="322"/>
      <c r="L64" s="313" t="n">
        <f aca="false">K64*J64</f>
        <v>0</v>
      </c>
      <c r="M64" s="2"/>
      <c r="N64" s="2"/>
      <c r="O64" s="2"/>
      <c r="P64" s="2"/>
      <c r="Q64" s="2"/>
      <c r="R64" s="2"/>
      <c r="S64" s="331"/>
      <c r="T64" s="331"/>
      <c r="U64" s="359"/>
      <c r="V64" s="360"/>
      <c r="W64" s="361"/>
      <c r="X64" s="2"/>
      <c r="Y64" s="331"/>
      <c r="Z64" s="331"/>
      <c r="AA64" s="332"/>
      <c r="AB64" s="332"/>
      <c r="AC64" s="333"/>
    </row>
    <row r="65" customFormat="false" ht="29.25" hidden="false" customHeight="true" outlineLevel="0" collapsed="false">
      <c r="A65" s="328" t="n">
        <v>8</v>
      </c>
      <c r="B65" s="329" t="s">
        <v>225</v>
      </c>
      <c r="C65" s="330" t="n">
        <v>0.5</v>
      </c>
      <c r="D65" s="330" t="n">
        <v>1</v>
      </c>
      <c r="E65" s="313" t="n">
        <f aca="false">D65*C65</f>
        <v>0.5</v>
      </c>
      <c r="F65" s="2"/>
      <c r="G65" s="2"/>
      <c r="H65" s="320" t="n">
        <v>8</v>
      </c>
      <c r="I65" s="321"/>
      <c r="J65" s="322"/>
      <c r="K65" s="322"/>
      <c r="L65" s="313" t="n">
        <f aca="false">K65*J65</f>
        <v>0</v>
      </c>
      <c r="M65" s="2"/>
      <c r="N65" s="2"/>
      <c r="O65" s="2"/>
      <c r="P65" s="2"/>
      <c r="Q65" s="2"/>
      <c r="R65" s="2"/>
      <c r="S65" s="362" t="s">
        <v>189</v>
      </c>
      <c r="T65" s="362"/>
      <c r="U65" s="363"/>
      <c r="V65" s="363"/>
      <c r="W65" s="364" t="n">
        <f aca="false">SUM(W58:W64)</f>
        <v>242</v>
      </c>
      <c r="X65" s="2"/>
      <c r="Y65" s="362" t="s">
        <v>189</v>
      </c>
      <c r="Z65" s="362"/>
      <c r="AA65" s="363"/>
      <c r="AB65" s="363"/>
      <c r="AC65" s="365" t="n">
        <f aca="false">SUM(AC58:AC64)</f>
        <v>3.6</v>
      </c>
    </row>
    <row r="66" customFormat="false" ht="15" hidden="false" customHeight="true" outlineLevel="0" collapsed="false">
      <c r="A66" s="328" t="n">
        <v>9</v>
      </c>
      <c r="B66" s="329"/>
      <c r="C66" s="330"/>
      <c r="D66" s="330"/>
      <c r="E66" s="313" t="n">
        <f aca="false">D66*C66</f>
        <v>0</v>
      </c>
      <c r="F66" s="2"/>
      <c r="G66" s="2"/>
      <c r="H66" s="320" t="n">
        <v>9</v>
      </c>
      <c r="I66" s="321"/>
      <c r="J66" s="322"/>
      <c r="K66" s="322"/>
      <c r="L66" s="313" t="n">
        <v>0</v>
      </c>
      <c r="M66" s="2"/>
      <c r="N66" s="2"/>
      <c r="O66" s="2"/>
      <c r="P66" s="2"/>
      <c r="Q66" s="2"/>
      <c r="R66" s="2"/>
      <c r="S66" s="2"/>
      <c r="T66" s="2"/>
      <c r="U66" s="2"/>
      <c r="V66" s="2"/>
      <c r="W66" s="2"/>
      <c r="X66" s="2"/>
      <c r="Y66" s="2"/>
      <c r="Z66" s="2"/>
      <c r="AA66" s="2"/>
      <c r="AB66" s="2"/>
      <c r="AC66" s="2"/>
    </row>
    <row r="67" customFormat="false" ht="15" hidden="false" customHeight="true" outlineLevel="0" collapsed="false">
      <c r="A67" s="338" t="n">
        <v>10</v>
      </c>
      <c r="B67" s="339"/>
      <c r="C67" s="340"/>
      <c r="D67" s="340"/>
      <c r="E67" s="313" t="n">
        <f aca="false">D67*C67</f>
        <v>0</v>
      </c>
      <c r="F67" s="2"/>
      <c r="G67" s="2"/>
      <c r="H67" s="320" t="n">
        <v>10</v>
      </c>
      <c r="I67" s="321"/>
      <c r="J67" s="322"/>
      <c r="K67" s="322"/>
      <c r="L67" s="313" t="n">
        <v>0</v>
      </c>
      <c r="M67" s="2"/>
      <c r="N67" s="2"/>
      <c r="O67" s="2"/>
      <c r="P67" s="2"/>
      <c r="Q67" s="2"/>
      <c r="R67" s="2"/>
      <c r="S67" s="2"/>
      <c r="T67" s="2"/>
      <c r="U67" s="2"/>
      <c r="V67" s="2"/>
      <c r="W67" s="2"/>
      <c r="X67" s="2"/>
      <c r="Y67" s="2"/>
      <c r="Z67" s="2"/>
      <c r="AA67" s="2"/>
      <c r="AB67" s="2"/>
      <c r="AC67" s="2"/>
    </row>
    <row r="68" customFormat="false" ht="15" hidden="false" customHeight="true" outlineLevel="0" collapsed="false">
      <c r="A68" s="338" t="n">
        <v>11</v>
      </c>
      <c r="B68" s="339"/>
      <c r="C68" s="340"/>
      <c r="D68" s="340"/>
      <c r="E68" s="313" t="n">
        <f aca="false">D68*C68</f>
        <v>0</v>
      </c>
      <c r="F68" s="2"/>
      <c r="G68" s="2"/>
      <c r="H68" s="320" t="n">
        <v>11</v>
      </c>
      <c r="I68" s="321"/>
      <c r="J68" s="322"/>
      <c r="K68" s="322"/>
      <c r="L68" s="313" t="n">
        <v>0</v>
      </c>
      <c r="M68" s="2"/>
      <c r="N68" s="2"/>
      <c r="O68" s="2"/>
      <c r="P68" s="2"/>
      <c r="Q68" s="2"/>
      <c r="R68" s="2"/>
      <c r="S68" s="2"/>
      <c r="T68" s="2"/>
      <c r="U68" s="2"/>
      <c r="V68" s="2"/>
      <c r="W68" s="2"/>
      <c r="X68" s="2"/>
      <c r="Y68" s="2"/>
      <c r="Z68" s="2"/>
      <c r="AA68" s="2"/>
      <c r="AB68" s="2"/>
      <c r="AC68" s="2"/>
    </row>
    <row r="69" customFormat="false" ht="15" hidden="false" customHeight="true" outlineLevel="0" collapsed="false">
      <c r="A69" s="341" t="n">
        <v>12</v>
      </c>
      <c r="B69" s="342"/>
      <c r="C69" s="343"/>
      <c r="D69" s="343"/>
      <c r="E69" s="313" t="n">
        <f aca="false">D69*C69</f>
        <v>0</v>
      </c>
      <c r="F69" s="2"/>
      <c r="G69" s="2"/>
      <c r="H69" s="320" t="n">
        <v>12</v>
      </c>
      <c r="I69" s="321"/>
      <c r="J69" s="322"/>
      <c r="K69" s="322"/>
      <c r="L69" s="313" t="n">
        <v>0</v>
      </c>
      <c r="M69" s="2"/>
      <c r="N69" s="2"/>
      <c r="O69" s="2"/>
      <c r="P69" s="2"/>
      <c r="Q69" s="2"/>
      <c r="R69" s="2"/>
      <c r="S69" s="2"/>
      <c r="T69" s="2"/>
      <c r="U69" s="2"/>
      <c r="V69" s="2"/>
      <c r="W69" s="2"/>
      <c r="X69" s="2"/>
      <c r="Y69" s="2"/>
      <c r="Z69" s="2"/>
      <c r="AA69" s="2"/>
      <c r="AB69" s="2"/>
      <c r="AC69" s="2"/>
    </row>
    <row r="70" customFormat="false" ht="57.75" hidden="false" customHeight="true" outlineLevel="0" collapsed="false">
      <c r="A70" s="356" t="s">
        <v>226</v>
      </c>
      <c r="B70" s="356"/>
      <c r="C70" s="356"/>
      <c r="D70" s="301" t="s">
        <v>191</v>
      </c>
      <c r="E70" s="357" t="n">
        <f aca="false">SUM(E58:E69)</f>
        <v>12</v>
      </c>
      <c r="F70" s="2" t="s">
        <v>192</v>
      </c>
      <c r="G70" s="2"/>
      <c r="H70" s="344" t="s">
        <v>227</v>
      </c>
      <c r="I70" s="344"/>
      <c r="J70" s="344"/>
      <c r="K70" s="301" t="s">
        <v>194</v>
      </c>
      <c r="L70" s="345" t="n">
        <f aca="false">SUM(L58:L69)</f>
        <v>0.6</v>
      </c>
      <c r="M70" s="2"/>
      <c r="N70" s="2"/>
      <c r="O70" s="2"/>
      <c r="P70" s="2"/>
      <c r="Q70" s="2"/>
      <c r="R70" s="2"/>
      <c r="S70" s="2"/>
      <c r="T70" s="2"/>
      <c r="U70" s="2"/>
      <c r="V70" s="2"/>
      <c r="W70" s="2"/>
      <c r="X70" s="2"/>
      <c r="Y70" s="2"/>
      <c r="Z70" s="2"/>
      <c r="AA70" s="2"/>
      <c r="AB70" s="2"/>
      <c r="AC70" s="2"/>
    </row>
    <row r="71" customFormat="false" ht="102" hidden="false" customHeight="true" outlineLevel="0" collapsed="false">
      <c r="A71" s="356"/>
      <c r="B71" s="356"/>
      <c r="C71" s="356"/>
      <c r="D71" s="292" t="s">
        <v>212</v>
      </c>
      <c r="E71" s="346" t="n">
        <f aca="false">E70/$B$14</f>
        <v>0.08</v>
      </c>
      <c r="F71" s="347" t="n">
        <f aca="false">$P$3*E70</f>
        <v>72</v>
      </c>
      <c r="G71" s="2"/>
      <c r="H71" s="344"/>
      <c r="I71" s="344"/>
      <c r="J71" s="344"/>
      <c r="K71" s="292" t="s">
        <v>196</v>
      </c>
      <c r="L71" s="358" t="n">
        <f aca="false">L70/$B$14</f>
        <v>0.004</v>
      </c>
      <c r="M71" s="348"/>
      <c r="N71" s="2"/>
      <c r="O71" s="2"/>
      <c r="P71" s="2"/>
      <c r="Q71" s="2"/>
      <c r="R71" s="2"/>
      <c r="S71" s="2"/>
      <c r="T71" s="2"/>
      <c r="U71" s="2"/>
      <c r="V71" s="2"/>
      <c r="W71" s="2"/>
      <c r="X71" s="2"/>
      <c r="Y71" s="2"/>
      <c r="Z71" s="2"/>
      <c r="AA71" s="2"/>
      <c r="AB71" s="2"/>
      <c r="AC71" s="2"/>
    </row>
    <row r="72" customFormat="false" ht="14.25" hidden="false" customHeight="true" outlineLevel="0" collapsed="false">
      <c r="F72" s="348"/>
      <c r="G72" s="2"/>
      <c r="H72" s="2"/>
      <c r="I72" s="2"/>
      <c r="J72" s="2"/>
      <c r="K72" s="2"/>
      <c r="L72" s="2"/>
      <c r="M72" s="2"/>
      <c r="N72" s="2"/>
      <c r="O72" s="2"/>
      <c r="P72" s="2"/>
      <c r="Q72" s="2"/>
      <c r="R72" s="2"/>
      <c r="S72" s="2"/>
      <c r="T72" s="2"/>
      <c r="U72" s="2"/>
      <c r="V72" s="2"/>
      <c r="W72" s="2"/>
      <c r="X72" s="2"/>
      <c r="Y72" s="2"/>
      <c r="Z72" s="2"/>
      <c r="AA72" s="2"/>
      <c r="AB72" s="2"/>
      <c r="AC72" s="2"/>
    </row>
    <row r="73" customFormat="false" ht="14.25" hidden="false" customHeight="true" outlineLevel="0" collapsed="false">
      <c r="A73" s="294"/>
      <c r="B73" s="294"/>
      <c r="C73" s="294"/>
      <c r="D73" s="295"/>
      <c r="E73" s="366"/>
      <c r="F73" s="2"/>
      <c r="G73" s="2"/>
      <c r="H73" s="2"/>
      <c r="I73" s="2"/>
      <c r="J73" s="2"/>
      <c r="K73" s="2"/>
      <c r="L73" s="2"/>
      <c r="M73" s="2"/>
      <c r="N73" s="2"/>
      <c r="O73" s="2"/>
      <c r="P73" s="2"/>
      <c r="Q73" s="2"/>
      <c r="R73" s="2"/>
      <c r="S73" s="2"/>
      <c r="T73" s="2"/>
      <c r="U73" s="2"/>
      <c r="V73" s="2"/>
      <c r="W73" s="2"/>
      <c r="X73" s="2"/>
      <c r="Y73" s="2"/>
      <c r="Z73" s="2"/>
      <c r="AA73" s="2"/>
      <c r="AB73" s="2"/>
      <c r="AC73" s="2"/>
    </row>
    <row r="74" customFormat="false" ht="14.25" hidden="false" customHeight="true" outlineLevel="0" collapsed="false">
      <c r="A74" s="215"/>
      <c r="B74" s="351"/>
      <c r="C74" s="215"/>
      <c r="D74" s="215"/>
      <c r="E74" s="215"/>
      <c r="F74" s="215"/>
      <c r="G74" s="215"/>
      <c r="H74" s="215"/>
      <c r="I74" s="215"/>
      <c r="J74" s="215"/>
      <c r="K74" s="215"/>
      <c r="L74" s="215"/>
      <c r="M74" s="215"/>
      <c r="N74" s="215"/>
      <c r="O74" s="2"/>
      <c r="P74" s="2"/>
      <c r="Q74" s="2"/>
      <c r="R74" s="2"/>
      <c r="S74" s="2"/>
      <c r="T74" s="2"/>
      <c r="U74" s="2"/>
      <c r="V74" s="2"/>
      <c r="W74" s="2"/>
      <c r="X74" s="2"/>
      <c r="Y74" s="2"/>
      <c r="Z74" s="2"/>
      <c r="AA74" s="2"/>
      <c r="AB74" s="2"/>
      <c r="AC74" s="2"/>
    </row>
    <row r="75" customFormat="false" ht="14.25" hidden="false" customHeight="true" outlineLevel="0" collapsed="false">
      <c r="A75" s="2"/>
      <c r="B75" s="273"/>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customFormat="false" ht="15" hidden="false" customHeight="true" outlineLevel="0" collapsed="false">
      <c r="A76" s="2" t="s">
        <v>228</v>
      </c>
      <c r="B76" s="273"/>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customFormat="false" ht="26.25" hidden="false" customHeight="true" outlineLevel="0" collapsed="false">
      <c r="A77" s="274" t="s">
        <v>229</v>
      </c>
      <c r="B77" s="274"/>
      <c r="C77" s="274"/>
      <c r="D77" s="274"/>
      <c r="E77" s="274"/>
      <c r="F77" s="2"/>
      <c r="G77" s="2"/>
      <c r="H77" s="2"/>
      <c r="I77" s="2"/>
      <c r="J77" s="2"/>
      <c r="K77" s="2"/>
      <c r="L77" s="2"/>
      <c r="M77" s="2"/>
      <c r="N77" s="2"/>
      <c r="O77" s="2"/>
      <c r="P77" s="2"/>
      <c r="Q77" s="2"/>
      <c r="R77" s="2"/>
      <c r="S77" s="2"/>
      <c r="T77" s="2"/>
      <c r="U77" s="2"/>
      <c r="V77" s="2"/>
      <c r="W77" s="2"/>
      <c r="X77" s="2"/>
      <c r="Y77" s="2"/>
      <c r="Z77" s="2"/>
      <c r="AA77" s="2"/>
      <c r="AB77" s="2"/>
      <c r="AC77" s="2"/>
    </row>
    <row r="78" customFormat="false" ht="14.25" hidden="false" customHeight="true" outlineLevel="0" collapsed="false">
      <c r="A78" s="367" t="s">
        <v>230</v>
      </c>
      <c r="B78" s="367"/>
      <c r="C78" s="368" t="s">
        <v>81</v>
      </c>
      <c r="D78" s="368"/>
      <c r="E78" s="368" t="s">
        <v>82</v>
      </c>
      <c r="F78" s="368"/>
      <c r="G78" s="368" t="s">
        <v>83</v>
      </c>
      <c r="H78" s="368"/>
      <c r="I78" s="368" t="s">
        <v>84</v>
      </c>
      <c r="J78" s="368"/>
      <c r="K78" s="368" t="s">
        <v>85</v>
      </c>
      <c r="L78" s="368"/>
      <c r="M78" s="368" t="s">
        <v>86</v>
      </c>
      <c r="N78" s="368"/>
      <c r="O78" s="368" t="s">
        <v>87</v>
      </c>
      <c r="P78" s="368"/>
      <c r="Q78" s="368" t="s">
        <v>88</v>
      </c>
      <c r="R78" s="368"/>
      <c r="S78" s="368" t="s">
        <v>89</v>
      </c>
      <c r="T78" s="368"/>
      <c r="U78" s="368" t="s">
        <v>90</v>
      </c>
      <c r="V78" s="368"/>
      <c r="W78" s="368" t="s">
        <v>91</v>
      </c>
      <c r="X78" s="368"/>
      <c r="Y78" s="368" t="s">
        <v>92</v>
      </c>
      <c r="Z78" s="368"/>
      <c r="AA78" s="369"/>
      <c r="AB78" s="369"/>
      <c r="AC78" s="369"/>
    </row>
    <row r="79" customFormat="false" ht="29.25" hidden="false" customHeight="true" outlineLevel="0" collapsed="false">
      <c r="A79" s="367"/>
      <c r="B79" s="367"/>
      <c r="C79" s="370" t="s">
        <v>231</v>
      </c>
      <c r="D79" s="370" t="s">
        <v>232</v>
      </c>
      <c r="E79" s="370" t="s">
        <v>231</v>
      </c>
      <c r="F79" s="370" t="s">
        <v>233</v>
      </c>
      <c r="G79" s="370" t="s">
        <v>231</v>
      </c>
      <c r="H79" s="370" t="s">
        <v>232</v>
      </c>
      <c r="I79" s="370" t="s">
        <v>231</v>
      </c>
      <c r="J79" s="370" t="s">
        <v>233</v>
      </c>
      <c r="K79" s="370" t="s">
        <v>231</v>
      </c>
      <c r="L79" s="370" t="s">
        <v>232</v>
      </c>
      <c r="M79" s="370" t="s">
        <v>231</v>
      </c>
      <c r="N79" s="370" t="s">
        <v>232</v>
      </c>
      <c r="O79" s="370" t="s">
        <v>231</v>
      </c>
      <c r="P79" s="370" t="s">
        <v>232</v>
      </c>
      <c r="Q79" s="370" t="s">
        <v>231</v>
      </c>
      <c r="R79" s="370" t="s">
        <v>232</v>
      </c>
      <c r="S79" s="370" t="s">
        <v>231</v>
      </c>
      <c r="T79" s="370" t="s">
        <v>232</v>
      </c>
      <c r="U79" s="370" t="s">
        <v>231</v>
      </c>
      <c r="V79" s="370" t="s">
        <v>232</v>
      </c>
      <c r="W79" s="370" t="s">
        <v>231</v>
      </c>
      <c r="X79" s="370" t="s">
        <v>232</v>
      </c>
      <c r="Y79" s="370" t="s">
        <v>231</v>
      </c>
      <c r="Z79" s="370" t="s">
        <v>232</v>
      </c>
      <c r="AA79" s="371"/>
      <c r="AB79" s="371"/>
      <c r="AC79" s="371"/>
    </row>
    <row r="80" customFormat="false" ht="15" hidden="false" customHeight="true" outlineLevel="0" collapsed="false">
      <c r="A80" s="372" t="str">
        <f aca="false">Hipótesis!B$58</f>
        <v>Alta e instalación Plan Básico</v>
      </c>
      <c r="B80" s="373" t="n">
        <f aca="false">D80+F80+H80+J80+L80+N80+P80+R80+T80+V80+X80+Z80</f>
        <v>37</v>
      </c>
      <c r="C80" s="374" t="n">
        <f aca="false">'Proy. ventas'!E19</f>
        <v>0</v>
      </c>
      <c r="D80" s="282" t="n">
        <f aca="false">C80*$E$32</f>
        <v>0</v>
      </c>
      <c r="E80" s="375" t="n">
        <f aca="false">'Proy. ventas'!G33</f>
        <v>1</v>
      </c>
      <c r="F80" s="282" t="n">
        <f aca="false">E80*$E$32</f>
        <v>0.5</v>
      </c>
      <c r="G80" s="375" t="n">
        <f aca="false">'Proy. ventas'!I33</f>
        <v>1</v>
      </c>
      <c r="H80" s="282" t="n">
        <f aca="false">G80*$E$32</f>
        <v>0.5</v>
      </c>
      <c r="I80" s="375" t="n">
        <f aca="false">'Proy. ventas'!K33</f>
        <v>2</v>
      </c>
      <c r="J80" s="282" t="n">
        <f aca="false">I80*$E$32</f>
        <v>1</v>
      </c>
      <c r="K80" s="375" t="n">
        <f aca="false">'Proy. ventas'!M33</f>
        <v>4</v>
      </c>
      <c r="L80" s="282" t="n">
        <f aca="false">K80*$E$32</f>
        <v>2</v>
      </c>
      <c r="M80" s="375" t="n">
        <f aca="false">'Proy. ventas'!O33</f>
        <v>5</v>
      </c>
      <c r="N80" s="282" t="n">
        <f aca="false">M80*$E$32</f>
        <v>2.5</v>
      </c>
      <c r="O80" s="375" t="n">
        <f aca="false">'Proy. ventas'!Q33</f>
        <v>7</v>
      </c>
      <c r="P80" s="282" t="n">
        <f aca="false">O80*$E$32</f>
        <v>3.5</v>
      </c>
      <c r="Q80" s="375" t="n">
        <f aca="false">'Proy. ventas'!S33</f>
        <v>8</v>
      </c>
      <c r="R80" s="282" t="n">
        <f aca="false">Q80*$E$32</f>
        <v>4</v>
      </c>
      <c r="S80" s="375" t="n">
        <f aca="false">'Proy. ventas'!U33</f>
        <v>9</v>
      </c>
      <c r="T80" s="282" t="n">
        <f aca="false">S80*$E$32</f>
        <v>4.5</v>
      </c>
      <c r="U80" s="375" t="n">
        <f aca="false">'Proy. ventas'!W33</f>
        <v>11</v>
      </c>
      <c r="V80" s="282" t="n">
        <f aca="false">U80*$E$32</f>
        <v>5.5</v>
      </c>
      <c r="W80" s="375" t="n">
        <f aca="false">'Proy. ventas'!Y33</f>
        <v>12</v>
      </c>
      <c r="X80" s="282" t="n">
        <f aca="false">W80*$E$32</f>
        <v>6</v>
      </c>
      <c r="Y80" s="375" t="n">
        <f aca="false">'Proy. ventas'!AA33</f>
        <v>14</v>
      </c>
      <c r="Z80" s="282" t="n">
        <f aca="false">Y80*$E$32</f>
        <v>7</v>
      </c>
      <c r="AA80" s="2"/>
      <c r="AB80" s="2"/>
      <c r="AC80" s="2"/>
    </row>
    <row r="81" customFormat="false" ht="15" hidden="false" customHeight="true" outlineLevel="0" collapsed="false">
      <c r="A81" s="376" t="str">
        <f aca="false">Hipótesis!B$59</f>
        <v>Alta e instalación Plan Vidriera</v>
      </c>
      <c r="B81" s="373" t="n">
        <f aca="false">D81+F81+H81+J81+L81+N81+P81+R81+T81+V81+X81+Z81</f>
        <v>516</v>
      </c>
      <c r="C81" s="374" t="n">
        <f aca="false">'Proy. ventas'!E20</f>
        <v>0</v>
      </c>
      <c r="D81" s="282" t="n">
        <f aca="false">C81*$E$51</f>
        <v>0</v>
      </c>
      <c r="E81" s="375" t="n">
        <f aca="false">'Proy. ventas'!G34</f>
        <v>2</v>
      </c>
      <c r="F81" s="282" t="n">
        <f aca="false">E81*$E$51</f>
        <v>6</v>
      </c>
      <c r="G81" s="375" t="n">
        <f aca="false">'Proy. ventas'!I34</f>
        <v>3</v>
      </c>
      <c r="H81" s="282" t="n">
        <f aca="false">G81*$E$51</f>
        <v>9</v>
      </c>
      <c r="I81" s="375" t="n">
        <f aca="false">'Proy. ventas'!K34</f>
        <v>5</v>
      </c>
      <c r="J81" s="282" t="n">
        <f aca="false">I81*$E$51</f>
        <v>15</v>
      </c>
      <c r="K81" s="375" t="n">
        <f aca="false">'Proy. ventas'!M34</f>
        <v>9</v>
      </c>
      <c r="L81" s="282" t="n">
        <f aca="false">K81*$E$51</f>
        <v>27</v>
      </c>
      <c r="M81" s="375" t="n">
        <f aca="false">'Proy. ventas'!O34</f>
        <v>12</v>
      </c>
      <c r="N81" s="282" t="n">
        <f aca="false">M81*$E$51</f>
        <v>36</v>
      </c>
      <c r="O81" s="375" t="n">
        <f aca="false">'Proy. ventas'!Q34</f>
        <v>15</v>
      </c>
      <c r="P81" s="282" t="n">
        <f aca="false">O81*$E$51</f>
        <v>45</v>
      </c>
      <c r="Q81" s="375" t="n">
        <f aca="false">'Proy. ventas'!S34</f>
        <v>19</v>
      </c>
      <c r="R81" s="282" t="n">
        <f aca="false">Q81*$E$51</f>
        <v>57</v>
      </c>
      <c r="S81" s="375" t="n">
        <f aca="false">'Proy. ventas'!U34</f>
        <v>21</v>
      </c>
      <c r="T81" s="282" t="n">
        <f aca="false">S81*$E$51</f>
        <v>63</v>
      </c>
      <c r="U81" s="375" t="n">
        <f aca="false">'Proy. ventas'!W34</f>
        <v>26</v>
      </c>
      <c r="V81" s="282" t="n">
        <f aca="false">U81*$E$51</f>
        <v>78</v>
      </c>
      <c r="W81" s="375" t="n">
        <f aca="false">'Proy. ventas'!Y34</f>
        <v>27</v>
      </c>
      <c r="X81" s="282" t="n">
        <f aca="false">W81*$E$51</f>
        <v>81</v>
      </c>
      <c r="Y81" s="375" t="n">
        <f aca="false">'Proy. ventas'!AA34</f>
        <v>33</v>
      </c>
      <c r="Z81" s="282" t="n">
        <f aca="false">Y81*$E$51</f>
        <v>99</v>
      </c>
      <c r="AA81" s="2"/>
      <c r="AB81" s="2"/>
      <c r="AC81" s="2"/>
    </row>
    <row r="82" customFormat="false" ht="15.75" hidden="false" customHeight="true" outlineLevel="0" collapsed="false">
      <c r="A82" s="377" t="str">
        <f aca="false">Hipótesis!B$60</f>
        <v>Alta e instalación Plan Cadena</v>
      </c>
      <c r="B82" s="373" t="n">
        <f aca="false">D82+F82+H82+J82+L82+N82+P82+R82+T82+V82+X82+Z82</f>
        <v>300</v>
      </c>
      <c r="C82" s="374" t="n">
        <f aca="false">'Proy. ventas'!E21</f>
        <v>0</v>
      </c>
      <c r="D82" s="282" t="n">
        <f aca="false">C82*$E$70</f>
        <v>0</v>
      </c>
      <c r="E82" s="375" t="n">
        <f aca="false">'Proy. ventas'!G35</f>
        <v>0</v>
      </c>
      <c r="F82" s="282" t="n">
        <f aca="false">E82*$E$70</f>
        <v>0</v>
      </c>
      <c r="G82" s="375" t="n">
        <f aca="false">'Proy. ventas'!I35</f>
        <v>0</v>
      </c>
      <c r="H82" s="282" t="n">
        <f aca="false">G82*$E$70</f>
        <v>0</v>
      </c>
      <c r="I82" s="375" t="n">
        <f aca="false">'Proy. ventas'!K35</f>
        <v>1</v>
      </c>
      <c r="J82" s="282" t="n">
        <f aca="false">I82*$E$70</f>
        <v>12</v>
      </c>
      <c r="K82" s="375" t="n">
        <f aca="false">'Proy. ventas'!M35</f>
        <v>1</v>
      </c>
      <c r="L82" s="282" t="n">
        <f aca="false">K82*$E$70</f>
        <v>12</v>
      </c>
      <c r="M82" s="375" t="n">
        <f aca="false">'Proy. ventas'!O35</f>
        <v>2</v>
      </c>
      <c r="N82" s="282" t="n">
        <f aca="false">M82*$E$70</f>
        <v>24</v>
      </c>
      <c r="O82" s="375" t="n">
        <f aca="false">'Proy. ventas'!Q35</f>
        <v>2</v>
      </c>
      <c r="P82" s="282" t="n">
        <f aca="false">O82*$E$70</f>
        <v>24</v>
      </c>
      <c r="Q82" s="375" t="n">
        <f aca="false">'Proy. ventas'!S35</f>
        <v>3</v>
      </c>
      <c r="R82" s="282" t="n">
        <f aca="false">Q82*$E$70</f>
        <v>36</v>
      </c>
      <c r="S82" s="375" t="n">
        <f aca="false">'Proy. ventas'!U35</f>
        <v>3</v>
      </c>
      <c r="T82" s="282" t="n">
        <f aca="false">S82*$E$70</f>
        <v>36</v>
      </c>
      <c r="U82" s="375" t="n">
        <f aca="false">'Proy. ventas'!W35</f>
        <v>4</v>
      </c>
      <c r="V82" s="282" t="n">
        <f aca="false">U82*$E$70</f>
        <v>48</v>
      </c>
      <c r="W82" s="375" t="n">
        <f aca="false">'Proy. ventas'!Y35</f>
        <v>4</v>
      </c>
      <c r="X82" s="282" t="n">
        <f aca="false">W82*$E$70</f>
        <v>48</v>
      </c>
      <c r="Y82" s="375" t="n">
        <f aca="false">'Proy. ventas'!AA35</f>
        <v>5</v>
      </c>
      <c r="Z82" s="282" t="n">
        <f aca="false">Y82*$E$70</f>
        <v>60</v>
      </c>
      <c r="AA82" s="2"/>
      <c r="AB82" s="2"/>
      <c r="AC82" s="2"/>
    </row>
    <row r="83" customFormat="false" ht="15" hidden="false" customHeight="true" outlineLevel="0" collapsed="false">
      <c r="A83" s="378" t="str">
        <f aca="false">Hipótesis!B$61</f>
        <v>Abono Plan Básico</v>
      </c>
      <c r="B83" s="373" t="n">
        <f aca="false">D83+F83+H83+J83+L83+N83+P83+R83+T83+V83+X83+Z83</f>
        <v>44.25</v>
      </c>
      <c r="C83" s="374" t="n">
        <f aca="false">'Proy. ventas'!E22</f>
        <v>0</v>
      </c>
      <c r="D83" s="282" t="n">
        <f aca="false">C83*$L$32</f>
        <v>0</v>
      </c>
      <c r="E83" s="374" t="n">
        <f aca="false">'Proy. ventas'!G22</f>
        <v>1</v>
      </c>
      <c r="F83" s="282" t="n">
        <f aca="false">E83*$L$32</f>
        <v>0.15</v>
      </c>
      <c r="G83" s="374" t="n">
        <f aca="false">'Proy. ventas'!I22</f>
        <v>2</v>
      </c>
      <c r="H83" s="282" t="n">
        <f aca="false">G83*$L$32</f>
        <v>0.3</v>
      </c>
      <c r="I83" s="374" t="n">
        <f aca="false">'Proy. ventas'!K22</f>
        <v>4</v>
      </c>
      <c r="J83" s="282" t="n">
        <f aca="false">I83*$L$32</f>
        <v>0.6</v>
      </c>
      <c r="K83" s="374" t="n">
        <f aca="false">'Proy. ventas'!M22</f>
        <v>8</v>
      </c>
      <c r="L83" s="282" t="n">
        <f aca="false">K83*$L$32</f>
        <v>1.2</v>
      </c>
      <c r="M83" s="374" t="n">
        <f aca="false">'Proy. ventas'!O22</f>
        <v>13</v>
      </c>
      <c r="N83" s="282" t="n">
        <f aca="false">M83*$L$32</f>
        <v>1.95</v>
      </c>
      <c r="O83" s="374" t="n">
        <f aca="false">'Proy. ventas'!Q22</f>
        <v>20</v>
      </c>
      <c r="P83" s="282" t="n">
        <f aca="false">O83*$L$32</f>
        <v>3</v>
      </c>
      <c r="Q83" s="374" t="n">
        <f aca="false">'Proy. ventas'!S22</f>
        <v>28</v>
      </c>
      <c r="R83" s="282" t="n">
        <f aca="false">Q83*$L$32</f>
        <v>4.2</v>
      </c>
      <c r="S83" s="374" t="n">
        <f aca="false">'Proy. ventas'!U22</f>
        <v>37</v>
      </c>
      <c r="T83" s="282" t="n">
        <f aca="false">S83*$L$32</f>
        <v>5.55</v>
      </c>
      <c r="U83" s="374" t="n">
        <f aca="false">'Proy. ventas'!W22</f>
        <v>48</v>
      </c>
      <c r="V83" s="282" t="n">
        <f aca="false">U83*$L$32</f>
        <v>7.2</v>
      </c>
      <c r="W83" s="374" t="n">
        <f aca="false">'Proy. ventas'!Y22</f>
        <v>60</v>
      </c>
      <c r="X83" s="282" t="n">
        <f aca="false">W83*$L$32</f>
        <v>9</v>
      </c>
      <c r="Y83" s="374" t="n">
        <f aca="false">'Proy. ventas'!AA22</f>
        <v>74</v>
      </c>
      <c r="Z83" s="282" t="n">
        <f aca="false">Y83*$L$32</f>
        <v>11.1</v>
      </c>
      <c r="AA83" s="2"/>
      <c r="AB83" s="2"/>
      <c r="AC83" s="2"/>
    </row>
    <row r="84" customFormat="false" ht="15" hidden="false" customHeight="true" outlineLevel="0" collapsed="false">
      <c r="A84" s="379" t="str">
        <f aca="false">Hipótesis!B$62</f>
        <v>Abono Plan Vidriera</v>
      </c>
      <c r="B84" s="373" t="n">
        <f aca="false">D84+F84+H84+J84+L84+N84+P84+R84+T84+V84+X84+Z84</f>
        <v>171.75</v>
      </c>
      <c r="C84" s="374" t="n">
        <f aca="false">'Proy. ventas'!E23</f>
        <v>0</v>
      </c>
      <c r="D84" s="282" t="n">
        <f aca="false">C84*$L$51</f>
        <v>0</v>
      </c>
      <c r="E84" s="374" t="n">
        <f aca="false">'Proy. ventas'!G23</f>
        <v>2</v>
      </c>
      <c r="F84" s="282" t="n">
        <f aca="false">E84*$L$51</f>
        <v>0.5</v>
      </c>
      <c r="G84" s="374" t="n">
        <f aca="false">'Proy. ventas'!I23</f>
        <v>5</v>
      </c>
      <c r="H84" s="282" t="n">
        <f aca="false">G84*$L$51</f>
        <v>1.25</v>
      </c>
      <c r="I84" s="374" t="n">
        <f aca="false">'Proy. ventas'!K23</f>
        <v>10</v>
      </c>
      <c r="J84" s="282" t="n">
        <f aca="false">I84*$L$51</f>
        <v>2.5</v>
      </c>
      <c r="K84" s="374" t="n">
        <f aca="false">'Proy. ventas'!M23</f>
        <v>19</v>
      </c>
      <c r="L84" s="282" t="n">
        <f aca="false">K84*$L$51</f>
        <v>4.75</v>
      </c>
      <c r="M84" s="374" t="n">
        <f aca="false">'Proy. ventas'!O23</f>
        <v>31</v>
      </c>
      <c r="N84" s="282" t="n">
        <f aca="false">M84*$L$51</f>
        <v>7.75</v>
      </c>
      <c r="O84" s="374" t="n">
        <f aca="false">'Proy. ventas'!Q23</f>
        <v>46</v>
      </c>
      <c r="P84" s="282" t="n">
        <f aca="false">O84*$L$51</f>
        <v>11.5</v>
      </c>
      <c r="Q84" s="374" t="n">
        <f aca="false">'Proy. ventas'!S23</f>
        <v>65</v>
      </c>
      <c r="R84" s="282" t="n">
        <f aca="false">Q84*$L$51</f>
        <v>16.25</v>
      </c>
      <c r="S84" s="374" t="n">
        <f aca="false">'Proy. ventas'!U23</f>
        <v>86</v>
      </c>
      <c r="T84" s="282" t="n">
        <f aca="false">S84*$L$51</f>
        <v>21.5</v>
      </c>
      <c r="U84" s="374" t="n">
        <f aca="false">'Proy. ventas'!W23</f>
        <v>112</v>
      </c>
      <c r="V84" s="282" t="n">
        <f aca="false">U84*$L$51</f>
        <v>28</v>
      </c>
      <c r="W84" s="374" t="n">
        <f aca="false">'Proy. ventas'!Y23</f>
        <v>139</v>
      </c>
      <c r="X84" s="282" t="n">
        <f aca="false">W84*$L$51</f>
        <v>34.75</v>
      </c>
      <c r="Y84" s="374" t="n">
        <f aca="false">'Proy. ventas'!AA23</f>
        <v>172</v>
      </c>
      <c r="Z84" s="282" t="n">
        <f aca="false">Y84*$L$51</f>
        <v>43</v>
      </c>
      <c r="AA84" s="2"/>
      <c r="AB84" s="2"/>
      <c r="AC84" s="2"/>
    </row>
    <row r="85" customFormat="false" ht="15.75" hidden="false" customHeight="true" outlineLevel="0" collapsed="false">
      <c r="A85" s="380" t="str">
        <f aca="false">Hipótesis!B$63</f>
        <v>Abono Plan Cadena</v>
      </c>
      <c r="B85" s="373" t="n">
        <f aca="false">D85+F85+H85+J85+L85+N85+P85+R85+T85+V85+X85+Z85</f>
        <v>57</v>
      </c>
      <c r="C85" s="374" t="n">
        <f aca="false">'Proy. ventas'!E24</f>
        <v>0</v>
      </c>
      <c r="D85" s="282" t="n">
        <f aca="false">C85*$L$70</f>
        <v>0</v>
      </c>
      <c r="E85" s="374" t="n">
        <f aca="false">'Proy. ventas'!G24</f>
        <v>0</v>
      </c>
      <c r="F85" s="282" t="n">
        <f aca="false">E85*$L$70</f>
        <v>0</v>
      </c>
      <c r="G85" s="374" t="n">
        <f aca="false">'Proy. ventas'!I24</f>
        <v>0</v>
      </c>
      <c r="H85" s="282" t="n">
        <f aca="false">G85*$L$70</f>
        <v>0</v>
      </c>
      <c r="I85" s="374" t="n">
        <f aca="false">'Proy. ventas'!K24</f>
        <v>1</v>
      </c>
      <c r="J85" s="282" t="n">
        <f aca="false">I85*$L$70</f>
        <v>0.6</v>
      </c>
      <c r="K85" s="374" t="n">
        <f aca="false">'Proy. ventas'!M24</f>
        <v>2</v>
      </c>
      <c r="L85" s="282" t="n">
        <f aca="false">K85*$L$70</f>
        <v>1.2</v>
      </c>
      <c r="M85" s="374" t="n">
        <f aca="false">'Proy. ventas'!O24</f>
        <v>4</v>
      </c>
      <c r="N85" s="282" t="n">
        <f aca="false">M85*$L$70</f>
        <v>2.4</v>
      </c>
      <c r="O85" s="374" t="n">
        <f aca="false">'Proy. ventas'!Q24</f>
        <v>6</v>
      </c>
      <c r="P85" s="282" t="n">
        <f aca="false">O85*$L$70</f>
        <v>3.6</v>
      </c>
      <c r="Q85" s="374" t="n">
        <f aca="false">'Proy. ventas'!S24</f>
        <v>9</v>
      </c>
      <c r="R85" s="282" t="n">
        <f aca="false">Q85*$L$70</f>
        <v>5.4</v>
      </c>
      <c r="S85" s="374" t="n">
        <f aca="false">'Proy. ventas'!U24</f>
        <v>12</v>
      </c>
      <c r="T85" s="282" t="n">
        <f aca="false">S85*$L$70</f>
        <v>7.2</v>
      </c>
      <c r="U85" s="374" t="n">
        <f aca="false">'Proy. ventas'!W24</f>
        <v>16</v>
      </c>
      <c r="V85" s="282" t="n">
        <f aca="false">U85*$L$70</f>
        <v>9.6</v>
      </c>
      <c r="W85" s="374" t="n">
        <f aca="false">'Proy. ventas'!Y24</f>
        <v>20</v>
      </c>
      <c r="X85" s="282" t="n">
        <f aca="false">W85*$L$70</f>
        <v>12</v>
      </c>
      <c r="Y85" s="374" t="n">
        <f aca="false">'Proy. ventas'!AA24</f>
        <v>25</v>
      </c>
      <c r="Z85" s="282" t="n">
        <f aca="false">Y85*$L$70</f>
        <v>15</v>
      </c>
      <c r="AA85" s="2"/>
      <c r="AB85" s="2"/>
      <c r="AC85" s="2"/>
    </row>
    <row r="86" customFormat="false" ht="14.25" hidden="false" customHeight="true" outlineLevel="0" collapsed="false">
      <c r="A86" s="381" t="s">
        <v>234</v>
      </c>
      <c r="B86" s="382" t="n">
        <f aca="false">D86+F86+H86+J86+L86+N86+P86+R86+T86+V86+X86+Z86</f>
        <v>1126</v>
      </c>
      <c r="C86" s="375" t="n">
        <f aca="false">SUM(C80:C85)</f>
        <v>0</v>
      </c>
      <c r="D86" s="383" t="n">
        <f aca="false">SUM(D80:D85)</f>
        <v>0</v>
      </c>
      <c r="E86" s="375" t="n">
        <f aca="false">SUM(E80:E85)</f>
        <v>6</v>
      </c>
      <c r="F86" s="383" t="n">
        <f aca="false">SUM(F80:F85)</f>
        <v>7.15</v>
      </c>
      <c r="G86" s="375" t="n">
        <f aca="false">SUM(G80:G85)</f>
        <v>11</v>
      </c>
      <c r="H86" s="383" t="n">
        <f aca="false">SUM(H80:H85)</f>
        <v>11.05</v>
      </c>
      <c r="I86" s="375" t="n">
        <f aca="false">SUM(I80:I85)</f>
        <v>23</v>
      </c>
      <c r="J86" s="383" t="n">
        <f aca="false">SUM(J80:J85)</f>
        <v>31.7</v>
      </c>
      <c r="K86" s="375" t="n">
        <f aca="false">SUM(K80:K85)</f>
        <v>43</v>
      </c>
      <c r="L86" s="383" t="n">
        <f aca="false">SUM(L80:L85)</f>
        <v>48.15</v>
      </c>
      <c r="M86" s="375" t="n">
        <f aca="false">SUM(M80:M85)</f>
        <v>67</v>
      </c>
      <c r="N86" s="383" t="n">
        <f aca="false">SUM(N80:N85)</f>
        <v>74.6</v>
      </c>
      <c r="O86" s="375" t="n">
        <f aca="false">SUM(O80:O85)</f>
        <v>96</v>
      </c>
      <c r="P86" s="383" t="n">
        <f aca="false">SUM(P80:P85)</f>
        <v>90.6</v>
      </c>
      <c r="Q86" s="375" t="n">
        <f aca="false">SUM(Q80:Q85)</f>
        <v>132</v>
      </c>
      <c r="R86" s="383" t="n">
        <f aca="false">SUM(R80:R85)</f>
        <v>122.85</v>
      </c>
      <c r="S86" s="375" t="n">
        <f aca="false">SUM(S80:S85)</f>
        <v>168</v>
      </c>
      <c r="T86" s="383" t="n">
        <f aca="false">SUM(T80:T85)</f>
        <v>137.75</v>
      </c>
      <c r="U86" s="375" t="n">
        <f aca="false">SUM(U80:U85)</f>
        <v>217</v>
      </c>
      <c r="V86" s="383" t="n">
        <f aca="false">SUM(V80:V85)</f>
        <v>176.3</v>
      </c>
      <c r="W86" s="375" t="n">
        <f aca="false">SUM(W80:W85)</f>
        <v>262</v>
      </c>
      <c r="X86" s="383" t="n">
        <f aca="false">SUM(X80:X85)</f>
        <v>190.75</v>
      </c>
      <c r="Y86" s="375" t="n">
        <f aca="false">SUM(Y80:Y85)</f>
        <v>323</v>
      </c>
      <c r="Z86" s="383" t="n">
        <f aca="false">SUM(Z80:Z85)</f>
        <v>235.1</v>
      </c>
      <c r="AA86" s="384"/>
      <c r="AB86" s="384"/>
      <c r="AC86" s="384"/>
    </row>
    <row r="87" customFormat="false" ht="14.25" hidden="false" customHeight="true" outlineLevel="0" collapsed="false">
      <c r="A87" s="381" t="s">
        <v>235</v>
      </c>
      <c r="B87" s="382" t="n">
        <f aca="false">D87+F87+H87+J87+L87+N87+P87+R87+T87+V87+X87+Z87</f>
        <v>2100</v>
      </c>
      <c r="C87" s="2"/>
      <c r="D87" s="383" t="n">
        <f aca="false">ROUNDUP(D86/$B$14,0)*$B$14</f>
        <v>0</v>
      </c>
      <c r="E87" s="2"/>
      <c r="F87" s="383" t="n">
        <f aca="false">ROUNDUP(F86/$B$14,0)*$B$14</f>
        <v>150</v>
      </c>
      <c r="G87" s="2"/>
      <c r="H87" s="383" t="n">
        <f aca="false">ROUNDUP(H86/$B$14,0)*$B$14</f>
        <v>150</v>
      </c>
      <c r="I87" s="2"/>
      <c r="J87" s="383" t="n">
        <f aca="false">ROUNDUP(J86/$B$14,0)*$B$14</f>
        <v>150</v>
      </c>
      <c r="K87" s="2"/>
      <c r="L87" s="383" t="n">
        <f aca="false">ROUNDUP(L86/$B$14,0)*$B$14</f>
        <v>150</v>
      </c>
      <c r="M87" s="2"/>
      <c r="N87" s="383" t="n">
        <f aca="false">ROUNDUP(N86/$B$14,0)*$B$14</f>
        <v>150</v>
      </c>
      <c r="O87" s="2"/>
      <c r="P87" s="383" t="n">
        <f aca="false">ROUNDUP(P86/$B$14,0)*$B$14</f>
        <v>150</v>
      </c>
      <c r="Q87" s="2"/>
      <c r="R87" s="383" t="n">
        <f aca="false">ROUNDUP(R86/$B$14,0)*$B$14</f>
        <v>150</v>
      </c>
      <c r="S87" s="2"/>
      <c r="T87" s="383" t="n">
        <f aca="false">ROUNDUP(T86/$B$14,0)*$B$14</f>
        <v>150</v>
      </c>
      <c r="U87" s="2"/>
      <c r="V87" s="383" t="n">
        <f aca="false">ROUNDUP(V86/$B$14,0)*$B$14</f>
        <v>300</v>
      </c>
      <c r="W87" s="2"/>
      <c r="X87" s="383" t="n">
        <f aca="false">ROUNDUP(X86/$B$14,0)*$B$14</f>
        <v>300</v>
      </c>
      <c r="Y87" s="2"/>
      <c r="Z87" s="383" t="n">
        <f aca="false">ROUNDUP(Z86/$B$14,0)*$B$14</f>
        <v>300</v>
      </c>
      <c r="AA87" s="2"/>
      <c r="AB87" s="2"/>
      <c r="AC87" s="2"/>
    </row>
    <row r="88" customFormat="false" ht="14.25" hidden="false" customHeight="true" outlineLevel="0" collapsed="false">
      <c r="A88" s="381" t="s">
        <v>236</v>
      </c>
      <c r="B88" s="382" t="n">
        <f aca="false">B87-B86</f>
        <v>974</v>
      </c>
      <c r="C88" s="2"/>
      <c r="D88" s="383" t="n">
        <f aca="false">D87-D86</f>
        <v>0</v>
      </c>
      <c r="E88" s="2"/>
      <c r="F88" s="383" t="n">
        <f aca="false">F87-F86</f>
        <v>142.85</v>
      </c>
      <c r="G88" s="2"/>
      <c r="H88" s="383" t="n">
        <f aca="false">H87-H86</f>
        <v>138.95</v>
      </c>
      <c r="I88" s="2"/>
      <c r="J88" s="383" t="n">
        <f aca="false">J87-J86</f>
        <v>118.3</v>
      </c>
      <c r="K88" s="2"/>
      <c r="L88" s="383" t="n">
        <f aca="false">L87-L86</f>
        <v>101.85</v>
      </c>
      <c r="M88" s="2"/>
      <c r="N88" s="383" t="n">
        <f aca="false">N87-N86</f>
        <v>75.4</v>
      </c>
      <c r="O88" s="2"/>
      <c r="P88" s="383" t="n">
        <f aca="false">P87-P86</f>
        <v>59.4</v>
      </c>
      <c r="Q88" s="2"/>
      <c r="R88" s="383" t="n">
        <f aca="false">R87-R86</f>
        <v>27.15</v>
      </c>
      <c r="S88" s="2"/>
      <c r="T88" s="383" t="n">
        <f aca="false">T87-T86</f>
        <v>12.25</v>
      </c>
      <c r="U88" s="2"/>
      <c r="V88" s="383" t="n">
        <f aca="false">V87-V86</f>
        <v>123.7</v>
      </c>
      <c r="W88" s="2"/>
      <c r="X88" s="383" t="n">
        <f aca="false">X87-X86</f>
        <v>109.25</v>
      </c>
      <c r="Y88" s="2"/>
      <c r="Z88" s="383" t="n">
        <f aca="false">Z87-Z86</f>
        <v>64.9</v>
      </c>
      <c r="AA88" s="2"/>
      <c r="AB88" s="2"/>
      <c r="AC88" s="2"/>
    </row>
    <row r="89" customFormat="false" ht="24" hidden="false" customHeight="true" outlineLevel="0" collapsed="false">
      <c r="A89" s="367" t="s">
        <v>237</v>
      </c>
      <c r="C89" s="368" t="s">
        <v>81</v>
      </c>
      <c r="E89" s="368" t="s">
        <v>82</v>
      </c>
      <c r="G89" s="368" t="s">
        <v>83</v>
      </c>
      <c r="I89" s="368" t="s">
        <v>84</v>
      </c>
      <c r="K89" s="368" t="s">
        <v>85</v>
      </c>
      <c r="M89" s="368" t="s">
        <v>86</v>
      </c>
      <c r="O89" s="368" t="s">
        <v>87</v>
      </c>
      <c r="Q89" s="368" t="s">
        <v>88</v>
      </c>
      <c r="S89" s="368" t="s">
        <v>89</v>
      </c>
      <c r="U89" s="368" t="s">
        <v>90</v>
      </c>
      <c r="W89" s="368" t="s">
        <v>91</v>
      </c>
      <c r="Y89" s="368" t="s">
        <v>92</v>
      </c>
      <c r="AA89" s="369"/>
      <c r="AB89" s="369"/>
      <c r="AC89" s="369"/>
    </row>
    <row r="90" customFormat="false" ht="53.25" hidden="false" customHeight="true" outlineLevel="0" collapsed="false">
      <c r="C90" s="370" t="s">
        <v>231</v>
      </c>
      <c r="D90" s="370" t="s">
        <v>232</v>
      </c>
      <c r="E90" s="370" t="s">
        <v>231</v>
      </c>
      <c r="F90" s="370" t="s">
        <v>233</v>
      </c>
      <c r="G90" s="370" t="s">
        <v>231</v>
      </c>
      <c r="H90" s="370" t="s">
        <v>232</v>
      </c>
      <c r="I90" s="370" t="s">
        <v>231</v>
      </c>
      <c r="J90" s="370" t="s">
        <v>233</v>
      </c>
      <c r="K90" s="370" t="s">
        <v>231</v>
      </c>
      <c r="L90" s="370" t="s">
        <v>232</v>
      </c>
      <c r="M90" s="370" t="s">
        <v>231</v>
      </c>
      <c r="N90" s="370" t="s">
        <v>232</v>
      </c>
      <c r="O90" s="370" t="s">
        <v>231</v>
      </c>
      <c r="P90" s="370" t="s">
        <v>232</v>
      </c>
      <c r="Q90" s="370" t="s">
        <v>231</v>
      </c>
      <c r="R90" s="370" t="s">
        <v>232</v>
      </c>
      <c r="S90" s="370" t="s">
        <v>231</v>
      </c>
      <c r="T90" s="370" t="s">
        <v>232</v>
      </c>
      <c r="U90" s="370" t="s">
        <v>231</v>
      </c>
      <c r="V90" s="370" t="s">
        <v>232</v>
      </c>
      <c r="W90" s="370" t="s">
        <v>231</v>
      </c>
      <c r="X90" s="370" t="s">
        <v>232</v>
      </c>
      <c r="Y90" s="370" t="s">
        <v>231</v>
      </c>
      <c r="Z90" s="370" t="s">
        <v>232</v>
      </c>
      <c r="AA90" s="371"/>
      <c r="AB90" s="371"/>
      <c r="AC90" s="371"/>
    </row>
    <row r="91" customFormat="false" ht="15" hidden="false" customHeight="true" outlineLevel="0" collapsed="false">
      <c r="A91" s="372" t="str">
        <f aca="false">Hipótesis!B$58</f>
        <v>Alta e instalación Plan Básico</v>
      </c>
      <c r="B91" s="373" t="n">
        <f aca="false">D91+F91+H91+J91+L91+N91+P91+R91+T91+V91+X91+Z91</f>
        <v>44</v>
      </c>
      <c r="C91" s="375" t="n">
        <f aca="false">'Proy. ventas'!E82</f>
        <v>6</v>
      </c>
      <c r="D91" s="282" t="n">
        <f aca="false">C91*$E$32</f>
        <v>3</v>
      </c>
      <c r="E91" s="375" t="n">
        <f aca="false">'Proy. ventas'!G82</f>
        <v>6</v>
      </c>
      <c r="F91" s="282" t="n">
        <f aca="false">E91*$E$32</f>
        <v>3</v>
      </c>
      <c r="G91" s="375" t="n">
        <f aca="false">'Proy. ventas'!I82</f>
        <v>7</v>
      </c>
      <c r="H91" s="282" t="n">
        <f aca="false">G91*$E$32</f>
        <v>3.5</v>
      </c>
      <c r="I91" s="375" t="n">
        <f aca="false">'Proy. ventas'!K82</f>
        <v>7</v>
      </c>
      <c r="J91" s="282" t="n">
        <f aca="false">I91*$E$32</f>
        <v>3.5</v>
      </c>
      <c r="K91" s="375" t="n">
        <f aca="false">'Proy. ventas'!M82</f>
        <v>7</v>
      </c>
      <c r="L91" s="282" t="n">
        <f aca="false">K91*$E$32</f>
        <v>3.5</v>
      </c>
      <c r="M91" s="375" t="n">
        <f aca="false">'Proy. ventas'!O82</f>
        <v>7</v>
      </c>
      <c r="N91" s="282" t="n">
        <f aca="false">M91*$E$32</f>
        <v>3.5</v>
      </c>
      <c r="O91" s="375" t="n">
        <f aca="false">'Proy. ventas'!Q82</f>
        <v>7</v>
      </c>
      <c r="P91" s="282" t="n">
        <f aca="false">O91*$E$32</f>
        <v>3.5</v>
      </c>
      <c r="Q91" s="375" t="n">
        <f aca="false">'Proy. ventas'!S82</f>
        <v>7</v>
      </c>
      <c r="R91" s="282" t="n">
        <f aca="false">Q91*$E$32</f>
        <v>3.5</v>
      </c>
      <c r="S91" s="375" t="n">
        <f aca="false">'Proy. ventas'!U82</f>
        <v>8</v>
      </c>
      <c r="T91" s="282" t="n">
        <f aca="false">S91*$E$32</f>
        <v>4</v>
      </c>
      <c r="U91" s="375" t="n">
        <f aca="false">'Proy. ventas'!W82</f>
        <v>8</v>
      </c>
      <c r="V91" s="282" t="n">
        <f aca="false">U91*$E$32</f>
        <v>4</v>
      </c>
      <c r="W91" s="375" t="n">
        <f aca="false">'Proy. ventas'!Y82</f>
        <v>9</v>
      </c>
      <c r="X91" s="282" t="n">
        <f aca="false">W91*$E$32</f>
        <v>4.5</v>
      </c>
      <c r="Y91" s="375" t="n">
        <f aca="false">'Proy. ventas'!AA82</f>
        <v>9</v>
      </c>
      <c r="Z91" s="282" t="n">
        <f aca="false">Y91*$E$32</f>
        <v>4.5</v>
      </c>
      <c r="AA91" s="2"/>
      <c r="AB91" s="2"/>
      <c r="AC91" s="2"/>
    </row>
    <row r="92" customFormat="false" ht="15" hidden="false" customHeight="true" outlineLevel="0" collapsed="false">
      <c r="A92" s="376" t="str">
        <f aca="false">Hipótesis!B$59</f>
        <v>Alta e instalación Plan Vidriera</v>
      </c>
      <c r="B92" s="373" t="n">
        <f aca="false">D92+F92+H92+J92+L92+N92+P92+R92+T92+V92+X92+Z92</f>
        <v>630</v>
      </c>
      <c r="C92" s="375" t="n">
        <f aca="false">'Proy. ventas'!E83</f>
        <v>14</v>
      </c>
      <c r="D92" s="282" t="n">
        <f aca="false">C92*$E$51</f>
        <v>42</v>
      </c>
      <c r="E92" s="375" t="n">
        <f aca="false">'Proy. ventas'!G83</f>
        <v>14</v>
      </c>
      <c r="F92" s="282" t="n">
        <f aca="false">E92*$E$51</f>
        <v>42</v>
      </c>
      <c r="G92" s="375" t="n">
        <f aca="false">'Proy. ventas'!I83</f>
        <v>16</v>
      </c>
      <c r="H92" s="282" t="n">
        <f aca="false">G92*$E$51</f>
        <v>48</v>
      </c>
      <c r="I92" s="375" t="n">
        <f aca="false">'Proy. ventas'!K83</f>
        <v>16</v>
      </c>
      <c r="J92" s="282" t="n">
        <f aca="false">I92*$E$51</f>
        <v>48</v>
      </c>
      <c r="K92" s="375" t="n">
        <f aca="false">'Proy. ventas'!M83</f>
        <v>17</v>
      </c>
      <c r="L92" s="282" t="n">
        <f aca="false">K92*$E$51</f>
        <v>51</v>
      </c>
      <c r="M92" s="375" t="n">
        <f aca="false">'Proy. ventas'!O83</f>
        <v>17</v>
      </c>
      <c r="N92" s="282" t="n">
        <f aca="false">M92*$E$51</f>
        <v>51</v>
      </c>
      <c r="O92" s="375" t="n">
        <f aca="false">'Proy. ventas'!Q83</f>
        <v>18</v>
      </c>
      <c r="P92" s="282" t="n">
        <f aca="false">O92*$E$51</f>
        <v>54</v>
      </c>
      <c r="Q92" s="375" t="n">
        <f aca="false">'Proy. ventas'!S83</f>
        <v>18</v>
      </c>
      <c r="R92" s="282" t="n">
        <f aca="false">Q92*$E$51</f>
        <v>54</v>
      </c>
      <c r="S92" s="375" t="n">
        <f aca="false">'Proy. ventas'!U83</f>
        <v>19</v>
      </c>
      <c r="T92" s="282" t="n">
        <f aca="false">S92*$E$51</f>
        <v>57</v>
      </c>
      <c r="U92" s="375" t="n">
        <f aca="false">'Proy. ventas'!W83</f>
        <v>19</v>
      </c>
      <c r="V92" s="282" t="n">
        <f aca="false">U92*$E$51</f>
        <v>57</v>
      </c>
      <c r="W92" s="375" t="n">
        <f aca="false">'Proy. ventas'!Y83</f>
        <v>21</v>
      </c>
      <c r="X92" s="282" t="n">
        <f aca="false">W92*$E$51</f>
        <v>63</v>
      </c>
      <c r="Y92" s="375" t="n">
        <f aca="false">'Proy. ventas'!AA83</f>
        <v>21</v>
      </c>
      <c r="Z92" s="282" t="n">
        <f aca="false">Y92*$E$51</f>
        <v>63</v>
      </c>
      <c r="AA92" s="2"/>
      <c r="AB92" s="2"/>
      <c r="AC92" s="2"/>
    </row>
    <row r="93" customFormat="false" ht="15.75" hidden="false" customHeight="true" outlineLevel="0" collapsed="false">
      <c r="A93" s="377" t="str">
        <f aca="false">Hipótesis!B$60</f>
        <v>Alta e instalación Plan Cadena</v>
      </c>
      <c r="B93" s="373" t="n">
        <f aca="false">D93+F93+H93+J93+L93+N93+P93+R93+T93+V93+X93+Z93</f>
        <v>336</v>
      </c>
      <c r="C93" s="375" t="n">
        <f aca="false">'Proy. ventas'!E84</f>
        <v>2</v>
      </c>
      <c r="D93" s="282" t="n">
        <f aca="false">C93*$E$70</f>
        <v>24</v>
      </c>
      <c r="E93" s="375" t="n">
        <f aca="false">'Proy. ventas'!G84</f>
        <v>2</v>
      </c>
      <c r="F93" s="282" t="n">
        <f aca="false">E93*$E$70</f>
        <v>24</v>
      </c>
      <c r="G93" s="375" t="n">
        <f aca="false">'Proy. ventas'!I84</f>
        <v>2</v>
      </c>
      <c r="H93" s="282" t="n">
        <f aca="false">G93*$E$70</f>
        <v>24</v>
      </c>
      <c r="I93" s="375" t="n">
        <f aca="false">'Proy. ventas'!K84</f>
        <v>2</v>
      </c>
      <c r="J93" s="282" t="n">
        <f aca="false">I93*$E$70</f>
        <v>24</v>
      </c>
      <c r="K93" s="375" t="n">
        <f aca="false">'Proy. ventas'!M84</f>
        <v>2</v>
      </c>
      <c r="L93" s="282" t="n">
        <f aca="false">K93*$E$70</f>
        <v>24</v>
      </c>
      <c r="M93" s="375" t="n">
        <f aca="false">'Proy. ventas'!O84</f>
        <v>2</v>
      </c>
      <c r="N93" s="282" t="n">
        <f aca="false">M93*$E$70</f>
        <v>24</v>
      </c>
      <c r="O93" s="375" t="n">
        <f aca="false">'Proy. ventas'!Q84</f>
        <v>2</v>
      </c>
      <c r="P93" s="282" t="n">
        <f aca="false">O93*$E$70</f>
        <v>24</v>
      </c>
      <c r="Q93" s="375" t="n">
        <f aca="false">'Proy. ventas'!S84</f>
        <v>2</v>
      </c>
      <c r="R93" s="282" t="n">
        <f aca="false">Q93*$E$70</f>
        <v>24</v>
      </c>
      <c r="S93" s="375" t="n">
        <f aca="false">'Proy. ventas'!U84</f>
        <v>3</v>
      </c>
      <c r="T93" s="282" t="n">
        <f aca="false">S93*$E$70</f>
        <v>36</v>
      </c>
      <c r="U93" s="375" t="n">
        <f aca="false">'Proy. ventas'!W84</f>
        <v>3</v>
      </c>
      <c r="V93" s="282" t="n">
        <f aca="false">U93*$E$70</f>
        <v>36</v>
      </c>
      <c r="W93" s="375" t="n">
        <f aca="false">'Proy. ventas'!Y84</f>
        <v>3</v>
      </c>
      <c r="X93" s="282" t="n">
        <f aca="false">W93*$E$70</f>
        <v>36</v>
      </c>
      <c r="Y93" s="375" t="n">
        <f aca="false">'Proy. ventas'!AA84</f>
        <v>3</v>
      </c>
      <c r="Z93" s="282" t="n">
        <f aca="false">Y93*$E$70</f>
        <v>36</v>
      </c>
      <c r="AA93" s="2"/>
      <c r="AB93" s="2"/>
      <c r="AC93" s="2"/>
    </row>
    <row r="94" customFormat="false" ht="15" hidden="false" customHeight="true" outlineLevel="0" collapsed="false">
      <c r="A94" s="378" t="str">
        <f aca="false">Hipótesis!B$61</f>
        <v>Abono Plan Básico</v>
      </c>
      <c r="B94" s="373" t="n">
        <f aca="false">D94+F94+H94+J94+L94+N94+P94+R94+T94+V94+X94+Z94</f>
        <v>213.6</v>
      </c>
      <c r="C94" s="375" t="n">
        <f aca="false">'Proy. ventas'!E85</f>
        <v>80</v>
      </c>
      <c r="D94" s="282" t="n">
        <f aca="false">C94*$L$32</f>
        <v>12</v>
      </c>
      <c r="E94" s="375" t="n">
        <f aca="false">'Proy. ventas'!G85</f>
        <v>86</v>
      </c>
      <c r="F94" s="282" t="n">
        <f aca="false">E94*$L$32</f>
        <v>12.9</v>
      </c>
      <c r="G94" s="375" t="n">
        <f aca="false">'Proy. ventas'!I85</f>
        <v>93</v>
      </c>
      <c r="H94" s="282" t="n">
        <f aca="false">G94*$L$32</f>
        <v>13.95</v>
      </c>
      <c r="I94" s="375" t="n">
        <f aca="false">'Proy. ventas'!K85</f>
        <v>100</v>
      </c>
      <c r="J94" s="282" t="n">
        <f aca="false">I94*$L$32</f>
        <v>15</v>
      </c>
      <c r="K94" s="375" t="n">
        <f aca="false">'Proy. ventas'!M85</f>
        <v>107</v>
      </c>
      <c r="L94" s="282" t="n">
        <f aca="false">K94*$L$32</f>
        <v>16.05</v>
      </c>
      <c r="M94" s="375" t="n">
        <f aca="false">'Proy. ventas'!O85</f>
        <v>114</v>
      </c>
      <c r="N94" s="282" t="n">
        <f aca="false">M94*$L$32</f>
        <v>17.1</v>
      </c>
      <c r="O94" s="375" t="n">
        <f aca="false">'Proy. ventas'!Q85</f>
        <v>121</v>
      </c>
      <c r="P94" s="282" t="n">
        <f aca="false">O94*$L$32</f>
        <v>18.15</v>
      </c>
      <c r="Q94" s="375" t="n">
        <f aca="false">'Proy. ventas'!S85</f>
        <v>128</v>
      </c>
      <c r="R94" s="282" t="n">
        <f aca="false">Q94*$L$32</f>
        <v>19.2</v>
      </c>
      <c r="S94" s="375" t="n">
        <f aca="false">'Proy. ventas'!U85</f>
        <v>136</v>
      </c>
      <c r="T94" s="282" t="n">
        <f aca="false">S94*$L$32</f>
        <v>20.4</v>
      </c>
      <c r="U94" s="375" t="n">
        <f aca="false">'Proy. ventas'!W85</f>
        <v>144</v>
      </c>
      <c r="V94" s="282" t="n">
        <f aca="false">U94*$L$32</f>
        <v>21.6</v>
      </c>
      <c r="W94" s="375" t="n">
        <f aca="false">'Proy. ventas'!Y85</f>
        <v>153</v>
      </c>
      <c r="X94" s="282" t="n">
        <f aca="false">W94*$L$32</f>
        <v>22.95</v>
      </c>
      <c r="Y94" s="375" t="n">
        <f aca="false">'Proy. ventas'!AA85</f>
        <v>162</v>
      </c>
      <c r="Z94" s="282" t="n">
        <f aca="false">Y94*$L$32</f>
        <v>24.3</v>
      </c>
      <c r="AA94" s="2"/>
      <c r="AB94" s="2"/>
      <c r="AC94" s="2"/>
    </row>
    <row r="95" customFormat="false" ht="15" hidden="false" customHeight="true" outlineLevel="0" collapsed="false">
      <c r="A95" s="379" t="str">
        <f aca="false">Hipótesis!B$62</f>
        <v>Abono Plan Vidriera</v>
      </c>
      <c r="B95" s="373" t="n">
        <f aca="false">D95+F95+H95+J95+L95+N95+P95+R95+T95+V95+X95+Z95</f>
        <v>834.75</v>
      </c>
      <c r="C95" s="375" t="n">
        <f aca="false">'Proy. ventas'!E86</f>
        <v>186</v>
      </c>
      <c r="D95" s="282" t="n">
        <f aca="false">C95*$L$51</f>
        <v>46.5</v>
      </c>
      <c r="E95" s="375" t="n">
        <f aca="false">'Proy. ventas'!G86</f>
        <v>200</v>
      </c>
      <c r="F95" s="282" t="n">
        <f aca="false">E95*$L$51</f>
        <v>50</v>
      </c>
      <c r="G95" s="375" t="n">
        <f aca="false">'Proy. ventas'!I86</f>
        <v>216</v>
      </c>
      <c r="H95" s="282" t="n">
        <f aca="false">G95*$L$51</f>
        <v>54</v>
      </c>
      <c r="I95" s="375" t="n">
        <f aca="false">'Proy. ventas'!K86</f>
        <v>232</v>
      </c>
      <c r="J95" s="282" t="n">
        <f aca="false">I95*$L$51</f>
        <v>58</v>
      </c>
      <c r="K95" s="375" t="n">
        <f aca="false">'Proy. ventas'!M86</f>
        <v>249</v>
      </c>
      <c r="L95" s="282" t="n">
        <f aca="false">K95*$L$51</f>
        <v>62.25</v>
      </c>
      <c r="M95" s="375" t="n">
        <f aca="false">'Proy. ventas'!O86</f>
        <v>266</v>
      </c>
      <c r="N95" s="282" t="n">
        <f aca="false">M95*$L$51</f>
        <v>66.5</v>
      </c>
      <c r="O95" s="375" t="n">
        <f aca="false">'Proy. ventas'!Q86</f>
        <v>284</v>
      </c>
      <c r="P95" s="282" t="n">
        <f aca="false">O95*$L$51</f>
        <v>71</v>
      </c>
      <c r="Q95" s="375" t="n">
        <f aca="false">'Proy. ventas'!S86</f>
        <v>302</v>
      </c>
      <c r="R95" s="282" t="n">
        <f aca="false">Q95*$L$51</f>
        <v>75.5</v>
      </c>
      <c r="S95" s="375" t="n">
        <f aca="false">'Proy. ventas'!U86</f>
        <v>321</v>
      </c>
      <c r="T95" s="282" t="n">
        <f aca="false">S95*$L$51</f>
        <v>80.25</v>
      </c>
      <c r="U95" s="375" t="n">
        <f aca="false">'Proy. ventas'!W86</f>
        <v>340</v>
      </c>
      <c r="V95" s="282" t="n">
        <f aca="false">U95*$L$51</f>
        <v>85</v>
      </c>
      <c r="W95" s="375" t="n">
        <f aca="false">'Proy. ventas'!Y86</f>
        <v>361</v>
      </c>
      <c r="X95" s="282" t="n">
        <f aca="false">W95*$L$51</f>
        <v>90.25</v>
      </c>
      <c r="Y95" s="375" t="n">
        <f aca="false">'Proy. ventas'!AA86</f>
        <v>382</v>
      </c>
      <c r="Z95" s="282" t="n">
        <f aca="false">Y95*$L$51</f>
        <v>95.5</v>
      </c>
      <c r="AA95" s="2"/>
      <c r="AB95" s="2"/>
      <c r="AC95" s="2"/>
    </row>
    <row r="96" customFormat="false" ht="15" hidden="false" customHeight="true" outlineLevel="0" collapsed="false">
      <c r="A96" s="385" t="str">
        <f aca="false">Hipótesis!B$63</f>
        <v>Abono Plan Cadena</v>
      </c>
      <c r="B96" s="373" t="n">
        <f aca="false">D96+F96+H96+J96+L96+N96+P96+R96+T96+V96+X96+Z96</f>
        <v>279.6</v>
      </c>
      <c r="C96" s="375" t="n">
        <f aca="false">'Proy. ventas'!E87</f>
        <v>27</v>
      </c>
      <c r="D96" s="282" t="n">
        <f aca="false">C96*$L$70</f>
        <v>16.2</v>
      </c>
      <c r="E96" s="375" t="n">
        <f aca="false">'Proy. ventas'!G87</f>
        <v>29</v>
      </c>
      <c r="F96" s="282" t="n">
        <f aca="false">E96*$L$70</f>
        <v>17.4</v>
      </c>
      <c r="G96" s="375" t="n">
        <f aca="false">'Proy. ventas'!I87</f>
        <v>31</v>
      </c>
      <c r="H96" s="282" t="n">
        <f aca="false">G96*$L$70</f>
        <v>18.6</v>
      </c>
      <c r="I96" s="375" t="n">
        <f aca="false">'Proy. ventas'!K87</f>
        <v>33</v>
      </c>
      <c r="J96" s="282" t="n">
        <f aca="false">I96*$L$70</f>
        <v>19.8</v>
      </c>
      <c r="K96" s="375" t="n">
        <f aca="false">'Proy. ventas'!M87</f>
        <v>35</v>
      </c>
      <c r="L96" s="282" t="n">
        <f aca="false">K96*$L$70</f>
        <v>21</v>
      </c>
      <c r="M96" s="375" t="n">
        <f aca="false">'Proy. ventas'!O87</f>
        <v>37</v>
      </c>
      <c r="N96" s="282" t="n">
        <f aca="false">M96*$L$70</f>
        <v>22.2</v>
      </c>
      <c r="O96" s="375" t="n">
        <f aca="false">'Proy. ventas'!Q87</f>
        <v>39</v>
      </c>
      <c r="P96" s="282" t="n">
        <f aca="false">O96*$L$70</f>
        <v>23.4</v>
      </c>
      <c r="Q96" s="375" t="n">
        <f aca="false">'Proy. ventas'!S87</f>
        <v>41</v>
      </c>
      <c r="R96" s="282" t="n">
        <f aca="false">Q96*$L$70</f>
        <v>24.6</v>
      </c>
      <c r="S96" s="375" t="n">
        <f aca="false">'Proy. ventas'!U87</f>
        <v>44</v>
      </c>
      <c r="T96" s="282" t="n">
        <f aca="false">S96*$L$70</f>
        <v>26.4</v>
      </c>
      <c r="U96" s="375" t="n">
        <f aca="false">'Proy. ventas'!W87</f>
        <v>47</v>
      </c>
      <c r="V96" s="282" t="n">
        <f aca="false">U96*$L$70</f>
        <v>28.2</v>
      </c>
      <c r="W96" s="375" t="n">
        <f aca="false">'Proy. ventas'!Y87</f>
        <v>50</v>
      </c>
      <c r="X96" s="282" t="n">
        <f aca="false">W96*$L$70</f>
        <v>30</v>
      </c>
      <c r="Y96" s="375" t="n">
        <f aca="false">'Proy. ventas'!AA87</f>
        <v>53</v>
      </c>
      <c r="Z96" s="282" t="n">
        <f aca="false">Y96*$L$70</f>
        <v>31.8</v>
      </c>
      <c r="AA96" s="2"/>
      <c r="AB96" s="2"/>
      <c r="AC96" s="2"/>
    </row>
    <row r="97" customFormat="false" ht="14.25" hidden="false" customHeight="true" outlineLevel="0" collapsed="false">
      <c r="A97" s="386" t="s">
        <v>234</v>
      </c>
      <c r="B97" s="382" t="n">
        <f aca="false">D97+F97+H97+J97+L97+N97+P97+R97+T97+V97+X97+Z97</f>
        <v>2337.95</v>
      </c>
      <c r="C97" s="375" t="n">
        <f aca="false">SUM(C91:C96)</f>
        <v>315</v>
      </c>
      <c r="D97" s="383" t="n">
        <f aca="false">SUM(D91:D96)</f>
        <v>143.7</v>
      </c>
      <c r="E97" s="375" t="n">
        <f aca="false">SUM(E91:E96)</f>
        <v>337</v>
      </c>
      <c r="F97" s="383" t="n">
        <f aca="false">SUM(F91:F96)</f>
        <v>149.3</v>
      </c>
      <c r="G97" s="375" t="n">
        <f aca="false">SUM(G91:G96)</f>
        <v>365</v>
      </c>
      <c r="H97" s="383" t="n">
        <f aca="false">SUM(H91:H96)</f>
        <v>162.05</v>
      </c>
      <c r="I97" s="375" t="n">
        <f aca="false">SUM(I91:I96)</f>
        <v>390</v>
      </c>
      <c r="J97" s="383" t="n">
        <f aca="false">SUM(J91:J96)</f>
        <v>168.3</v>
      </c>
      <c r="K97" s="375" t="n">
        <f aca="false">SUM(K91:K96)</f>
        <v>417</v>
      </c>
      <c r="L97" s="383" t="n">
        <f aca="false">SUM(L91:L96)</f>
        <v>177.8</v>
      </c>
      <c r="M97" s="375" t="n">
        <f aca="false">SUM(M91:M96)</f>
        <v>443</v>
      </c>
      <c r="N97" s="383" t="n">
        <f aca="false">SUM(N91:N96)</f>
        <v>184.3</v>
      </c>
      <c r="O97" s="375" t="n">
        <f aca="false">SUM(O91:O96)</f>
        <v>471</v>
      </c>
      <c r="P97" s="383" t="n">
        <f aca="false">SUM(P91:P96)</f>
        <v>194.05</v>
      </c>
      <c r="Q97" s="375" t="n">
        <f aca="false">SUM(Q91:Q96)</f>
        <v>498</v>
      </c>
      <c r="R97" s="383" t="n">
        <f aca="false">SUM(R91:R96)</f>
        <v>200.8</v>
      </c>
      <c r="S97" s="375" t="n">
        <f aca="false">SUM(S91:S96)</f>
        <v>531</v>
      </c>
      <c r="T97" s="383" t="n">
        <f aca="false">SUM(T91:T96)</f>
        <v>224.05</v>
      </c>
      <c r="U97" s="375" t="n">
        <f aca="false">SUM(U91:U96)</f>
        <v>561</v>
      </c>
      <c r="V97" s="383" t="n">
        <f aca="false">SUM(V91:V96)</f>
        <v>231.8</v>
      </c>
      <c r="W97" s="375" t="n">
        <f aca="false">SUM(W91:W96)</f>
        <v>597</v>
      </c>
      <c r="X97" s="383" t="n">
        <f aca="false">SUM(X91:X96)</f>
        <v>246.7</v>
      </c>
      <c r="Y97" s="375" t="n">
        <f aca="false">SUM(Y91:Y96)</f>
        <v>630</v>
      </c>
      <c r="Z97" s="383" t="n">
        <f aca="false">SUM(Z91:Z96)</f>
        <v>255.1</v>
      </c>
      <c r="AA97" s="384"/>
      <c r="AB97" s="384"/>
      <c r="AC97" s="384"/>
    </row>
    <row r="98" customFormat="false" ht="14.25" hidden="false" customHeight="true" outlineLevel="0" collapsed="false">
      <c r="A98" s="386" t="s">
        <v>235</v>
      </c>
      <c r="B98" s="382" t="n">
        <f aca="false">D98+F98+H98+J98+L98+N98+P98+R98+T98+V98+X98+Z98</f>
        <v>3300</v>
      </c>
      <c r="C98" s="2"/>
      <c r="D98" s="383" t="n">
        <f aca="false">ROUNDUP(D97/$B$14,0)*$B$14</f>
        <v>150</v>
      </c>
      <c r="E98" s="2"/>
      <c r="F98" s="383" t="n">
        <f aca="false">ROUNDUP(F97/$B$14,0)*$B$14</f>
        <v>150</v>
      </c>
      <c r="G98" s="2"/>
      <c r="H98" s="383" t="n">
        <f aca="false">ROUNDUP(H97/$B$14,0)*$B$14</f>
        <v>300</v>
      </c>
      <c r="I98" s="2"/>
      <c r="J98" s="383" t="n">
        <f aca="false">ROUNDUP(J97/$B$14,0)*$B$14</f>
        <v>300</v>
      </c>
      <c r="K98" s="2"/>
      <c r="L98" s="383" t="n">
        <f aca="false">ROUNDUP(L97/$B$14,0)*$B$14</f>
        <v>300</v>
      </c>
      <c r="M98" s="2"/>
      <c r="N98" s="383" t="n">
        <f aca="false">ROUNDUP(N97/$B$14,0)*$B$14</f>
        <v>300</v>
      </c>
      <c r="O98" s="2"/>
      <c r="P98" s="383" t="n">
        <f aca="false">ROUNDUP(P97/$B$14,0)*$B$14</f>
        <v>300</v>
      </c>
      <c r="Q98" s="2"/>
      <c r="R98" s="383" t="n">
        <f aca="false">ROUNDUP(R97/$B$14,0)*$B$14</f>
        <v>300</v>
      </c>
      <c r="S98" s="2"/>
      <c r="T98" s="383" t="n">
        <f aca="false">ROUNDUP(T97/$B$14,0)*$B$14</f>
        <v>300</v>
      </c>
      <c r="U98" s="2"/>
      <c r="V98" s="383" t="n">
        <f aca="false">ROUNDUP(V97/$B$14,0)*$B$14</f>
        <v>300</v>
      </c>
      <c r="W98" s="2"/>
      <c r="X98" s="383" t="n">
        <f aca="false">ROUNDUP(X97/$B$14,0)*$B$14</f>
        <v>300</v>
      </c>
      <c r="Y98" s="2"/>
      <c r="Z98" s="383" t="n">
        <f aca="false">ROUNDUP(Z97/$B$14,0)*$B$14</f>
        <v>300</v>
      </c>
      <c r="AA98" s="2"/>
      <c r="AB98" s="2"/>
      <c r="AC98" s="2"/>
    </row>
    <row r="99" customFormat="false" ht="14.25" hidden="false" customHeight="true" outlineLevel="0" collapsed="false">
      <c r="A99" s="386" t="s">
        <v>236</v>
      </c>
      <c r="B99" s="382" t="n">
        <f aca="false">B98-B97</f>
        <v>962.05</v>
      </c>
      <c r="C99" s="2"/>
      <c r="D99" s="383" t="n">
        <f aca="false">D98-D97</f>
        <v>6.30000000000001</v>
      </c>
      <c r="E99" s="2"/>
      <c r="F99" s="383" t="n">
        <f aca="false">F98-F97</f>
        <v>0.699999999999989</v>
      </c>
      <c r="G99" s="2"/>
      <c r="H99" s="383" t="n">
        <f aca="false">H98-H97</f>
        <v>137.95</v>
      </c>
      <c r="I99" s="2"/>
      <c r="J99" s="383" t="n">
        <f aca="false">J98-J97</f>
        <v>131.7</v>
      </c>
      <c r="K99" s="2"/>
      <c r="L99" s="383" t="n">
        <f aca="false">L98-L97</f>
        <v>122.2</v>
      </c>
      <c r="M99" s="2"/>
      <c r="N99" s="383" t="n">
        <f aca="false">N98-N97</f>
        <v>115.7</v>
      </c>
      <c r="O99" s="2"/>
      <c r="P99" s="383" t="n">
        <f aca="false">P98-P97</f>
        <v>105.95</v>
      </c>
      <c r="Q99" s="2"/>
      <c r="R99" s="383" t="n">
        <f aca="false">R98-R97</f>
        <v>99.2</v>
      </c>
      <c r="S99" s="2"/>
      <c r="T99" s="383" t="n">
        <f aca="false">T98-T97</f>
        <v>75.95</v>
      </c>
      <c r="U99" s="2"/>
      <c r="V99" s="383" t="n">
        <f aca="false">V98-V97</f>
        <v>68.2</v>
      </c>
      <c r="W99" s="2"/>
      <c r="X99" s="383" t="n">
        <f aca="false">X98-X97</f>
        <v>53.3</v>
      </c>
      <c r="Y99" s="2"/>
      <c r="Z99" s="383" t="n">
        <f aca="false">Z98-Z97</f>
        <v>44.9</v>
      </c>
      <c r="AA99" s="2"/>
      <c r="AB99" s="2"/>
      <c r="AC99" s="2"/>
    </row>
    <row r="100" customFormat="false" ht="29.25" hidden="false" customHeight="true" outlineLevel="0" collapsed="false">
      <c r="A100" s="367" t="s">
        <v>238</v>
      </c>
      <c r="C100" s="368" t="s">
        <v>81</v>
      </c>
      <c r="E100" s="368" t="s">
        <v>82</v>
      </c>
      <c r="G100" s="368" t="s">
        <v>83</v>
      </c>
      <c r="I100" s="368" t="s">
        <v>84</v>
      </c>
      <c r="K100" s="368" t="s">
        <v>85</v>
      </c>
      <c r="M100" s="368" t="s">
        <v>86</v>
      </c>
      <c r="O100" s="368" t="s">
        <v>87</v>
      </c>
      <c r="Q100" s="368" t="s">
        <v>88</v>
      </c>
      <c r="S100" s="368" t="s">
        <v>89</v>
      </c>
      <c r="U100" s="368" t="s">
        <v>90</v>
      </c>
      <c r="W100" s="368" t="s">
        <v>91</v>
      </c>
      <c r="Y100" s="368" t="s">
        <v>92</v>
      </c>
      <c r="AA100" s="369"/>
      <c r="AB100" s="369"/>
      <c r="AC100" s="369"/>
    </row>
    <row r="101" customFormat="false" ht="63" hidden="false" customHeight="true" outlineLevel="0" collapsed="false">
      <c r="C101" s="370" t="s">
        <v>231</v>
      </c>
      <c r="D101" s="370" t="s">
        <v>232</v>
      </c>
      <c r="E101" s="370" t="s">
        <v>231</v>
      </c>
      <c r="F101" s="370" t="s">
        <v>233</v>
      </c>
      <c r="G101" s="370" t="s">
        <v>231</v>
      </c>
      <c r="H101" s="370" t="s">
        <v>232</v>
      </c>
      <c r="I101" s="370" t="s">
        <v>231</v>
      </c>
      <c r="J101" s="370" t="s">
        <v>233</v>
      </c>
      <c r="K101" s="370" t="s">
        <v>231</v>
      </c>
      <c r="L101" s="370" t="s">
        <v>232</v>
      </c>
      <c r="M101" s="370" t="s">
        <v>231</v>
      </c>
      <c r="N101" s="370" t="s">
        <v>232</v>
      </c>
      <c r="O101" s="370" t="s">
        <v>231</v>
      </c>
      <c r="P101" s="370" t="s">
        <v>232</v>
      </c>
      <c r="Q101" s="370" t="s">
        <v>231</v>
      </c>
      <c r="R101" s="370" t="s">
        <v>232</v>
      </c>
      <c r="S101" s="370" t="s">
        <v>231</v>
      </c>
      <c r="T101" s="370" t="s">
        <v>232</v>
      </c>
      <c r="U101" s="370" t="s">
        <v>231</v>
      </c>
      <c r="V101" s="370" t="s">
        <v>232</v>
      </c>
      <c r="W101" s="370" t="s">
        <v>231</v>
      </c>
      <c r="X101" s="370" t="s">
        <v>232</v>
      </c>
      <c r="Y101" s="370" t="s">
        <v>231</v>
      </c>
      <c r="Z101" s="370" t="s">
        <v>232</v>
      </c>
      <c r="AA101" s="371"/>
      <c r="AB101" s="371"/>
      <c r="AC101" s="371"/>
    </row>
    <row r="102" customFormat="false" ht="15" hidden="false" customHeight="true" outlineLevel="0" collapsed="false">
      <c r="A102" s="372" t="str">
        <f aca="false">Hipótesis!B$58</f>
        <v>Alta e instalación Plan Básico</v>
      </c>
      <c r="B102" s="373" t="n">
        <f aca="false">D102+F102+H102+J102+L102+N102+P102+R102+T102+V102+X102+Z102</f>
        <v>59</v>
      </c>
      <c r="C102" s="375" t="n">
        <f aca="false">'Proy. ventas'!E144</f>
        <v>8</v>
      </c>
      <c r="D102" s="282" t="n">
        <f aca="false">C102*$E$32</f>
        <v>4</v>
      </c>
      <c r="E102" s="375" t="n">
        <f aca="false">'Proy. ventas'!G144</f>
        <v>8</v>
      </c>
      <c r="F102" s="282" t="n">
        <f aca="false">E102*$E$32</f>
        <v>4</v>
      </c>
      <c r="G102" s="375" t="n">
        <f aca="false">'Proy. ventas'!I144</f>
        <v>9</v>
      </c>
      <c r="H102" s="282" t="n">
        <f aca="false">G102*$E$32</f>
        <v>4.5</v>
      </c>
      <c r="I102" s="375" t="n">
        <f aca="false">'Proy. ventas'!K144</f>
        <v>9</v>
      </c>
      <c r="J102" s="282" t="n">
        <f aca="false">I102*$E$32</f>
        <v>4.5</v>
      </c>
      <c r="K102" s="375" t="n">
        <f aca="false">'Proy. ventas'!M144</f>
        <v>9</v>
      </c>
      <c r="L102" s="282" t="n">
        <f aca="false">K102*$E$32</f>
        <v>4.5</v>
      </c>
      <c r="M102" s="375" t="n">
        <f aca="false">'Proy. ventas'!O144</f>
        <v>9</v>
      </c>
      <c r="N102" s="282" t="n">
        <f aca="false">M102*$E$32</f>
        <v>4.5</v>
      </c>
      <c r="O102" s="375" t="n">
        <f aca="false">'Proy. ventas'!Q144</f>
        <v>10</v>
      </c>
      <c r="P102" s="282" t="n">
        <f aca="false">O102*$E$32</f>
        <v>5</v>
      </c>
      <c r="Q102" s="375" t="n">
        <f aca="false">'Proy. ventas'!S144</f>
        <v>10</v>
      </c>
      <c r="R102" s="282" t="n">
        <f aca="false">Q102*$E$32</f>
        <v>5</v>
      </c>
      <c r="S102" s="375" t="n">
        <f aca="false">'Proy. ventas'!U144</f>
        <v>11</v>
      </c>
      <c r="T102" s="282" t="n">
        <f aca="false">S102*$E$32</f>
        <v>5.5</v>
      </c>
      <c r="U102" s="375" t="n">
        <f aca="false">'Proy. ventas'!W144</f>
        <v>11</v>
      </c>
      <c r="V102" s="282" t="n">
        <f aca="false">U102*$E$32</f>
        <v>5.5</v>
      </c>
      <c r="W102" s="375" t="n">
        <f aca="false">'Proy. ventas'!Y144</f>
        <v>12</v>
      </c>
      <c r="X102" s="282" t="n">
        <f aca="false">W102*$E$32</f>
        <v>6</v>
      </c>
      <c r="Y102" s="375" t="n">
        <f aca="false">'Proy. ventas'!AA144</f>
        <v>12</v>
      </c>
      <c r="Z102" s="282" t="n">
        <f aca="false">Y102*$E$32</f>
        <v>6</v>
      </c>
      <c r="AA102" s="2"/>
      <c r="AB102" s="2"/>
      <c r="AC102" s="2"/>
    </row>
    <row r="103" customFormat="false" ht="15" hidden="false" customHeight="true" outlineLevel="0" collapsed="false">
      <c r="A103" s="376" t="str">
        <f aca="false">Hipótesis!B$59</f>
        <v>Alta e instalación Plan Vidriera</v>
      </c>
      <c r="B103" s="373" t="n">
        <f aca="false">D103+F103+H103+J103+L103+N103+P103+R103+T103+V103+X103+Z103</f>
        <v>834</v>
      </c>
      <c r="C103" s="375" t="n">
        <f aca="false">'Proy. ventas'!E145</f>
        <v>19</v>
      </c>
      <c r="D103" s="282" t="n">
        <f aca="false">C103*$E$51</f>
        <v>57</v>
      </c>
      <c r="E103" s="375" t="n">
        <f aca="false">'Proy. ventas'!G145</f>
        <v>19</v>
      </c>
      <c r="F103" s="282" t="n">
        <f aca="false">E103*$E$51</f>
        <v>57</v>
      </c>
      <c r="G103" s="375" t="n">
        <f aca="false">'Proy. ventas'!I145</f>
        <v>21</v>
      </c>
      <c r="H103" s="282" t="n">
        <f aca="false">G103*$E$51</f>
        <v>63</v>
      </c>
      <c r="I103" s="375" t="n">
        <f aca="false">'Proy. ventas'!K145</f>
        <v>21</v>
      </c>
      <c r="J103" s="282" t="n">
        <f aca="false">I103*$E$51</f>
        <v>63</v>
      </c>
      <c r="K103" s="375" t="n">
        <f aca="false">'Proy. ventas'!M145</f>
        <v>22</v>
      </c>
      <c r="L103" s="282" t="n">
        <f aca="false">K103*$E$51</f>
        <v>66</v>
      </c>
      <c r="M103" s="375" t="n">
        <f aca="false">'Proy. ventas'!O145</f>
        <v>22</v>
      </c>
      <c r="N103" s="282" t="n">
        <f aca="false">M103*$E$51</f>
        <v>66</v>
      </c>
      <c r="O103" s="375" t="n">
        <f aca="false">'Proy. ventas'!Q145</f>
        <v>24</v>
      </c>
      <c r="P103" s="282" t="n">
        <f aca="false">O103*$E$51</f>
        <v>72</v>
      </c>
      <c r="Q103" s="375" t="n">
        <f aca="false">'Proy. ventas'!S145</f>
        <v>24</v>
      </c>
      <c r="R103" s="282" t="n">
        <f aca="false">Q103*$E$51</f>
        <v>72</v>
      </c>
      <c r="S103" s="375" t="n">
        <f aca="false">'Proy. ventas'!U145</f>
        <v>25</v>
      </c>
      <c r="T103" s="282" t="n">
        <f aca="false">S103*$E$51</f>
        <v>75</v>
      </c>
      <c r="U103" s="375" t="n">
        <f aca="false">'Proy. ventas'!W145</f>
        <v>25</v>
      </c>
      <c r="V103" s="282" t="n">
        <f aca="false">U103*$E$51</f>
        <v>75</v>
      </c>
      <c r="W103" s="375" t="n">
        <f aca="false">'Proy. ventas'!Y145</f>
        <v>28</v>
      </c>
      <c r="X103" s="282" t="n">
        <f aca="false">W103*$E$51</f>
        <v>84</v>
      </c>
      <c r="Y103" s="375" t="n">
        <f aca="false">'Proy. ventas'!AA145</f>
        <v>28</v>
      </c>
      <c r="Z103" s="282" t="n">
        <f aca="false">Y103*$E$51</f>
        <v>84</v>
      </c>
      <c r="AA103" s="2"/>
      <c r="AB103" s="2"/>
      <c r="AC103" s="2"/>
    </row>
    <row r="104" customFormat="false" ht="15.75" hidden="false" customHeight="true" outlineLevel="0" collapsed="false">
      <c r="A104" s="377" t="str">
        <f aca="false">Hipótesis!B$60</f>
        <v>Alta e instalación Plan Cadena</v>
      </c>
      <c r="B104" s="373" t="n">
        <f aca="false">D104+F104+H104+J104+L104+N104+P104+R104+T104+V104+X104+Z104</f>
        <v>480</v>
      </c>
      <c r="C104" s="375" t="n">
        <f aca="false">'Proy. ventas'!E146</f>
        <v>3</v>
      </c>
      <c r="D104" s="282" t="n">
        <f aca="false">C104*$E$70</f>
        <v>36</v>
      </c>
      <c r="E104" s="375" t="n">
        <f aca="false">'Proy. ventas'!G146</f>
        <v>3</v>
      </c>
      <c r="F104" s="282" t="n">
        <f aca="false">E104*$E$70</f>
        <v>36</v>
      </c>
      <c r="G104" s="375" t="n">
        <f aca="false">'Proy. ventas'!I146</f>
        <v>3</v>
      </c>
      <c r="H104" s="282" t="n">
        <f aca="false">G104*$E$70</f>
        <v>36</v>
      </c>
      <c r="I104" s="375" t="n">
        <f aca="false">'Proy. ventas'!K146</f>
        <v>3</v>
      </c>
      <c r="J104" s="282" t="n">
        <f aca="false">I104*$E$70</f>
        <v>36</v>
      </c>
      <c r="K104" s="375" t="n">
        <f aca="false">'Proy. ventas'!M146</f>
        <v>3</v>
      </c>
      <c r="L104" s="282" t="n">
        <f aca="false">K104*$E$70</f>
        <v>36</v>
      </c>
      <c r="M104" s="375" t="n">
        <f aca="false">'Proy. ventas'!O146</f>
        <v>3</v>
      </c>
      <c r="N104" s="282" t="n">
        <f aca="false">M104*$E$70</f>
        <v>36</v>
      </c>
      <c r="O104" s="375" t="n">
        <f aca="false">'Proy. ventas'!Q146</f>
        <v>3</v>
      </c>
      <c r="P104" s="282" t="n">
        <f aca="false">O104*$E$70</f>
        <v>36</v>
      </c>
      <c r="Q104" s="375" t="n">
        <f aca="false">'Proy. ventas'!S146</f>
        <v>3</v>
      </c>
      <c r="R104" s="282" t="n">
        <f aca="false">Q104*$E$70</f>
        <v>36</v>
      </c>
      <c r="S104" s="375" t="n">
        <f aca="false">'Proy. ventas'!U146</f>
        <v>4</v>
      </c>
      <c r="T104" s="282" t="n">
        <f aca="false">S104*$E$70</f>
        <v>48</v>
      </c>
      <c r="U104" s="375" t="n">
        <f aca="false">'Proy. ventas'!W146</f>
        <v>4</v>
      </c>
      <c r="V104" s="282" t="n">
        <f aca="false">U104*$E$70</f>
        <v>48</v>
      </c>
      <c r="W104" s="375" t="n">
        <f aca="false">'Proy. ventas'!Y146</f>
        <v>4</v>
      </c>
      <c r="X104" s="282" t="n">
        <f aca="false">W104*$E$70</f>
        <v>48</v>
      </c>
      <c r="Y104" s="375" t="n">
        <f aca="false">'Proy. ventas'!AA146</f>
        <v>4</v>
      </c>
      <c r="Z104" s="282" t="n">
        <f aca="false">Y104*$E$70</f>
        <v>48</v>
      </c>
      <c r="AA104" s="2"/>
      <c r="AB104" s="2"/>
      <c r="AC104" s="2"/>
    </row>
    <row r="105" customFormat="false" ht="15" hidden="false" customHeight="true" outlineLevel="0" collapsed="false">
      <c r="A105" s="378" t="str">
        <f aca="false">Hipótesis!B$61</f>
        <v>Abono Plan Básico</v>
      </c>
      <c r="B105" s="373" t="n">
        <f aca="false">D105+F105+H105+J105+L105+N105+P105+R105+T105+V105+X105+Z105</f>
        <v>398.55</v>
      </c>
      <c r="C105" s="375" t="n">
        <f aca="false">'Proy. ventas'!E147</f>
        <v>170</v>
      </c>
      <c r="D105" s="282" t="n">
        <f aca="false">C105*$L$32</f>
        <v>25.5</v>
      </c>
      <c r="E105" s="375" t="n">
        <f aca="false">'Proy. ventas'!G147</f>
        <v>178</v>
      </c>
      <c r="F105" s="282" t="n">
        <f aca="false">E105*$L$32</f>
        <v>26.7</v>
      </c>
      <c r="G105" s="375" t="n">
        <f aca="false">'Proy. ventas'!I147</f>
        <v>187</v>
      </c>
      <c r="H105" s="282" t="n">
        <f aca="false">G105*$L$32</f>
        <v>28.05</v>
      </c>
      <c r="I105" s="375" t="n">
        <f aca="false">'Proy. ventas'!K147</f>
        <v>196</v>
      </c>
      <c r="J105" s="282" t="n">
        <f aca="false">I105*$L$32</f>
        <v>29.4</v>
      </c>
      <c r="K105" s="375" t="n">
        <f aca="false">'Proy. ventas'!M147</f>
        <v>205</v>
      </c>
      <c r="L105" s="282" t="n">
        <f aca="false">K105*$L$32</f>
        <v>30.75</v>
      </c>
      <c r="M105" s="375" t="n">
        <f aca="false">'Proy. ventas'!O147</f>
        <v>214</v>
      </c>
      <c r="N105" s="282" t="n">
        <f aca="false">M105*$L$32</f>
        <v>32.1</v>
      </c>
      <c r="O105" s="375" t="n">
        <f aca="false">'Proy. ventas'!Q147</f>
        <v>224</v>
      </c>
      <c r="P105" s="282" t="n">
        <f aca="false">O105*$L$32</f>
        <v>33.6</v>
      </c>
      <c r="Q105" s="375" t="n">
        <f aca="false">'Proy. ventas'!S147</f>
        <v>234</v>
      </c>
      <c r="R105" s="282" t="n">
        <f aca="false">Q105*$L$32</f>
        <v>35.1</v>
      </c>
      <c r="S105" s="375" t="n">
        <f aca="false">'Proy. ventas'!U147</f>
        <v>245</v>
      </c>
      <c r="T105" s="282" t="n">
        <f aca="false">S105*$L$32</f>
        <v>36.75</v>
      </c>
      <c r="U105" s="375" t="n">
        <f aca="false">'Proy. ventas'!W147</f>
        <v>256</v>
      </c>
      <c r="V105" s="282" t="n">
        <f aca="false">U105*$L$32</f>
        <v>38.4</v>
      </c>
      <c r="W105" s="375" t="n">
        <f aca="false">'Proy. ventas'!Y147</f>
        <v>268</v>
      </c>
      <c r="X105" s="282" t="n">
        <f aca="false">W105*$L$32</f>
        <v>40.2</v>
      </c>
      <c r="Y105" s="375" t="n">
        <f aca="false">'Proy. ventas'!AA147</f>
        <v>280</v>
      </c>
      <c r="Z105" s="282" t="n">
        <f aca="false">Y105*$L$32</f>
        <v>42</v>
      </c>
      <c r="AA105" s="2"/>
      <c r="AB105" s="2"/>
      <c r="AC105" s="2"/>
    </row>
    <row r="106" customFormat="false" ht="15" hidden="false" customHeight="true" outlineLevel="0" collapsed="false">
      <c r="A106" s="379" t="str">
        <f aca="false">Hipótesis!B$62</f>
        <v>Abono Plan Vidriera</v>
      </c>
      <c r="B106" s="373" t="n">
        <f aca="false">D106+F106+H106+J106+L106+N106+P106+R106+T106+V106+X106+Z106</f>
        <v>1568.25</v>
      </c>
      <c r="C106" s="375" t="n">
        <f aca="false">'Proy. ventas'!E148</f>
        <v>401</v>
      </c>
      <c r="D106" s="282" t="n">
        <f aca="false">C106*$L$51</f>
        <v>100.25</v>
      </c>
      <c r="E106" s="375" t="n">
        <f aca="false">'Proy. ventas'!G148</f>
        <v>420</v>
      </c>
      <c r="F106" s="282" t="n">
        <f aca="false">E106*$L$51</f>
        <v>105</v>
      </c>
      <c r="G106" s="375" t="n">
        <f aca="false">'Proy. ventas'!I148</f>
        <v>441</v>
      </c>
      <c r="H106" s="282" t="n">
        <f aca="false">G106*$L$51</f>
        <v>110.25</v>
      </c>
      <c r="I106" s="375" t="n">
        <f aca="false">'Proy. ventas'!K148</f>
        <v>462</v>
      </c>
      <c r="J106" s="282" t="n">
        <f aca="false">I106*$L$51</f>
        <v>115.5</v>
      </c>
      <c r="K106" s="375" t="n">
        <f aca="false">'Proy. ventas'!M148</f>
        <v>484</v>
      </c>
      <c r="L106" s="282" t="n">
        <f aca="false">K106*$L$51</f>
        <v>121</v>
      </c>
      <c r="M106" s="375" t="n">
        <f aca="false">'Proy. ventas'!O148</f>
        <v>506</v>
      </c>
      <c r="N106" s="282" t="n">
        <f aca="false">M106*$L$51</f>
        <v>126.5</v>
      </c>
      <c r="O106" s="375" t="n">
        <f aca="false">'Proy. ventas'!Q148</f>
        <v>530</v>
      </c>
      <c r="P106" s="282" t="n">
        <f aca="false">O106*$L$51</f>
        <v>132.5</v>
      </c>
      <c r="Q106" s="375" t="n">
        <f aca="false">'Proy. ventas'!S148</f>
        <v>554</v>
      </c>
      <c r="R106" s="282" t="n">
        <f aca="false">Q106*$L$51</f>
        <v>138.5</v>
      </c>
      <c r="S106" s="375" t="n">
        <f aca="false">'Proy. ventas'!U148</f>
        <v>579</v>
      </c>
      <c r="T106" s="282" t="n">
        <f aca="false">S106*$L$51</f>
        <v>144.75</v>
      </c>
      <c r="U106" s="375" t="n">
        <f aca="false">'Proy. ventas'!W148</f>
        <v>604</v>
      </c>
      <c r="V106" s="282" t="n">
        <f aca="false">U106*$L$51</f>
        <v>151</v>
      </c>
      <c r="W106" s="375" t="n">
        <f aca="false">'Proy. ventas'!Y148</f>
        <v>632</v>
      </c>
      <c r="X106" s="282" t="n">
        <f aca="false">W106*$L$51</f>
        <v>158</v>
      </c>
      <c r="Y106" s="375" t="n">
        <f aca="false">'Proy. ventas'!AA148</f>
        <v>660</v>
      </c>
      <c r="Z106" s="282" t="n">
        <f aca="false">Y106*$L$51</f>
        <v>165</v>
      </c>
      <c r="AA106" s="2"/>
      <c r="AB106" s="2"/>
      <c r="AC106" s="2"/>
    </row>
    <row r="107" customFormat="false" ht="15" hidden="false" customHeight="true" outlineLevel="0" collapsed="false">
      <c r="A107" s="385" t="str">
        <f aca="false">Hipótesis!B$63</f>
        <v>Abono Plan Cadena</v>
      </c>
      <c r="B107" s="373" t="n">
        <f aca="false">D107+F107+H107+J107+L107+N107+P107+R107+T107+V107+X107+Z107</f>
        <v>528</v>
      </c>
      <c r="C107" s="375" t="n">
        <f aca="false">'Proy. ventas'!E149</f>
        <v>56</v>
      </c>
      <c r="D107" s="282" t="n">
        <f aca="false">C107*$L$70</f>
        <v>33.6</v>
      </c>
      <c r="E107" s="375" t="n">
        <f aca="false">'Proy. ventas'!G149</f>
        <v>59</v>
      </c>
      <c r="F107" s="282" t="n">
        <f aca="false">E107*$L$70</f>
        <v>35.4</v>
      </c>
      <c r="G107" s="375" t="n">
        <f aca="false">'Proy. ventas'!I149</f>
        <v>62</v>
      </c>
      <c r="H107" s="282" t="n">
        <f aca="false">G107*$L$70</f>
        <v>37.2</v>
      </c>
      <c r="I107" s="375" t="n">
        <f aca="false">'Proy. ventas'!K149</f>
        <v>65</v>
      </c>
      <c r="J107" s="282" t="n">
        <f aca="false">I107*$L$70</f>
        <v>39</v>
      </c>
      <c r="K107" s="375" t="n">
        <f aca="false">'Proy. ventas'!M149</f>
        <v>68</v>
      </c>
      <c r="L107" s="282" t="n">
        <f aca="false">K107*$L$70</f>
        <v>40.8</v>
      </c>
      <c r="M107" s="375" t="n">
        <f aca="false">'Proy. ventas'!O149</f>
        <v>71</v>
      </c>
      <c r="N107" s="282" t="n">
        <f aca="false">M107*$L$70</f>
        <v>42.6</v>
      </c>
      <c r="O107" s="375" t="n">
        <f aca="false">'Proy. ventas'!Q149</f>
        <v>74</v>
      </c>
      <c r="P107" s="282" t="n">
        <f aca="false">O107*$L$70</f>
        <v>44.4</v>
      </c>
      <c r="Q107" s="375" t="n">
        <f aca="false">'Proy. ventas'!S149</f>
        <v>77</v>
      </c>
      <c r="R107" s="282" t="n">
        <f aca="false">Q107*$L$70</f>
        <v>46.2</v>
      </c>
      <c r="S107" s="375" t="n">
        <f aca="false">'Proy. ventas'!U149</f>
        <v>81</v>
      </c>
      <c r="T107" s="282" t="n">
        <f aca="false">S107*$L$70</f>
        <v>48.6</v>
      </c>
      <c r="U107" s="375" t="n">
        <f aca="false">'Proy. ventas'!W149</f>
        <v>85</v>
      </c>
      <c r="V107" s="282" t="n">
        <f aca="false">U107*$L$70</f>
        <v>51</v>
      </c>
      <c r="W107" s="375" t="n">
        <f aca="false">'Proy. ventas'!Y149</f>
        <v>89</v>
      </c>
      <c r="X107" s="282" t="n">
        <f aca="false">W107*$L$70</f>
        <v>53.4</v>
      </c>
      <c r="Y107" s="375" t="n">
        <f aca="false">'Proy. ventas'!AA149</f>
        <v>93</v>
      </c>
      <c r="Z107" s="282" t="n">
        <f aca="false">Y107*$L$70</f>
        <v>55.8</v>
      </c>
      <c r="AA107" s="2"/>
      <c r="AB107" s="2"/>
      <c r="AC107" s="2"/>
    </row>
    <row r="108" customFormat="false" ht="14.25" hidden="false" customHeight="true" outlineLevel="0" collapsed="false">
      <c r="A108" s="386" t="s">
        <v>234</v>
      </c>
      <c r="B108" s="382" t="n">
        <f aca="false">D108+F108+H108+J108+L108+N108+P108+R108+T108+V108+X108+Z108</f>
        <v>3867.8</v>
      </c>
      <c r="C108" s="375" t="n">
        <f aca="false">SUM(C102:C107)</f>
        <v>657</v>
      </c>
      <c r="D108" s="383" t="n">
        <f aca="false">SUM(D102:D107)</f>
        <v>256.35</v>
      </c>
      <c r="E108" s="375" t="n">
        <f aca="false">SUM(E102:E107)</f>
        <v>687</v>
      </c>
      <c r="F108" s="383" t="n">
        <f aca="false">SUM(F102:F107)</f>
        <v>264.1</v>
      </c>
      <c r="G108" s="375" t="n">
        <f aca="false">SUM(G102:G107)</f>
        <v>723</v>
      </c>
      <c r="H108" s="383" t="n">
        <f aca="false">SUM(H102:H107)</f>
        <v>279</v>
      </c>
      <c r="I108" s="375" t="n">
        <f aca="false">SUM(I102:I107)</f>
        <v>756</v>
      </c>
      <c r="J108" s="383" t="n">
        <f aca="false">SUM(J102:J107)</f>
        <v>287.4</v>
      </c>
      <c r="K108" s="375" t="n">
        <f aca="false">SUM(K102:K107)</f>
        <v>791</v>
      </c>
      <c r="L108" s="383" t="n">
        <f aca="false">SUM(L102:L107)</f>
        <v>299.05</v>
      </c>
      <c r="M108" s="375" t="n">
        <f aca="false">SUM(M102:M107)</f>
        <v>825</v>
      </c>
      <c r="N108" s="383" t="n">
        <f aca="false">SUM(N102:N107)</f>
        <v>307.7</v>
      </c>
      <c r="O108" s="375" t="n">
        <f aca="false">SUM(O102:O107)</f>
        <v>865</v>
      </c>
      <c r="P108" s="383" t="n">
        <f aca="false">SUM(P102:P107)</f>
        <v>323.5</v>
      </c>
      <c r="Q108" s="375" t="n">
        <f aca="false">SUM(Q102:Q107)</f>
        <v>902</v>
      </c>
      <c r="R108" s="383" t="n">
        <f aca="false">SUM(R102:R107)</f>
        <v>332.8</v>
      </c>
      <c r="S108" s="375" t="n">
        <f aca="false">SUM(S102:S107)</f>
        <v>945</v>
      </c>
      <c r="T108" s="383" t="n">
        <f aca="false">SUM(T102:T107)</f>
        <v>358.6</v>
      </c>
      <c r="U108" s="375" t="n">
        <f aca="false">SUM(U102:U107)</f>
        <v>985</v>
      </c>
      <c r="V108" s="383" t="n">
        <f aca="false">SUM(V102:V107)</f>
        <v>368.9</v>
      </c>
      <c r="W108" s="375" t="n">
        <f aca="false">SUM(W102:W107)</f>
        <v>1033</v>
      </c>
      <c r="X108" s="383" t="n">
        <f aca="false">SUM(X102:X107)</f>
        <v>389.6</v>
      </c>
      <c r="Y108" s="375" t="n">
        <f aca="false">SUM(Y102:Y107)</f>
        <v>1077</v>
      </c>
      <c r="Z108" s="383" t="n">
        <f aca="false">SUM(Z102:Z107)</f>
        <v>400.8</v>
      </c>
      <c r="AA108" s="384"/>
      <c r="AB108" s="384"/>
      <c r="AC108" s="384"/>
    </row>
    <row r="109" customFormat="false" ht="15" hidden="false" customHeight="true" outlineLevel="0" collapsed="false">
      <c r="A109" s="386" t="s">
        <v>235</v>
      </c>
      <c r="B109" s="382" t="n">
        <f aca="false">D109+F109+H109+J109+L109+N109+P109+R109+T109+V109+X109+Z109</f>
        <v>4650</v>
      </c>
      <c r="C109" s="2"/>
      <c r="D109" s="383" t="n">
        <f aca="false">ROUNDUP(D108/$B$14,0)*$B$14</f>
        <v>300</v>
      </c>
      <c r="E109" s="2"/>
      <c r="F109" s="383" t="n">
        <f aca="false">ROUNDUP(F108/$B$14,0)*$B$14</f>
        <v>300</v>
      </c>
      <c r="G109" s="2"/>
      <c r="H109" s="383" t="n">
        <f aca="false">ROUNDUP(H108/$B$14,0)*$B$14</f>
        <v>300</v>
      </c>
      <c r="I109" s="2"/>
      <c r="J109" s="383" t="n">
        <f aca="false">ROUNDUP(J108/$B$14,0)*$B$14</f>
        <v>300</v>
      </c>
      <c r="K109" s="2"/>
      <c r="L109" s="383" t="n">
        <f aca="false">ROUNDUP(L108/$B$14,0)*$B$14</f>
        <v>300</v>
      </c>
      <c r="M109" s="2"/>
      <c r="N109" s="383" t="n">
        <f aca="false">ROUNDUP(N108/$B$14,0)*$B$14</f>
        <v>450</v>
      </c>
      <c r="O109" s="2"/>
      <c r="P109" s="383" t="n">
        <f aca="false">ROUNDUP(P108/$B$14,0)*$B$14</f>
        <v>450</v>
      </c>
      <c r="Q109" s="2"/>
      <c r="R109" s="383" t="n">
        <f aca="false">ROUNDUP(R108/$B$14,0)*$B$14</f>
        <v>450</v>
      </c>
      <c r="S109" s="2"/>
      <c r="T109" s="383" t="n">
        <f aca="false">ROUNDUP(T108/$B$14,0)*$B$14</f>
        <v>450</v>
      </c>
      <c r="U109" s="2"/>
      <c r="V109" s="383" t="n">
        <f aca="false">ROUNDUP(V108/$B$14,0)*$B$14</f>
        <v>450</v>
      </c>
      <c r="W109" s="2"/>
      <c r="X109" s="383" t="n">
        <f aca="false">ROUNDUP(X108/$B$14,0)*$B$14</f>
        <v>450</v>
      </c>
      <c r="Y109" s="2"/>
      <c r="Z109" s="383" t="n">
        <f aca="false">ROUNDUP(Z108/$B$14,0)*$B$14</f>
        <v>450</v>
      </c>
      <c r="AA109" s="2"/>
      <c r="AB109" s="2"/>
      <c r="AC109" s="2"/>
    </row>
    <row r="110" customFormat="false" ht="15" hidden="false" customHeight="true" outlineLevel="0" collapsed="false">
      <c r="A110" s="386" t="s">
        <v>236</v>
      </c>
      <c r="B110" s="382" t="n">
        <f aca="false">B109-B108</f>
        <v>782.2</v>
      </c>
      <c r="D110" s="383" t="n">
        <f aca="false">D109-D108</f>
        <v>43.65</v>
      </c>
      <c r="F110" s="383" t="n">
        <f aca="false">F109-F108</f>
        <v>35.9</v>
      </c>
      <c r="H110" s="383" t="n">
        <f aca="false">H109-H108</f>
        <v>21</v>
      </c>
      <c r="I110" s="2"/>
      <c r="J110" s="383" t="n">
        <f aca="false">J109-J108</f>
        <v>12.6</v>
      </c>
      <c r="K110" s="2"/>
      <c r="L110" s="383" t="n">
        <f aca="false">L109-L108</f>
        <v>0.949999999999989</v>
      </c>
      <c r="M110" s="2"/>
      <c r="N110" s="383" t="n">
        <f aca="false">N109-N108</f>
        <v>142.3</v>
      </c>
      <c r="O110" s="2"/>
      <c r="P110" s="383" t="n">
        <f aca="false">P109-P108</f>
        <v>126.5</v>
      </c>
      <c r="Q110" s="2"/>
      <c r="R110" s="383" t="n">
        <f aca="false">R109-R108</f>
        <v>117.2</v>
      </c>
      <c r="S110" s="2"/>
      <c r="T110" s="383" t="n">
        <f aca="false">T109-T108</f>
        <v>91.4</v>
      </c>
      <c r="U110" s="2"/>
      <c r="V110" s="383" t="n">
        <f aca="false">V109-V108</f>
        <v>81.1</v>
      </c>
      <c r="W110" s="2"/>
      <c r="X110" s="383" t="n">
        <f aca="false">X109-X108</f>
        <v>60.4</v>
      </c>
      <c r="Y110" s="2"/>
      <c r="Z110" s="383" t="n">
        <f aca="false">Z109-Z108</f>
        <v>49.2</v>
      </c>
      <c r="AA110" s="2"/>
      <c r="AB110" s="2"/>
      <c r="AC110" s="2"/>
    </row>
    <row r="111" customFormat="false" ht="15" hidden="false" customHeight="true" outlineLevel="0" collapsed="false">
      <c r="A111" s="387"/>
      <c r="I111" s="2"/>
      <c r="J111" s="2"/>
      <c r="K111" s="2"/>
      <c r="L111" s="2"/>
      <c r="M111" s="2"/>
      <c r="N111" s="2"/>
      <c r="O111" s="2"/>
      <c r="P111" s="2"/>
      <c r="Q111" s="2"/>
      <c r="R111" s="2"/>
      <c r="S111" s="2"/>
      <c r="T111" s="2"/>
      <c r="U111" s="2"/>
      <c r="V111" s="2"/>
      <c r="W111" s="2"/>
      <c r="X111" s="2"/>
      <c r="Y111" s="2"/>
      <c r="Z111" s="2"/>
      <c r="AA111" s="2"/>
      <c r="AB111" s="2"/>
      <c r="AC111" s="2"/>
    </row>
    <row r="112" customFormat="false" ht="25.5" hidden="false" customHeight="true" outlineLevel="0" collapsed="false">
      <c r="A112" s="388" t="s">
        <v>239</v>
      </c>
      <c r="I112" s="2"/>
      <c r="J112" s="2"/>
      <c r="K112" s="2"/>
      <c r="L112" s="2"/>
      <c r="M112" s="2"/>
      <c r="N112" s="2"/>
      <c r="O112" s="2"/>
      <c r="P112" s="2"/>
      <c r="Q112" s="2"/>
      <c r="R112" s="2"/>
      <c r="S112" s="2"/>
      <c r="T112" s="2"/>
      <c r="U112" s="2"/>
      <c r="V112" s="2"/>
      <c r="W112" s="2"/>
      <c r="X112" s="2"/>
      <c r="Y112" s="2"/>
      <c r="Z112" s="2"/>
      <c r="AA112" s="2"/>
      <c r="AB112" s="2"/>
      <c r="AC112" s="2"/>
    </row>
    <row r="113" customFormat="false" ht="14.25" hidden="false" customHeight="true" outlineLevel="0" collapsed="false">
      <c r="A113" s="387" t="s">
        <v>240</v>
      </c>
      <c r="I113" s="2"/>
      <c r="J113" s="2"/>
      <c r="K113" s="2"/>
      <c r="L113" s="2"/>
      <c r="M113" s="2"/>
      <c r="N113" s="2"/>
      <c r="O113" s="2"/>
      <c r="P113" s="2"/>
      <c r="Q113" s="2"/>
      <c r="R113" s="2"/>
      <c r="S113" s="2"/>
      <c r="T113" s="2"/>
      <c r="U113" s="2"/>
      <c r="V113" s="2"/>
      <c r="W113" s="2"/>
      <c r="X113" s="2"/>
      <c r="Y113" s="2"/>
      <c r="Z113" s="2"/>
      <c r="AA113" s="2"/>
      <c r="AB113" s="2"/>
      <c r="AC113" s="2"/>
    </row>
    <row r="114" customFormat="false" ht="14.25" hidden="false" customHeight="true" outlineLevel="0" collapsed="false">
      <c r="I114" s="2"/>
      <c r="J114" s="2"/>
      <c r="K114" s="2"/>
      <c r="L114" s="2"/>
      <c r="M114" s="2"/>
      <c r="N114" s="2"/>
      <c r="O114" s="2"/>
      <c r="P114" s="2"/>
      <c r="Q114" s="2"/>
      <c r="R114" s="2"/>
      <c r="S114" s="2"/>
      <c r="T114" s="2"/>
      <c r="U114" s="2"/>
      <c r="V114" s="2"/>
      <c r="W114" s="2"/>
      <c r="X114" s="2"/>
      <c r="Y114" s="2"/>
      <c r="Z114" s="2"/>
      <c r="AA114" s="2"/>
      <c r="AB114" s="2"/>
      <c r="AC114" s="2"/>
    </row>
    <row r="115" customFormat="false" ht="14.25" hidden="false" customHeight="true" outlineLevel="0" collapsed="false">
      <c r="I115" s="2"/>
      <c r="J115" s="2"/>
      <c r="K115" s="2"/>
      <c r="L115" s="2"/>
      <c r="M115" s="2"/>
      <c r="N115" s="2"/>
      <c r="O115" s="2"/>
      <c r="P115" s="2"/>
      <c r="Q115" s="2"/>
      <c r="R115" s="2"/>
      <c r="S115" s="2"/>
      <c r="T115" s="2"/>
      <c r="U115" s="2"/>
      <c r="V115" s="2"/>
      <c r="W115" s="2"/>
      <c r="X115" s="2"/>
      <c r="Y115" s="2"/>
      <c r="Z115" s="2"/>
      <c r="AA115" s="2"/>
      <c r="AB115" s="2"/>
      <c r="AC115" s="2"/>
    </row>
    <row r="116" customFormat="false" ht="14.25" hidden="false" customHeight="true" outlineLevel="0" collapsed="false">
      <c r="I116" s="2"/>
      <c r="J116" s="2"/>
      <c r="K116" s="2"/>
      <c r="L116" s="2"/>
      <c r="M116" s="2"/>
      <c r="N116" s="2"/>
      <c r="O116" s="2"/>
      <c r="P116" s="2"/>
      <c r="Q116" s="2"/>
      <c r="R116" s="2"/>
      <c r="S116" s="2"/>
      <c r="T116" s="2"/>
      <c r="U116" s="2"/>
      <c r="V116" s="2"/>
      <c r="W116" s="2"/>
      <c r="X116" s="2"/>
      <c r="Y116" s="2"/>
      <c r="Z116" s="2"/>
      <c r="AA116" s="2"/>
      <c r="AB116" s="2"/>
      <c r="AC116" s="2"/>
    </row>
    <row r="117" customFormat="false" ht="14.25" hidden="false" customHeight="true" outlineLevel="0" collapsed="false">
      <c r="A117" s="2"/>
      <c r="B117" s="273"/>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ustomFormat="false" ht="14.25" hidden="false" customHeight="true" outlineLevel="0" collapsed="false">
      <c r="A118" s="2"/>
      <c r="B118" s="273"/>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ustomFormat="false" ht="14.25" hidden="false" customHeight="true" outlineLevel="0" collapsed="false">
      <c r="A119" s="2"/>
      <c r="B119" s="273"/>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ustomFormat="false" ht="14.25" hidden="false" customHeight="true" outlineLevel="0" collapsed="false">
      <c r="A120" s="2"/>
      <c r="B120" s="273"/>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ustomFormat="false" ht="14.25" hidden="false" customHeight="true" outlineLevel="0" collapsed="false">
      <c r="A121" s="2"/>
      <c r="B121" s="273"/>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ustomFormat="false" ht="14.25" hidden="false" customHeight="true" outlineLevel="0" collapsed="false">
      <c r="A122" s="2"/>
      <c r="B122" s="273"/>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ustomFormat="false" ht="14.25" hidden="false" customHeight="true" outlineLevel="0" collapsed="false">
      <c r="A123" s="2"/>
      <c r="B123" s="273"/>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ustomFormat="false" ht="14.25" hidden="false" customHeight="true" outlineLevel="0" collapsed="false">
      <c r="A124" s="2"/>
      <c r="B124" s="273"/>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ustomFormat="false" ht="14.25" hidden="false" customHeight="true" outlineLevel="0" collapsed="false">
      <c r="A125" s="2"/>
      <c r="B125" s="273"/>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ustomFormat="false" ht="14.25" hidden="false" customHeight="true" outlineLevel="0" collapsed="false">
      <c r="A126" s="2"/>
      <c r="B126" s="273"/>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ustomFormat="false" ht="14.25" hidden="false" customHeight="true" outlineLevel="0" collapsed="false">
      <c r="A127" s="2"/>
      <c r="B127" s="273"/>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ustomFormat="false" ht="14.25" hidden="false" customHeight="true" outlineLevel="0" collapsed="false">
      <c r="B128" s="2"/>
      <c r="C128" s="273"/>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ustomFormat="false" ht="14.25" hidden="false" customHeight="true" outlineLevel="0" collapsed="false">
      <c r="A129" s="2"/>
      <c r="B129" s="2"/>
      <c r="C129" s="273"/>
      <c r="D129" s="78"/>
      <c r="E129" s="78"/>
      <c r="F129" s="78"/>
      <c r="G129" s="78"/>
      <c r="H129" s="78"/>
      <c r="I129" s="78"/>
      <c r="J129" s="78"/>
      <c r="K129" s="2"/>
      <c r="L129" s="2"/>
      <c r="M129" s="2"/>
      <c r="N129" s="2"/>
      <c r="O129" s="2"/>
      <c r="P129" s="2"/>
      <c r="Q129" s="2"/>
      <c r="R129" s="2"/>
      <c r="S129" s="2"/>
      <c r="T129" s="2"/>
      <c r="U129" s="2"/>
      <c r="V129" s="2"/>
      <c r="W129" s="2"/>
      <c r="X129" s="2"/>
      <c r="Y129" s="2"/>
      <c r="Z129" s="2"/>
      <c r="AA129" s="2"/>
      <c r="AB129" s="2"/>
      <c r="AC129" s="2"/>
    </row>
    <row r="130" customFormat="false" ht="14.25" hidden="false" customHeight="true" outlineLevel="0" collapsed="false">
      <c r="A130" s="2"/>
      <c r="B130" s="273"/>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ustomFormat="false" ht="14.25" hidden="false" customHeight="true" outlineLevel="0" collapsed="false">
      <c r="A131" s="2"/>
      <c r="B131" s="273"/>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ustomFormat="false" ht="14.25" hidden="false" customHeight="true" outlineLevel="0" collapsed="false">
      <c r="A132" s="2"/>
      <c r="B132" s="273"/>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ustomFormat="false" ht="14.25" hidden="false" customHeight="true" outlineLevel="0" collapsed="false">
      <c r="A133" s="2"/>
      <c r="B133" s="273"/>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ustomFormat="false" ht="14.25" hidden="false" customHeight="true" outlineLevel="0" collapsed="false">
      <c r="A134" s="2"/>
      <c r="B134" s="273"/>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ustomFormat="false" ht="14.25" hidden="false" customHeight="true" outlineLevel="0" collapsed="false">
      <c r="A135" s="2"/>
      <c r="B135" s="273"/>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ustomFormat="false" ht="14.25" hidden="false" customHeight="true" outlineLevel="0" collapsed="false">
      <c r="A136" s="2"/>
      <c r="B136" s="273"/>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ustomFormat="false" ht="14.25" hidden="false" customHeight="true" outlineLevel="0" collapsed="false">
      <c r="A137" s="2"/>
      <c r="B137" s="273"/>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ustomFormat="false" ht="14.25" hidden="false" customHeight="true" outlineLevel="0" collapsed="false">
      <c r="A138" s="2"/>
      <c r="B138" s="273"/>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ustomFormat="false" ht="14.25" hidden="false" customHeight="true" outlineLevel="0" collapsed="false">
      <c r="A139" s="2"/>
      <c r="B139" s="273"/>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ustomFormat="false" ht="14.25" hidden="false" customHeight="true" outlineLevel="0" collapsed="false">
      <c r="A140" s="2"/>
      <c r="B140" s="273"/>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ustomFormat="false" ht="14.25" hidden="false" customHeight="true" outlineLevel="0" collapsed="false">
      <c r="A141" s="2"/>
      <c r="B141" s="273"/>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ustomFormat="false" ht="14.25" hidden="false" customHeight="true" outlineLevel="0" collapsed="false">
      <c r="A142" s="2"/>
      <c r="B142" s="273"/>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ustomFormat="false" ht="14.25" hidden="false" customHeight="true" outlineLevel="0" collapsed="false">
      <c r="A143" s="2"/>
      <c r="B143" s="273"/>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ustomFormat="false" ht="14.25" hidden="false" customHeight="true" outlineLevel="0" collapsed="false">
      <c r="A144" s="2"/>
      <c r="B144" s="273"/>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ustomFormat="false" ht="14.25" hidden="false" customHeight="true" outlineLevel="0" collapsed="false">
      <c r="A145" s="2"/>
      <c r="B145" s="273"/>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ustomFormat="false" ht="14.25" hidden="false" customHeight="true" outlineLevel="0" collapsed="false">
      <c r="A146" s="2"/>
      <c r="B146" s="273"/>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ustomFormat="false" ht="14.25" hidden="false" customHeight="true" outlineLevel="0" collapsed="false">
      <c r="A147" s="2"/>
      <c r="B147" s="273"/>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ustomFormat="false" ht="14.25" hidden="false" customHeight="true" outlineLevel="0" collapsed="false">
      <c r="A148" s="2"/>
      <c r="B148" s="273"/>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ustomFormat="false" ht="14.25" hidden="false" customHeight="true" outlineLevel="0" collapsed="false">
      <c r="A149" s="2"/>
      <c r="B149" s="273"/>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ustomFormat="false" ht="14.25" hidden="false" customHeight="true" outlineLevel="0" collapsed="false">
      <c r="A150" s="2"/>
      <c r="B150" s="273"/>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ustomFormat="false" ht="14.25" hidden="false" customHeight="true" outlineLevel="0" collapsed="false">
      <c r="A151" s="2"/>
      <c r="B151" s="273"/>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ustomFormat="false" ht="14.25" hidden="false" customHeight="true" outlineLevel="0" collapsed="false">
      <c r="A152" s="2"/>
      <c r="B152" s="273"/>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ustomFormat="false" ht="14.25" hidden="false" customHeight="true" outlineLevel="0" collapsed="false">
      <c r="A153" s="2"/>
      <c r="B153" s="273"/>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ustomFormat="false" ht="14.25" hidden="false" customHeight="true" outlineLevel="0" collapsed="false">
      <c r="A154" s="2"/>
      <c r="B154" s="273"/>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ustomFormat="false" ht="14.25" hidden="false" customHeight="true" outlineLevel="0" collapsed="false">
      <c r="A155" s="2"/>
      <c r="B155" s="273"/>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ustomFormat="false" ht="14.25" hidden="false" customHeight="true" outlineLevel="0" collapsed="false">
      <c r="A156" s="2"/>
      <c r="B156" s="273"/>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ustomFormat="false" ht="14.25" hidden="false" customHeight="true" outlineLevel="0" collapsed="false">
      <c r="A157" s="2"/>
      <c r="B157" s="273"/>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ustomFormat="false" ht="14.25" hidden="false" customHeight="true" outlineLevel="0" collapsed="false">
      <c r="A158" s="2"/>
      <c r="B158" s="273"/>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ustomFormat="false" ht="14.25" hidden="false" customHeight="true" outlineLevel="0" collapsed="false">
      <c r="A159" s="2"/>
      <c r="B159" s="273"/>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ustomFormat="false" ht="14.25" hidden="false" customHeight="true" outlineLevel="0" collapsed="false">
      <c r="A160" s="2"/>
      <c r="B160" s="273"/>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ustomFormat="false" ht="14.25" hidden="false" customHeight="true" outlineLevel="0" collapsed="false">
      <c r="A161" s="2"/>
      <c r="B161" s="273"/>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ustomFormat="false" ht="14.25" hidden="false" customHeight="true" outlineLevel="0" collapsed="false">
      <c r="A162" s="2"/>
      <c r="B162" s="273"/>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ustomFormat="false" ht="14.25" hidden="false" customHeight="true" outlineLevel="0" collapsed="false">
      <c r="A163" s="2"/>
      <c r="B163" s="273"/>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ustomFormat="false" ht="14.25" hidden="false" customHeight="true" outlineLevel="0" collapsed="false">
      <c r="A164" s="2"/>
      <c r="B164" s="273"/>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ustomFormat="false" ht="14.25" hidden="false" customHeight="true" outlineLevel="0" collapsed="false">
      <c r="A165" s="2"/>
      <c r="B165" s="273"/>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ustomFormat="false" ht="14.25" hidden="false" customHeight="true" outlineLevel="0" collapsed="false">
      <c r="A166" s="2"/>
      <c r="B166" s="273"/>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ustomFormat="false" ht="14.25" hidden="false" customHeight="true" outlineLevel="0" collapsed="false">
      <c r="A167" s="2"/>
      <c r="B167" s="273"/>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ustomFormat="false" ht="14.25" hidden="false" customHeight="true" outlineLevel="0" collapsed="false">
      <c r="A168" s="2"/>
      <c r="B168" s="273"/>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ustomFormat="false" ht="14.25" hidden="false" customHeight="true" outlineLevel="0" collapsed="false">
      <c r="A169" s="2"/>
      <c r="B169" s="273"/>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ustomFormat="false" ht="14.25" hidden="false" customHeight="true" outlineLevel="0" collapsed="false">
      <c r="A170" s="2"/>
      <c r="B170" s="273"/>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ustomFormat="false" ht="14.25" hidden="false" customHeight="true" outlineLevel="0" collapsed="false">
      <c r="A171" s="2"/>
      <c r="B171" s="273"/>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ustomFormat="false" ht="14.25" hidden="false" customHeight="true" outlineLevel="0" collapsed="false">
      <c r="A172" s="2"/>
      <c r="B172" s="273"/>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ustomFormat="false" ht="14.25" hidden="false" customHeight="true" outlineLevel="0" collapsed="false">
      <c r="A173" s="2"/>
      <c r="B173" s="273"/>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ustomFormat="false" ht="14.25" hidden="false" customHeight="true" outlineLevel="0" collapsed="false">
      <c r="A174" s="2"/>
      <c r="B174" s="273"/>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ustomFormat="false" ht="14.25" hidden="false" customHeight="true" outlineLevel="0" collapsed="false">
      <c r="A175" s="2"/>
      <c r="B175" s="273"/>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ustomFormat="false" ht="14.25" hidden="false" customHeight="true" outlineLevel="0" collapsed="false">
      <c r="A176" s="2"/>
      <c r="B176" s="273"/>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ustomFormat="false" ht="14.25" hidden="false" customHeight="true" outlineLevel="0" collapsed="false">
      <c r="A177" s="2"/>
      <c r="B177" s="273"/>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ustomFormat="false" ht="14.25" hidden="false" customHeight="true" outlineLevel="0" collapsed="false">
      <c r="A178" s="2"/>
      <c r="B178" s="273"/>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ustomFormat="false" ht="14.25" hidden="false" customHeight="true" outlineLevel="0" collapsed="false">
      <c r="A179" s="2"/>
      <c r="B179" s="273"/>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ustomFormat="false" ht="14.25" hidden="false" customHeight="true" outlineLevel="0" collapsed="false">
      <c r="A180" s="2"/>
      <c r="B180" s="273"/>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ustomFormat="false" ht="14.25" hidden="false" customHeight="true" outlineLevel="0" collapsed="false">
      <c r="A181" s="2"/>
      <c r="B181" s="273"/>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ustomFormat="false" ht="14.25" hidden="false" customHeight="true" outlineLevel="0" collapsed="false">
      <c r="A182" s="2"/>
      <c r="B182" s="273"/>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ustomFormat="false" ht="14.25" hidden="false" customHeight="true" outlineLevel="0" collapsed="false">
      <c r="A183" s="2"/>
      <c r="B183" s="273"/>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ustomFormat="false" ht="14.25" hidden="false" customHeight="true" outlineLevel="0" collapsed="false">
      <c r="A184" s="2"/>
      <c r="B184" s="273"/>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ustomFormat="false" ht="14.25" hidden="false" customHeight="true" outlineLevel="0" collapsed="false">
      <c r="A185" s="2"/>
      <c r="B185" s="273"/>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ustomFormat="false" ht="14.25" hidden="false" customHeight="true" outlineLevel="0" collapsed="false">
      <c r="A186" s="2"/>
      <c r="B186" s="273"/>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ustomFormat="false" ht="14.25" hidden="false" customHeight="true" outlineLevel="0" collapsed="false">
      <c r="A187" s="2"/>
      <c r="B187" s="273"/>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ustomFormat="false" ht="14.25" hidden="false" customHeight="true" outlineLevel="0" collapsed="false">
      <c r="A188" s="2"/>
      <c r="B188" s="273"/>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ustomFormat="false" ht="14.25" hidden="false" customHeight="true" outlineLevel="0" collapsed="false">
      <c r="A189" s="2"/>
      <c r="B189" s="273"/>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ustomFormat="false" ht="14.25" hidden="false" customHeight="true" outlineLevel="0" collapsed="false">
      <c r="A190" s="2"/>
      <c r="B190" s="273"/>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ustomFormat="false" ht="14.25" hidden="false" customHeight="true" outlineLevel="0" collapsed="false">
      <c r="A191" s="2"/>
      <c r="B191" s="273"/>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ustomFormat="false" ht="14.25" hidden="false" customHeight="true" outlineLevel="0" collapsed="false">
      <c r="A192" s="2"/>
      <c r="B192" s="273"/>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ustomFormat="false" ht="14.25" hidden="false" customHeight="true" outlineLevel="0" collapsed="false">
      <c r="A193" s="2"/>
      <c r="B193" s="273"/>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ustomFormat="false" ht="14.25" hidden="false" customHeight="true" outlineLevel="0" collapsed="false">
      <c r="A194" s="2"/>
      <c r="B194" s="273"/>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ustomFormat="false" ht="14.25" hidden="false" customHeight="true" outlineLevel="0" collapsed="false">
      <c r="A195" s="2"/>
      <c r="B195" s="273"/>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ustomFormat="false" ht="14.25" hidden="false" customHeight="true" outlineLevel="0" collapsed="false">
      <c r="A196" s="2"/>
      <c r="B196" s="273"/>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ustomFormat="false" ht="14.25" hidden="false" customHeight="true" outlineLevel="0" collapsed="false">
      <c r="A197" s="2"/>
      <c r="B197" s="273"/>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ustomFormat="false" ht="14.25" hidden="false" customHeight="true" outlineLevel="0" collapsed="false">
      <c r="A198" s="2"/>
      <c r="B198" s="273"/>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ustomFormat="false" ht="14.25" hidden="false" customHeight="true" outlineLevel="0" collapsed="false">
      <c r="A199" s="2"/>
      <c r="B199" s="273"/>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ustomFormat="false" ht="14.25" hidden="false" customHeight="true" outlineLevel="0" collapsed="false">
      <c r="A200" s="2"/>
      <c r="B200" s="273"/>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ustomFormat="false" ht="14.25" hidden="false" customHeight="true" outlineLevel="0" collapsed="false">
      <c r="A201" s="2"/>
      <c r="B201" s="273"/>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ustomFormat="false" ht="14.25" hidden="false" customHeight="true" outlineLevel="0" collapsed="false">
      <c r="A202" s="2"/>
      <c r="B202" s="273"/>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ustomFormat="false" ht="14.25" hidden="false" customHeight="true" outlineLevel="0" collapsed="false">
      <c r="A203" s="2"/>
      <c r="B203" s="273"/>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ustomFormat="false" ht="14.25" hidden="false" customHeight="true" outlineLevel="0" collapsed="false">
      <c r="A204" s="2"/>
      <c r="B204" s="273"/>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ustomFormat="false" ht="14.25" hidden="false" customHeight="true" outlineLevel="0" collapsed="false">
      <c r="A205" s="2"/>
      <c r="B205" s="273"/>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ustomFormat="false" ht="14.25" hidden="false" customHeight="true" outlineLevel="0" collapsed="false">
      <c r="A206" s="2"/>
      <c r="B206" s="273"/>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ustomFormat="false" ht="14.25" hidden="false" customHeight="true" outlineLevel="0" collapsed="false">
      <c r="A207" s="2"/>
      <c r="B207" s="273"/>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ustomFormat="false" ht="14.25" hidden="false" customHeight="true" outlineLevel="0" collapsed="false">
      <c r="A208" s="2"/>
      <c r="B208" s="273"/>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ustomFormat="false" ht="14.25" hidden="false" customHeight="true" outlineLevel="0" collapsed="false">
      <c r="A209" s="2"/>
      <c r="B209" s="273"/>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ustomFormat="false" ht="14.25" hidden="false" customHeight="true" outlineLevel="0" collapsed="false">
      <c r="A210" s="2"/>
      <c r="B210" s="273"/>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ustomFormat="false" ht="14.25" hidden="false" customHeight="true" outlineLevel="0" collapsed="false">
      <c r="A211" s="2"/>
      <c r="B211" s="273"/>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ustomFormat="false" ht="14.25" hidden="false" customHeight="true" outlineLevel="0" collapsed="false">
      <c r="A212" s="2"/>
      <c r="B212" s="273"/>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ustomFormat="false" ht="14.25" hidden="false" customHeight="true" outlineLevel="0" collapsed="false">
      <c r="A213" s="2"/>
      <c r="B213" s="273"/>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ustomFormat="false" ht="14.25" hidden="false" customHeight="true" outlineLevel="0" collapsed="false">
      <c r="A214" s="2"/>
      <c r="B214" s="273"/>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ustomFormat="false" ht="14.25" hidden="false" customHeight="true" outlineLevel="0" collapsed="false">
      <c r="A215" s="2"/>
      <c r="B215" s="273"/>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ustomFormat="false" ht="14.25" hidden="false" customHeight="true" outlineLevel="0" collapsed="false">
      <c r="A216" s="2"/>
      <c r="B216" s="273"/>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ustomFormat="false" ht="14.25" hidden="false" customHeight="true" outlineLevel="0" collapsed="false">
      <c r="A217" s="2"/>
      <c r="B217" s="273"/>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ustomFormat="false" ht="14.25" hidden="false" customHeight="true" outlineLevel="0" collapsed="false">
      <c r="A218" s="2"/>
      <c r="B218" s="273"/>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ustomFormat="false" ht="14.25" hidden="false" customHeight="true" outlineLevel="0" collapsed="false">
      <c r="A219" s="2"/>
      <c r="B219" s="273"/>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ustomFormat="false" ht="14.25" hidden="false" customHeight="true" outlineLevel="0" collapsed="false">
      <c r="A220" s="2"/>
      <c r="B220" s="273"/>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ustomFormat="false" ht="14.25" hidden="false" customHeight="true" outlineLevel="0" collapsed="false">
      <c r="A221" s="2"/>
      <c r="B221" s="273"/>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ustomFormat="false" ht="14.25" hidden="false" customHeight="true" outlineLevel="0" collapsed="false">
      <c r="A222" s="2"/>
      <c r="B222" s="273"/>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ustomFormat="false" ht="14.25" hidden="false" customHeight="true" outlineLevel="0" collapsed="false">
      <c r="A223" s="2"/>
      <c r="B223" s="273"/>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ustomFormat="false" ht="14.25" hidden="false" customHeight="true" outlineLevel="0" collapsed="false">
      <c r="A224" s="2"/>
      <c r="B224" s="273"/>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ustomFormat="false" ht="14.25" hidden="false" customHeight="true" outlineLevel="0" collapsed="false">
      <c r="A225" s="2"/>
      <c r="B225" s="273"/>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ustomFormat="false" ht="14.25" hidden="false" customHeight="true" outlineLevel="0" collapsed="false">
      <c r="A226" s="2"/>
      <c r="B226" s="273"/>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ustomFormat="false" ht="14.25" hidden="false" customHeight="true" outlineLevel="0" collapsed="false">
      <c r="A227" s="2"/>
      <c r="B227" s="273"/>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ustomFormat="false" ht="14.25" hidden="false" customHeight="true" outlineLevel="0" collapsed="false">
      <c r="A228" s="2"/>
      <c r="B228" s="273"/>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ustomFormat="false" ht="14.25" hidden="false" customHeight="true" outlineLevel="0" collapsed="false">
      <c r="A229" s="2"/>
      <c r="B229" s="273"/>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ustomFormat="false" ht="14.25" hidden="false" customHeight="true" outlineLevel="0" collapsed="false">
      <c r="A230" s="2"/>
      <c r="B230" s="273"/>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ustomFormat="false" ht="14.25" hidden="false" customHeight="true" outlineLevel="0" collapsed="false">
      <c r="A231" s="2"/>
      <c r="B231" s="273"/>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ustomFormat="false" ht="14.25" hidden="false" customHeight="true" outlineLevel="0" collapsed="false">
      <c r="A232" s="2"/>
      <c r="B232" s="273"/>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ustomFormat="false" ht="14.25" hidden="false" customHeight="true" outlineLevel="0" collapsed="false">
      <c r="A233" s="2"/>
      <c r="B233" s="273"/>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ustomFormat="false" ht="14.25" hidden="false" customHeight="true" outlineLevel="0" collapsed="false">
      <c r="A234" s="2"/>
      <c r="B234" s="273"/>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ustomFormat="false" ht="14.25" hidden="false" customHeight="true" outlineLevel="0" collapsed="false">
      <c r="A235" s="2"/>
      <c r="B235" s="273"/>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ustomFormat="false" ht="14.25" hidden="false" customHeight="true" outlineLevel="0" collapsed="false">
      <c r="A236" s="2"/>
      <c r="B236" s="273"/>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ustomFormat="false" ht="14.25" hidden="false" customHeight="true" outlineLevel="0" collapsed="false">
      <c r="A237" s="2"/>
      <c r="B237" s="273"/>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ustomFormat="false" ht="14.25" hidden="false" customHeight="true" outlineLevel="0" collapsed="false">
      <c r="A238" s="2"/>
      <c r="B238" s="273"/>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ustomFormat="false" ht="14.25" hidden="false" customHeight="true" outlineLevel="0" collapsed="false">
      <c r="A239" s="2"/>
      <c r="B239" s="273"/>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ustomFormat="false" ht="14.25" hidden="false" customHeight="true" outlineLevel="0" collapsed="false">
      <c r="A240" s="2"/>
      <c r="B240" s="273"/>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ustomFormat="false" ht="14.25" hidden="false" customHeight="true" outlineLevel="0" collapsed="false">
      <c r="A241" s="2"/>
      <c r="B241" s="273"/>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ustomFormat="false" ht="14.25" hidden="false" customHeight="true" outlineLevel="0" collapsed="false">
      <c r="A242" s="2"/>
      <c r="B242" s="273"/>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ustomFormat="false" ht="14.25" hidden="false" customHeight="true" outlineLevel="0" collapsed="false">
      <c r="A243" s="2"/>
      <c r="B243" s="273"/>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ustomFormat="false" ht="14.25" hidden="false" customHeight="true" outlineLevel="0" collapsed="false">
      <c r="A244" s="2"/>
      <c r="B244" s="273"/>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ustomFormat="false" ht="14.25" hidden="false" customHeight="true" outlineLevel="0" collapsed="false">
      <c r="A245" s="2"/>
      <c r="B245" s="273"/>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ustomFormat="false" ht="14.25" hidden="false" customHeight="true" outlineLevel="0" collapsed="false">
      <c r="A246" s="2"/>
      <c r="B246" s="273"/>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ustomFormat="false" ht="14.25" hidden="false" customHeight="true" outlineLevel="0" collapsed="false">
      <c r="A247" s="2"/>
      <c r="B247" s="273"/>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ustomFormat="false" ht="14.25" hidden="false" customHeight="true" outlineLevel="0" collapsed="false">
      <c r="A248" s="2"/>
      <c r="B248" s="273"/>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ustomFormat="false" ht="14.25" hidden="false" customHeight="true" outlineLevel="0" collapsed="false">
      <c r="A249" s="2"/>
      <c r="B249" s="273"/>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ustomFormat="false" ht="14.25" hidden="false" customHeight="true" outlineLevel="0" collapsed="false">
      <c r="A250" s="2"/>
      <c r="B250" s="273"/>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ustomFormat="false" ht="14.25" hidden="false" customHeight="true" outlineLevel="0" collapsed="false">
      <c r="A251" s="2"/>
      <c r="B251" s="273"/>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ustomFormat="false" ht="14.25" hidden="false" customHeight="true" outlineLevel="0" collapsed="false">
      <c r="A252" s="2"/>
      <c r="B252" s="273"/>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ustomFormat="false" ht="14.25" hidden="false" customHeight="true" outlineLevel="0" collapsed="false">
      <c r="A253" s="2"/>
      <c r="B253" s="273"/>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ustomFormat="false" ht="14.25" hidden="false" customHeight="true" outlineLevel="0" collapsed="false">
      <c r="A254" s="2"/>
      <c r="B254" s="273"/>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ustomFormat="false" ht="14.25" hidden="false" customHeight="true" outlineLevel="0" collapsed="false">
      <c r="A255" s="2"/>
      <c r="B255" s="273"/>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ustomFormat="false" ht="14.25" hidden="false" customHeight="true" outlineLevel="0" collapsed="false">
      <c r="A256" s="2"/>
      <c r="B256" s="273"/>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ustomFormat="false" ht="14.25" hidden="false" customHeight="true" outlineLevel="0" collapsed="false">
      <c r="A257" s="2"/>
      <c r="B257" s="273"/>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ustomFormat="false" ht="14.25" hidden="false" customHeight="true" outlineLevel="0" collapsed="false">
      <c r="A258" s="2"/>
      <c r="B258" s="273"/>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ustomFormat="false" ht="14.25" hidden="false" customHeight="true" outlineLevel="0" collapsed="false">
      <c r="A259" s="2"/>
      <c r="B259" s="273"/>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ustomFormat="false" ht="14.25" hidden="false" customHeight="true" outlineLevel="0" collapsed="false">
      <c r="A260" s="2"/>
      <c r="B260" s="273"/>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ustomFormat="false" ht="14.25" hidden="false" customHeight="true" outlineLevel="0" collapsed="false">
      <c r="A261" s="2"/>
      <c r="B261" s="273"/>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ustomFormat="false" ht="14.25" hidden="false" customHeight="true" outlineLevel="0" collapsed="false">
      <c r="A262" s="2"/>
      <c r="B262" s="273"/>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ustomFormat="false" ht="14.25" hidden="false" customHeight="true" outlineLevel="0" collapsed="false">
      <c r="A263" s="2"/>
      <c r="B263" s="273"/>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ustomFormat="false" ht="14.25" hidden="false" customHeight="true" outlineLevel="0" collapsed="false">
      <c r="A264" s="2"/>
      <c r="B264" s="273"/>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ustomFormat="false" ht="14.25" hidden="false" customHeight="true" outlineLevel="0" collapsed="false">
      <c r="A265" s="2"/>
      <c r="B265" s="273"/>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ustomFormat="false" ht="14.25" hidden="false" customHeight="true" outlineLevel="0" collapsed="false">
      <c r="A266" s="2"/>
      <c r="B266" s="273"/>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ustomFormat="false" ht="14.25" hidden="false" customHeight="true" outlineLevel="0" collapsed="false">
      <c r="A267" s="2"/>
      <c r="B267" s="273"/>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ustomFormat="false" ht="14.25" hidden="false" customHeight="true" outlineLevel="0" collapsed="false">
      <c r="A268" s="2"/>
      <c r="B268" s="273"/>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ustomFormat="false" ht="14.25" hidden="false" customHeight="true" outlineLevel="0" collapsed="false">
      <c r="A269" s="2"/>
      <c r="B269" s="273"/>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ustomFormat="false" ht="14.25" hidden="false" customHeight="true" outlineLevel="0" collapsed="false">
      <c r="A270" s="2"/>
      <c r="B270" s="273"/>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ustomFormat="false" ht="14.25" hidden="false" customHeight="true" outlineLevel="0" collapsed="false">
      <c r="A271" s="2"/>
      <c r="B271" s="273"/>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ustomFormat="false" ht="14.25" hidden="false" customHeight="true" outlineLevel="0" collapsed="false">
      <c r="A272" s="2"/>
      <c r="B272" s="273"/>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ustomFormat="false" ht="14.25" hidden="false" customHeight="true" outlineLevel="0" collapsed="false">
      <c r="A273" s="2"/>
      <c r="B273" s="273"/>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ustomFormat="false" ht="14.25" hidden="false" customHeight="true" outlineLevel="0" collapsed="false">
      <c r="A274" s="2"/>
      <c r="B274" s="273"/>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ustomFormat="false" ht="14.25" hidden="false" customHeight="true" outlineLevel="0" collapsed="false">
      <c r="A275" s="2"/>
      <c r="B275" s="273"/>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ustomFormat="false" ht="14.25" hidden="false" customHeight="true" outlineLevel="0" collapsed="false">
      <c r="A276" s="2"/>
      <c r="B276" s="273"/>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ustomFormat="false" ht="14.25" hidden="false" customHeight="true" outlineLevel="0" collapsed="false">
      <c r="A277" s="2"/>
      <c r="B277" s="273"/>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ustomFormat="false" ht="14.25" hidden="false" customHeight="true" outlineLevel="0" collapsed="false">
      <c r="A278" s="2"/>
      <c r="B278" s="273"/>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ustomFormat="false" ht="14.25" hidden="false" customHeight="true" outlineLevel="0" collapsed="false">
      <c r="A279" s="2"/>
      <c r="B279" s="273"/>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ustomFormat="false" ht="14.25" hidden="false" customHeight="true" outlineLevel="0" collapsed="false">
      <c r="A280" s="2"/>
      <c r="B280" s="273"/>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ustomFormat="false" ht="14.25" hidden="false" customHeight="true" outlineLevel="0" collapsed="false">
      <c r="A281" s="2"/>
      <c r="B281" s="273"/>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ustomFormat="false" ht="14.25" hidden="false" customHeight="true" outlineLevel="0" collapsed="false">
      <c r="A282" s="2"/>
      <c r="B282" s="273"/>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ustomFormat="false" ht="14.25" hidden="false" customHeight="true" outlineLevel="0" collapsed="false">
      <c r="A283" s="2"/>
      <c r="B283" s="273"/>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ustomFormat="false" ht="14.25" hidden="false" customHeight="true" outlineLevel="0" collapsed="false">
      <c r="A284" s="2"/>
      <c r="B284" s="273"/>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ustomFormat="false" ht="14.25" hidden="false" customHeight="true" outlineLevel="0" collapsed="false">
      <c r="A285" s="2"/>
      <c r="B285" s="273"/>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ustomFormat="false" ht="14.25" hidden="false" customHeight="true" outlineLevel="0" collapsed="false">
      <c r="A286" s="2"/>
      <c r="B286" s="273"/>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ustomFormat="false" ht="14.25" hidden="false" customHeight="true" outlineLevel="0" collapsed="false">
      <c r="A287" s="2"/>
      <c r="B287" s="273"/>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ustomFormat="false" ht="14.25" hidden="false" customHeight="true" outlineLevel="0" collapsed="false">
      <c r="A288" s="2"/>
      <c r="B288" s="273"/>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ustomFormat="false" ht="14.25" hidden="false" customHeight="true" outlineLevel="0" collapsed="false">
      <c r="A289" s="2"/>
      <c r="B289" s="273"/>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ustomFormat="false" ht="14.25" hidden="false" customHeight="true" outlineLevel="0" collapsed="false">
      <c r="A290" s="2"/>
      <c r="B290" s="273"/>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ustomFormat="false" ht="14.25" hidden="false" customHeight="true" outlineLevel="0" collapsed="false">
      <c r="A291" s="2"/>
      <c r="B291" s="273"/>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ustomFormat="false" ht="14.25" hidden="false" customHeight="true" outlineLevel="0" collapsed="false">
      <c r="A292" s="2"/>
      <c r="B292" s="273"/>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ustomFormat="false" ht="14.25" hidden="false" customHeight="true" outlineLevel="0" collapsed="false">
      <c r="A293" s="2"/>
      <c r="B293" s="273"/>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ustomFormat="false" ht="14.25" hidden="false" customHeight="true" outlineLevel="0" collapsed="false">
      <c r="A294" s="2"/>
      <c r="B294" s="273"/>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ustomFormat="false" ht="14.25" hidden="false" customHeight="true" outlineLevel="0" collapsed="false">
      <c r="A295" s="2"/>
      <c r="B295" s="273"/>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ustomFormat="false" ht="14.25" hidden="false" customHeight="true" outlineLevel="0" collapsed="false">
      <c r="A296" s="2"/>
      <c r="B296" s="273"/>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ustomFormat="false" ht="14.25" hidden="false" customHeight="true" outlineLevel="0" collapsed="false">
      <c r="A297" s="2"/>
      <c r="B297" s="273"/>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ustomFormat="false" ht="14.25" hidden="false" customHeight="true" outlineLevel="0" collapsed="false">
      <c r="A298" s="2"/>
      <c r="B298" s="273"/>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ustomFormat="false" ht="14.25" hidden="false" customHeight="true" outlineLevel="0" collapsed="false">
      <c r="A299" s="2"/>
      <c r="B299" s="273"/>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ustomFormat="false" ht="14.25" hidden="false" customHeight="true" outlineLevel="0" collapsed="false">
      <c r="A300" s="2"/>
      <c r="B300" s="273"/>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ustomFormat="false" ht="14.25" hidden="false" customHeight="true" outlineLevel="0" collapsed="false">
      <c r="A301" s="2"/>
      <c r="B301" s="273"/>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ustomFormat="false" ht="14.25" hidden="false" customHeight="true" outlineLevel="0" collapsed="false">
      <c r="A302" s="2"/>
      <c r="B302" s="273"/>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ustomFormat="false" ht="14.25" hidden="false" customHeight="true" outlineLevel="0" collapsed="false">
      <c r="A303" s="2"/>
      <c r="B303" s="273"/>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ustomFormat="false" ht="14.25" hidden="false" customHeight="true" outlineLevel="0" collapsed="false">
      <c r="A304" s="2"/>
      <c r="B304" s="273"/>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ustomFormat="false" ht="14.25" hidden="false" customHeight="true" outlineLevel="0" collapsed="false">
      <c r="A305" s="2"/>
      <c r="B305" s="273"/>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ustomFormat="false" ht="14.25" hidden="false" customHeight="true" outlineLevel="0" collapsed="false">
      <c r="A306" s="2"/>
      <c r="B306" s="273"/>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ustomFormat="false" ht="14.25" hidden="false" customHeight="true" outlineLevel="0" collapsed="false">
      <c r="A307" s="2"/>
      <c r="B307" s="273"/>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ustomFormat="false" ht="14.25" hidden="false" customHeight="true" outlineLevel="0" collapsed="false">
      <c r="A308" s="2"/>
      <c r="B308" s="273"/>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ustomFormat="false" ht="14.25" hidden="false" customHeight="true" outlineLevel="0" collapsed="false">
      <c r="A309" s="2"/>
      <c r="B309" s="273"/>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ustomFormat="false" ht="14.25" hidden="false" customHeight="true" outlineLevel="0" collapsed="false">
      <c r="A310" s="2"/>
      <c r="B310" s="273"/>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sheetData>
  <mergeCells count="95">
    <mergeCell ref="A3:E3"/>
    <mergeCell ref="H3:L3"/>
    <mergeCell ref="S3:W3"/>
    <mergeCell ref="Y3:AC3"/>
    <mergeCell ref="A4:E4"/>
    <mergeCell ref="H4:L4"/>
    <mergeCell ref="S4:W4"/>
    <mergeCell ref="Y4:AC4"/>
    <mergeCell ref="A6:C6"/>
    <mergeCell ref="A13:A14"/>
    <mergeCell ref="A18:E18"/>
    <mergeCell ref="H18:L18"/>
    <mergeCell ref="S18:W18"/>
    <mergeCell ref="Y18:AC18"/>
    <mergeCell ref="S19:T19"/>
    <mergeCell ref="Y19:Z19"/>
    <mergeCell ref="S20:T20"/>
    <mergeCell ref="Y20:Z20"/>
    <mergeCell ref="Y21:Z21"/>
    <mergeCell ref="S22:T22"/>
    <mergeCell ref="Y22:Z22"/>
    <mergeCell ref="S23:T23"/>
    <mergeCell ref="Y23:Z23"/>
    <mergeCell ref="S24:T24"/>
    <mergeCell ref="Y24:Z24"/>
    <mergeCell ref="S25:T25"/>
    <mergeCell ref="Y25:Z25"/>
    <mergeCell ref="S26:T26"/>
    <mergeCell ref="Y26:Z26"/>
    <mergeCell ref="S27:T27"/>
    <mergeCell ref="Y27:Z27"/>
    <mergeCell ref="S28:T28"/>
    <mergeCell ref="Y28:Z28"/>
    <mergeCell ref="A32:C33"/>
    <mergeCell ref="H32:J33"/>
    <mergeCell ref="A37:E37"/>
    <mergeCell ref="H37:L37"/>
    <mergeCell ref="S37:W37"/>
    <mergeCell ref="Y37:AC37"/>
    <mergeCell ref="S38:T38"/>
    <mergeCell ref="Y38:Z38"/>
    <mergeCell ref="S39:T39"/>
    <mergeCell ref="Y39:Z39"/>
    <mergeCell ref="Y40:Z40"/>
    <mergeCell ref="Y41:Z41"/>
    <mergeCell ref="S42:T42"/>
    <mergeCell ref="Y42:Z42"/>
    <mergeCell ref="S43:T43"/>
    <mergeCell ref="Y43:Z43"/>
    <mergeCell ref="S44:T44"/>
    <mergeCell ref="Y44:Z44"/>
    <mergeCell ref="S45:T45"/>
    <mergeCell ref="Y45:Z45"/>
    <mergeCell ref="S46:T46"/>
    <mergeCell ref="Y46:Z46"/>
    <mergeCell ref="S47:T47"/>
    <mergeCell ref="Y47:Z47"/>
    <mergeCell ref="A51:C52"/>
    <mergeCell ref="H51:J52"/>
    <mergeCell ref="A56:E56"/>
    <mergeCell ref="H56:L56"/>
    <mergeCell ref="S56:W56"/>
    <mergeCell ref="Y56:AC56"/>
    <mergeCell ref="S57:T57"/>
    <mergeCell ref="Y57:Z57"/>
    <mergeCell ref="S58:T58"/>
    <mergeCell ref="Y58:Z58"/>
    <mergeCell ref="Y59:Z59"/>
    <mergeCell ref="Y60:Z60"/>
    <mergeCell ref="S61:T61"/>
    <mergeCell ref="Y61:Z61"/>
    <mergeCell ref="S62:T62"/>
    <mergeCell ref="Y62:Z62"/>
    <mergeCell ref="S63:T63"/>
    <mergeCell ref="Y63:Z63"/>
    <mergeCell ref="S64:T64"/>
    <mergeCell ref="Y64:Z64"/>
    <mergeCell ref="S65:T65"/>
    <mergeCell ref="Y65:Z65"/>
    <mergeCell ref="A70:C71"/>
    <mergeCell ref="H70:J71"/>
    <mergeCell ref="A77:E77"/>
    <mergeCell ref="A78:B79"/>
    <mergeCell ref="C78:D78"/>
    <mergeCell ref="E78:F78"/>
    <mergeCell ref="G78:H78"/>
    <mergeCell ref="I78:J78"/>
    <mergeCell ref="K78:L78"/>
    <mergeCell ref="M78:N78"/>
    <mergeCell ref="O78:P78"/>
    <mergeCell ref="Q78:R78"/>
    <mergeCell ref="S78:T78"/>
    <mergeCell ref="U78:V78"/>
    <mergeCell ref="W78:X78"/>
    <mergeCell ref="Y78:Z7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3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2.66796875" defaultRowHeight="15" customHeight="true" zeroHeight="false" outlineLevelRow="0" outlineLevelCol="0"/>
  <cols>
    <col collapsed="false" customWidth="true" hidden="false" outlineLevel="0" max="1" min="1" style="1" width="10"/>
    <col collapsed="false" customWidth="true" hidden="false" outlineLevel="0" max="2" min="2" style="1" width="30"/>
    <col collapsed="false" customWidth="true" hidden="false" outlineLevel="0" max="5" min="3" style="1" width="15"/>
    <col collapsed="false" customWidth="true" hidden="false" outlineLevel="0" max="6" min="6" style="1" width="3.16"/>
    <col collapsed="false" customWidth="true" hidden="false" outlineLevel="0" max="7" min="7" style="1" width="6.16"/>
    <col collapsed="false" customWidth="true" hidden="false" outlineLevel="0" max="8" min="8" style="1" width="2.34"/>
    <col collapsed="false" customWidth="true" hidden="false" outlineLevel="0" max="9" min="9" style="1" width="3.34"/>
    <col collapsed="false" customWidth="true" hidden="false" outlineLevel="0" max="25" min="10" style="1" width="10"/>
  </cols>
  <sheetData>
    <row r="1" customFormat="false" ht="15" hidden="false" customHeight="true" outlineLevel="0" collapsed="false">
      <c r="A1" s="9"/>
      <c r="B1" s="9"/>
      <c r="C1" s="9"/>
      <c r="D1" s="9"/>
      <c r="E1" s="272" t="s">
        <v>11</v>
      </c>
      <c r="F1" s="9"/>
      <c r="G1" s="389"/>
      <c r="H1" s="389"/>
      <c r="I1" s="9"/>
      <c r="J1" s="9"/>
      <c r="K1" s="9"/>
      <c r="L1" s="9"/>
      <c r="M1" s="9"/>
      <c r="N1" s="9"/>
      <c r="O1" s="9"/>
      <c r="P1" s="9"/>
      <c r="Q1" s="9"/>
      <c r="R1" s="9"/>
      <c r="S1" s="9"/>
      <c r="T1" s="9"/>
      <c r="U1" s="9"/>
      <c r="V1" s="9"/>
      <c r="W1" s="9"/>
      <c r="X1" s="9"/>
      <c r="Y1" s="2"/>
      <c r="Z1" s="2"/>
    </row>
    <row r="2" customFormat="false" ht="15" hidden="false" customHeight="true" outlineLevel="0" collapsed="false">
      <c r="A2" s="2"/>
      <c r="B2" s="2"/>
      <c r="C2" s="2"/>
      <c r="D2" s="2"/>
      <c r="E2" s="2"/>
      <c r="F2" s="2"/>
      <c r="G2" s="2"/>
      <c r="H2" s="2"/>
      <c r="I2" s="2"/>
      <c r="J2" s="2"/>
      <c r="K2" s="2"/>
      <c r="L2" s="2"/>
      <c r="M2" s="2"/>
      <c r="N2" s="2"/>
      <c r="O2" s="2"/>
      <c r="P2" s="2"/>
      <c r="Q2" s="2"/>
      <c r="R2" s="2"/>
      <c r="S2" s="2"/>
      <c r="T2" s="2"/>
      <c r="U2" s="2"/>
      <c r="V2" s="2"/>
      <c r="W2" s="2"/>
      <c r="X2" s="2"/>
      <c r="Y2" s="2"/>
      <c r="Z2" s="2"/>
    </row>
    <row r="3" customFormat="false" ht="15" hidden="false" customHeight="tru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15" hidden="false" customHeight="true" outlineLevel="0" collapsed="false">
      <c r="A4" s="2"/>
      <c r="B4" s="2"/>
      <c r="C4" s="2"/>
      <c r="D4" s="2"/>
      <c r="E4" s="2"/>
      <c r="F4" s="2"/>
      <c r="G4" s="2"/>
      <c r="H4" s="2"/>
      <c r="I4" s="2"/>
      <c r="J4" s="2"/>
      <c r="K4" s="2"/>
      <c r="L4" s="2"/>
      <c r="M4" s="2"/>
      <c r="N4" s="2"/>
      <c r="O4" s="2"/>
      <c r="P4" s="2"/>
      <c r="Q4" s="2"/>
      <c r="R4" s="2"/>
      <c r="S4" s="2"/>
      <c r="T4" s="2"/>
      <c r="U4" s="2"/>
      <c r="V4" s="2"/>
      <c r="W4" s="2"/>
      <c r="X4" s="2"/>
      <c r="Y4" s="2"/>
      <c r="Z4" s="2"/>
    </row>
    <row r="5" customFormat="false" ht="15" hidden="false" customHeight="true" outlineLevel="0" collapsed="false">
      <c r="A5" s="2"/>
      <c r="B5" s="2"/>
      <c r="C5" s="2"/>
      <c r="D5" s="2"/>
      <c r="E5" s="2"/>
      <c r="F5" s="2"/>
      <c r="G5" s="2"/>
      <c r="H5" s="2"/>
      <c r="I5" s="2"/>
      <c r="J5" s="2"/>
      <c r="K5" s="2"/>
      <c r="L5" s="2"/>
      <c r="M5" s="2"/>
      <c r="N5" s="2"/>
      <c r="O5" s="2"/>
      <c r="P5" s="2"/>
      <c r="Q5" s="2"/>
      <c r="R5" s="2"/>
      <c r="S5" s="2"/>
      <c r="T5" s="2"/>
      <c r="U5" s="2"/>
      <c r="V5" s="2"/>
      <c r="W5" s="2"/>
      <c r="X5" s="2"/>
      <c r="Y5" s="2"/>
      <c r="Z5" s="2"/>
    </row>
    <row r="6" customFormat="false" ht="15" hidden="false" customHeight="true" outlineLevel="0" collapsed="false">
      <c r="A6" s="2"/>
      <c r="B6" s="2"/>
      <c r="C6" s="2"/>
      <c r="D6" s="2"/>
      <c r="E6" s="2"/>
      <c r="F6" s="2"/>
      <c r="G6" s="2"/>
      <c r="H6" s="2"/>
      <c r="I6" s="2"/>
      <c r="J6" s="2"/>
      <c r="K6" s="2"/>
      <c r="L6" s="2"/>
      <c r="M6" s="2"/>
      <c r="N6" s="2"/>
      <c r="O6" s="2"/>
      <c r="P6" s="2"/>
      <c r="Q6" s="2"/>
      <c r="R6" s="2"/>
      <c r="S6" s="2"/>
      <c r="T6" s="2"/>
      <c r="U6" s="2"/>
      <c r="V6" s="2"/>
      <c r="W6" s="2"/>
      <c r="X6" s="2"/>
      <c r="Y6" s="2"/>
      <c r="Z6" s="2"/>
    </row>
    <row r="7" customFormat="false" ht="30" hidden="false" customHeight="true" outlineLevel="0" collapsed="false">
      <c r="A7" s="2"/>
      <c r="B7" s="12" t="s">
        <v>74</v>
      </c>
      <c r="C7" s="12"/>
      <c r="D7" s="12"/>
      <c r="E7" s="2"/>
      <c r="F7" s="2"/>
      <c r="G7" s="2"/>
      <c r="H7" s="2"/>
      <c r="I7" s="2"/>
      <c r="J7" s="2"/>
      <c r="K7" s="2"/>
      <c r="L7" s="2"/>
      <c r="M7" s="2"/>
      <c r="N7" s="2"/>
      <c r="O7" s="2"/>
      <c r="P7" s="2"/>
      <c r="Q7" s="2"/>
      <c r="R7" s="2"/>
      <c r="S7" s="2"/>
      <c r="T7" s="2"/>
      <c r="U7" s="2"/>
      <c r="V7" s="2"/>
      <c r="W7" s="2"/>
      <c r="X7" s="2"/>
      <c r="Y7" s="2"/>
      <c r="Z7" s="2"/>
    </row>
    <row r="8" customFormat="false" ht="15" hidden="false" customHeight="true" outlineLevel="0" collapsed="false">
      <c r="A8" s="2"/>
      <c r="B8" s="80" t="n">
        <v>2026</v>
      </c>
      <c r="C8" s="80" t="n">
        <v>2027</v>
      </c>
      <c r="D8" s="80" t="n">
        <v>2028</v>
      </c>
      <c r="E8" s="2"/>
      <c r="F8" s="2"/>
      <c r="G8" s="2"/>
      <c r="H8" s="2"/>
      <c r="I8" s="2"/>
      <c r="J8" s="2"/>
      <c r="K8" s="2"/>
      <c r="L8" s="2"/>
      <c r="M8" s="2"/>
      <c r="N8" s="2"/>
      <c r="O8" s="2"/>
      <c r="P8" s="2"/>
      <c r="Q8" s="2"/>
      <c r="R8" s="2"/>
      <c r="S8" s="2"/>
      <c r="T8" s="2"/>
      <c r="U8" s="2"/>
      <c r="V8" s="2"/>
      <c r="W8" s="2"/>
      <c r="X8" s="2"/>
      <c r="Y8" s="2"/>
      <c r="Z8" s="2"/>
    </row>
    <row r="9" customFormat="false" ht="15" hidden="false" customHeight="true" outlineLevel="0" collapsed="false">
      <c r="A9" s="2"/>
      <c r="B9" s="84" t="n">
        <f aca="false">Hipótesis!C24</f>
        <v>0.008</v>
      </c>
      <c r="C9" s="84" t="n">
        <f aca="false">Hipótesis!C25</f>
        <v>0.029</v>
      </c>
      <c r="D9" s="84" t="n">
        <f aca="false">Hipótesis!C26</f>
        <v>0.052</v>
      </c>
      <c r="E9" s="2"/>
      <c r="F9" s="2"/>
      <c r="G9" s="2"/>
      <c r="H9" s="2"/>
      <c r="I9" s="2"/>
      <c r="J9" s="2"/>
      <c r="K9" s="2"/>
      <c r="L9" s="2"/>
      <c r="M9" s="2"/>
      <c r="N9" s="2"/>
      <c r="O9" s="2"/>
      <c r="P9" s="2"/>
      <c r="Q9" s="2"/>
      <c r="R9" s="2"/>
      <c r="S9" s="2"/>
      <c r="T9" s="2"/>
      <c r="U9" s="2"/>
      <c r="V9" s="2"/>
      <c r="W9" s="2"/>
      <c r="X9" s="2"/>
      <c r="Y9" s="2"/>
      <c r="Z9" s="2"/>
    </row>
    <row r="10" customFormat="false" ht="15" hidden="false" customHeight="true" outlineLevel="0" collapsed="false">
      <c r="A10" s="2"/>
      <c r="B10" s="390" t="n">
        <f aca="false">Hipótesis!D24</f>
        <v>107520</v>
      </c>
      <c r="C10" s="390" t="n">
        <f aca="false">Hipótesis!D25</f>
        <v>389760</v>
      </c>
      <c r="D10" s="390" t="n">
        <f aca="false">Hipótesis!D26</f>
        <v>698880</v>
      </c>
      <c r="E10" s="2"/>
      <c r="F10" s="2"/>
      <c r="G10" s="2"/>
      <c r="H10" s="2"/>
      <c r="I10" s="2"/>
      <c r="J10" s="2"/>
      <c r="K10" s="2"/>
      <c r="L10" s="2"/>
      <c r="M10" s="2"/>
      <c r="N10" s="2"/>
      <c r="O10" s="2"/>
      <c r="P10" s="2"/>
      <c r="Q10" s="2"/>
      <c r="R10" s="2"/>
      <c r="S10" s="2"/>
      <c r="T10" s="2"/>
      <c r="U10" s="2"/>
      <c r="V10" s="2"/>
      <c r="W10" s="2"/>
      <c r="X10" s="2"/>
      <c r="Y10" s="2"/>
      <c r="Z10" s="2"/>
    </row>
    <row r="11" customFormat="false" ht="15" hidden="false" customHeight="true" outlineLevel="0" collapsed="false">
      <c r="A11" s="2"/>
      <c r="B11" s="2"/>
      <c r="C11" s="2"/>
      <c r="D11" s="2"/>
      <c r="E11" s="2"/>
      <c r="F11" s="2"/>
      <c r="G11" s="2"/>
      <c r="H11" s="2"/>
      <c r="I11" s="2"/>
      <c r="J11" s="2"/>
      <c r="K11" s="2"/>
      <c r="L11" s="2"/>
      <c r="M11" s="2"/>
      <c r="N11" s="2"/>
      <c r="O11" s="2"/>
      <c r="P11" s="2"/>
      <c r="Q11" s="2"/>
      <c r="R11" s="2"/>
      <c r="S11" s="2"/>
      <c r="T11" s="2"/>
      <c r="U11" s="2"/>
      <c r="V11" s="2"/>
      <c r="W11" s="2"/>
      <c r="X11" s="2"/>
      <c r="Y11" s="2"/>
      <c r="Z11" s="2"/>
    </row>
    <row r="12" customFormat="false" ht="15" hidden="false" customHeight="true" outlineLevel="0" collapsed="false">
      <c r="A12" s="2"/>
      <c r="B12" s="2"/>
      <c r="C12" s="2"/>
      <c r="D12" s="2"/>
      <c r="E12" s="2"/>
      <c r="F12" s="2"/>
      <c r="G12" s="2"/>
      <c r="H12" s="2"/>
      <c r="I12" s="2"/>
      <c r="J12" s="2"/>
      <c r="K12" s="2"/>
      <c r="L12" s="2"/>
      <c r="M12" s="2"/>
      <c r="N12" s="2"/>
      <c r="O12" s="2"/>
      <c r="P12" s="2"/>
      <c r="Q12" s="2"/>
      <c r="R12" s="2"/>
      <c r="S12" s="2"/>
      <c r="T12" s="2"/>
      <c r="U12" s="2"/>
      <c r="V12" s="2"/>
      <c r="W12" s="2"/>
      <c r="X12" s="2"/>
      <c r="Y12" s="2"/>
      <c r="Z12" s="2"/>
    </row>
    <row r="13" customFormat="false" ht="15" hidden="false" customHeight="true" outlineLevel="0" collapsed="false">
      <c r="A13" s="2"/>
      <c r="B13" s="2"/>
      <c r="C13" s="2"/>
      <c r="D13" s="2"/>
      <c r="E13" s="2"/>
      <c r="F13" s="2"/>
      <c r="G13" s="2"/>
      <c r="H13" s="2"/>
      <c r="I13" s="2"/>
      <c r="J13" s="2"/>
      <c r="K13" s="2"/>
      <c r="L13" s="2"/>
      <c r="M13" s="2"/>
      <c r="N13" s="2"/>
      <c r="O13" s="2"/>
      <c r="P13" s="2"/>
      <c r="Q13" s="2"/>
      <c r="R13" s="2"/>
      <c r="S13" s="2"/>
      <c r="T13" s="2"/>
      <c r="U13" s="2"/>
      <c r="V13" s="2"/>
      <c r="W13" s="2"/>
      <c r="X13" s="2"/>
      <c r="Y13" s="2"/>
      <c r="Z13" s="2"/>
    </row>
    <row r="14" customFormat="false" ht="15" hidden="false" customHeight="true" outlineLevel="0" collapsed="false">
      <c r="A14" s="2"/>
      <c r="B14" s="2"/>
      <c r="C14" s="2"/>
      <c r="D14" s="2"/>
      <c r="E14" s="2"/>
      <c r="F14" s="2"/>
      <c r="G14" s="2"/>
      <c r="H14" s="2"/>
      <c r="I14" s="2"/>
      <c r="J14" s="2"/>
      <c r="K14" s="2"/>
      <c r="L14" s="2"/>
      <c r="M14" s="2"/>
      <c r="N14" s="2"/>
      <c r="O14" s="2"/>
      <c r="P14" s="2"/>
      <c r="Q14" s="2"/>
      <c r="R14" s="2"/>
      <c r="S14" s="2"/>
      <c r="T14" s="2"/>
      <c r="U14" s="2"/>
      <c r="V14" s="2"/>
      <c r="W14" s="2"/>
      <c r="X14" s="2"/>
      <c r="Y14" s="2"/>
      <c r="Z14" s="2"/>
    </row>
    <row r="15" customFormat="false" ht="30" hidden="false" customHeight="true" outlineLevel="0" collapsed="false">
      <c r="A15" s="2"/>
      <c r="B15" s="391" t="s">
        <v>241</v>
      </c>
      <c r="C15" s="391"/>
      <c r="D15" s="391"/>
      <c r="E15" s="391"/>
      <c r="F15" s="2"/>
      <c r="G15" s="2"/>
      <c r="H15" s="2"/>
      <c r="I15" s="2"/>
      <c r="J15" s="2"/>
      <c r="K15" s="2"/>
      <c r="L15" s="2"/>
      <c r="M15" s="2"/>
      <c r="N15" s="2"/>
      <c r="O15" s="2"/>
      <c r="P15" s="2"/>
      <c r="Q15" s="2"/>
      <c r="R15" s="2"/>
      <c r="S15" s="2"/>
      <c r="T15" s="2"/>
      <c r="U15" s="2"/>
      <c r="V15" s="2"/>
      <c r="W15" s="2"/>
      <c r="X15" s="2"/>
      <c r="Y15" s="2"/>
      <c r="Z15" s="2"/>
    </row>
    <row r="16" customFormat="false" ht="15" hidden="false" customHeight="true" outlineLevel="0" collapsed="false">
      <c r="A16" s="2"/>
      <c r="B16" s="392" t="s">
        <v>56</v>
      </c>
      <c r="C16" s="393" t="s">
        <v>242</v>
      </c>
      <c r="D16" s="393" t="s">
        <v>243</v>
      </c>
      <c r="E16" s="394" t="s">
        <v>244</v>
      </c>
      <c r="F16" s="2"/>
      <c r="G16" s="2"/>
      <c r="H16" s="2"/>
      <c r="I16" s="2"/>
      <c r="J16" s="2"/>
      <c r="K16" s="2"/>
      <c r="L16" s="2"/>
      <c r="M16" s="2"/>
      <c r="N16" s="2"/>
      <c r="O16" s="2"/>
      <c r="P16" s="2"/>
      <c r="Q16" s="2"/>
      <c r="R16" s="2"/>
      <c r="S16" s="2"/>
      <c r="T16" s="2"/>
      <c r="U16" s="2"/>
      <c r="V16" s="2"/>
      <c r="W16" s="2"/>
      <c r="X16" s="2"/>
      <c r="Y16" s="2"/>
      <c r="Z16" s="2"/>
    </row>
    <row r="17" customFormat="false" ht="15" hidden="false" customHeight="true" outlineLevel="0" collapsed="false">
      <c r="A17" s="2"/>
      <c r="B17" s="100" t="str">
        <f aca="false">Hipótesis!$B$58</f>
        <v>Alta e instalación Plan Básico</v>
      </c>
      <c r="C17" s="395" t="n">
        <f aca="false">'Proy. ventas'!D19</f>
        <v>2960</v>
      </c>
      <c r="D17" s="395" t="n">
        <f aca="false">'Proy. ventas'!D82</f>
        <v>3520</v>
      </c>
      <c r="E17" s="396" t="n">
        <f aca="false">'Proy. ventas'!D144</f>
        <v>4720</v>
      </c>
      <c r="F17" s="2"/>
      <c r="G17" s="2"/>
      <c r="H17" s="2"/>
      <c r="I17" s="2"/>
      <c r="J17" s="2"/>
      <c r="K17" s="2"/>
      <c r="L17" s="2"/>
      <c r="M17" s="2"/>
      <c r="N17" s="2"/>
      <c r="O17" s="2"/>
      <c r="P17" s="2"/>
      <c r="Q17" s="2"/>
      <c r="R17" s="2"/>
      <c r="S17" s="2"/>
      <c r="T17" s="2"/>
      <c r="U17" s="2"/>
      <c r="V17" s="2"/>
      <c r="W17" s="2"/>
      <c r="X17" s="2"/>
      <c r="Y17" s="2"/>
      <c r="Z17" s="2"/>
    </row>
    <row r="18" customFormat="false" ht="15" hidden="false" customHeight="true" outlineLevel="0" collapsed="false">
      <c r="A18" s="2"/>
      <c r="B18" s="100" t="str">
        <f aca="false">Hipótesis!$B$59</f>
        <v>Alta e instalación Plan Vidriera</v>
      </c>
      <c r="C18" s="397" t="n">
        <f aca="false">'Proy. ventas'!D20</f>
        <v>20640</v>
      </c>
      <c r="D18" s="397" t="n">
        <f aca="false">'Proy. ventas'!D83</f>
        <v>25200</v>
      </c>
      <c r="E18" s="398" t="n">
        <f aca="false">'Proy. ventas'!D145</f>
        <v>33360</v>
      </c>
      <c r="F18" s="2"/>
      <c r="G18" s="2"/>
      <c r="H18" s="2"/>
      <c r="I18" s="2"/>
      <c r="J18" s="2"/>
      <c r="K18" s="2"/>
      <c r="L18" s="2"/>
      <c r="M18" s="2"/>
      <c r="N18" s="2"/>
      <c r="O18" s="2"/>
      <c r="P18" s="2"/>
      <c r="Q18" s="2"/>
      <c r="R18" s="2"/>
      <c r="S18" s="2"/>
      <c r="T18" s="2"/>
      <c r="U18" s="2"/>
      <c r="V18" s="2"/>
      <c r="W18" s="2"/>
      <c r="X18" s="2"/>
      <c r="Y18" s="2"/>
      <c r="Z18" s="2"/>
    </row>
    <row r="19" customFormat="false" ht="15" hidden="false" customHeight="true" outlineLevel="0" collapsed="false">
      <c r="A19" s="2"/>
      <c r="B19" s="100" t="str">
        <f aca="false">Hipótesis!$B$60</f>
        <v>Alta e instalación Plan Cadena</v>
      </c>
      <c r="C19" s="399" t="n">
        <f aca="false">'Proy. ventas'!D21</f>
        <v>11250</v>
      </c>
      <c r="D19" s="399" t="n">
        <f aca="false">'Proy. ventas'!D84</f>
        <v>12600</v>
      </c>
      <c r="E19" s="400" t="n">
        <f aca="false">'Proy. ventas'!D146</f>
        <v>18000</v>
      </c>
      <c r="F19" s="2"/>
      <c r="G19" s="2"/>
      <c r="H19" s="2"/>
      <c r="I19" s="2"/>
      <c r="J19" s="2"/>
      <c r="K19" s="2"/>
      <c r="L19" s="2"/>
      <c r="M19" s="2"/>
      <c r="N19" s="2"/>
      <c r="O19" s="2"/>
      <c r="P19" s="2"/>
      <c r="Q19" s="2"/>
      <c r="R19" s="2"/>
      <c r="S19" s="2"/>
      <c r="T19" s="2"/>
      <c r="U19" s="2"/>
      <c r="V19" s="2"/>
      <c r="W19" s="2"/>
      <c r="X19" s="2"/>
      <c r="Y19" s="2"/>
      <c r="Z19" s="2"/>
    </row>
    <row r="20" customFormat="false" ht="15" hidden="false" customHeight="true" outlineLevel="0" collapsed="false">
      <c r="A20" s="2"/>
      <c r="B20" s="114" t="str">
        <f aca="false">Hipótesis!$B$61</f>
        <v>Abono Plan Básico</v>
      </c>
      <c r="C20" s="401" t="n">
        <f aca="false">'Proy. ventas'!D22</f>
        <v>9735</v>
      </c>
      <c r="D20" s="401" t="n">
        <f aca="false">'Proy. ventas'!D85</f>
        <v>46992</v>
      </c>
      <c r="E20" s="402" t="n">
        <f aca="false">'Proy. ventas'!D147</f>
        <v>87681</v>
      </c>
      <c r="F20" s="2"/>
      <c r="G20" s="2"/>
      <c r="H20" s="2"/>
      <c r="I20" s="2"/>
      <c r="J20" s="2"/>
      <c r="K20" s="2"/>
      <c r="L20" s="2"/>
      <c r="M20" s="2"/>
      <c r="N20" s="2"/>
      <c r="O20" s="2"/>
      <c r="P20" s="2"/>
      <c r="Q20" s="2"/>
      <c r="R20" s="2"/>
      <c r="S20" s="2"/>
      <c r="T20" s="2"/>
      <c r="U20" s="2"/>
      <c r="V20" s="2"/>
      <c r="W20" s="2"/>
      <c r="X20" s="2"/>
      <c r="Y20" s="2"/>
      <c r="Z20" s="2"/>
    </row>
    <row r="21" customFormat="false" ht="15" hidden="false" customHeight="true" outlineLevel="0" collapsed="false">
      <c r="A21" s="2"/>
      <c r="B21" s="114" t="str">
        <f aca="false">Hipótesis!$B$62</f>
        <v>Abono Plan Vidriera</v>
      </c>
      <c r="C21" s="403" t="n">
        <f aca="false">'Proy. ventas'!D23</f>
        <v>44655</v>
      </c>
      <c r="D21" s="403" t="n">
        <f aca="false">'Proy. ventas'!D86</f>
        <v>217035</v>
      </c>
      <c r="E21" s="404" t="n">
        <f aca="false">'Proy. ventas'!D148</f>
        <v>407745</v>
      </c>
      <c r="F21" s="2"/>
      <c r="G21" s="2"/>
      <c r="H21" s="2"/>
      <c r="I21" s="2"/>
      <c r="J21" s="2"/>
      <c r="K21" s="2"/>
      <c r="L21" s="2"/>
      <c r="M21" s="2"/>
      <c r="N21" s="2"/>
      <c r="O21" s="2"/>
      <c r="P21" s="2"/>
      <c r="Q21" s="2"/>
      <c r="R21" s="2"/>
      <c r="S21" s="2"/>
      <c r="T21" s="2"/>
      <c r="U21" s="2"/>
      <c r="V21" s="2"/>
      <c r="W21" s="2"/>
      <c r="X21" s="2"/>
      <c r="Y21" s="2"/>
      <c r="Z21" s="2"/>
    </row>
    <row r="22" customFormat="false" ht="15" hidden="false" customHeight="true" outlineLevel="0" collapsed="false">
      <c r="A22" s="2"/>
      <c r="B22" s="114" t="str">
        <f aca="false">Hipótesis!$B$63</f>
        <v>Abono Plan Cadena</v>
      </c>
      <c r="C22" s="403" t="n">
        <f aca="false">'Proy. ventas'!D24</f>
        <v>16625</v>
      </c>
      <c r="D22" s="403" t="n">
        <f aca="false">'Proy. ventas'!D87</f>
        <v>81550</v>
      </c>
      <c r="E22" s="404" t="n">
        <f aca="false">'Proy. ventas'!D149</f>
        <v>154000</v>
      </c>
      <c r="F22" s="2"/>
      <c r="G22" s="2"/>
      <c r="H22" s="2"/>
      <c r="I22" s="2"/>
      <c r="J22" s="2"/>
      <c r="K22" s="2"/>
      <c r="L22" s="2"/>
      <c r="M22" s="2"/>
      <c r="N22" s="2"/>
      <c r="O22" s="2"/>
      <c r="P22" s="2"/>
      <c r="Q22" s="2"/>
      <c r="R22" s="2"/>
      <c r="S22" s="2"/>
      <c r="T22" s="2"/>
      <c r="U22" s="2"/>
      <c r="V22" s="2"/>
      <c r="W22" s="2"/>
      <c r="X22" s="2"/>
      <c r="Y22" s="2"/>
      <c r="Z22" s="2"/>
    </row>
    <row r="23" customFormat="false" ht="15" hidden="true" customHeight="true" outlineLevel="0" collapsed="false">
      <c r="A23" s="2"/>
      <c r="B23" s="405"/>
      <c r="C23" s="406"/>
      <c r="D23" s="406"/>
      <c r="E23" s="407"/>
      <c r="F23" s="2"/>
      <c r="G23" s="2"/>
      <c r="H23" s="2"/>
      <c r="I23" s="2"/>
      <c r="J23" s="2"/>
      <c r="K23" s="2"/>
      <c r="L23" s="2"/>
      <c r="M23" s="2"/>
      <c r="N23" s="2"/>
      <c r="O23" s="2"/>
      <c r="P23" s="2"/>
      <c r="Q23" s="2"/>
      <c r="R23" s="2"/>
      <c r="S23" s="2"/>
      <c r="T23" s="2"/>
      <c r="U23" s="2"/>
      <c r="V23" s="2"/>
      <c r="W23" s="2"/>
      <c r="X23" s="2"/>
      <c r="Y23" s="2"/>
      <c r="Z23" s="2"/>
    </row>
    <row r="24" customFormat="false" ht="15" hidden="true" customHeight="true" outlineLevel="0" collapsed="false">
      <c r="A24" s="2"/>
      <c r="B24" s="408"/>
      <c r="C24" s="409"/>
      <c r="D24" s="409"/>
      <c r="E24" s="410"/>
      <c r="F24" s="2"/>
      <c r="G24" s="2"/>
      <c r="H24" s="2"/>
      <c r="I24" s="2"/>
      <c r="J24" s="2"/>
      <c r="K24" s="2"/>
      <c r="L24" s="2"/>
      <c r="M24" s="2"/>
      <c r="N24" s="2"/>
      <c r="O24" s="2"/>
      <c r="P24" s="2"/>
      <c r="Q24" s="2"/>
      <c r="R24" s="2"/>
      <c r="S24" s="2"/>
      <c r="T24" s="2"/>
      <c r="U24" s="2"/>
      <c r="V24" s="2"/>
      <c r="W24" s="2"/>
      <c r="X24" s="2"/>
      <c r="Y24" s="2"/>
      <c r="Z24" s="2"/>
    </row>
    <row r="25" customFormat="false" ht="15" hidden="true" customHeight="true" outlineLevel="0" collapsed="false">
      <c r="A25" s="2"/>
      <c r="B25" s="411"/>
      <c r="C25" s="412"/>
      <c r="D25" s="412"/>
      <c r="E25" s="413"/>
      <c r="F25" s="2"/>
      <c r="G25" s="2"/>
      <c r="H25" s="2"/>
      <c r="I25" s="2"/>
      <c r="J25" s="2"/>
      <c r="K25" s="2"/>
      <c r="L25" s="2"/>
      <c r="M25" s="2"/>
      <c r="N25" s="2"/>
      <c r="O25" s="2"/>
      <c r="P25" s="2"/>
      <c r="Q25" s="2"/>
      <c r="R25" s="2"/>
      <c r="S25" s="2"/>
      <c r="T25" s="2"/>
      <c r="U25" s="2"/>
      <c r="V25" s="2"/>
      <c r="W25" s="2"/>
      <c r="X25" s="2"/>
      <c r="Y25" s="2"/>
      <c r="Z25" s="2"/>
    </row>
    <row r="26" customFormat="false" ht="15" hidden="true" customHeight="true" outlineLevel="0" collapsed="false">
      <c r="A26" s="2"/>
      <c r="B26" s="411"/>
      <c r="C26" s="412"/>
      <c r="D26" s="412"/>
      <c r="E26" s="413"/>
      <c r="F26" s="2"/>
      <c r="G26" s="2"/>
      <c r="H26" s="2"/>
      <c r="I26" s="2"/>
      <c r="J26" s="2"/>
      <c r="K26" s="2"/>
      <c r="L26" s="2"/>
      <c r="M26" s="2"/>
      <c r="N26" s="2"/>
      <c r="O26" s="2"/>
      <c r="P26" s="2"/>
      <c r="Q26" s="2"/>
      <c r="R26" s="2"/>
      <c r="S26" s="2"/>
      <c r="T26" s="2"/>
      <c r="U26" s="2"/>
      <c r="V26" s="2"/>
      <c r="W26" s="2"/>
      <c r="X26" s="2"/>
      <c r="Y26" s="2"/>
      <c r="Z26" s="2"/>
    </row>
    <row r="27" customFormat="false" ht="15" hidden="true" customHeight="true" outlineLevel="0" collapsed="false">
      <c r="A27" s="2"/>
      <c r="B27" s="411"/>
      <c r="C27" s="412"/>
      <c r="D27" s="412"/>
      <c r="E27" s="413"/>
      <c r="F27" s="2"/>
      <c r="G27" s="2"/>
      <c r="H27" s="2"/>
      <c r="I27" s="2"/>
      <c r="J27" s="2"/>
      <c r="K27" s="2"/>
      <c r="L27" s="2"/>
      <c r="M27" s="2"/>
      <c r="N27" s="2"/>
      <c r="O27" s="2"/>
      <c r="P27" s="2"/>
      <c r="Q27" s="2"/>
      <c r="R27" s="2"/>
      <c r="S27" s="2"/>
      <c r="T27" s="2"/>
      <c r="U27" s="2"/>
      <c r="V27" s="2"/>
      <c r="W27" s="2"/>
      <c r="X27" s="2"/>
      <c r="Y27" s="2"/>
      <c r="Z27" s="2"/>
    </row>
    <row r="28" customFormat="false" ht="15" hidden="true" customHeight="true" outlineLevel="0" collapsed="false">
      <c r="A28" s="2"/>
      <c r="B28" s="414"/>
      <c r="C28" s="415"/>
      <c r="D28" s="415"/>
      <c r="E28" s="416"/>
      <c r="F28" s="2"/>
      <c r="G28" s="2"/>
      <c r="H28" s="2"/>
      <c r="I28" s="2"/>
      <c r="J28" s="2"/>
      <c r="K28" s="2"/>
      <c r="L28" s="2"/>
      <c r="M28" s="2"/>
      <c r="N28" s="2"/>
      <c r="O28" s="2"/>
      <c r="P28" s="2"/>
      <c r="Q28" s="2"/>
      <c r="R28" s="2"/>
      <c r="S28" s="2"/>
      <c r="T28" s="2"/>
      <c r="U28" s="2"/>
      <c r="V28" s="2"/>
      <c r="W28" s="2"/>
      <c r="X28" s="2"/>
      <c r="Y28" s="2"/>
      <c r="Z28" s="2"/>
    </row>
    <row r="29" customFormat="false" ht="15" hidden="true" customHeight="true" outlineLevel="0" collapsed="false">
      <c r="A29" s="2"/>
      <c r="B29" s="417"/>
      <c r="C29" s="418"/>
      <c r="D29" s="418"/>
      <c r="E29" s="419"/>
      <c r="F29" s="2"/>
      <c r="G29" s="2"/>
      <c r="H29" s="2"/>
      <c r="I29" s="2"/>
      <c r="J29" s="2"/>
      <c r="K29" s="2"/>
      <c r="L29" s="2"/>
      <c r="M29" s="2"/>
      <c r="N29" s="2"/>
      <c r="O29" s="2"/>
      <c r="P29" s="2"/>
      <c r="Q29" s="2"/>
      <c r="R29" s="2"/>
      <c r="S29" s="2"/>
      <c r="T29" s="2"/>
      <c r="U29" s="2"/>
      <c r="V29" s="2"/>
      <c r="W29" s="2"/>
      <c r="X29" s="2"/>
      <c r="Y29" s="2"/>
      <c r="Z29" s="2"/>
    </row>
    <row r="30" customFormat="false" ht="14.25" hidden="false" customHeight="true" outlineLevel="0" collapsed="false">
      <c r="A30" s="2"/>
      <c r="B30" s="420" t="s">
        <v>234</v>
      </c>
      <c r="C30" s="421" t="n">
        <f aca="false">SUM(C17:C29)</f>
        <v>105865</v>
      </c>
      <c r="D30" s="421" t="n">
        <f aca="false">SUM(D17:D29)</f>
        <v>386897</v>
      </c>
      <c r="E30" s="421" t="n">
        <f aca="false">SUM(E17:E29)</f>
        <v>705506</v>
      </c>
      <c r="F30" s="2"/>
      <c r="G30" s="2"/>
      <c r="H30" s="2"/>
      <c r="I30" s="2"/>
      <c r="J30" s="2"/>
      <c r="K30" s="2"/>
      <c r="L30" s="2"/>
      <c r="M30" s="2"/>
      <c r="N30" s="2"/>
      <c r="O30" s="2"/>
      <c r="P30" s="2"/>
      <c r="Q30" s="2"/>
      <c r="R30" s="2"/>
      <c r="S30" s="2"/>
      <c r="T30" s="2"/>
      <c r="U30" s="2"/>
      <c r="V30" s="2"/>
      <c r="W30" s="2"/>
      <c r="X30" s="2"/>
      <c r="Y30" s="2"/>
      <c r="Z30" s="2"/>
    </row>
    <row r="31" customFormat="false" ht="14.2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4.2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4.2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4.2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4.2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4.2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4.2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4.2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4.2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4.2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4.2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4.2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4.2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4.2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4.2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4.2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4.2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4.2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4.2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4.2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4.2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4.2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4.2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4.2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4.2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4.2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4.2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4.2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4.2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4.2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4.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4.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4.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4.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4.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4.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4.2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4.2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4.2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4.2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sheetData>
  <mergeCells count="2">
    <mergeCell ref="B7:D7"/>
    <mergeCell ref="B15:E1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63"/>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A1" activeCellId="0" sqref="A1"/>
    </sheetView>
  </sheetViews>
  <sheetFormatPr defaultColWidth="12.66796875" defaultRowHeight="15" customHeight="true" zeroHeight="false" outlineLevelRow="0" outlineLevelCol="0"/>
  <cols>
    <col collapsed="false" customWidth="true" hidden="false" outlineLevel="0" max="1" min="1" style="1" width="10"/>
    <col collapsed="false" customWidth="true" hidden="false" outlineLevel="0" max="2" min="2" style="1" width="32.5"/>
    <col collapsed="false" customWidth="true" hidden="false" outlineLevel="0" max="3" min="3" style="1" width="47.5"/>
    <col collapsed="false" customWidth="true" hidden="false" outlineLevel="0" max="4" min="4" style="1" width="13.83"/>
    <col collapsed="false" customWidth="true" hidden="false" outlineLevel="0" max="5" min="5" style="1" width="14"/>
    <col collapsed="false" customWidth="true" hidden="false" outlineLevel="0" max="6" min="6" style="1" width="61.34"/>
    <col collapsed="false" customWidth="true" hidden="false" outlineLevel="0" max="7" min="7" style="1" width="29.16"/>
    <col collapsed="false" customWidth="true" hidden="false" outlineLevel="0" max="8" min="8" style="1" width="13"/>
    <col collapsed="false" customWidth="true" hidden="false" outlineLevel="0" max="9" min="9" style="1" width="13.16"/>
    <col collapsed="false" customWidth="true" hidden="false" outlineLevel="0" max="15" min="10" style="1" width="12.83"/>
    <col collapsed="false" customWidth="true" hidden="false" outlineLevel="0" max="16" min="16" style="1" width="13.83"/>
    <col collapsed="false" customWidth="true" hidden="false" outlineLevel="0" max="17" min="17" style="1" width="80"/>
    <col collapsed="false" customWidth="true" hidden="false" outlineLevel="0" max="26" min="18" style="1" width="10"/>
  </cols>
  <sheetData>
    <row r="1" customFormat="false" ht="45.75" hidden="false" customHeight="true" outlineLevel="0" collapsed="false">
      <c r="A1" s="9"/>
      <c r="B1" s="9"/>
      <c r="C1" s="9"/>
      <c r="D1" s="9"/>
      <c r="E1" s="9"/>
      <c r="F1" s="422" t="s">
        <v>12</v>
      </c>
      <c r="G1" s="389"/>
      <c r="H1" s="389"/>
      <c r="I1" s="9"/>
      <c r="J1" s="9"/>
      <c r="K1" s="9"/>
      <c r="L1" s="9"/>
      <c r="M1" s="9"/>
      <c r="N1" s="9"/>
      <c r="O1" s="9"/>
      <c r="P1" s="9"/>
      <c r="Q1" s="9"/>
      <c r="R1" s="2"/>
      <c r="S1" s="2"/>
      <c r="T1" s="2"/>
      <c r="U1" s="2"/>
      <c r="V1" s="2"/>
      <c r="W1" s="2"/>
      <c r="X1" s="2"/>
      <c r="Y1" s="2"/>
      <c r="Z1" s="2"/>
    </row>
    <row r="2" customFormat="false" ht="15" hidden="false" customHeight="true" outlineLevel="0" collapsed="false">
      <c r="A2" s="2"/>
      <c r="B2" s="2"/>
      <c r="C2" s="2"/>
      <c r="D2" s="2"/>
      <c r="E2" s="2"/>
      <c r="F2" s="2"/>
      <c r="G2" s="2"/>
      <c r="H2" s="2"/>
      <c r="I2" s="2"/>
      <c r="J2" s="2"/>
      <c r="K2" s="2"/>
      <c r="L2" s="2"/>
      <c r="M2" s="2"/>
      <c r="N2" s="2"/>
      <c r="O2" s="2"/>
      <c r="P2" s="2"/>
      <c r="Q2" s="2"/>
      <c r="R2" s="2"/>
      <c r="S2" s="2"/>
      <c r="T2" s="2"/>
      <c r="U2" s="2"/>
      <c r="V2" s="2"/>
      <c r="W2" s="2"/>
      <c r="X2" s="2"/>
      <c r="Y2" s="2"/>
      <c r="Z2" s="2"/>
    </row>
    <row r="3" customFormat="false" ht="15" hidden="false" customHeight="true" outlineLevel="0" collapsed="false">
      <c r="A3" s="2"/>
      <c r="B3" s="2"/>
      <c r="C3" s="423" t="s">
        <v>74</v>
      </c>
      <c r="D3" s="423"/>
      <c r="E3" s="423"/>
      <c r="F3" s="2"/>
      <c r="G3" s="423" t="s">
        <v>245</v>
      </c>
      <c r="H3" s="423"/>
      <c r="I3" s="423"/>
      <c r="J3" s="2"/>
      <c r="K3" s="2"/>
      <c r="L3" s="2"/>
      <c r="M3" s="2"/>
      <c r="N3" s="2"/>
      <c r="O3" s="2"/>
      <c r="P3" s="2"/>
      <c r="Q3" s="2"/>
      <c r="R3" s="2"/>
      <c r="S3" s="2"/>
      <c r="T3" s="2"/>
      <c r="U3" s="2"/>
      <c r="V3" s="2"/>
      <c r="W3" s="2"/>
      <c r="X3" s="2"/>
      <c r="Y3" s="2"/>
      <c r="Z3" s="2"/>
    </row>
    <row r="4" customFormat="false" ht="15" hidden="false" customHeight="true" outlineLevel="0" collapsed="false">
      <c r="A4" s="2"/>
      <c r="B4" s="2"/>
      <c r="C4" s="424" t="n">
        <v>2026</v>
      </c>
      <c r="D4" s="424" t="n">
        <v>2027</v>
      </c>
      <c r="E4" s="424" t="n">
        <v>2028</v>
      </c>
      <c r="F4" s="2"/>
      <c r="G4" s="424" t="n">
        <v>2026</v>
      </c>
      <c r="H4" s="424" t="n">
        <v>2027</v>
      </c>
      <c r="I4" s="424" t="n">
        <v>2028</v>
      </c>
      <c r="J4" s="2"/>
      <c r="K4" s="2"/>
      <c r="L4" s="2"/>
      <c r="M4" s="2"/>
      <c r="N4" s="2"/>
      <c r="O4" s="2"/>
      <c r="P4" s="2"/>
      <c r="Q4" s="2"/>
      <c r="R4" s="2"/>
      <c r="S4" s="2"/>
      <c r="T4" s="2"/>
      <c r="U4" s="2"/>
      <c r="V4" s="2"/>
      <c r="W4" s="2"/>
      <c r="X4" s="2"/>
      <c r="Y4" s="2"/>
      <c r="Z4" s="2"/>
    </row>
    <row r="5" customFormat="false" ht="15" hidden="false" customHeight="true" outlineLevel="0" collapsed="false">
      <c r="A5" s="2"/>
      <c r="B5" s="2"/>
      <c r="C5" s="425" t="n">
        <f aca="false">Hipótesis!C24</f>
        <v>0.008</v>
      </c>
      <c r="D5" s="425" t="n">
        <f aca="false">Hipótesis!C25</f>
        <v>0.029</v>
      </c>
      <c r="E5" s="425" t="n">
        <f aca="false">Hipótesis!C26</f>
        <v>0.052</v>
      </c>
      <c r="F5" s="2"/>
      <c r="G5" s="426" t="n">
        <f aca="false">P26</f>
        <v>32640</v>
      </c>
      <c r="H5" s="426" t="n">
        <f aca="false">P44</f>
        <v>77700</v>
      </c>
      <c r="I5" s="426" t="n">
        <f aca="false">P63</f>
        <v>106860</v>
      </c>
      <c r="J5" s="2"/>
      <c r="K5" s="2"/>
      <c r="L5" s="2"/>
      <c r="M5" s="2"/>
      <c r="N5" s="2"/>
      <c r="O5" s="2"/>
      <c r="P5" s="2"/>
      <c r="Q5" s="2"/>
      <c r="R5" s="2"/>
      <c r="S5" s="2"/>
      <c r="T5" s="2"/>
      <c r="U5" s="2"/>
      <c r="V5" s="2"/>
      <c r="W5" s="2"/>
      <c r="X5" s="2"/>
      <c r="Y5" s="2"/>
      <c r="Z5" s="2"/>
    </row>
    <row r="6" customFormat="false" ht="15" hidden="false" customHeight="true" outlineLevel="0" collapsed="false">
      <c r="A6" s="2"/>
      <c r="B6" s="2"/>
      <c r="C6" s="427" t="n">
        <f aca="false">Hipótesis!D24</f>
        <v>107520</v>
      </c>
      <c r="D6" s="427" t="n">
        <f aca="false">Hipótesis!D25</f>
        <v>389760</v>
      </c>
      <c r="E6" s="427" t="n">
        <f aca="false">Hipótesis!D26</f>
        <v>698880</v>
      </c>
      <c r="F6" s="2"/>
      <c r="G6" s="428"/>
      <c r="H6" s="428"/>
      <c r="I6" s="428"/>
      <c r="J6" s="2"/>
      <c r="K6" s="2"/>
      <c r="L6" s="2"/>
      <c r="M6" s="2"/>
      <c r="N6" s="2"/>
      <c r="O6" s="2"/>
      <c r="P6" s="2"/>
      <c r="Q6" s="2"/>
      <c r="R6" s="2"/>
      <c r="S6" s="2"/>
      <c r="T6" s="2"/>
      <c r="U6" s="2"/>
      <c r="V6" s="2"/>
      <c r="W6" s="2"/>
      <c r="X6" s="2"/>
      <c r="Y6" s="2"/>
      <c r="Z6" s="2"/>
    </row>
    <row r="7" customFormat="false" ht="15" hidden="false" customHeight="true" outlineLevel="0" collapsed="false">
      <c r="A7" s="2"/>
      <c r="B7" s="2"/>
      <c r="C7" s="2"/>
      <c r="D7" s="2"/>
      <c r="E7" s="2"/>
      <c r="F7" s="2"/>
      <c r="G7" s="423" t="s">
        <v>246</v>
      </c>
      <c r="H7" s="423"/>
      <c r="I7" s="423"/>
      <c r="J7" s="2"/>
      <c r="K7" s="2"/>
      <c r="L7" s="2"/>
      <c r="M7" s="2"/>
      <c r="N7" s="2"/>
      <c r="O7" s="2"/>
      <c r="P7" s="2"/>
      <c r="Q7" s="2"/>
      <c r="R7" s="2"/>
      <c r="S7" s="2"/>
      <c r="T7" s="2"/>
      <c r="U7" s="2"/>
      <c r="V7" s="2"/>
      <c r="W7" s="2"/>
      <c r="X7" s="2"/>
      <c r="Y7" s="2"/>
      <c r="Z7" s="2"/>
    </row>
    <row r="8" customFormat="false" ht="15" hidden="false" customHeight="true" outlineLevel="0" collapsed="false">
      <c r="A8" s="2"/>
      <c r="B8" s="2"/>
      <c r="C8" s="2"/>
      <c r="D8" s="2"/>
      <c r="E8" s="2"/>
      <c r="F8" s="2"/>
      <c r="G8" s="424" t="n">
        <v>2026</v>
      </c>
      <c r="H8" s="424" t="n">
        <v>2027</v>
      </c>
      <c r="I8" s="424" t="n">
        <v>2028</v>
      </c>
      <c r="J8" s="2"/>
      <c r="K8" s="2"/>
      <c r="L8" s="2"/>
      <c r="M8" s="2"/>
      <c r="N8" s="2"/>
      <c r="O8" s="2"/>
      <c r="P8" s="2"/>
      <c r="Q8" s="2"/>
      <c r="R8" s="2"/>
      <c r="S8" s="2"/>
      <c r="T8" s="2"/>
      <c r="U8" s="2"/>
      <c r="V8" s="2"/>
      <c r="W8" s="2"/>
      <c r="X8" s="2"/>
      <c r="Y8" s="2"/>
      <c r="Z8" s="2"/>
    </row>
    <row r="9" customFormat="false" ht="15" hidden="false" customHeight="true" outlineLevel="0" collapsed="false">
      <c r="A9" s="2"/>
      <c r="B9" s="2"/>
      <c r="C9" s="2"/>
      <c r="D9" s="2"/>
      <c r="E9" s="2"/>
      <c r="F9" s="2"/>
      <c r="G9" s="426" t="n">
        <f aca="false">SUM(P23:P24)</f>
        <v>2400</v>
      </c>
      <c r="H9" s="426" t="n">
        <f aca="false">SUM(P41:P42)</f>
        <v>33240</v>
      </c>
      <c r="I9" s="426" t="n">
        <f aca="false">SUM(P60:P61)</f>
        <v>52320</v>
      </c>
      <c r="J9" s="2"/>
      <c r="K9" s="2"/>
      <c r="L9" s="2"/>
      <c r="M9" s="2"/>
      <c r="N9" s="2"/>
      <c r="O9" s="2"/>
      <c r="P9" s="2"/>
      <c r="Q9" s="2"/>
      <c r="R9" s="2"/>
      <c r="S9" s="2"/>
      <c r="T9" s="2"/>
      <c r="U9" s="2"/>
      <c r="V9" s="2"/>
      <c r="W9" s="2"/>
      <c r="X9" s="2"/>
      <c r="Y9" s="2"/>
      <c r="Z9" s="2"/>
    </row>
    <row r="10" customFormat="false" ht="15" hidden="false" customHeight="true" outlineLevel="0" collapsed="false">
      <c r="A10" s="2"/>
      <c r="B10" s="2"/>
      <c r="C10" s="2"/>
      <c r="D10" s="2"/>
      <c r="E10" s="2"/>
      <c r="F10" s="2"/>
      <c r="G10" s="2"/>
      <c r="H10" s="2"/>
      <c r="I10" s="2"/>
      <c r="J10" s="2"/>
      <c r="K10" s="2"/>
      <c r="L10" s="2"/>
      <c r="M10" s="2"/>
      <c r="N10" s="2"/>
      <c r="O10" s="2"/>
      <c r="P10" s="2"/>
      <c r="Q10" s="2"/>
      <c r="R10" s="2"/>
      <c r="S10" s="2"/>
      <c r="T10" s="2"/>
      <c r="U10" s="2"/>
      <c r="V10" s="2"/>
      <c r="W10" s="2"/>
      <c r="X10" s="2"/>
      <c r="Y10" s="2"/>
      <c r="Z10" s="2"/>
    </row>
    <row r="11" customFormat="false" ht="15" hidden="false" customHeight="true" outlineLevel="0" collapsed="false">
      <c r="A11" s="2"/>
      <c r="B11" s="423" t="s">
        <v>247</v>
      </c>
      <c r="R11" s="2"/>
      <c r="S11" s="2"/>
      <c r="T11" s="2"/>
      <c r="U11" s="2"/>
      <c r="V11" s="2"/>
      <c r="W11" s="2"/>
      <c r="X11" s="2"/>
      <c r="Y11" s="2"/>
      <c r="Z11" s="2"/>
    </row>
    <row r="12" customFormat="false" ht="15" hidden="false" customHeight="true" outlineLevel="0" collapsed="false">
      <c r="A12" s="2"/>
      <c r="B12" s="424" t="s">
        <v>248</v>
      </c>
      <c r="C12" s="424" t="s">
        <v>98</v>
      </c>
      <c r="D12" s="424" t="s">
        <v>81</v>
      </c>
      <c r="E12" s="424" t="s">
        <v>82</v>
      </c>
      <c r="F12" s="424" t="s">
        <v>83</v>
      </c>
      <c r="G12" s="424" t="s">
        <v>84</v>
      </c>
      <c r="H12" s="424" t="s">
        <v>85</v>
      </c>
      <c r="I12" s="424" t="s">
        <v>86</v>
      </c>
      <c r="J12" s="424" t="s">
        <v>87</v>
      </c>
      <c r="K12" s="424" t="s">
        <v>88</v>
      </c>
      <c r="L12" s="424" t="s">
        <v>89</v>
      </c>
      <c r="M12" s="424" t="s">
        <v>90</v>
      </c>
      <c r="N12" s="424" t="s">
        <v>91</v>
      </c>
      <c r="O12" s="424" t="s">
        <v>92</v>
      </c>
      <c r="P12" s="424" t="s">
        <v>249</v>
      </c>
      <c r="Q12" s="424" t="s">
        <v>250</v>
      </c>
      <c r="R12" s="2"/>
      <c r="S12" s="2"/>
      <c r="T12" s="2"/>
      <c r="U12" s="2"/>
      <c r="V12" s="2"/>
      <c r="W12" s="2"/>
      <c r="X12" s="2"/>
      <c r="Y12" s="2"/>
      <c r="Z12" s="2"/>
    </row>
    <row r="13" customFormat="false" ht="15" hidden="false" customHeight="true" outlineLevel="0" collapsed="false">
      <c r="A13" s="2"/>
      <c r="B13" s="429" t="s">
        <v>251</v>
      </c>
      <c r="C13" s="429" t="s">
        <v>252</v>
      </c>
      <c r="D13" s="427" t="n">
        <v>45</v>
      </c>
      <c r="E13" s="427" t="n">
        <v>45</v>
      </c>
      <c r="F13" s="427" t="n">
        <v>45</v>
      </c>
      <c r="G13" s="427" t="n">
        <v>45</v>
      </c>
      <c r="H13" s="427" t="n">
        <v>45</v>
      </c>
      <c r="I13" s="427" t="n">
        <v>45</v>
      </c>
      <c r="J13" s="427" t="n">
        <v>45</v>
      </c>
      <c r="K13" s="427" t="n">
        <v>45</v>
      </c>
      <c r="L13" s="427" t="n">
        <v>45</v>
      </c>
      <c r="M13" s="427" t="n">
        <v>45</v>
      </c>
      <c r="N13" s="427" t="n">
        <v>45</v>
      </c>
      <c r="O13" s="427" t="n">
        <v>45</v>
      </c>
      <c r="P13" s="430" t="n">
        <f aca="false">SUM(D13:O13)</f>
        <v>540</v>
      </c>
      <c r="Q13" s="431"/>
      <c r="R13" s="2"/>
      <c r="S13" s="2"/>
      <c r="T13" s="2"/>
      <c r="U13" s="2"/>
      <c r="V13" s="2"/>
      <c r="W13" s="2"/>
      <c r="X13" s="2"/>
      <c r="Y13" s="2"/>
      <c r="Z13" s="2"/>
    </row>
    <row r="14" customFormat="false" ht="15" hidden="false" customHeight="true" outlineLevel="0" collapsed="false">
      <c r="A14" s="2"/>
      <c r="B14" s="429"/>
      <c r="C14" s="429" t="s">
        <v>253</v>
      </c>
      <c r="D14" s="427" t="n">
        <v>15</v>
      </c>
      <c r="E14" s="427" t="n">
        <v>15</v>
      </c>
      <c r="F14" s="427" t="n">
        <v>15</v>
      </c>
      <c r="G14" s="427" t="n">
        <v>15</v>
      </c>
      <c r="H14" s="427" t="n">
        <v>15</v>
      </c>
      <c r="I14" s="427" t="n">
        <v>15</v>
      </c>
      <c r="J14" s="427" t="n">
        <v>15</v>
      </c>
      <c r="K14" s="427" t="n">
        <v>15</v>
      </c>
      <c r="L14" s="427" t="n">
        <v>15</v>
      </c>
      <c r="M14" s="427" t="n">
        <v>15</v>
      </c>
      <c r="N14" s="427" t="n">
        <v>15</v>
      </c>
      <c r="O14" s="427" t="n">
        <v>15</v>
      </c>
      <c r="P14" s="430" t="n">
        <f aca="false">SUM(D14:O14)</f>
        <v>180</v>
      </c>
      <c r="Q14" s="431"/>
      <c r="R14" s="2"/>
      <c r="S14" s="2"/>
      <c r="T14" s="2"/>
      <c r="U14" s="2"/>
      <c r="V14" s="2"/>
      <c r="W14" s="2"/>
      <c r="X14" s="2"/>
      <c r="Y14" s="2"/>
      <c r="Z14" s="2"/>
    </row>
    <row r="15" customFormat="false" ht="15" hidden="false" customHeight="true" outlineLevel="0" collapsed="false">
      <c r="A15" s="2"/>
      <c r="B15" s="429"/>
      <c r="C15" s="429" t="s">
        <v>254</v>
      </c>
      <c r="D15" s="427" t="n">
        <v>60</v>
      </c>
      <c r="E15" s="427" t="n">
        <v>60</v>
      </c>
      <c r="F15" s="427" t="n">
        <v>60</v>
      </c>
      <c r="G15" s="427" t="n">
        <v>60</v>
      </c>
      <c r="H15" s="427" t="n">
        <v>60</v>
      </c>
      <c r="I15" s="427" t="n">
        <v>60</v>
      </c>
      <c r="J15" s="427" t="n">
        <v>60</v>
      </c>
      <c r="K15" s="427" t="n">
        <v>60</v>
      </c>
      <c r="L15" s="427" t="n">
        <v>60</v>
      </c>
      <c r="M15" s="427" t="n">
        <v>60</v>
      </c>
      <c r="N15" s="427" t="n">
        <v>60</v>
      </c>
      <c r="O15" s="427" t="n">
        <v>60</v>
      </c>
      <c r="P15" s="430" t="n">
        <f aca="false">SUM(D15:O15)</f>
        <v>720</v>
      </c>
      <c r="Q15" s="431"/>
      <c r="R15" s="2"/>
      <c r="S15" s="2"/>
      <c r="T15" s="2"/>
      <c r="U15" s="2"/>
      <c r="V15" s="2"/>
      <c r="W15" s="2"/>
      <c r="X15" s="2"/>
      <c r="Y15" s="2"/>
      <c r="Z15" s="2"/>
    </row>
    <row r="16" customFormat="false" ht="15" hidden="false" customHeight="true" outlineLevel="0" collapsed="false">
      <c r="A16" s="2"/>
      <c r="B16" s="429"/>
      <c r="C16" s="429" t="s">
        <v>255</v>
      </c>
      <c r="D16" s="427" t="n">
        <v>30</v>
      </c>
      <c r="E16" s="427" t="n">
        <v>30</v>
      </c>
      <c r="F16" s="427" t="n">
        <v>30</v>
      </c>
      <c r="G16" s="427" t="n">
        <v>30</v>
      </c>
      <c r="H16" s="427" t="n">
        <v>30</v>
      </c>
      <c r="I16" s="427" t="n">
        <v>30</v>
      </c>
      <c r="J16" s="427" t="n">
        <v>30</v>
      </c>
      <c r="K16" s="427" t="n">
        <v>30</v>
      </c>
      <c r="L16" s="427" t="n">
        <v>30</v>
      </c>
      <c r="M16" s="427" t="n">
        <v>30</v>
      </c>
      <c r="N16" s="427" t="n">
        <v>30</v>
      </c>
      <c r="O16" s="427" t="n">
        <v>30</v>
      </c>
      <c r="P16" s="430" t="n">
        <f aca="false">SUM(D16:O16)</f>
        <v>360</v>
      </c>
      <c r="Q16" s="431" t="s">
        <v>256</v>
      </c>
      <c r="R16" s="2"/>
      <c r="S16" s="2"/>
      <c r="T16" s="2"/>
      <c r="U16" s="2"/>
      <c r="V16" s="2"/>
      <c r="W16" s="2"/>
      <c r="X16" s="2"/>
      <c r="Y16" s="2"/>
      <c r="Z16" s="2"/>
    </row>
    <row r="17" customFormat="false" ht="15" hidden="false" customHeight="true" outlineLevel="0" collapsed="false">
      <c r="A17" s="2"/>
      <c r="B17" s="429"/>
      <c r="C17" s="429" t="s">
        <v>257</v>
      </c>
      <c r="D17" s="427" t="n">
        <v>250</v>
      </c>
      <c r="E17" s="427" t="n">
        <v>250</v>
      </c>
      <c r="F17" s="427" t="n">
        <v>250</v>
      </c>
      <c r="G17" s="427" t="n">
        <v>250</v>
      </c>
      <c r="H17" s="427" t="n">
        <v>250</v>
      </c>
      <c r="I17" s="427" t="n">
        <v>250</v>
      </c>
      <c r="J17" s="427" t="n">
        <v>250</v>
      </c>
      <c r="K17" s="427" t="n">
        <v>250</v>
      </c>
      <c r="L17" s="427" t="n">
        <v>250</v>
      </c>
      <c r="M17" s="427" t="n">
        <v>250</v>
      </c>
      <c r="N17" s="427" t="n">
        <v>250</v>
      </c>
      <c r="O17" s="427" t="n">
        <v>250</v>
      </c>
      <c r="P17" s="430" t="n">
        <f aca="false">SUM(D17:O17)</f>
        <v>3000</v>
      </c>
      <c r="Q17" s="431" t="s">
        <v>258</v>
      </c>
      <c r="R17" s="2"/>
      <c r="S17" s="2"/>
      <c r="T17" s="2"/>
      <c r="U17" s="2"/>
      <c r="V17" s="2"/>
      <c r="W17" s="2"/>
      <c r="X17" s="2"/>
      <c r="Y17" s="2"/>
      <c r="Z17" s="2"/>
    </row>
    <row r="18" customFormat="false" ht="15" hidden="false" customHeight="true" outlineLevel="0" collapsed="false">
      <c r="A18" s="2"/>
      <c r="B18" s="429"/>
      <c r="C18" s="429" t="s">
        <v>259</v>
      </c>
      <c r="D18" s="427" t="n">
        <v>120</v>
      </c>
      <c r="E18" s="427" t="n">
        <v>120</v>
      </c>
      <c r="F18" s="427" t="n">
        <v>120</v>
      </c>
      <c r="G18" s="427" t="n">
        <v>120</v>
      </c>
      <c r="H18" s="427" t="n">
        <v>120</v>
      </c>
      <c r="I18" s="427" t="n">
        <v>120</v>
      </c>
      <c r="J18" s="427" t="n">
        <v>120</v>
      </c>
      <c r="K18" s="427" t="n">
        <v>120</v>
      </c>
      <c r="L18" s="427" t="n">
        <v>120</v>
      </c>
      <c r="M18" s="427" t="n">
        <v>120</v>
      </c>
      <c r="N18" s="427" t="n">
        <v>120</v>
      </c>
      <c r="O18" s="427" t="n">
        <v>120</v>
      </c>
      <c r="P18" s="430" t="n">
        <f aca="false">SUM(D18:O18)</f>
        <v>1440</v>
      </c>
      <c r="Q18" s="431" t="s">
        <v>260</v>
      </c>
      <c r="R18" s="2"/>
      <c r="S18" s="2"/>
      <c r="T18" s="2"/>
      <c r="U18" s="2"/>
      <c r="V18" s="2"/>
      <c r="W18" s="2"/>
      <c r="X18" s="2"/>
      <c r="Y18" s="2"/>
      <c r="Z18" s="2"/>
    </row>
    <row r="19" customFormat="false" ht="15" hidden="false" customHeight="true" outlineLevel="0" collapsed="false">
      <c r="A19" s="2"/>
      <c r="B19" s="429" t="s">
        <v>261</v>
      </c>
      <c r="C19" s="429" t="s">
        <v>112</v>
      </c>
      <c r="D19" s="427" t="n">
        <v>600</v>
      </c>
      <c r="E19" s="427" t="n">
        <v>600</v>
      </c>
      <c r="F19" s="427" t="n">
        <v>600</v>
      </c>
      <c r="G19" s="427" t="n">
        <v>600</v>
      </c>
      <c r="H19" s="427" t="n">
        <v>600</v>
      </c>
      <c r="I19" s="427" t="n">
        <v>600</v>
      </c>
      <c r="J19" s="427" t="n">
        <v>600</v>
      </c>
      <c r="K19" s="427" t="n">
        <v>600</v>
      </c>
      <c r="L19" s="427" t="n">
        <v>600</v>
      </c>
      <c r="M19" s="427" t="n">
        <v>600</v>
      </c>
      <c r="N19" s="427" t="n">
        <v>600</v>
      </c>
      <c r="O19" s="427" t="n">
        <v>600</v>
      </c>
      <c r="P19" s="430" t="n">
        <f aca="false">SUM(D19:O19)</f>
        <v>7200</v>
      </c>
      <c r="Q19" s="431" t="s">
        <v>262</v>
      </c>
      <c r="R19" s="2"/>
      <c r="S19" s="2"/>
      <c r="T19" s="2"/>
      <c r="U19" s="2"/>
      <c r="V19" s="2"/>
      <c r="W19" s="2"/>
      <c r="X19" s="2"/>
      <c r="Y19" s="2"/>
      <c r="Z19" s="2"/>
    </row>
    <row r="20" customFormat="false" ht="15" hidden="false" customHeight="true" outlineLevel="0" collapsed="false">
      <c r="A20" s="2"/>
      <c r="B20" s="429"/>
      <c r="C20" s="429" t="s">
        <v>263</v>
      </c>
      <c r="D20" s="427" t="n">
        <v>0</v>
      </c>
      <c r="E20" s="427" t="n">
        <v>0</v>
      </c>
      <c r="F20" s="427" t="n">
        <v>0</v>
      </c>
      <c r="G20" s="427" t="n">
        <v>0</v>
      </c>
      <c r="H20" s="427" t="n">
        <v>0</v>
      </c>
      <c r="I20" s="427" t="n">
        <v>0</v>
      </c>
      <c r="J20" s="427" t="n">
        <v>0</v>
      </c>
      <c r="K20" s="427" t="n">
        <v>0</v>
      </c>
      <c r="L20" s="427" t="n">
        <v>0</v>
      </c>
      <c r="M20" s="427" t="n">
        <v>0</v>
      </c>
      <c r="N20" s="427" t="n">
        <v>0</v>
      </c>
      <c r="O20" s="427" t="n">
        <v>0</v>
      </c>
      <c r="P20" s="430" t="n">
        <f aca="false">SUM(D20:O20)</f>
        <v>0</v>
      </c>
      <c r="Q20" s="431" t="s">
        <v>264</v>
      </c>
      <c r="R20" s="2"/>
      <c r="S20" s="2"/>
      <c r="T20" s="2"/>
      <c r="U20" s="2"/>
      <c r="V20" s="2"/>
      <c r="W20" s="2"/>
      <c r="X20" s="2"/>
      <c r="Y20" s="2"/>
      <c r="Z20" s="2"/>
    </row>
    <row r="21" customFormat="false" ht="15" hidden="false" customHeight="true" outlineLevel="0" collapsed="false">
      <c r="A21" s="2"/>
      <c r="B21" s="429" t="s">
        <v>265</v>
      </c>
      <c r="C21" s="429" t="s">
        <v>266</v>
      </c>
      <c r="D21" s="427" t="n">
        <v>400</v>
      </c>
      <c r="E21" s="427" t="n">
        <v>400</v>
      </c>
      <c r="F21" s="427" t="n">
        <v>400</v>
      </c>
      <c r="G21" s="427" t="n">
        <v>400</v>
      </c>
      <c r="H21" s="427" t="n">
        <v>400</v>
      </c>
      <c r="I21" s="427" t="n">
        <v>400</v>
      </c>
      <c r="J21" s="427" t="n">
        <v>400</v>
      </c>
      <c r="K21" s="427" t="n">
        <v>400</v>
      </c>
      <c r="L21" s="427" t="n">
        <v>400</v>
      </c>
      <c r="M21" s="427" t="n">
        <v>400</v>
      </c>
      <c r="N21" s="427" t="n">
        <v>400</v>
      </c>
      <c r="O21" s="427" t="n">
        <v>400</v>
      </c>
      <c r="P21" s="430" t="n">
        <f aca="false">SUM(D21:O21)</f>
        <v>4800</v>
      </c>
      <c r="Q21" s="431" t="s">
        <v>267</v>
      </c>
      <c r="R21" s="2"/>
      <c r="S21" s="2"/>
      <c r="T21" s="2"/>
      <c r="U21" s="2"/>
      <c r="V21" s="2"/>
      <c r="W21" s="2"/>
      <c r="X21" s="2"/>
      <c r="Y21" s="2"/>
      <c r="Z21" s="2"/>
    </row>
    <row r="22" customFormat="false" ht="15" hidden="false" customHeight="true" outlineLevel="0" collapsed="false">
      <c r="A22" s="2"/>
      <c r="B22" s="429"/>
      <c r="C22" s="429" t="s">
        <v>268</v>
      </c>
      <c r="D22" s="427" t="n">
        <v>400</v>
      </c>
      <c r="E22" s="427" t="n">
        <v>400</v>
      </c>
      <c r="F22" s="427" t="n">
        <v>400</v>
      </c>
      <c r="G22" s="427" t="n">
        <v>400</v>
      </c>
      <c r="H22" s="427" t="n">
        <v>400</v>
      </c>
      <c r="I22" s="427" t="n">
        <v>400</v>
      </c>
      <c r="J22" s="427" t="n">
        <v>400</v>
      </c>
      <c r="K22" s="427" t="n">
        <v>400</v>
      </c>
      <c r="L22" s="427" t="n">
        <v>400</v>
      </c>
      <c r="M22" s="427" t="n">
        <v>400</v>
      </c>
      <c r="N22" s="427" t="n">
        <v>400</v>
      </c>
      <c r="O22" s="427" t="n">
        <v>400</v>
      </c>
      <c r="P22" s="430" t="n">
        <f aca="false">SUM(D22:O22)</f>
        <v>4800</v>
      </c>
      <c r="Q22" s="431" t="s">
        <v>269</v>
      </c>
      <c r="R22" s="2"/>
      <c r="S22" s="2"/>
      <c r="T22" s="2"/>
      <c r="U22" s="2"/>
      <c r="V22" s="2"/>
      <c r="W22" s="2"/>
      <c r="X22" s="2"/>
      <c r="Y22" s="2"/>
      <c r="Z22" s="2"/>
    </row>
    <row r="23" customFormat="false" ht="15" hidden="false" customHeight="true" outlineLevel="0" collapsed="false">
      <c r="A23" s="2"/>
      <c r="B23" s="429" t="s">
        <v>270</v>
      </c>
      <c r="C23" s="429" t="s">
        <v>271</v>
      </c>
      <c r="D23" s="427" t="n">
        <v>150</v>
      </c>
      <c r="E23" s="427" t="n">
        <v>150</v>
      </c>
      <c r="F23" s="427" t="n">
        <v>150</v>
      </c>
      <c r="G23" s="427" t="n">
        <v>150</v>
      </c>
      <c r="H23" s="427" t="n">
        <v>150</v>
      </c>
      <c r="I23" s="427" t="n">
        <v>150</v>
      </c>
      <c r="J23" s="427" t="n">
        <v>150</v>
      </c>
      <c r="K23" s="427" t="n">
        <v>150</v>
      </c>
      <c r="L23" s="427" t="n">
        <v>150</v>
      </c>
      <c r="M23" s="427" t="n">
        <v>150</v>
      </c>
      <c r="N23" s="427" t="n">
        <v>150</v>
      </c>
      <c r="O23" s="427" t="n">
        <v>150</v>
      </c>
      <c r="P23" s="430" t="n">
        <f aca="false">SUM(D23:O23)</f>
        <v>1800</v>
      </c>
      <c r="Q23" s="431" t="s">
        <v>272</v>
      </c>
      <c r="R23" s="2"/>
      <c r="S23" s="2"/>
      <c r="T23" s="2"/>
      <c r="U23" s="2"/>
      <c r="V23" s="2"/>
      <c r="W23" s="2"/>
      <c r="X23" s="2"/>
      <c r="Y23" s="2"/>
      <c r="Z23" s="2"/>
    </row>
    <row r="24" customFormat="false" ht="15" hidden="false" customHeight="true" outlineLevel="0" collapsed="false">
      <c r="A24" s="2"/>
      <c r="B24" s="429"/>
      <c r="C24" s="429" t="s">
        <v>273</v>
      </c>
      <c r="D24" s="427" t="n">
        <v>50</v>
      </c>
      <c r="E24" s="427" t="n">
        <v>50</v>
      </c>
      <c r="F24" s="427" t="n">
        <v>50</v>
      </c>
      <c r="G24" s="427" t="n">
        <v>50</v>
      </c>
      <c r="H24" s="427" t="n">
        <v>50</v>
      </c>
      <c r="I24" s="427" t="n">
        <v>50</v>
      </c>
      <c r="J24" s="427" t="n">
        <v>50</v>
      </c>
      <c r="K24" s="427" t="n">
        <v>50</v>
      </c>
      <c r="L24" s="427" t="n">
        <v>50</v>
      </c>
      <c r="M24" s="427" t="n">
        <v>50</v>
      </c>
      <c r="N24" s="427" t="n">
        <v>50</v>
      </c>
      <c r="O24" s="427" t="n">
        <v>50</v>
      </c>
      <c r="P24" s="430" t="n">
        <f aca="false">SUM(D24:O24)</f>
        <v>600</v>
      </c>
      <c r="Q24" s="431"/>
      <c r="R24" s="2"/>
      <c r="S24" s="2"/>
      <c r="T24" s="2"/>
      <c r="U24" s="2"/>
      <c r="V24" s="2"/>
      <c r="W24" s="2"/>
      <c r="X24" s="2"/>
      <c r="Y24" s="2"/>
      <c r="Z24" s="2"/>
    </row>
    <row r="25" customFormat="false" ht="15" hidden="false" customHeight="true" outlineLevel="0" collapsed="false">
      <c r="A25" s="2"/>
      <c r="B25" s="432"/>
      <c r="C25" s="429" t="s">
        <v>274</v>
      </c>
      <c r="D25" s="427" t="n">
        <v>600</v>
      </c>
      <c r="E25" s="427" t="n">
        <v>600</v>
      </c>
      <c r="F25" s="427" t="n">
        <v>600</v>
      </c>
      <c r="G25" s="427" t="n">
        <v>600</v>
      </c>
      <c r="H25" s="427" t="n">
        <v>600</v>
      </c>
      <c r="I25" s="427" t="n">
        <v>600</v>
      </c>
      <c r="J25" s="427" t="n">
        <v>600</v>
      </c>
      <c r="K25" s="427" t="n">
        <v>600</v>
      </c>
      <c r="L25" s="427" t="n">
        <v>600</v>
      </c>
      <c r="M25" s="427" t="n">
        <v>600</v>
      </c>
      <c r="N25" s="427" t="n">
        <v>600</v>
      </c>
      <c r="O25" s="427" t="n">
        <v>600</v>
      </c>
      <c r="P25" s="430" t="n">
        <f aca="false">SUM(D25:O25)</f>
        <v>7200</v>
      </c>
      <c r="Q25" s="431" t="s">
        <v>275</v>
      </c>
      <c r="R25" s="2"/>
      <c r="S25" s="2"/>
      <c r="T25" s="2"/>
      <c r="U25" s="2"/>
      <c r="V25" s="2"/>
      <c r="W25" s="2"/>
      <c r="X25" s="2"/>
      <c r="Y25" s="2"/>
      <c r="Z25" s="2"/>
    </row>
    <row r="26" customFormat="false" ht="15" hidden="false" customHeight="true" outlineLevel="0" collapsed="false">
      <c r="A26" s="2"/>
      <c r="B26" s="433" t="s">
        <v>276</v>
      </c>
      <c r="C26" s="434"/>
      <c r="D26" s="435" t="n">
        <f aca="false">SUM(D13:D25)</f>
        <v>2720</v>
      </c>
      <c r="E26" s="435" t="n">
        <f aca="false">SUM(E13:E25)</f>
        <v>2720</v>
      </c>
      <c r="F26" s="435" t="n">
        <f aca="false">SUM(F13:F25)</f>
        <v>2720</v>
      </c>
      <c r="G26" s="435" t="n">
        <f aca="false">SUM(G13:G25)</f>
        <v>2720</v>
      </c>
      <c r="H26" s="435" t="n">
        <f aca="false">SUM(H13:H25)</f>
        <v>2720</v>
      </c>
      <c r="I26" s="435" t="n">
        <f aca="false">SUM(I13:I25)</f>
        <v>2720</v>
      </c>
      <c r="J26" s="435" t="n">
        <f aca="false">SUM(J13:J25)</f>
        <v>2720</v>
      </c>
      <c r="K26" s="435" t="n">
        <f aca="false">SUM(K13:K25)</f>
        <v>2720</v>
      </c>
      <c r="L26" s="435" t="n">
        <f aca="false">SUM(L13:L25)</f>
        <v>2720</v>
      </c>
      <c r="M26" s="435" t="n">
        <f aca="false">SUM(M13:M25)</f>
        <v>2720</v>
      </c>
      <c r="N26" s="435" t="n">
        <f aca="false">SUM(N13:N25)</f>
        <v>2720</v>
      </c>
      <c r="O26" s="435" t="n">
        <f aca="false">SUM(O13:O25)</f>
        <v>2720</v>
      </c>
      <c r="P26" s="435" t="n">
        <f aca="false">SUM(D26:O26)</f>
        <v>32640</v>
      </c>
      <c r="Q26" s="434"/>
      <c r="R26" s="2"/>
      <c r="S26" s="2"/>
      <c r="T26" s="2"/>
      <c r="U26" s="2"/>
      <c r="V26" s="2"/>
      <c r="W26" s="2"/>
      <c r="X26" s="2"/>
      <c r="Y26" s="2"/>
      <c r="Z26" s="2"/>
    </row>
    <row r="27" customFormat="false" ht="15" hidden="false" customHeight="tru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5" hidden="false" customHeight="true" outlineLevel="0" collapsed="false">
      <c r="A29" s="2"/>
      <c r="B29" s="423" t="s">
        <v>277</v>
      </c>
      <c r="R29" s="2"/>
      <c r="S29" s="2"/>
      <c r="T29" s="2"/>
      <c r="U29" s="2"/>
      <c r="V29" s="2"/>
      <c r="W29" s="2"/>
      <c r="X29" s="2"/>
      <c r="Y29" s="2"/>
      <c r="Z29" s="2"/>
    </row>
    <row r="30" customFormat="false" ht="18" hidden="false" customHeight="true" outlineLevel="0" collapsed="false">
      <c r="A30" s="2"/>
      <c r="B30" s="424" t="s">
        <v>248</v>
      </c>
      <c r="C30" s="424" t="s">
        <v>98</v>
      </c>
      <c r="D30" s="424" t="s">
        <v>81</v>
      </c>
      <c r="E30" s="424" t="s">
        <v>82</v>
      </c>
      <c r="F30" s="424" t="s">
        <v>83</v>
      </c>
      <c r="G30" s="424" t="s">
        <v>84</v>
      </c>
      <c r="H30" s="424" t="s">
        <v>85</v>
      </c>
      <c r="I30" s="424" t="s">
        <v>86</v>
      </c>
      <c r="J30" s="424" t="s">
        <v>87</v>
      </c>
      <c r="K30" s="424" t="s">
        <v>88</v>
      </c>
      <c r="L30" s="424" t="s">
        <v>89</v>
      </c>
      <c r="M30" s="424" t="s">
        <v>90</v>
      </c>
      <c r="N30" s="424" t="s">
        <v>91</v>
      </c>
      <c r="O30" s="424" t="s">
        <v>92</v>
      </c>
      <c r="P30" s="424" t="s">
        <v>249</v>
      </c>
      <c r="Q30" s="424" t="s">
        <v>250</v>
      </c>
      <c r="R30" s="2"/>
      <c r="S30" s="2"/>
      <c r="T30" s="2"/>
      <c r="U30" s="2"/>
      <c r="V30" s="2"/>
      <c r="W30" s="2"/>
      <c r="X30" s="2"/>
      <c r="Y30" s="2"/>
      <c r="Z30" s="2"/>
    </row>
    <row r="31" customFormat="false" ht="14.25" hidden="false" customHeight="true" outlineLevel="0" collapsed="false">
      <c r="A31" s="2"/>
      <c r="B31" s="429" t="s">
        <v>251</v>
      </c>
      <c r="C31" s="429" t="s">
        <v>252</v>
      </c>
      <c r="D31" s="427" t="n">
        <v>45</v>
      </c>
      <c r="E31" s="427" t="n">
        <v>45</v>
      </c>
      <c r="F31" s="427" t="n">
        <v>45</v>
      </c>
      <c r="G31" s="427" t="n">
        <v>45</v>
      </c>
      <c r="H31" s="427" t="n">
        <v>45</v>
      </c>
      <c r="I31" s="427" t="n">
        <v>45</v>
      </c>
      <c r="J31" s="427" t="n">
        <v>45</v>
      </c>
      <c r="K31" s="427" t="n">
        <v>45</v>
      </c>
      <c r="L31" s="427" t="n">
        <v>45</v>
      </c>
      <c r="M31" s="427" t="n">
        <v>45</v>
      </c>
      <c r="N31" s="427" t="n">
        <v>45</v>
      </c>
      <c r="O31" s="427" t="n">
        <v>45</v>
      </c>
      <c r="P31" s="430" t="n">
        <f aca="false">SUM(D31:O31)</f>
        <v>540</v>
      </c>
      <c r="Q31" s="431"/>
      <c r="R31" s="2"/>
      <c r="S31" s="2"/>
      <c r="T31" s="2"/>
      <c r="U31" s="2"/>
      <c r="V31" s="2"/>
      <c r="W31" s="2"/>
      <c r="X31" s="2"/>
      <c r="Y31" s="2"/>
      <c r="Z31" s="2"/>
    </row>
    <row r="32" customFormat="false" ht="14.25" hidden="false" customHeight="true" outlineLevel="0" collapsed="false">
      <c r="A32" s="2"/>
      <c r="B32" s="429"/>
      <c r="C32" s="429" t="s">
        <v>253</v>
      </c>
      <c r="D32" s="427" t="n">
        <v>15</v>
      </c>
      <c r="E32" s="427" t="n">
        <v>15</v>
      </c>
      <c r="F32" s="427" t="n">
        <v>15</v>
      </c>
      <c r="G32" s="427" t="n">
        <v>15</v>
      </c>
      <c r="H32" s="427" t="n">
        <v>15</v>
      </c>
      <c r="I32" s="427" t="n">
        <v>15</v>
      </c>
      <c r="J32" s="427" t="n">
        <v>15</v>
      </c>
      <c r="K32" s="427" t="n">
        <v>15</v>
      </c>
      <c r="L32" s="427" t="n">
        <v>15</v>
      </c>
      <c r="M32" s="427" t="n">
        <v>15</v>
      </c>
      <c r="N32" s="427" t="n">
        <v>15</v>
      </c>
      <c r="O32" s="427" t="n">
        <v>15</v>
      </c>
      <c r="P32" s="430" t="n">
        <f aca="false">SUM(D32:O32)</f>
        <v>180</v>
      </c>
      <c r="Q32" s="431"/>
      <c r="R32" s="2"/>
      <c r="S32" s="2"/>
      <c r="T32" s="2"/>
      <c r="U32" s="2"/>
      <c r="V32" s="2"/>
      <c r="W32" s="2"/>
      <c r="X32" s="2"/>
      <c r="Y32" s="2"/>
      <c r="Z32" s="2"/>
    </row>
    <row r="33" customFormat="false" ht="14.25" hidden="false" customHeight="true" outlineLevel="0" collapsed="false">
      <c r="A33" s="2"/>
      <c r="B33" s="429"/>
      <c r="C33" s="429" t="s">
        <v>254</v>
      </c>
      <c r="D33" s="427" t="n">
        <v>60</v>
      </c>
      <c r="E33" s="427" t="n">
        <v>60</v>
      </c>
      <c r="F33" s="427" t="n">
        <v>60</v>
      </c>
      <c r="G33" s="427" t="n">
        <v>60</v>
      </c>
      <c r="H33" s="427" t="n">
        <v>60</v>
      </c>
      <c r="I33" s="427" t="n">
        <v>60</v>
      </c>
      <c r="J33" s="427" t="n">
        <v>60</v>
      </c>
      <c r="K33" s="427" t="n">
        <v>60</v>
      </c>
      <c r="L33" s="427" t="n">
        <v>60</v>
      </c>
      <c r="M33" s="427" t="n">
        <v>60</v>
      </c>
      <c r="N33" s="427" t="n">
        <v>60</v>
      </c>
      <c r="O33" s="427" t="n">
        <v>60</v>
      </c>
      <c r="P33" s="430" t="n">
        <f aca="false">SUM(D33:O33)</f>
        <v>720</v>
      </c>
      <c r="Q33" s="431"/>
      <c r="R33" s="2"/>
      <c r="S33" s="2"/>
      <c r="T33" s="2"/>
      <c r="U33" s="2"/>
      <c r="V33" s="2"/>
      <c r="W33" s="2"/>
      <c r="X33" s="2"/>
      <c r="Y33" s="2"/>
      <c r="Z33" s="2"/>
    </row>
    <row r="34" customFormat="false" ht="14.25" hidden="false" customHeight="true" outlineLevel="0" collapsed="false">
      <c r="A34" s="2"/>
      <c r="B34" s="429"/>
      <c r="C34" s="429" t="s">
        <v>255</v>
      </c>
      <c r="D34" s="427" t="n">
        <v>45</v>
      </c>
      <c r="E34" s="427" t="n">
        <v>45</v>
      </c>
      <c r="F34" s="427" t="n">
        <v>45</v>
      </c>
      <c r="G34" s="427" t="n">
        <v>45</v>
      </c>
      <c r="H34" s="427" t="n">
        <v>45</v>
      </c>
      <c r="I34" s="427" t="n">
        <v>45</v>
      </c>
      <c r="J34" s="427" t="n">
        <v>45</v>
      </c>
      <c r="K34" s="427" t="n">
        <v>45</v>
      </c>
      <c r="L34" s="427" t="n">
        <v>45</v>
      </c>
      <c r="M34" s="427" t="n">
        <v>45</v>
      </c>
      <c r="N34" s="427" t="n">
        <v>45</v>
      </c>
      <c r="O34" s="427" t="n">
        <v>45</v>
      </c>
      <c r="P34" s="430" t="n">
        <f aca="false">SUM(D34:O34)</f>
        <v>540</v>
      </c>
      <c r="Q34" s="431" t="s">
        <v>256</v>
      </c>
      <c r="R34" s="2"/>
      <c r="S34" s="2"/>
      <c r="T34" s="2"/>
      <c r="U34" s="2"/>
      <c r="V34" s="2"/>
      <c r="W34" s="2"/>
      <c r="X34" s="2"/>
      <c r="Y34" s="2"/>
      <c r="Z34" s="2"/>
    </row>
    <row r="35" customFormat="false" ht="14.25" hidden="false" customHeight="true" outlineLevel="0" collapsed="false">
      <c r="A35" s="2"/>
      <c r="B35" s="429"/>
      <c r="C35" s="429" t="s">
        <v>257</v>
      </c>
      <c r="D35" s="427" t="n">
        <v>350</v>
      </c>
      <c r="E35" s="427" t="n">
        <v>350</v>
      </c>
      <c r="F35" s="427" t="n">
        <v>350</v>
      </c>
      <c r="G35" s="427" t="n">
        <v>350</v>
      </c>
      <c r="H35" s="427" t="n">
        <v>350</v>
      </c>
      <c r="I35" s="427" t="n">
        <v>350</v>
      </c>
      <c r="J35" s="427" t="n">
        <v>350</v>
      </c>
      <c r="K35" s="427" t="n">
        <v>350</v>
      </c>
      <c r="L35" s="427" t="n">
        <v>350</v>
      </c>
      <c r="M35" s="427" t="n">
        <v>350</v>
      </c>
      <c r="N35" s="427" t="n">
        <v>350</v>
      </c>
      <c r="O35" s="427" t="n">
        <v>350</v>
      </c>
      <c r="P35" s="430" t="n">
        <f aca="false">SUM(D35:O35)</f>
        <v>4200</v>
      </c>
      <c r="Q35" s="431" t="s">
        <v>258</v>
      </c>
      <c r="R35" s="2"/>
      <c r="S35" s="2"/>
      <c r="T35" s="2"/>
      <c r="U35" s="2"/>
      <c r="V35" s="2"/>
      <c r="W35" s="2"/>
      <c r="X35" s="2"/>
      <c r="Y35" s="2"/>
      <c r="Z35" s="2"/>
    </row>
    <row r="36" customFormat="false" ht="14.25" hidden="false" customHeight="true" outlineLevel="0" collapsed="false">
      <c r="A36" s="2"/>
      <c r="B36" s="429"/>
      <c r="C36" s="429" t="s">
        <v>259</v>
      </c>
      <c r="D36" s="427" t="n">
        <v>140</v>
      </c>
      <c r="E36" s="427" t="n">
        <v>140</v>
      </c>
      <c r="F36" s="427" t="n">
        <v>140</v>
      </c>
      <c r="G36" s="427" t="n">
        <v>140</v>
      </c>
      <c r="H36" s="427" t="n">
        <v>140</v>
      </c>
      <c r="I36" s="427" t="n">
        <v>140</v>
      </c>
      <c r="J36" s="427" t="n">
        <v>140</v>
      </c>
      <c r="K36" s="427" t="n">
        <v>140</v>
      </c>
      <c r="L36" s="427" t="n">
        <v>140</v>
      </c>
      <c r="M36" s="427" t="n">
        <v>140</v>
      </c>
      <c r="N36" s="427" t="n">
        <v>140</v>
      </c>
      <c r="O36" s="427" t="n">
        <v>140</v>
      </c>
      <c r="P36" s="430" t="n">
        <f aca="false">SUM(D36:O36)</f>
        <v>1680</v>
      </c>
      <c r="Q36" s="431" t="s">
        <v>260</v>
      </c>
      <c r="R36" s="2"/>
      <c r="S36" s="2"/>
      <c r="T36" s="2"/>
      <c r="U36" s="2"/>
      <c r="V36" s="2"/>
      <c r="W36" s="2"/>
      <c r="X36" s="2"/>
      <c r="Y36" s="2"/>
      <c r="Z36" s="2"/>
    </row>
    <row r="37" customFormat="false" ht="14.25" hidden="false" customHeight="true" outlineLevel="0" collapsed="false">
      <c r="A37" s="2"/>
      <c r="B37" s="429" t="s">
        <v>261</v>
      </c>
      <c r="C37" s="429" t="s">
        <v>112</v>
      </c>
      <c r="D37" s="427" t="n">
        <v>600</v>
      </c>
      <c r="E37" s="427" t="n">
        <v>600</v>
      </c>
      <c r="F37" s="427" t="n">
        <v>600</v>
      </c>
      <c r="G37" s="427" t="n">
        <v>600</v>
      </c>
      <c r="H37" s="427" t="n">
        <v>600</v>
      </c>
      <c r="I37" s="427" t="n">
        <v>600</v>
      </c>
      <c r="J37" s="427" t="n">
        <v>600</v>
      </c>
      <c r="K37" s="427" t="n">
        <v>600</v>
      </c>
      <c r="L37" s="427" t="n">
        <v>600</v>
      </c>
      <c r="M37" s="427" t="n">
        <v>600</v>
      </c>
      <c r="N37" s="427" t="n">
        <v>600</v>
      </c>
      <c r="O37" s="427" t="n">
        <v>600</v>
      </c>
      <c r="P37" s="430" t="n">
        <f aca="false">SUM(D37:O37)</f>
        <v>7200</v>
      </c>
      <c r="Q37" s="431" t="s">
        <v>262</v>
      </c>
      <c r="R37" s="2"/>
      <c r="S37" s="2"/>
      <c r="T37" s="2"/>
      <c r="U37" s="2"/>
      <c r="V37" s="2"/>
      <c r="W37" s="2"/>
      <c r="X37" s="2"/>
      <c r="Y37" s="2"/>
      <c r="Z37" s="2"/>
    </row>
    <row r="38" customFormat="false" ht="14.25" hidden="false" customHeight="true" outlineLevel="0" collapsed="false">
      <c r="A38" s="2"/>
      <c r="B38" s="429"/>
      <c r="C38" s="429" t="s">
        <v>263</v>
      </c>
      <c r="D38" s="427" t="n">
        <v>400</v>
      </c>
      <c r="E38" s="427" t="n">
        <v>400</v>
      </c>
      <c r="F38" s="427" t="n">
        <v>400</v>
      </c>
      <c r="G38" s="427" t="n">
        <v>400</v>
      </c>
      <c r="H38" s="427" t="n">
        <v>400</v>
      </c>
      <c r="I38" s="427" t="n">
        <v>400</v>
      </c>
      <c r="J38" s="427" t="n">
        <v>400</v>
      </c>
      <c r="K38" s="427" t="n">
        <v>400</v>
      </c>
      <c r="L38" s="427" t="n">
        <v>400</v>
      </c>
      <c r="M38" s="427" t="n">
        <v>400</v>
      </c>
      <c r="N38" s="427" t="n">
        <v>400</v>
      </c>
      <c r="O38" s="427" t="n">
        <v>400</v>
      </c>
      <c r="P38" s="430" t="n">
        <f aca="false">SUM(D38:O38)</f>
        <v>4800</v>
      </c>
      <c r="Q38" s="431" t="s">
        <v>264</v>
      </c>
      <c r="R38" s="2"/>
      <c r="S38" s="2"/>
      <c r="T38" s="2"/>
      <c r="U38" s="2"/>
      <c r="V38" s="2"/>
      <c r="W38" s="2"/>
      <c r="X38" s="2"/>
      <c r="Y38" s="2"/>
      <c r="Z38" s="2"/>
    </row>
    <row r="39" customFormat="false" ht="14.25" hidden="false" customHeight="true" outlineLevel="0" collapsed="false">
      <c r="A39" s="2"/>
      <c r="B39" s="429" t="s">
        <v>265</v>
      </c>
      <c r="C39" s="429" t="s">
        <v>266</v>
      </c>
      <c r="D39" s="427" t="n">
        <v>450</v>
      </c>
      <c r="E39" s="427" t="n">
        <v>450</v>
      </c>
      <c r="F39" s="427" t="n">
        <v>450</v>
      </c>
      <c r="G39" s="427" t="n">
        <v>450</v>
      </c>
      <c r="H39" s="427" t="n">
        <v>450</v>
      </c>
      <c r="I39" s="427" t="n">
        <v>450</v>
      </c>
      <c r="J39" s="427" t="n">
        <v>450</v>
      </c>
      <c r="K39" s="427" t="n">
        <v>450</v>
      </c>
      <c r="L39" s="427" t="n">
        <v>450</v>
      </c>
      <c r="M39" s="427" t="n">
        <v>450</v>
      </c>
      <c r="N39" s="427" t="n">
        <v>450</v>
      </c>
      <c r="O39" s="427" t="n">
        <v>450</v>
      </c>
      <c r="P39" s="430" t="n">
        <f aca="false">SUM(D39:O39)</f>
        <v>5400</v>
      </c>
      <c r="Q39" s="431" t="s">
        <v>267</v>
      </c>
      <c r="R39" s="2"/>
      <c r="S39" s="2"/>
      <c r="T39" s="2"/>
      <c r="U39" s="2"/>
      <c r="V39" s="2"/>
      <c r="W39" s="2"/>
      <c r="X39" s="2"/>
      <c r="Y39" s="2"/>
      <c r="Z39" s="2"/>
    </row>
    <row r="40" customFormat="false" ht="14.25" hidden="false" customHeight="true" outlineLevel="0" collapsed="false">
      <c r="A40" s="2"/>
      <c r="B40" s="429"/>
      <c r="C40" s="429" t="s">
        <v>268</v>
      </c>
      <c r="D40" s="427" t="n">
        <v>400</v>
      </c>
      <c r="E40" s="427" t="n">
        <v>400</v>
      </c>
      <c r="F40" s="427" t="n">
        <v>400</v>
      </c>
      <c r="G40" s="427" t="n">
        <v>400</v>
      </c>
      <c r="H40" s="427" t="n">
        <v>400</v>
      </c>
      <c r="I40" s="427" t="n">
        <v>400</v>
      </c>
      <c r="J40" s="427" t="n">
        <v>400</v>
      </c>
      <c r="K40" s="427" t="n">
        <v>400</v>
      </c>
      <c r="L40" s="427" t="n">
        <v>400</v>
      </c>
      <c r="M40" s="427" t="n">
        <v>400</v>
      </c>
      <c r="N40" s="427" t="n">
        <v>400</v>
      </c>
      <c r="O40" s="427" t="n">
        <v>400</v>
      </c>
      <c r="P40" s="430" t="n">
        <f aca="false">SUM(D40:O40)</f>
        <v>4800</v>
      </c>
      <c r="Q40" s="431" t="s">
        <v>269</v>
      </c>
      <c r="R40" s="2"/>
      <c r="S40" s="2"/>
      <c r="T40" s="2"/>
      <c r="U40" s="2"/>
      <c r="V40" s="2"/>
      <c r="W40" s="2"/>
      <c r="X40" s="2"/>
      <c r="Y40" s="2"/>
      <c r="Z40" s="2"/>
    </row>
    <row r="41" customFormat="false" ht="14.25" hidden="false" customHeight="true" outlineLevel="0" collapsed="false">
      <c r="A41" s="2"/>
      <c r="B41" s="429" t="s">
        <v>270</v>
      </c>
      <c r="C41" s="429" t="s">
        <v>271</v>
      </c>
      <c r="D41" s="427" t="n">
        <v>2720</v>
      </c>
      <c r="E41" s="427" t="n">
        <v>2720</v>
      </c>
      <c r="F41" s="427" t="n">
        <v>2720</v>
      </c>
      <c r="G41" s="427" t="n">
        <v>2720</v>
      </c>
      <c r="H41" s="427" t="n">
        <v>2720</v>
      </c>
      <c r="I41" s="427" t="n">
        <v>2720</v>
      </c>
      <c r="J41" s="427" t="n">
        <v>2720</v>
      </c>
      <c r="K41" s="427" t="n">
        <v>2720</v>
      </c>
      <c r="L41" s="427" t="n">
        <v>2720</v>
      </c>
      <c r="M41" s="427" t="n">
        <v>2720</v>
      </c>
      <c r="N41" s="427" t="n">
        <v>2720</v>
      </c>
      <c r="O41" s="427" t="n">
        <v>2720</v>
      </c>
      <c r="P41" s="430" t="n">
        <f aca="false">SUM(D41:O41)</f>
        <v>32640</v>
      </c>
      <c r="Q41" s="431" t="s">
        <v>272</v>
      </c>
      <c r="R41" s="2"/>
      <c r="S41" s="2"/>
      <c r="T41" s="2"/>
      <c r="U41" s="2"/>
      <c r="V41" s="2"/>
      <c r="W41" s="2"/>
      <c r="X41" s="2"/>
      <c r="Y41" s="2"/>
      <c r="Z41" s="2"/>
    </row>
    <row r="42" customFormat="false" ht="14.25" hidden="false" customHeight="true" outlineLevel="0" collapsed="false">
      <c r="A42" s="2"/>
      <c r="B42" s="429"/>
      <c r="C42" s="429" t="s">
        <v>273</v>
      </c>
      <c r="D42" s="427" t="n">
        <v>50</v>
      </c>
      <c r="E42" s="427" t="n">
        <v>50</v>
      </c>
      <c r="F42" s="427" t="n">
        <v>50</v>
      </c>
      <c r="G42" s="427" t="n">
        <v>50</v>
      </c>
      <c r="H42" s="427" t="n">
        <v>50</v>
      </c>
      <c r="I42" s="427" t="n">
        <v>50</v>
      </c>
      <c r="J42" s="427" t="n">
        <v>50</v>
      </c>
      <c r="K42" s="427" t="n">
        <v>50</v>
      </c>
      <c r="L42" s="427" t="n">
        <v>50</v>
      </c>
      <c r="M42" s="427" t="n">
        <v>50</v>
      </c>
      <c r="N42" s="427" t="n">
        <v>50</v>
      </c>
      <c r="O42" s="427" t="n">
        <v>50</v>
      </c>
      <c r="P42" s="430" t="n">
        <f aca="false">SUM(D42:O42)</f>
        <v>600</v>
      </c>
      <c r="Q42" s="431"/>
      <c r="R42" s="2"/>
      <c r="S42" s="2"/>
      <c r="T42" s="2"/>
      <c r="U42" s="2"/>
      <c r="V42" s="2"/>
      <c r="W42" s="2"/>
      <c r="X42" s="2"/>
      <c r="Y42" s="2"/>
      <c r="Z42" s="2"/>
    </row>
    <row r="43" customFormat="false" ht="14.25" hidden="false" customHeight="true" outlineLevel="0" collapsed="false">
      <c r="A43" s="2"/>
      <c r="B43" s="432"/>
      <c r="C43" s="429" t="s">
        <v>274</v>
      </c>
      <c r="D43" s="427" t="n">
        <v>1200</v>
      </c>
      <c r="E43" s="427" t="n">
        <v>1200</v>
      </c>
      <c r="F43" s="427" t="n">
        <v>1200</v>
      </c>
      <c r="G43" s="427" t="n">
        <v>1200</v>
      </c>
      <c r="H43" s="427" t="n">
        <v>1200</v>
      </c>
      <c r="I43" s="427" t="n">
        <v>1200</v>
      </c>
      <c r="J43" s="427" t="n">
        <v>1200</v>
      </c>
      <c r="K43" s="427" t="n">
        <v>1200</v>
      </c>
      <c r="L43" s="427" t="n">
        <v>1200</v>
      </c>
      <c r="M43" s="427" t="n">
        <v>1200</v>
      </c>
      <c r="N43" s="427" t="n">
        <v>1200</v>
      </c>
      <c r="O43" s="427" t="n">
        <v>1200</v>
      </c>
      <c r="P43" s="430" t="n">
        <f aca="false">SUM(D43:O43)</f>
        <v>14400</v>
      </c>
      <c r="Q43" s="431" t="s">
        <v>275</v>
      </c>
      <c r="R43" s="2"/>
      <c r="S43" s="2"/>
      <c r="T43" s="2"/>
      <c r="U43" s="2"/>
      <c r="V43" s="2"/>
      <c r="W43" s="2"/>
      <c r="X43" s="2"/>
      <c r="Y43" s="2"/>
      <c r="Z43" s="2"/>
    </row>
    <row r="44" customFormat="false" ht="14.25" hidden="false" customHeight="true" outlineLevel="0" collapsed="false">
      <c r="A44" s="2"/>
      <c r="B44" s="433" t="s">
        <v>276</v>
      </c>
      <c r="C44" s="434"/>
      <c r="D44" s="435" t="n">
        <f aca="false">SUM(D31:D43)</f>
        <v>6475</v>
      </c>
      <c r="E44" s="435" t="n">
        <f aca="false">SUM(E31:E43)</f>
        <v>6475</v>
      </c>
      <c r="F44" s="435" t="n">
        <f aca="false">SUM(F31:F43)</f>
        <v>6475</v>
      </c>
      <c r="G44" s="435" t="n">
        <f aca="false">SUM(G31:G43)</f>
        <v>6475</v>
      </c>
      <c r="H44" s="435" t="n">
        <f aca="false">SUM(H31:H43)</f>
        <v>6475</v>
      </c>
      <c r="I44" s="435" t="n">
        <f aca="false">SUM(I31:I43)</f>
        <v>6475</v>
      </c>
      <c r="J44" s="435" t="n">
        <f aca="false">SUM(J31:J43)</f>
        <v>6475</v>
      </c>
      <c r="K44" s="435" t="n">
        <f aca="false">SUM(K31:K43)</f>
        <v>6475</v>
      </c>
      <c r="L44" s="435" t="n">
        <f aca="false">SUM(L31:L43)</f>
        <v>6475</v>
      </c>
      <c r="M44" s="435" t="n">
        <f aca="false">SUM(M31:M43)</f>
        <v>6475</v>
      </c>
      <c r="N44" s="435" t="n">
        <f aca="false">SUM(N31:N43)</f>
        <v>6475</v>
      </c>
      <c r="O44" s="435" t="n">
        <f aca="false">SUM(O31:O43)</f>
        <v>6475</v>
      </c>
      <c r="P44" s="435" t="n">
        <f aca="false">SUM(D44:O44)</f>
        <v>77700</v>
      </c>
      <c r="Q44" s="434"/>
      <c r="R44" s="2"/>
      <c r="S44" s="2"/>
      <c r="T44" s="2"/>
      <c r="U44" s="2"/>
      <c r="V44" s="2"/>
      <c r="W44" s="2"/>
      <c r="X44" s="2"/>
      <c r="Y44" s="2"/>
      <c r="Z44" s="2"/>
    </row>
    <row r="45" customFormat="false" ht="14.2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4.2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4.2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25.5" hidden="false" customHeight="true" outlineLevel="0" collapsed="false">
      <c r="A48" s="2"/>
      <c r="B48" s="423" t="s">
        <v>278</v>
      </c>
      <c r="R48" s="2"/>
      <c r="S48" s="2"/>
      <c r="T48" s="2"/>
      <c r="U48" s="2"/>
      <c r="V48" s="2"/>
      <c r="W48" s="2"/>
      <c r="X48" s="2"/>
      <c r="Y48" s="2"/>
      <c r="Z48" s="2"/>
    </row>
    <row r="49" customFormat="false" ht="18" hidden="false" customHeight="true" outlineLevel="0" collapsed="false">
      <c r="A49" s="2"/>
      <c r="B49" s="424" t="s">
        <v>248</v>
      </c>
      <c r="C49" s="424" t="s">
        <v>98</v>
      </c>
      <c r="D49" s="424" t="s">
        <v>81</v>
      </c>
      <c r="E49" s="424" t="s">
        <v>82</v>
      </c>
      <c r="F49" s="424" t="s">
        <v>83</v>
      </c>
      <c r="G49" s="424" t="s">
        <v>84</v>
      </c>
      <c r="H49" s="424" t="s">
        <v>85</v>
      </c>
      <c r="I49" s="424" t="s">
        <v>86</v>
      </c>
      <c r="J49" s="424" t="s">
        <v>87</v>
      </c>
      <c r="K49" s="424" t="s">
        <v>88</v>
      </c>
      <c r="L49" s="424" t="s">
        <v>89</v>
      </c>
      <c r="M49" s="424" t="s">
        <v>90</v>
      </c>
      <c r="N49" s="424" t="s">
        <v>91</v>
      </c>
      <c r="O49" s="424" t="s">
        <v>92</v>
      </c>
      <c r="P49" s="424" t="s">
        <v>249</v>
      </c>
      <c r="Q49" s="424" t="s">
        <v>250</v>
      </c>
      <c r="R49" s="2"/>
      <c r="S49" s="2"/>
      <c r="T49" s="2"/>
      <c r="U49" s="2"/>
      <c r="V49" s="2"/>
      <c r="W49" s="2"/>
      <c r="X49" s="2"/>
      <c r="Y49" s="2"/>
      <c r="Z49" s="2"/>
    </row>
    <row r="50" customFormat="false" ht="14.25" hidden="false" customHeight="true" outlineLevel="0" collapsed="false">
      <c r="A50" s="2"/>
      <c r="B50" s="429" t="s">
        <v>251</v>
      </c>
      <c r="C50" s="429" t="s">
        <v>252</v>
      </c>
      <c r="D50" s="427" t="n">
        <v>50</v>
      </c>
      <c r="E50" s="427" t="n">
        <v>50</v>
      </c>
      <c r="F50" s="427" t="n">
        <v>50</v>
      </c>
      <c r="G50" s="427" t="n">
        <v>50</v>
      </c>
      <c r="H50" s="427" t="n">
        <v>50</v>
      </c>
      <c r="I50" s="427" t="n">
        <v>50</v>
      </c>
      <c r="J50" s="427" t="n">
        <v>50</v>
      </c>
      <c r="K50" s="427" t="n">
        <v>50</v>
      </c>
      <c r="L50" s="427" t="n">
        <v>50</v>
      </c>
      <c r="M50" s="427" t="n">
        <v>50</v>
      </c>
      <c r="N50" s="427" t="n">
        <v>50</v>
      </c>
      <c r="O50" s="427" t="n">
        <v>50</v>
      </c>
      <c r="P50" s="430" t="n">
        <f aca="false">SUM(D50:O50)</f>
        <v>600</v>
      </c>
      <c r="Q50" s="431"/>
      <c r="R50" s="2"/>
      <c r="S50" s="2"/>
      <c r="T50" s="2"/>
      <c r="U50" s="2"/>
      <c r="V50" s="2"/>
      <c r="W50" s="2"/>
      <c r="X50" s="2"/>
      <c r="Y50" s="2"/>
      <c r="Z50" s="2"/>
    </row>
    <row r="51" customFormat="false" ht="14.25" hidden="false" customHeight="true" outlineLevel="0" collapsed="false">
      <c r="A51" s="2"/>
      <c r="B51" s="429"/>
      <c r="C51" s="429" t="s">
        <v>253</v>
      </c>
      <c r="D51" s="427" t="n">
        <v>15</v>
      </c>
      <c r="E51" s="427" t="n">
        <v>15</v>
      </c>
      <c r="F51" s="427" t="n">
        <v>15</v>
      </c>
      <c r="G51" s="427" t="n">
        <v>15</v>
      </c>
      <c r="H51" s="427" t="n">
        <v>15</v>
      </c>
      <c r="I51" s="427" t="n">
        <v>15</v>
      </c>
      <c r="J51" s="427" t="n">
        <v>15</v>
      </c>
      <c r="K51" s="427" t="n">
        <v>15</v>
      </c>
      <c r="L51" s="427" t="n">
        <v>15</v>
      </c>
      <c r="M51" s="427" t="n">
        <v>15</v>
      </c>
      <c r="N51" s="427" t="n">
        <v>15</v>
      </c>
      <c r="O51" s="427" t="n">
        <v>15</v>
      </c>
      <c r="P51" s="430" t="n">
        <f aca="false">SUM(D51:O51)</f>
        <v>180</v>
      </c>
      <c r="Q51" s="431"/>
      <c r="R51" s="2"/>
      <c r="S51" s="2"/>
      <c r="T51" s="2"/>
      <c r="U51" s="2"/>
      <c r="V51" s="2"/>
      <c r="W51" s="2"/>
      <c r="X51" s="2"/>
      <c r="Y51" s="2"/>
      <c r="Z51" s="2"/>
    </row>
    <row r="52" customFormat="false" ht="14.25" hidden="false" customHeight="true" outlineLevel="0" collapsed="false">
      <c r="A52" s="2"/>
      <c r="B52" s="429"/>
      <c r="C52" s="429" t="s">
        <v>254</v>
      </c>
      <c r="D52" s="427" t="n">
        <v>60</v>
      </c>
      <c r="E52" s="427" t="n">
        <v>60</v>
      </c>
      <c r="F52" s="427" t="n">
        <v>60</v>
      </c>
      <c r="G52" s="427" t="n">
        <v>60</v>
      </c>
      <c r="H52" s="427" t="n">
        <v>60</v>
      </c>
      <c r="I52" s="427" t="n">
        <v>60</v>
      </c>
      <c r="J52" s="427" t="n">
        <v>60</v>
      </c>
      <c r="K52" s="427" t="n">
        <v>60</v>
      </c>
      <c r="L52" s="427" t="n">
        <v>60</v>
      </c>
      <c r="M52" s="427" t="n">
        <v>60</v>
      </c>
      <c r="N52" s="427" t="n">
        <v>60</v>
      </c>
      <c r="O52" s="427" t="n">
        <v>60</v>
      </c>
      <c r="P52" s="430" t="n">
        <f aca="false">SUM(D52:O52)</f>
        <v>720</v>
      </c>
      <c r="Q52" s="431"/>
      <c r="R52" s="2"/>
      <c r="S52" s="2"/>
      <c r="T52" s="2"/>
      <c r="U52" s="2"/>
      <c r="V52" s="2"/>
      <c r="W52" s="2"/>
      <c r="X52" s="2"/>
      <c r="Y52" s="2"/>
      <c r="Z52" s="2"/>
    </row>
    <row r="53" customFormat="false" ht="14.25" hidden="false" customHeight="true" outlineLevel="0" collapsed="false">
      <c r="A53" s="2"/>
      <c r="B53" s="429"/>
      <c r="C53" s="429" t="s">
        <v>255</v>
      </c>
      <c r="D53" s="427" t="n">
        <v>60</v>
      </c>
      <c r="E53" s="427" t="n">
        <v>60</v>
      </c>
      <c r="F53" s="427" t="n">
        <v>60</v>
      </c>
      <c r="G53" s="427" t="n">
        <v>60</v>
      </c>
      <c r="H53" s="427" t="n">
        <v>60</v>
      </c>
      <c r="I53" s="427" t="n">
        <v>60</v>
      </c>
      <c r="J53" s="427" t="n">
        <v>60</v>
      </c>
      <c r="K53" s="427" t="n">
        <v>60</v>
      </c>
      <c r="L53" s="427" t="n">
        <v>60</v>
      </c>
      <c r="M53" s="427" t="n">
        <v>60</v>
      </c>
      <c r="N53" s="427" t="n">
        <v>60</v>
      </c>
      <c r="O53" s="427" t="n">
        <v>60</v>
      </c>
      <c r="P53" s="430" t="n">
        <f aca="false">SUM(D53:O53)</f>
        <v>720</v>
      </c>
      <c r="Q53" s="431" t="s">
        <v>256</v>
      </c>
      <c r="R53" s="2"/>
      <c r="S53" s="2"/>
      <c r="T53" s="2"/>
      <c r="U53" s="2"/>
      <c r="V53" s="2"/>
      <c r="W53" s="2"/>
      <c r="X53" s="2"/>
      <c r="Y53" s="2"/>
      <c r="Z53" s="2"/>
    </row>
    <row r="54" customFormat="false" ht="14.25" hidden="false" customHeight="true" outlineLevel="0" collapsed="false">
      <c r="A54" s="2"/>
      <c r="B54" s="429"/>
      <c r="C54" s="429" t="s">
        <v>257</v>
      </c>
      <c r="D54" s="427" t="n">
        <v>500</v>
      </c>
      <c r="E54" s="427" t="n">
        <v>500</v>
      </c>
      <c r="F54" s="427" t="n">
        <v>500</v>
      </c>
      <c r="G54" s="427" t="n">
        <v>500</v>
      </c>
      <c r="H54" s="427" t="n">
        <v>500</v>
      </c>
      <c r="I54" s="427" t="n">
        <v>500</v>
      </c>
      <c r="J54" s="427" t="n">
        <v>500</v>
      </c>
      <c r="K54" s="427" t="n">
        <v>500</v>
      </c>
      <c r="L54" s="427" t="n">
        <v>500</v>
      </c>
      <c r="M54" s="427" t="n">
        <v>500</v>
      </c>
      <c r="N54" s="427" t="n">
        <v>500</v>
      </c>
      <c r="O54" s="427" t="n">
        <v>500</v>
      </c>
      <c r="P54" s="430" t="n">
        <f aca="false">SUM(D54:O54)</f>
        <v>6000</v>
      </c>
      <c r="Q54" s="431" t="s">
        <v>258</v>
      </c>
      <c r="R54" s="2"/>
      <c r="S54" s="2"/>
      <c r="T54" s="2"/>
      <c r="U54" s="2"/>
      <c r="V54" s="2"/>
      <c r="W54" s="2"/>
      <c r="X54" s="2"/>
      <c r="Y54" s="2"/>
      <c r="Z54" s="2"/>
    </row>
    <row r="55" customFormat="false" ht="14.25" hidden="false" customHeight="true" outlineLevel="0" collapsed="false">
      <c r="A55" s="2"/>
      <c r="B55" s="429"/>
      <c r="C55" s="429" t="s">
        <v>259</v>
      </c>
      <c r="D55" s="427" t="n">
        <v>160</v>
      </c>
      <c r="E55" s="427" t="n">
        <v>160</v>
      </c>
      <c r="F55" s="427" t="n">
        <v>160</v>
      </c>
      <c r="G55" s="427" t="n">
        <v>160</v>
      </c>
      <c r="H55" s="427" t="n">
        <v>160</v>
      </c>
      <c r="I55" s="427" t="n">
        <v>160</v>
      </c>
      <c r="J55" s="427" t="n">
        <v>160</v>
      </c>
      <c r="K55" s="427" t="n">
        <v>160</v>
      </c>
      <c r="L55" s="427" t="n">
        <v>160</v>
      </c>
      <c r="M55" s="427" t="n">
        <v>160</v>
      </c>
      <c r="N55" s="427" t="n">
        <v>160</v>
      </c>
      <c r="O55" s="427" t="n">
        <v>160</v>
      </c>
      <c r="P55" s="430" t="n">
        <f aca="false">SUM(D55:O55)</f>
        <v>1920</v>
      </c>
      <c r="Q55" s="431" t="s">
        <v>260</v>
      </c>
      <c r="R55" s="2"/>
      <c r="S55" s="2"/>
      <c r="T55" s="2"/>
      <c r="U55" s="2"/>
      <c r="V55" s="2"/>
      <c r="W55" s="2"/>
      <c r="X55" s="2"/>
      <c r="Y55" s="2"/>
      <c r="Z55" s="2"/>
    </row>
    <row r="56" customFormat="false" ht="14.25" hidden="false" customHeight="true" outlineLevel="0" collapsed="false">
      <c r="A56" s="2"/>
      <c r="B56" s="429" t="s">
        <v>261</v>
      </c>
      <c r="C56" s="429" t="s">
        <v>112</v>
      </c>
      <c r="D56" s="427" t="n">
        <v>700</v>
      </c>
      <c r="E56" s="427" t="n">
        <v>700</v>
      </c>
      <c r="F56" s="427" t="n">
        <v>700</v>
      </c>
      <c r="G56" s="427" t="n">
        <v>700</v>
      </c>
      <c r="H56" s="427" t="n">
        <v>700</v>
      </c>
      <c r="I56" s="427" t="n">
        <v>700</v>
      </c>
      <c r="J56" s="427" t="n">
        <v>700</v>
      </c>
      <c r="K56" s="427" t="n">
        <v>700</v>
      </c>
      <c r="L56" s="427" t="n">
        <v>700</v>
      </c>
      <c r="M56" s="427" t="n">
        <v>700</v>
      </c>
      <c r="N56" s="427" t="n">
        <v>700</v>
      </c>
      <c r="O56" s="427" t="n">
        <v>700</v>
      </c>
      <c r="P56" s="430" t="n">
        <f aca="false">SUM(D56:O56)</f>
        <v>8400</v>
      </c>
      <c r="Q56" s="431" t="s">
        <v>262</v>
      </c>
      <c r="R56" s="2"/>
      <c r="S56" s="2"/>
      <c r="T56" s="2"/>
      <c r="U56" s="2"/>
      <c r="V56" s="2"/>
      <c r="W56" s="2"/>
      <c r="X56" s="2"/>
      <c r="Y56" s="2"/>
      <c r="Z56" s="2"/>
    </row>
    <row r="57" customFormat="false" ht="14.25" hidden="false" customHeight="true" outlineLevel="0" collapsed="false">
      <c r="A57" s="2"/>
      <c r="B57" s="429"/>
      <c r="C57" s="429" t="s">
        <v>263</v>
      </c>
      <c r="D57" s="427" t="n">
        <v>250</v>
      </c>
      <c r="E57" s="427" t="n">
        <v>250</v>
      </c>
      <c r="F57" s="427" t="n">
        <v>250</v>
      </c>
      <c r="G57" s="427" t="n">
        <v>250</v>
      </c>
      <c r="H57" s="427" t="n">
        <v>250</v>
      </c>
      <c r="I57" s="427" t="n">
        <v>250</v>
      </c>
      <c r="J57" s="427" t="n">
        <v>250</v>
      </c>
      <c r="K57" s="427" t="n">
        <v>250</v>
      </c>
      <c r="L57" s="427" t="n">
        <v>250</v>
      </c>
      <c r="M57" s="427" t="n">
        <v>250</v>
      </c>
      <c r="N57" s="427" t="n">
        <v>250</v>
      </c>
      <c r="O57" s="427" t="n">
        <v>250</v>
      </c>
      <c r="P57" s="430" t="n">
        <f aca="false">SUM(D57:O57)</f>
        <v>3000</v>
      </c>
      <c r="Q57" s="431" t="s">
        <v>264</v>
      </c>
      <c r="R57" s="2"/>
      <c r="S57" s="2"/>
      <c r="T57" s="2"/>
      <c r="U57" s="2"/>
      <c r="V57" s="2"/>
      <c r="W57" s="2"/>
      <c r="X57" s="2"/>
      <c r="Y57" s="2"/>
      <c r="Z57" s="2"/>
    </row>
    <row r="58" customFormat="false" ht="14.25" hidden="false" customHeight="true" outlineLevel="0" collapsed="false">
      <c r="A58" s="2"/>
      <c r="B58" s="429" t="s">
        <v>265</v>
      </c>
      <c r="C58" s="429" t="s">
        <v>266</v>
      </c>
      <c r="D58" s="427" t="n">
        <v>500</v>
      </c>
      <c r="E58" s="427" t="n">
        <v>500</v>
      </c>
      <c r="F58" s="427" t="n">
        <v>500</v>
      </c>
      <c r="G58" s="427" t="n">
        <v>500</v>
      </c>
      <c r="H58" s="427" t="n">
        <v>500</v>
      </c>
      <c r="I58" s="427" t="n">
        <v>500</v>
      </c>
      <c r="J58" s="427" t="n">
        <v>500</v>
      </c>
      <c r="K58" s="427" t="n">
        <v>500</v>
      </c>
      <c r="L58" s="427" t="n">
        <v>500</v>
      </c>
      <c r="M58" s="427" t="n">
        <v>500</v>
      </c>
      <c r="N58" s="427" t="n">
        <v>500</v>
      </c>
      <c r="O58" s="427" t="n">
        <v>500</v>
      </c>
      <c r="P58" s="430" t="n">
        <f aca="false">SUM(D58:O58)</f>
        <v>6000</v>
      </c>
      <c r="Q58" s="431" t="s">
        <v>267</v>
      </c>
      <c r="R58" s="2"/>
      <c r="S58" s="2"/>
      <c r="T58" s="2"/>
      <c r="U58" s="2"/>
      <c r="V58" s="2"/>
      <c r="W58" s="2"/>
      <c r="X58" s="2"/>
      <c r="Y58" s="2"/>
      <c r="Z58" s="2"/>
    </row>
    <row r="59" customFormat="false" ht="14.25" hidden="false" customHeight="true" outlineLevel="0" collapsed="false">
      <c r="A59" s="2"/>
      <c r="B59" s="429"/>
      <c r="C59" s="429" t="s">
        <v>268</v>
      </c>
      <c r="D59" s="427" t="n">
        <v>450</v>
      </c>
      <c r="E59" s="427" t="n">
        <v>450</v>
      </c>
      <c r="F59" s="427" t="n">
        <v>450</v>
      </c>
      <c r="G59" s="427" t="n">
        <v>450</v>
      </c>
      <c r="H59" s="427" t="n">
        <v>450</v>
      </c>
      <c r="I59" s="427" t="n">
        <v>450</v>
      </c>
      <c r="J59" s="427" t="n">
        <v>450</v>
      </c>
      <c r="K59" s="427" t="n">
        <v>450</v>
      </c>
      <c r="L59" s="427" t="n">
        <v>450</v>
      </c>
      <c r="M59" s="427" t="n">
        <v>450</v>
      </c>
      <c r="N59" s="427" t="n">
        <v>450</v>
      </c>
      <c r="O59" s="427" t="n">
        <v>450</v>
      </c>
      <c r="P59" s="430" t="n">
        <f aca="false">SUM(D59:O59)</f>
        <v>5400</v>
      </c>
      <c r="Q59" s="431" t="s">
        <v>269</v>
      </c>
      <c r="R59" s="2"/>
      <c r="S59" s="2"/>
      <c r="T59" s="2"/>
      <c r="U59" s="2"/>
      <c r="V59" s="2"/>
      <c r="W59" s="2"/>
      <c r="X59" s="2"/>
      <c r="Y59" s="2"/>
      <c r="Z59" s="2"/>
    </row>
    <row r="60" customFormat="false" ht="14.25" hidden="false" customHeight="true" outlineLevel="0" collapsed="false">
      <c r="A60" s="2"/>
      <c r="B60" s="429" t="s">
        <v>270</v>
      </c>
      <c r="C60" s="429" t="s">
        <v>271</v>
      </c>
      <c r="D60" s="427" t="n">
        <v>4300</v>
      </c>
      <c r="E60" s="427" t="n">
        <v>4300</v>
      </c>
      <c r="F60" s="427" t="n">
        <v>4300</v>
      </c>
      <c r="G60" s="427" t="n">
        <v>4300</v>
      </c>
      <c r="H60" s="427" t="n">
        <v>4300</v>
      </c>
      <c r="I60" s="427" t="n">
        <v>4300</v>
      </c>
      <c r="J60" s="427" t="n">
        <v>4300</v>
      </c>
      <c r="K60" s="427" t="n">
        <v>4300</v>
      </c>
      <c r="L60" s="427" t="n">
        <v>4300</v>
      </c>
      <c r="M60" s="427" t="n">
        <v>4300</v>
      </c>
      <c r="N60" s="427" t="n">
        <v>4300</v>
      </c>
      <c r="O60" s="427" t="n">
        <v>4300</v>
      </c>
      <c r="P60" s="430" t="n">
        <f aca="false">SUM(D60:O60)</f>
        <v>51600</v>
      </c>
      <c r="Q60" s="431" t="s">
        <v>272</v>
      </c>
      <c r="R60" s="2"/>
      <c r="S60" s="2"/>
      <c r="T60" s="2"/>
      <c r="U60" s="2"/>
      <c r="V60" s="2"/>
      <c r="W60" s="2"/>
      <c r="X60" s="2"/>
      <c r="Y60" s="2"/>
      <c r="Z60" s="2"/>
    </row>
    <row r="61" customFormat="false" ht="14.25" hidden="false" customHeight="true" outlineLevel="0" collapsed="false">
      <c r="A61" s="2"/>
      <c r="B61" s="429"/>
      <c r="C61" s="429" t="s">
        <v>273</v>
      </c>
      <c r="D61" s="427" t="n">
        <v>60</v>
      </c>
      <c r="E61" s="427" t="n">
        <v>60</v>
      </c>
      <c r="F61" s="427" t="n">
        <v>60</v>
      </c>
      <c r="G61" s="427" t="n">
        <v>60</v>
      </c>
      <c r="H61" s="427" t="n">
        <v>60</v>
      </c>
      <c r="I61" s="427" t="n">
        <v>60</v>
      </c>
      <c r="J61" s="427" t="n">
        <v>60</v>
      </c>
      <c r="K61" s="427" t="n">
        <v>60</v>
      </c>
      <c r="L61" s="427" t="n">
        <v>60</v>
      </c>
      <c r="M61" s="427" t="n">
        <v>60</v>
      </c>
      <c r="N61" s="427" t="n">
        <v>60</v>
      </c>
      <c r="O61" s="427" t="n">
        <v>60</v>
      </c>
      <c r="P61" s="430" t="n">
        <f aca="false">SUM(D61:O61)</f>
        <v>720</v>
      </c>
      <c r="Q61" s="431"/>
      <c r="R61" s="2"/>
      <c r="S61" s="2"/>
      <c r="T61" s="2"/>
      <c r="U61" s="2"/>
      <c r="V61" s="2"/>
      <c r="W61" s="2"/>
      <c r="X61" s="2"/>
      <c r="Y61" s="2"/>
      <c r="Z61" s="2"/>
    </row>
    <row r="62" customFormat="false" ht="14.25" hidden="false" customHeight="true" outlineLevel="0" collapsed="false">
      <c r="A62" s="2"/>
      <c r="B62" s="432"/>
      <c r="C62" s="429" t="s">
        <v>274</v>
      </c>
      <c r="D62" s="427" t="n">
        <v>1800</v>
      </c>
      <c r="E62" s="427" t="n">
        <v>1800</v>
      </c>
      <c r="F62" s="427" t="n">
        <v>1800</v>
      </c>
      <c r="G62" s="427" t="n">
        <v>1800</v>
      </c>
      <c r="H62" s="427" t="n">
        <v>1800</v>
      </c>
      <c r="I62" s="427" t="n">
        <v>1800</v>
      </c>
      <c r="J62" s="427" t="n">
        <v>1800</v>
      </c>
      <c r="K62" s="427" t="n">
        <v>1800</v>
      </c>
      <c r="L62" s="427" t="n">
        <v>1800</v>
      </c>
      <c r="M62" s="427" t="n">
        <v>1800</v>
      </c>
      <c r="N62" s="427" t="n">
        <v>1800</v>
      </c>
      <c r="O62" s="427" t="n">
        <v>1800</v>
      </c>
      <c r="P62" s="430" t="n">
        <f aca="false">SUM(D62:O62)</f>
        <v>21600</v>
      </c>
      <c r="Q62" s="431" t="s">
        <v>275</v>
      </c>
      <c r="R62" s="2"/>
      <c r="S62" s="2"/>
      <c r="T62" s="2"/>
      <c r="U62" s="2"/>
      <c r="V62" s="2"/>
      <c r="W62" s="2"/>
      <c r="X62" s="2"/>
      <c r="Y62" s="2"/>
      <c r="Z62" s="2"/>
    </row>
    <row r="63" customFormat="false" ht="14.25" hidden="false" customHeight="true" outlineLevel="0" collapsed="false">
      <c r="A63" s="2"/>
      <c r="B63" s="433" t="s">
        <v>276</v>
      </c>
      <c r="C63" s="434"/>
      <c r="D63" s="435" t="n">
        <f aca="false">SUM(D50:D62)</f>
        <v>8905</v>
      </c>
      <c r="E63" s="435" t="n">
        <f aca="false">SUM(E50:E62)</f>
        <v>8905</v>
      </c>
      <c r="F63" s="435" t="n">
        <f aca="false">SUM(F50:F62)</f>
        <v>8905</v>
      </c>
      <c r="G63" s="435" t="n">
        <f aca="false">SUM(G50:G62)</f>
        <v>8905</v>
      </c>
      <c r="H63" s="435" t="n">
        <f aca="false">SUM(H50:H62)</f>
        <v>8905</v>
      </c>
      <c r="I63" s="435" t="n">
        <f aca="false">SUM(I50:I62)</f>
        <v>8905</v>
      </c>
      <c r="J63" s="435" t="n">
        <f aca="false">SUM(J50:J62)</f>
        <v>8905</v>
      </c>
      <c r="K63" s="435" t="n">
        <f aca="false">SUM(K50:K62)</f>
        <v>8905</v>
      </c>
      <c r="L63" s="435" t="n">
        <f aca="false">SUM(L50:L62)</f>
        <v>8905</v>
      </c>
      <c r="M63" s="435" t="n">
        <f aca="false">SUM(M50:M62)</f>
        <v>8905</v>
      </c>
      <c r="N63" s="435" t="n">
        <f aca="false">SUM(N50:N62)</f>
        <v>8905</v>
      </c>
      <c r="O63" s="435" t="n">
        <f aca="false">SUM(O50:O62)</f>
        <v>8905</v>
      </c>
      <c r="P63" s="435" t="n">
        <f aca="false">SUM(D63:O63)</f>
        <v>106860</v>
      </c>
      <c r="Q63" s="434"/>
      <c r="R63" s="2"/>
      <c r="S63" s="2"/>
      <c r="T63" s="2"/>
      <c r="U63" s="2"/>
      <c r="V63" s="2"/>
      <c r="W63" s="2"/>
      <c r="X63" s="2"/>
      <c r="Y63" s="2"/>
      <c r="Z63" s="2"/>
    </row>
    <row r="64" customFormat="false" ht="14.2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4.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4.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4.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4.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4.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4.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4.2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4.2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4.2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4.2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4.2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4.2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4.2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4.2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4.2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4.2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4.2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4.2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4.2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4.2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4.2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4.2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4.2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4.2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4.2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4.2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4.2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4.2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4.2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4.2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4.2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4.2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4.2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4.2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4.2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4.2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4.2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4.2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4.2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4.2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4.2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4.2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4.2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sheetData>
  <mergeCells count="15">
    <mergeCell ref="C3:E3"/>
    <mergeCell ref="G3:I3"/>
    <mergeCell ref="G7:I7"/>
    <mergeCell ref="B13:B18"/>
    <mergeCell ref="B19:B20"/>
    <mergeCell ref="B21:B22"/>
    <mergeCell ref="B23:B24"/>
    <mergeCell ref="B31:B36"/>
    <mergeCell ref="B37:B38"/>
    <mergeCell ref="B39:B40"/>
    <mergeCell ref="B41:B42"/>
    <mergeCell ref="B50:B55"/>
    <mergeCell ref="B56:B57"/>
    <mergeCell ref="B58:B59"/>
    <mergeCell ref="B60:B6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78"/>
  <sheetViews>
    <sheetView showFormulas="false" showGridLines="true" showRowColHeaders="true" showZeros="true" rightToLeft="false" tabSelected="false" showOutlineSymbols="true" defaultGridColor="true" view="normal" topLeftCell="G50" colorId="64" zoomScale="100" zoomScaleNormal="100" zoomScalePageLayoutView="100" workbookViewId="0">
      <selection pane="topLeft" activeCell="A1" activeCellId="0" sqref="A1"/>
    </sheetView>
  </sheetViews>
  <sheetFormatPr defaultColWidth="12.66796875" defaultRowHeight="15" customHeight="true" zeroHeight="false" outlineLevelRow="0" outlineLevelCol="0"/>
  <cols>
    <col collapsed="false" customWidth="true" hidden="false" outlineLevel="0" max="1" min="1" style="1" width="13"/>
    <col collapsed="false" customWidth="true" hidden="false" outlineLevel="0" max="2" min="2" style="1" width="42"/>
    <col collapsed="false" customWidth="true" hidden="false" outlineLevel="0" max="4" min="3" style="1" width="14"/>
    <col collapsed="false" customWidth="true" hidden="false" outlineLevel="0" max="5" min="5" style="1" width="12.83"/>
    <col collapsed="false" customWidth="true" hidden="false" outlineLevel="0" max="6" min="6" style="1" width="16"/>
    <col collapsed="false" customWidth="true" hidden="false" outlineLevel="0" max="7" min="7" style="1" width="12.83"/>
    <col collapsed="false" customWidth="true" hidden="false" outlineLevel="0" max="8" min="8" style="1" width="15.66"/>
    <col collapsed="false" customWidth="true" hidden="false" outlineLevel="0" max="9" min="9" style="1" width="13"/>
    <col collapsed="false" customWidth="true" hidden="false" outlineLevel="0" max="10" min="10" style="1" width="13.16"/>
    <col collapsed="false" customWidth="true" hidden="false" outlineLevel="0" max="11" min="11" style="1" width="12.83"/>
    <col collapsed="false" customWidth="true" hidden="false" outlineLevel="0" max="12" min="12" style="1" width="7.83"/>
    <col collapsed="false" customWidth="true" hidden="false" outlineLevel="0" max="13" min="13" style="1" width="12.83"/>
    <col collapsed="false" customWidth="true" hidden="false" outlineLevel="0" max="14" min="14" style="1" width="7.83"/>
    <col collapsed="false" customWidth="true" hidden="false" outlineLevel="0" max="15" min="15" style="1" width="12.83"/>
    <col collapsed="false" customWidth="true" hidden="false" outlineLevel="0" max="16" min="16" style="1" width="7.83"/>
    <col collapsed="false" customWidth="true" hidden="false" outlineLevel="0" max="17" min="17" style="1" width="12.83"/>
    <col collapsed="false" customWidth="true" hidden="false" outlineLevel="0" max="18" min="18" style="1" width="7.83"/>
    <col collapsed="false" customWidth="true" hidden="false" outlineLevel="0" max="19" min="19" style="1" width="12.83"/>
    <col collapsed="false" customWidth="true" hidden="false" outlineLevel="0" max="20" min="20" style="1" width="9.67"/>
    <col collapsed="false" customWidth="true" hidden="false" outlineLevel="0" max="21" min="21" style="1" width="13"/>
    <col collapsed="false" customWidth="true" hidden="false" outlineLevel="0" max="22" min="22" style="1" width="7.83"/>
    <col collapsed="false" customWidth="true" hidden="false" outlineLevel="0" max="23" min="23" style="1" width="12.83"/>
    <col collapsed="false" customWidth="true" hidden="false" outlineLevel="0" max="24" min="24" style="1" width="9.5"/>
    <col collapsed="false" customWidth="true" hidden="false" outlineLevel="0" max="25" min="25" style="1" width="12.83"/>
    <col collapsed="false" customWidth="true" hidden="false" outlineLevel="0" max="26" min="26" style="1" width="8.66"/>
    <col collapsed="false" customWidth="true" hidden="false" outlineLevel="0" max="27" min="27" style="1" width="11.5"/>
    <col collapsed="false" customWidth="true" hidden="false" outlineLevel="0" max="28" min="28" style="1" width="16"/>
  </cols>
  <sheetData>
    <row r="1" customFormat="false" ht="45.75" hidden="false" customHeight="true" outlineLevel="0" collapsed="false">
      <c r="A1" s="9"/>
      <c r="B1" s="9"/>
      <c r="C1" s="9"/>
      <c r="D1" s="9"/>
      <c r="E1" s="9"/>
      <c r="F1" s="422" t="s">
        <v>13</v>
      </c>
      <c r="G1" s="389"/>
      <c r="H1" s="389"/>
      <c r="I1" s="9"/>
      <c r="J1" s="9"/>
      <c r="K1" s="9"/>
      <c r="L1" s="9"/>
      <c r="M1" s="2"/>
      <c r="N1" s="2"/>
      <c r="O1" s="2"/>
      <c r="P1" s="2"/>
      <c r="Q1" s="2"/>
      <c r="R1" s="2"/>
      <c r="S1" s="2"/>
      <c r="T1" s="2"/>
      <c r="U1" s="2"/>
      <c r="V1" s="2"/>
      <c r="W1" s="2"/>
      <c r="X1" s="2"/>
      <c r="Y1" s="2"/>
      <c r="Z1" s="2"/>
      <c r="AA1" s="2"/>
      <c r="AB1" s="2"/>
    </row>
    <row r="2" customFormat="false" ht="15" hidden="false" customHeight="true" outlineLevel="0" collapsed="false">
      <c r="A2" s="2"/>
      <c r="B2" s="2"/>
      <c r="C2" s="2"/>
      <c r="D2" s="2"/>
      <c r="E2" s="2"/>
      <c r="F2" s="2"/>
      <c r="G2" s="2"/>
      <c r="H2" s="2"/>
      <c r="I2" s="2"/>
      <c r="J2" s="2"/>
      <c r="K2" s="2"/>
      <c r="L2" s="2"/>
      <c r="M2" s="2"/>
      <c r="N2" s="2"/>
      <c r="O2" s="2"/>
      <c r="P2" s="2"/>
      <c r="Q2" s="2"/>
      <c r="R2" s="2"/>
      <c r="S2" s="2"/>
      <c r="T2" s="2"/>
      <c r="U2" s="2"/>
      <c r="V2" s="2"/>
      <c r="W2" s="2"/>
      <c r="X2" s="2"/>
      <c r="Y2" s="2"/>
      <c r="Z2" s="2"/>
      <c r="AA2" s="2"/>
      <c r="AB2" s="2"/>
    </row>
    <row r="3" customFormat="false" ht="15" hidden="false" customHeight="true" outlineLevel="0" collapsed="false">
      <c r="A3" s="2"/>
      <c r="B3" s="2"/>
      <c r="C3" s="2"/>
      <c r="D3" s="2"/>
      <c r="E3" s="2"/>
      <c r="F3" s="2"/>
      <c r="G3" s="2"/>
      <c r="H3" s="2"/>
      <c r="I3" s="2"/>
      <c r="J3" s="2"/>
      <c r="K3" s="2"/>
      <c r="L3" s="2"/>
      <c r="M3" s="2"/>
      <c r="N3" s="2"/>
      <c r="O3" s="2"/>
      <c r="P3" s="2"/>
      <c r="Q3" s="2"/>
      <c r="R3" s="2"/>
      <c r="S3" s="2"/>
      <c r="T3" s="2"/>
      <c r="U3" s="2"/>
      <c r="V3" s="2"/>
      <c r="W3" s="2"/>
      <c r="X3" s="2"/>
      <c r="Y3" s="2"/>
      <c r="Z3" s="2"/>
      <c r="AA3" s="2"/>
      <c r="AB3" s="2"/>
    </row>
    <row r="4" customFormat="false" ht="15" hidden="false" customHeight="true" outlineLevel="0" collapsed="false">
      <c r="A4" s="2"/>
      <c r="B4" s="423" t="s">
        <v>74</v>
      </c>
      <c r="C4" s="423"/>
      <c r="D4" s="423"/>
      <c r="E4" s="30"/>
      <c r="F4" s="2"/>
      <c r="G4" s="2"/>
      <c r="H4" s="423" t="s">
        <v>279</v>
      </c>
      <c r="I4" s="423"/>
      <c r="J4" s="423"/>
      <c r="K4" s="2"/>
      <c r="L4" s="2"/>
      <c r="M4" s="2"/>
      <c r="N4" s="2"/>
      <c r="O4" s="2"/>
      <c r="P4" s="2"/>
      <c r="Q4" s="2"/>
      <c r="R4" s="2"/>
      <c r="S4" s="2"/>
      <c r="T4" s="2"/>
      <c r="U4" s="2"/>
      <c r="V4" s="2"/>
      <c r="W4" s="2"/>
      <c r="X4" s="2"/>
      <c r="Y4" s="2"/>
      <c r="Z4" s="2"/>
      <c r="AA4" s="2"/>
      <c r="AB4" s="2"/>
    </row>
    <row r="5" customFormat="false" ht="15" hidden="false" customHeight="true" outlineLevel="0" collapsed="false">
      <c r="A5" s="2"/>
      <c r="B5" s="424" t="n">
        <v>2026</v>
      </c>
      <c r="C5" s="424" t="n">
        <v>2027</v>
      </c>
      <c r="D5" s="424" t="n">
        <v>2028</v>
      </c>
      <c r="E5" s="349"/>
      <c r="F5" s="2"/>
      <c r="G5" s="2"/>
      <c r="H5" s="424" t="n">
        <v>2026</v>
      </c>
      <c r="I5" s="424" t="n">
        <v>2027</v>
      </c>
      <c r="J5" s="424" t="n">
        <v>2028</v>
      </c>
      <c r="K5" s="2"/>
      <c r="L5" s="2"/>
      <c r="M5" s="2"/>
      <c r="N5" s="2"/>
      <c r="O5" s="2"/>
      <c r="P5" s="2"/>
      <c r="Q5" s="2"/>
      <c r="R5" s="2"/>
      <c r="S5" s="2"/>
      <c r="T5" s="2"/>
      <c r="U5" s="2"/>
      <c r="V5" s="2"/>
      <c r="W5" s="2"/>
      <c r="X5" s="2"/>
      <c r="Y5" s="2"/>
      <c r="Z5" s="2"/>
      <c r="AA5" s="2"/>
      <c r="AB5" s="2"/>
    </row>
    <row r="6" customFormat="false" ht="15" hidden="false" customHeight="true" outlineLevel="0" collapsed="false">
      <c r="A6" s="2"/>
      <c r="B6" s="425" t="n">
        <f aca="false">Hipótesis!C24</f>
        <v>0.008</v>
      </c>
      <c r="C6" s="425" t="n">
        <f aca="false">Hipótesis!C25</f>
        <v>0.029</v>
      </c>
      <c r="D6" s="425" t="n">
        <f aca="false">Hipótesis!C26</f>
        <v>0.052</v>
      </c>
      <c r="E6" s="436"/>
      <c r="F6" s="2"/>
      <c r="G6" s="2"/>
      <c r="H6" s="426" t="n">
        <f aca="false">AB32</f>
        <v>40479.8</v>
      </c>
      <c r="I6" s="426" t="n">
        <f aca="false">AB55</f>
        <v>59474.6</v>
      </c>
      <c r="J6" s="426" t="n">
        <f aca="false">AB78</f>
        <v>85346</v>
      </c>
      <c r="K6" s="2"/>
      <c r="L6" s="2"/>
      <c r="M6" s="2"/>
      <c r="N6" s="2"/>
      <c r="O6" s="2"/>
      <c r="P6" s="2"/>
      <c r="Q6" s="2"/>
      <c r="R6" s="2"/>
      <c r="S6" s="2"/>
      <c r="T6" s="2"/>
      <c r="U6" s="2"/>
      <c r="V6" s="2"/>
      <c r="W6" s="2"/>
      <c r="X6" s="2"/>
      <c r="Y6" s="2"/>
      <c r="Z6" s="2"/>
      <c r="AA6" s="2"/>
      <c r="AB6" s="2"/>
    </row>
    <row r="7" customFormat="false" ht="15" hidden="false" customHeight="true" outlineLevel="0" collapsed="false">
      <c r="A7" s="2"/>
      <c r="B7" s="427" t="n">
        <f aca="false">Hipótesis!D24</f>
        <v>107520</v>
      </c>
      <c r="C7" s="427" t="n">
        <f aca="false">Hipótesis!D25</f>
        <v>389760</v>
      </c>
      <c r="D7" s="427" t="n">
        <f aca="false">Hipótesis!D26</f>
        <v>698880</v>
      </c>
      <c r="E7" s="428"/>
      <c r="F7" s="2"/>
      <c r="G7" s="2"/>
      <c r="H7" s="2"/>
      <c r="I7" s="2"/>
      <c r="J7" s="2"/>
      <c r="K7" s="2"/>
      <c r="L7" s="2"/>
      <c r="M7" s="2"/>
      <c r="N7" s="2"/>
      <c r="O7" s="2"/>
      <c r="P7" s="2"/>
      <c r="Q7" s="2"/>
      <c r="R7" s="2"/>
      <c r="S7" s="2"/>
      <c r="T7" s="2"/>
      <c r="U7" s="2"/>
      <c r="V7" s="2"/>
      <c r="W7" s="2"/>
      <c r="X7" s="2"/>
      <c r="Y7" s="2"/>
      <c r="Z7" s="2"/>
      <c r="AA7" s="2"/>
      <c r="AB7" s="2"/>
    </row>
    <row r="8" customFormat="false" ht="15" hidden="false" customHeight="true" outlineLevel="0" collapsed="false">
      <c r="A8" s="2"/>
      <c r="B8" s="2"/>
      <c r="C8" s="2"/>
      <c r="D8" s="2"/>
      <c r="E8" s="2"/>
      <c r="F8" s="2"/>
      <c r="G8" s="2"/>
      <c r="H8" s="423" t="s">
        <v>280</v>
      </c>
      <c r="I8" s="423"/>
      <c r="J8" s="423"/>
      <c r="K8" s="2"/>
      <c r="L8" s="2"/>
      <c r="M8" s="2"/>
      <c r="N8" s="2"/>
      <c r="O8" s="2"/>
      <c r="P8" s="2"/>
      <c r="Q8" s="2"/>
      <c r="R8" s="2"/>
      <c r="S8" s="2"/>
      <c r="T8" s="2"/>
      <c r="U8" s="2"/>
      <c r="V8" s="2"/>
      <c r="W8" s="2"/>
      <c r="X8" s="2"/>
      <c r="Y8" s="2"/>
      <c r="Z8" s="2"/>
      <c r="AA8" s="2"/>
      <c r="AB8" s="2"/>
    </row>
    <row r="9" customFormat="false" ht="15" hidden="false" customHeight="true" outlineLevel="0" collapsed="false">
      <c r="A9" s="2"/>
      <c r="B9" s="2"/>
      <c r="C9" s="2"/>
      <c r="D9" s="2"/>
      <c r="E9" s="2"/>
      <c r="F9" s="2"/>
      <c r="G9" s="2"/>
      <c r="H9" s="424" t="n">
        <v>2026</v>
      </c>
      <c r="I9" s="424" t="n">
        <v>2027</v>
      </c>
      <c r="J9" s="424" t="n">
        <v>2028</v>
      </c>
      <c r="K9" s="2"/>
      <c r="L9" s="2"/>
      <c r="M9" s="2"/>
      <c r="N9" s="2"/>
      <c r="O9" s="2"/>
      <c r="P9" s="2"/>
      <c r="Q9" s="2"/>
      <c r="R9" s="2"/>
      <c r="S9" s="2"/>
      <c r="T9" s="2"/>
      <c r="U9" s="2"/>
      <c r="V9" s="2"/>
      <c r="W9" s="2"/>
      <c r="X9" s="2"/>
      <c r="Y9" s="2"/>
      <c r="Z9" s="2"/>
      <c r="AA9" s="2"/>
      <c r="AB9" s="2"/>
    </row>
    <row r="10" customFormat="false" ht="15" hidden="false" customHeight="true" outlineLevel="0" collapsed="false">
      <c r="A10" s="2"/>
      <c r="B10" s="2"/>
      <c r="C10" s="2"/>
      <c r="D10" s="2"/>
      <c r="E10" s="2"/>
      <c r="F10" s="2"/>
      <c r="G10" s="2"/>
      <c r="H10" s="426" t="n">
        <f aca="false">SUM(AB21:AB24)</f>
        <v>11265</v>
      </c>
      <c r="I10" s="426" t="n">
        <f aca="false">SUM(AB44:AB47)</f>
        <v>13396</v>
      </c>
      <c r="J10" s="426" t="n">
        <f aca="false">SUM(AB67:AB70)</f>
        <v>18124</v>
      </c>
      <c r="K10" s="2"/>
      <c r="L10" s="2"/>
      <c r="M10" s="2"/>
      <c r="N10" s="2"/>
      <c r="O10" s="2"/>
      <c r="P10" s="2"/>
      <c r="Q10" s="2"/>
      <c r="R10" s="2"/>
      <c r="S10" s="2"/>
      <c r="T10" s="2"/>
      <c r="U10" s="2"/>
      <c r="V10" s="2"/>
      <c r="W10" s="2"/>
      <c r="X10" s="2"/>
      <c r="Y10" s="2"/>
      <c r="Z10" s="2"/>
      <c r="AA10" s="2"/>
      <c r="AB10" s="2"/>
    </row>
    <row r="11" customFormat="false" ht="15" hidden="false" customHeight="true" outlineLevel="0" collapsed="false">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row>
    <row r="12" customFormat="false" ht="15" hidden="false" customHeight="true" outlineLevel="0" collapsed="false">
      <c r="A12" s="2"/>
      <c r="B12" s="423" t="s">
        <v>281</v>
      </c>
    </row>
    <row r="13" customFormat="false" ht="15" hidden="false" customHeight="true" outlineLevel="0" collapsed="false">
      <c r="A13" s="424" t="s">
        <v>248</v>
      </c>
      <c r="B13" s="424" t="s">
        <v>172</v>
      </c>
      <c r="C13" s="424" t="s">
        <v>282</v>
      </c>
      <c r="D13" s="424" t="s">
        <v>81</v>
      </c>
      <c r="E13" s="424"/>
      <c r="F13" s="424" t="s">
        <v>82</v>
      </c>
      <c r="G13" s="424"/>
      <c r="H13" s="424" t="s">
        <v>83</v>
      </c>
      <c r="I13" s="424"/>
      <c r="J13" s="424" t="s">
        <v>84</v>
      </c>
      <c r="K13" s="424"/>
      <c r="L13" s="424" t="s">
        <v>85</v>
      </c>
      <c r="M13" s="424"/>
      <c r="N13" s="424" t="s">
        <v>86</v>
      </c>
      <c r="O13" s="424"/>
      <c r="P13" s="424" t="s">
        <v>87</v>
      </c>
      <c r="Q13" s="424"/>
      <c r="R13" s="424" t="s">
        <v>88</v>
      </c>
      <c r="S13" s="424"/>
      <c r="T13" s="424" t="s">
        <v>89</v>
      </c>
      <c r="U13" s="424"/>
      <c r="V13" s="424" t="s">
        <v>90</v>
      </c>
      <c r="W13" s="424"/>
      <c r="X13" s="424" t="s">
        <v>91</v>
      </c>
      <c r="Y13" s="424"/>
      <c r="Z13" s="424" t="s">
        <v>92</v>
      </c>
      <c r="AA13" s="424"/>
      <c r="AB13" s="424" t="s">
        <v>249</v>
      </c>
    </row>
    <row r="14" customFormat="false" ht="15" hidden="false" customHeight="true" outlineLevel="0" collapsed="false">
      <c r="A14" s="437"/>
      <c r="B14" s="437"/>
      <c r="C14" s="437"/>
      <c r="D14" s="437" t="s">
        <v>283</v>
      </c>
      <c r="E14" s="437" t="s">
        <v>284</v>
      </c>
      <c r="F14" s="437" t="s">
        <v>283</v>
      </c>
      <c r="G14" s="437" t="s">
        <v>284</v>
      </c>
      <c r="H14" s="437" t="s">
        <v>283</v>
      </c>
      <c r="I14" s="437" t="s">
        <v>284</v>
      </c>
      <c r="J14" s="437" t="s">
        <v>283</v>
      </c>
      <c r="K14" s="437" t="s">
        <v>284</v>
      </c>
      <c r="L14" s="437" t="s">
        <v>283</v>
      </c>
      <c r="M14" s="437" t="s">
        <v>284</v>
      </c>
      <c r="N14" s="437" t="s">
        <v>283</v>
      </c>
      <c r="O14" s="437" t="s">
        <v>284</v>
      </c>
      <c r="P14" s="437" t="s">
        <v>283</v>
      </c>
      <c r="Q14" s="437" t="s">
        <v>284</v>
      </c>
      <c r="R14" s="437" t="s">
        <v>283</v>
      </c>
      <c r="S14" s="437" t="s">
        <v>284</v>
      </c>
      <c r="T14" s="437" t="s">
        <v>283</v>
      </c>
      <c r="U14" s="437" t="s">
        <v>284</v>
      </c>
      <c r="V14" s="437" t="s">
        <v>283</v>
      </c>
      <c r="W14" s="437" t="s">
        <v>284</v>
      </c>
      <c r="X14" s="437" t="s">
        <v>283</v>
      </c>
      <c r="Y14" s="437" t="s">
        <v>284</v>
      </c>
      <c r="Z14" s="437" t="s">
        <v>283</v>
      </c>
      <c r="AA14" s="437" t="s">
        <v>284</v>
      </c>
      <c r="AB14" s="424"/>
    </row>
    <row r="15" customFormat="false" ht="15" hidden="false" customHeight="true" outlineLevel="0" collapsed="false">
      <c r="A15" s="429" t="s">
        <v>285</v>
      </c>
      <c r="B15" s="429" t="s">
        <v>286</v>
      </c>
      <c r="C15" s="438" t="n">
        <v>40</v>
      </c>
      <c r="D15" s="439" t="n">
        <f aca="false">'Proy. ventas'!E19+'Proy. ventas'!E20+'Proy. ventas'!E21</f>
        <v>0</v>
      </c>
      <c r="E15" s="427" t="n">
        <f aca="false">D15*$C15</f>
        <v>0</v>
      </c>
      <c r="F15" s="439" t="n">
        <f aca="false">'Proy. ventas'!G19+'Proy. ventas'!G20+'Proy. ventas'!G21</f>
        <v>3</v>
      </c>
      <c r="G15" s="427" t="n">
        <f aca="false">F15*$C15</f>
        <v>120</v>
      </c>
      <c r="H15" s="439" t="n">
        <f aca="false">'Proy. ventas'!I19+'Proy. ventas'!I20+'Proy. ventas'!I21</f>
        <v>4</v>
      </c>
      <c r="I15" s="427" t="n">
        <f aca="false">H15*$C15</f>
        <v>160</v>
      </c>
      <c r="J15" s="439" t="n">
        <f aca="false">'Proy. ventas'!K19+'Proy. ventas'!K20+'Proy. ventas'!K21</f>
        <v>8</v>
      </c>
      <c r="K15" s="427" t="n">
        <f aca="false">J15*$C15</f>
        <v>320</v>
      </c>
      <c r="L15" s="439" t="n">
        <f aca="false">'Proy. ventas'!M19+'Proy. ventas'!M20+'Proy. ventas'!M21</f>
        <v>14</v>
      </c>
      <c r="M15" s="427" t="n">
        <f aca="false">L15*$C15</f>
        <v>560</v>
      </c>
      <c r="N15" s="439" t="n">
        <f aca="false">'Proy. ventas'!O19+'Proy. ventas'!O20+'Proy. ventas'!O21</f>
        <v>19</v>
      </c>
      <c r="O15" s="427" t="n">
        <f aca="false">N15*$C15</f>
        <v>760</v>
      </c>
      <c r="P15" s="439" t="n">
        <f aca="false">'Proy. ventas'!Q19+'Proy. ventas'!Q20+'Proy. ventas'!Q21</f>
        <v>24</v>
      </c>
      <c r="Q15" s="427" t="n">
        <f aca="false">P15*$C15</f>
        <v>960</v>
      </c>
      <c r="R15" s="439" t="n">
        <f aca="false">'Proy. ventas'!S19+'Proy. ventas'!S20+'Proy. ventas'!S21</f>
        <v>30</v>
      </c>
      <c r="S15" s="427" t="n">
        <f aca="false">R15*$C15</f>
        <v>1200</v>
      </c>
      <c r="T15" s="439" t="n">
        <f aca="false">'Proy. ventas'!U19+'Proy. ventas'!U20+'Proy. ventas'!U21</f>
        <v>33</v>
      </c>
      <c r="U15" s="427" t="n">
        <f aca="false">T15*$C15</f>
        <v>1320</v>
      </c>
      <c r="V15" s="439" t="n">
        <f aca="false">'Proy. ventas'!W19+'Proy. ventas'!W20+'Proy. ventas'!W21</f>
        <v>41</v>
      </c>
      <c r="W15" s="427" t="n">
        <f aca="false">V15*$C15</f>
        <v>1640</v>
      </c>
      <c r="X15" s="439" t="n">
        <f aca="false">'Proy. ventas'!Y19+'Proy. ventas'!Y20+'Proy. ventas'!Y21</f>
        <v>43</v>
      </c>
      <c r="Y15" s="427" t="n">
        <f aca="false">X15*$C15</f>
        <v>1720</v>
      </c>
      <c r="Z15" s="439" t="n">
        <f aca="false">'Proy. ventas'!AA19+'Proy. ventas'!AA20+'Proy. ventas'!AA21</f>
        <v>52</v>
      </c>
      <c r="AA15" s="427" t="n">
        <f aca="false">Z15*$C15</f>
        <v>2080</v>
      </c>
      <c r="AB15" s="430" t="n">
        <f aca="false">E15+G15+I15+K15+M15+O15+Q15+S15+U15+W15+Y15+AA15</f>
        <v>10840</v>
      </c>
    </row>
    <row r="16" customFormat="false" ht="15" hidden="false" customHeight="true" outlineLevel="0" collapsed="false">
      <c r="A16" s="429"/>
      <c r="B16" s="429" t="s">
        <v>287</v>
      </c>
      <c r="C16" s="438" t="n">
        <v>5</v>
      </c>
      <c r="D16" s="439" t="n">
        <f aca="false">'Proy. ventas'!E20+'Proy. ventas'!E21</f>
        <v>0</v>
      </c>
      <c r="E16" s="427" t="n">
        <f aca="false">D16*$C16</f>
        <v>0</v>
      </c>
      <c r="F16" s="439" t="n">
        <f aca="false">'Proy. ventas'!G20+'Proy. ventas'!G21</f>
        <v>2</v>
      </c>
      <c r="G16" s="427" t="n">
        <f aca="false">F16*$C16</f>
        <v>10</v>
      </c>
      <c r="H16" s="439" t="n">
        <f aca="false">'Proy. ventas'!I20+'Proy. ventas'!I21</f>
        <v>3</v>
      </c>
      <c r="I16" s="427" t="n">
        <f aca="false">H16*$C16</f>
        <v>15</v>
      </c>
      <c r="J16" s="439" t="n">
        <f aca="false">'Proy. ventas'!K20+'Proy. ventas'!K21</f>
        <v>6</v>
      </c>
      <c r="K16" s="427" t="n">
        <f aca="false">J16*$C16</f>
        <v>30</v>
      </c>
      <c r="L16" s="439" t="n">
        <f aca="false">'Proy. ventas'!M20+'Proy. ventas'!M21</f>
        <v>10</v>
      </c>
      <c r="M16" s="427" t="n">
        <f aca="false">L16*$C16</f>
        <v>50</v>
      </c>
      <c r="N16" s="439" t="n">
        <f aca="false">'Proy. ventas'!O20+'Proy. ventas'!O21</f>
        <v>14</v>
      </c>
      <c r="O16" s="427" t="n">
        <f aca="false">N16*$C16</f>
        <v>70</v>
      </c>
      <c r="P16" s="439" t="n">
        <f aca="false">'Proy. ventas'!Q20+'Proy. ventas'!Q21</f>
        <v>17</v>
      </c>
      <c r="Q16" s="427" t="n">
        <f aca="false">P16*$C16</f>
        <v>85</v>
      </c>
      <c r="R16" s="439" t="n">
        <f aca="false">'Proy. ventas'!S20+'Proy. ventas'!S21</f>
        <v>22</v>
      </c>
      <c r="S16" s="427" t="n">
        <f aca="false">R16*$C16</f>
        <v>110</v>
      </c>
      <c r="T16" s="439" t="n">
        <f aca="false">'Proy. ventas'!U20+'Proy. ventas'!U21</f>
        <v>24</v>
      </c>
      <c r="U16" s="427" t="n">
        <f aca="false">T16*$C16</f>
        <v>120</v>
      </c>
      <c r="V16" s="439" t="n">
        <f aca="false">'Proy. ventas'!W20+'Proy. ventas'!W21</f>
        <v>30</v>
      </c>
      <c r="W16" s="427" t="n">
        <f aca="false">V16*$C16</f>
        <v>150</v>
      </c>
      <c r="X16" s="439" t="n">
        <f aca="false">'Proy. ventas'!Y20+'Proy. ventas'!Y21</f>
        <v>31</v>
      </c>
      <c r="Y16" s="427" t="n">
        <f aca="false">X16*$C16</f>
        <v>155</v>
      </c>
      <c r="Z16" s="439" t="n">
        <f aca="false">'Proy. ventas'!AA20+'Proy. ventas'!AA21</f>
        <v>38</v>
      </c>
      <c r="AA16" s="427" t="n">
        <f aca="false">Z16*$C16</f>
        <v>190</v>
      </c>
      <c r="AB16" s="430" t="n">
        <f aca="false">E16+G16+I16+K16+M16+O16+Q16+S16+U16+W16+Y16+AA16</f>
        <v>985</v>
      </c>
    </row>
    <row r="17" customFormat="false" ht="15" hidden="false" customHeight="true" outlineLevel="0" collapsed="false">
      <c r="A17" s="429"/>
      <c r="B17" s="429" t="s">
        <v>288</v>
      </c>
      <c r="C17" s="438" t="n">
        <v>0.35</v>
      </c>
      <c r="D17" s="439" t="n">
        <f aca="false">'Proy. ventas'!E22+'Proy. ventas'!E23+'Proy. ventas'!E24</f>
        <v>0</v>
      </c>
      <c r="E17" s="427" t="n">
        <f aca="false">D17*$C17</f>
        <v>0</v>
      </c>
      <c r="F17" s="439" t="n">
        <f aca="false">'Proy. ventas'!G22+'Proy. ventas'!G23+'Proy. ventas'!G24</f>
        <v>3</v>
      </c>
      <c r="G17" s="427" t="n">
        <f aca="false">F17*$C17</f>
        <v>1.05</v>
      </c>
      <c r="H17" s="439" t="n">
        <f aca="false">'Proy. ventas'!I22+'Proy. ventas'!I23+'Proy. ventas'!I24</f>
        <v>7</v>
      </c>
      <c r="I17" s="427" t="n">
        <f aca="false">H17*$C17</f>
        <v>2.45</v>
      </c>
      <c r="J17" s="439" t="n">
        <f aca="false">'Proy. ventas'!K22+'Proy. ventas'!K23+'Proy. ventas'!K24</f>
        <v>15</v>
      </c>
      <c r="K17" s="427" t="n">
        <f aca="false">J17*$C17</f>
        <v>5.25</v>
      </c>
      <c r="L17" s="439" t="n">
        <f aca="false">'Proy. ventas'!M22+'Proy. ventas'!M23+'Proy. ventas'!M24</f>
        <v>29</v>
      </c>
      <c r="M17" s="427" t="n">
        <f aca="false">L17*$C17</f>
        <v>10.15</v>
      </c>
      <c r="N17" s="439" t="n">
        <f aca="false">'Proy. ventas'!O22+'Proy. ventas'!O23+'Proy. ventas'!O24</f>
        <v>48</v>
      </c>
      <c r="O17" s="427" t="n">
        <f aca="false">N17*$C17</f>
        <v>16.8</v>
      </c>
      <c r="P17" s="439" t="n">
        <f aca="false">'Proy. ventas'!Q22+'Proy. ventas'!Q23+'Proy. ventas'!Q24</f>
        <v>72</v>
      </c>
      <c r="Q17" s="427" t="n">
        <f aca="false">P17*$C17</f>
        <v>25.2</v>
      </c>
      <c r="R17" s="439" t="n">
        <f aca="false">'Proy. ventas'!S22+'Proy. ventas'!S23+'Proy. ventas'!S24</f>
        <v>102</v>
      </c>
      <c r="S17" s="427" t="n">
        <f aca="false">R17*$C17</f>
        <v>35.7</v>
      </c>
      <c r="T17" s="439" t="n">
        <f aca="false">'Proy. ventas'!U22+'Proy. ventas'!U23+'Proy. ventas'!U24</f>
        <v>135</v>
      </c>
      <c r="U17" s="427" t="n">
        <f aca="false">T17*$C17</f>
        <v>47.25</v>
      </c>
      <c r="V17" s="439" t="n">
        <f aca="false">'Proy. ventas'!W22+'Proy. ventas'!W23+'Proy. ventas'!W24</f>
        <v>176</v>
      </c>
      <c r="W17" s="427" t="n">
        <f aca="false">V17*$C17</f>
        <v>61.6</v>
      </c>
      <c r="X17" s="439" t="n">
        <f aca="false">'Proy. ventas'!Y22+'Proy. ventas'!Y23+'Proy. ventas'!Y24</f>
        <v>219</v>
      </c>
      <c r="Y17" s="427" t="n">
        <f aca="false">X17*$C17</f>
        <v>76.65</v>
      </c>
      <c r="Z17" s="439" t="n">
        <f aca="false">'Proy. ventas'!AA22+'Proy. ventas'!AA23+'Proy. ventas'!AA24</f>
        <v>271</v>
      </c>
      <c r="AA17" s="427" t="n">
        <f aca="false">Z17*$C17</f>
        <v>94.85</v>
      </c>
      <c r="AB17" s="430" t="n">
        <f aca="false">E17+G17+I17+K17+M17+O17+Q17+S17+U17+W17+Y17+AA17</f>
        <v>376.95</v>
      </c>
    </row>
    <row r="18" customFormat="false" ht="15" hidden="false" customHeight="true" outlineLevel="0" collapsed="false">
      <c r="A18" s="429"/>
      <c r="B18" s="429" t="s">
        <v>289</v>
      </c>
      <c r="C18" s="438" t="n">
        <v>0.15</v>
      </c>
      <c r="D18" s="439" t="n">
        <f aca="false">'Proy. ventas'!E22+'Proy. ventas'!E23+'Proy. ventas'!E24</f>
        <v>0</v>
      </c>
      <c r="E18" s="427" t="n">
        <f aca="false">D18*$C18</f>
        <v>0</v>
      </c>
      <c r="F18" s="439" t="n">
        <f aca="false">'Proy. ventas'!G22+'Proy. ventas'!G23+'Proy. ventas'!G24</f>
        <v>3</v>
      </c>
      <c r="G18" s="427" t="n">
        <f aca="false">F18*$C18</f>
        <v>0.45</v>
      </c>
      <c r="H18" s="439" t="n">
        <f aca="false">'Proy. ventas'!I22+'Proy. ventas'!I23+'Proy. ventas'!I24</f>
        <v>7</v>
      </c>
      <c r="I18" s="427" t="n">
        <f aca="false">H18*$C18</f>
        <v>1.05</v>
      </c>
      <c r="J18" s="439" t="n">
        <f aca="false">'Proy. ventas'!K22+'Proy. ventas'!K23+'Proy. ventas'!K24</f>
        <v>15</v>
      </c>
      <c r="K18" s="427" t="n">
        <f aca="false">J18*$C18</f>
        <v>2.25</v>
      </c>
      <c r="L18" s="439" t="n">
        <f aca="false">'Proy. ventas'!M22+'Proy. ventas'!M23+'Proy. ventas'!M24</f>
        <v>29</v>
      </c>
      <c r="M18" s="427" t="n">
        <f aca="false">L18*$C18</f>
        <v>4.35</v>
      </c>
      <c r="N18" s="439" t="n">
        <f aca="false">'Proy. ventas'!O22+'Proy. ventas'!O23+'Proy. ventas'!O24</f>
        <v>48</v>
      </c>
      <c r="O18" s="427" t="n">
        <f aca="false">N18*$C18</f>
        <v>7.2</v>
      </c>
      <c r="P18" s="439" t="n">
        <f aca="false">'Proy. ventas'!Q22+'Proy. ventas'!Q23+'Proy. ventas'!Q24</f>
        <v>72</v>
      </c>
      <c r="Q18" s="427" t="n">
        <f aca="false">P18*$C18</f>
        <v>10.8</v>
      </c>
      <c r="R18" s="439" t="n">
        <f aca="false">'Proy. ventas'!S22+'Proy. ventas'!S23+'Proy. ventas'!S24</f>
        <v>102</v>
      </c>
      <c r="S18" s="427" t="n">
        <f aca="false">R18*$C18</f>
        <v>15.3</v>
      </c>
      <c r="T18" s="439" t="n">
        <f aca="false">'Proy. ventas'!U22+'Proy. ventas'!U23+'Proy. ventas'!U24</f>
        <v>135</v>
      </c>
      <c r="U18" s="427" t="n">
        <f aca="false">T18*$C18</f>
        <v>20.25</v>
      </c>
      <c r="V18" s="439" t="n">
        <f aca="false">'Proy. ventas'!W22+'Proy. ventas'!W23+'Proy. ventas'!W24</f>
        <v>176</v>
      </c>
      <c r="W18" s="427" t="n">
        <f aca="false">V18*$C18</f>
        <v>26.4</v>
      </c>
      <c r="X18" s="439" t="n">
        <f aca="false">'Proy. ventas'!Y22+'Proy. ventas'!Y23+'Proy. ventas'!Y24</f>
        <v>219</v>
      </c>
      <c r="Y18" s="427" t="n">
        <f aca="false">X18*$C18</f>
        <v>32.85</v>
      </c>
      <c r="Z18" s="439" t="n">
        <f aca="false">'Proy. ventas'!AA22+'Proy. ventas'!AA23+'Proy. ventas'!AA24</f>
        <v>271</v>
      </c>
      <c r="AA18" s="427" t="n">
        <f aca="false">Z18*$C18</f>
        <v>40.65</v>
      </c>
      <c r="AB18" s="430" t="n">
        <f aca="false">E18+G18+I18+K18+M18+O18+Q18+S18+U18+W18+Y18+AA18</f>
        <v>161.55</v>
      </c>
    </row>
    <row r="19" customFormat="false" ht="15" hidden="false" customHeight="true" outlineLevel="0" collapsed="false">
      <c r="A19" s="429"/>
      <c r="B19" s="429" t="s">
        <v>290</v>
      </c>
      <c r="C19" s="438" t="n">
        <v>0.9</v>
      </c>
      <c r="D19" s="439" t="n">
        <f aca="false">'Proy. ventas'!E22+'Proy. ventas'!E23+'Proy. ventas'!E24</f>
        <v>0</v>
      </c>
      <c r="E19" s="427" t="n">
        <f aca="false">D19*$C19</f>
        <v>0</v>
      </c>
      <c r="F19" s="439" t="n">
        <f aca="false">'Proy. ventas'!G22+'Proy. ventas'!G23+'Proy. ventas'!G24</f>
        <v>3</v>
      </c>
      <c r="G19" s="427" t="n">
        <f aca="false">F19*$C19</f>
        <v>2.7</v>
      </c>
      <c r="H19" s="439" t="n">
        <f aca="false">'Proy. ventas'!I22+'Proy. ventas'!I23+'Proy. ventas'!I24</f>
        <v>7</v>
      </c>
      <c r="I19" s="427" t="n">
        <f aca="false">H19*$C19</f>
        <v>6.3</v>
      </c>
      <c r="J19" s="439" t="n">
        <f aca="false">'Proy. ventas'!K22+'Proy. ventas'!K23+'Proy. ventas'!K24</f>
        <v>15</v>
      </c>
      <c r="K19" s="427" t="n">
        <f aca="false">J19*$C19</f>
        <v>13.5</v>
      </c>
      <c r="L19" s="439" t="n">
        <f aca="false">'Proy. ventas'!M22+'Proy. ventas'!M23+'Proy. ventas'!M24</f>
        <v>29</v>
      </c>
      <c r="M19" s="427" t="n">
        <f aca="false">L19*$C19</f>
        <v>26.1</v>
      </c>
      <c r="N19" s="439" t="n">
        <f aca="false">'Proy. ventas'!O22+'Proy. ventas'!O23+'Proy. ventas'!O24</f>
        <v>48</v>
      </c>
      <c r="O19" s="427" t="n">
        <f aca="false">N19*$C19</f>
        <v>43.2</v>
      </c>
      <c r="P19" s="439" t="n">
        <f aca="false">'Proy. ventas'!Q22+'Proy. ventas'!Q23+'Proy. ventas'!Q24</f>
        <v>72</v>
      </c>
      <c r="Q19" s="427" t="n">
        <f aca="false">P19*$C19</f>
        <v>64.8</v>
      </c>
      <c r="R19" s="439" t="n">
        <f aca="false">'Proy. ventas'!S22+'Proy. ventas'!S23+'Proy. ventas'!S24</f>
        <v>102</v>
      </c>
      <c r="S19" s="427" t="n">
        <f aca="false">R19*$C19</f>
        <v>91.8</v>
      </c>
      <c r="T19" s="439" t="n">
        <f aca="false">'Proy. ventas'!U22+'Proy. ventas'!U23+'Proy. ventas'!U24</f>
        <v>135</v>
      </c>
      <c r="U19" s="427" t="n">
        <f aca="false">T19*$C19</f>
        <v>121.5</v>
      </c>
      <c r="V19" s="439" t="n">
        <f aca="false">'Proy. ventas'!W22+'Proy. ventas'!W23+'Proy. ventas'!W24</f>
        <v>176</v>
      </c>
      <c r="W19" s="427" t="n">
        <f aca="false">V19*$C19</f>
        <v>158.4</v>
      </c>
      <c r="X19" s="439" t="n">
        <f aca="false">'Proy. ventas'!Y22+'Proy. ventas'!Y23+'Proy. ventas'!Y24</f>
        <v>219</v>
      </c>
      <c r="Y19" s="427" t="n">
        <f aca="false">X19*$C19</f>
        <v>197.1</v>
      </c>
      <c r="Z19" s="439" t="n">
        <f aca="false">'Proy. ventas'!AA22+'Proy. ventas'!AA23+'Proy. ventas'!AA24</f>
        <v>271</v>
      </c>
      <c r="AA19" s="427" t="n">
        <f aca="false">Z19*$C19</f>
        <v>243.9</v>
      </c>
      <c r="AB19" s="430" t="n">
        <f aca="false">E19+G19+I19+K19+M19+O19+Q19+S19+U19+W19+Y19+AA19</f>
        <v>969.3</v>
      </c>
    </row>
    <row r="20" customFormat="false" ht="15" hidden="false" customHeight="true" outlineLevel="0" collapsed="false">
      <c r="A20" s="429"/>
      <c r="B20" s="429" t="s">
        <v>291</v>
      </c>
      <c r="C20" s="438" t="n">
        <v>6</v>
      </c>
      <c r="D20" s="439" t="n">
        <f aca="false">'Proy. ventas'!E20+'Proy. ventas'!E21</f>
        <v>0</v>
      </c>
      <c r="E20" s="427" t="n">
        <f aca="false">D20*$C20</f>
        <v>0</v>
      </c>
      <c r="F20" s="439" t="n">
        <f aca="false">'Proy. ventas'!G20+'Proy. ventas'!G21</f>
        <v>2</v>
      </c>
      <c r="G20" s="427" t="n">
        <f aca="false">F20*$C20</f>
        <v>12</v>
      </c>
      <c r="H20" s="439" t="n">
        <f aca="false">'Proy. ventas'!I20+'Proy. ventas'!I21</f>
        <v>3</v>
      </c>
      <c r="I20" s="427" t="n">
        <f aca="false">H20*$C20</f>
        <v>18</v>
      </c>
      <c r="J20" s="439" t="n">
        <f aca="false">'Proy. ventas'!K20+'Proy. ventas'!K21</f>
        <v>6</v>
      </c>
      <c r="K20" s="427" t="n">
        <f aca="false">J20*$C20</f>
        <v>36</v>
      </c>
      <c r="L20" s="439" t="n">
        <f aca="false">'Proy. ventas'!M20+'Proy. ventas'!M21</f>
        <v>10</v>
      </c>
      <c r="M20" s="427" t="n">
        <f aca="false">L20*$C20</f>
        <v>60</v>
      </c>
      <c r="N20" s="439" t="n">
        <f aca="false">'Proy. ventas'!O20+'Proy. ventas'!O21</f>
        <v>14</v>
      </c>
      <c r="O20" s="427" t="n">
        <f aca="false">N20*$C20</f>
        <v>84</v>
      </c>
      <c r="P20" s="439" t="n">
        <f aca="false">'Proy. ventas'!Q20+'Proy. ventas'!Q21</f>
        <v>17</v>
      </c>
      <c r="Q20" s="427" t="n">
        <f aca="false">P20*$C20</f>
        <v>102</v>
      </c>
      <c r="R20" s="439" t="n">
        <f aca="false">'Proy. ventas'!S20+'Proy. ventas'!S21</f>
        <v>22</v>
      </c>
      <c r="S20" s="427" t="n">
        <f aca="false">R20*$C20</f>
        <v>132</v>
      </c>
      <c r="T20" s="439" t="n">
        <f aca="false">'Proy. ventas'!U20+'Proy. ventas'!U21</f>
        <v>24</v>
      </c>
      <c r="U20" s="427" t="n">
        <f aca="false">T20*$C20</f>
        <v>144</v>
      </c>
      <c r="V20" s="439" t="n">
        <f aca="false">'Proy. ventas'!W20+'Proy. ventas'!W21</f>
        <v>30</v>
      </c>
      <c r="W20" s="427" t="n">
        <f aca="false">V20*$C20</f>
        <v>180</v>
      </c>
      <c r="X20" s="439" t="n">
        <f aca="false">'Proy. ventas'!Y20+'Proy. ventas'!Y21</f>
        <v>31</v>
      </c>
      <c r="Y20" s="427" t="n">
        <f aca="false">X20*$C20</f>
        <v>186</v>
      </c>
      <c r="Z20" s="439" t="n">
        <f aca="false">'Proy. ventas'!AA20+'Proy. ventas'!AA21</f>
        <v>38</v>
      </c>
      <c r="AA20" s="427" t="n">
        <f aca="false">Z20*$C20</f>
        <v>228</v>
      </c>
      <c r="AB20" s="430" t="n">
        <f aca="false">E20+G20+I20+K20+M20+O20+Q20+S20+U20+W20+Y20+AA20</f>
        <v>1182</v>
      </c>
    </row>
    <row r="21" customFormat="false" ht="15" hidden="false" customHeight="true" outlineLevel="0" collapsed="false">
      <c r="A21" s="429" t="s">
        <v>292</v>
      </c>
      <c r="B21" s="429" t="s">
        <v>293</v>
      </c>
      <c r="C21" s="438" t="n">
        <f aca="false">Hipótesis!$C$58*0.3</f>
        <v>12</v>
      </c>
      <c r="D21" s="439" t="n">
        <f aca="false">'Proy. ventas'!E19</f>
        <v>0</v>
      </c>
      <c r="E21" s="427" t="n">
        <f aca="false">D21*$C21</f>
        <v>0</v>
      </c>
      <c r="F21" s="439" t="n">
        <f aca="false">'Proy. ventas'!G19</f>
        <v>1</v>
      </c>
      <c r="G21" s="427" t="n">
        <f aca="false">F21*$C21</f>
        <v>12</v>
      </c>
      <c r="H21" s="439" t="n">
        <f aca="false">'Proy. ventas'!I19</f>
        <v>1</v>
      </c>
      <c r="I21" s="427" t="n">
        <f aca="false">H21*$C21</f>
        <v>12</v>
      </c>
      <c r="J21" s="439" t="n">
        <f aca="false">'Proy. ventas'!K19</f>
        <v>2</v>
      </c>
      <c r="K21" s="427" t="n">
        <f aca="false">J21*$C21</f>
        <v>24</v>
      </c>
      <c r="L21" s="439" t="n">
        <f aca="false">'Proy. ventas'!M19</f>
        <v>4</v>
      </c>
      <c r="M21" s="427" t="n">
        <f aca="false">L21*$C21</f>
        <v>48</v>
      </c>
      <c r="N21" s="439" t="n">
        <f aca="false">'Proy. ventas'!O19</f>
        <v>5</v>
      </c>
      <c r="O21" s="427" t="n">
        <f aca="false">N21*$C21</f>
        <v>60</v>
      </c>
      <c r="P21" s="439" t="n">
        <f aca="false">'Proy. ventas'!Q19</f>
        <v>7</v>
      </c>
      <c r="Q21" s="427" t="n">
        <f aca="false">P21*$C21</f>
        <v>84</v>
      </c>
      <c r="R21" s="439" t="n">
        <f aca="false">'Proy. ventas'!S19</f>
        <v>8</v>
      </c>
      <c r="S21" s="427" t="n">
        <f aca="false">R21*$C21</f>
        <v>96</v>
      </c>
      <c r="T21" s="439" t="n">
        <f aca="false">'Proy. ventas'!U19</f>
        <v>9</v>
      </c>
      <c r="U21" s="427" t="n">
        <f aca="false">T21*$C21</f>
        <v>108</v>
      </c>
      <c r="V21" s="439" t="n">
        <f aca="false">'Proy. ventas'!W19</f>
        <v>11</v>
      </c>
      <c r="W21" s="427" t="n">
        <f aca="false">V21*$C21</f>
        <v>132</v>
      </c>
      <c r="X21" s="439" t="n">
        <f aca="false">'Proy. ventas'!Y19</f>
        <v>12</v>
      </c>
      <c r="Y21" s="427" t="n">
        <f aca="false">X21*$C21</f>
        <v>144</v>
      </c>
      <c r="Z21" s="439" t="n">
        <f aca="false">'Proy. ventas'!AA19</f>
        <v>14</v>
      </c>
      <c r="AA21" s="427" t="n">
        <f aca="false">Z21*$C21</f>
        <v>168</v>
      </c>
      <c r="AB21" s="430" t="n">
        <f aca="false">E21+G21+I21+K21+M21+O21+Q21+S21+U21+W21+Y21+AA21</f>
        <v>888</v>
      </c>
    </row>
    <row r="22" customFormat="false" ht="15" hidden="false" customHeight="true" outlineLevel="0" collapsed="false">
      <c r="A22" s="429"/>
      <c r="B22" s="429" t="s">
        <v>294</v>
      </c>
      <c r="C22" s="438" t="n">
        <f aca="false">Hipótesis!$C$59*0.3</f>
        <v>36</v>
      </c>
      <c r="D22" s="439" t="n">
        <f aca="false">'Proy. ventas'!E20</f>
        <v>0</v>
      </c>
      <c r="E22" s="427" t="n">
        <f aca="false">D22*$C22</f>
        <v>0</v>
      </c>
      <c r="F22" s="439" t="n">
        <f aca="false">'Proy. ventas'!G20</f>
        <v>2</v>
      </c>
      <c r="G22" s="427" t="n">
        <f aca="false">F22*$C22</f>
        <v>72</v>
      </c>
      <c r="H22" s="439" t="n">
        <f aca="false">'Proy. ventas'!I20</f>
        <v>3</v>
      </c>
      <c r="I22" s="427" t="n">
        <f aca="false">H22*$C22</f>
        <v>108</v>
      </c>
      <c r="J22" s="439" t="n">
        <f aca="false">'Proy. ventas'!K20</f>
        <v>5</v>
      </c>
      <c r="K22" s="427" t="n">
        <f aca="false">J22*$C22</f>
        <v>180</v>
      </c>
      <c r="L22" s="439" t="n">
        <f aca="false">'Proy. ventas'!M20</f>
        <v>9</v>
      </c>
      <c r="M22" s="427" t="n">
        <f aca="false">L22*$C22</f>
        <v>324</v>
      </c>
      <c r="N22" s="439" t="n">
        <f aca="false">'Proy. ventas'!O20</f>
        <v>12</v>
      </c>
      <c r="O22" s="427" t="n">
        <f aca="false">N22*$C22</f>
        <v>432</v>
      </c>
      <c r="P22" s="439" t="n">
        <f aca="false">'Proy. ventas'!Q20</f>
        <v>15</v>
      </c>
      <c r="Q22" s="427" t="n">
        <f aca="false">P22*$C22</f>
        <v>540</v>
      </c>
      <c r="R22" s="439" t="n">
        <f aca="false">'Proy. ventas'!S20</f>
        <v>19</v>
      </c>
      <c r="S22" s="427" t="n">
        <f aca="false">R22*$C22</f>
        <v>684</v>
      </c>
      <c r="T22" s="439" t="n">
        <f aca="false">'Proy. ventas'!U20</f>
        <v>21</v>
      </c>
      <c r="U22" s="427" t="n">
        <f aca="false">T22*$C22</f>
        <v>756</v>
      </c>
      <c r="V22" s="439" t="n">
        <f aca="false">'Proy. ventas'!W20</f>
        <v>26</v>
      </c>
      <c r="W22" s="427" t="n">
        <f aca="false">V22*$C22</f>
        <v>936</v>
      </c>
      <c r="X22" s="439" t="n">
        <f aca="false">'Proy. ventas'!Y20</f>
        <v>27</v>
      </c>
      <c r="Y22" s="427" t="n">
        <f aca="false">X22*$C22</f>
        <v>972</v>
      </c>
      <c r="Z22" s="439" t="n">
        <f aca="false">'Proy. ventas'!AA20</f>
        <v>33</v>
      </c>
      <c r="AA22" s="427" t="n">
        <f aca="false">Z22*$C22</f>
        <v>1188</v>
      </c>
      <c r="AB22" s="430" t="n">
        <f aca="false">E22+G22+I22+K22+M22+O22+Q22+S22+U22+W22+Y22+AA22</f>
        <v>6192</v>
      </c>
    </row>
    <row r="23" customFormat="false" ht="15" hidden="false" customHeight="true" outlineLevel="0" collapsed="false">
      <c r="A23" s="429"/>
      <c r="B23" s="429" t="s">
        <v>295</v>
      </c>
      <c r="C23" s="438" t="n">
        <f aca="false">Hipótesis!$C$60*0.3</f>
        <v>135</v>
      </c>
      <c r="D23" s="439" t="n">
        <f aca="false">'Proy. ventas'!E21</f>
        <v>0</v>
      </c>
      <c r="E23" s="427" t="n">
        <f aca="false">D23*$C23</f>
        <v>0</v>
      </c>
      <c r="F23" s="439" t="n">
        <f aca="false">'Proy. ventas'!G21</f>
        <v>0</v>
      </c>
      <c r="G23" s="427" t="n">
        <f aca="false">F23*$C23</f>
        <v>0</v>
      </c>
      <c r="H23" s="439" t="n">
        <f aca="false">'Proy. ventas'!I21</f>
        <v>0</v>
      </c>
      <c r="I23" s="427" t="n">
        <f aca="false">H23*$C23</f>
        <v>0</v>
      </c>
      <c r="J23" s="439" t="n">
        <f aca="false">'Proy. ventas'!K21</f>
        <v>1</v>
      </c>
      <c r="K23" s="427" t="n">
        <f aca="false">J23*$C23</f>
        <v>135</v>
      </c>
      <c r="L23" s="439" t="n">
        <f aca="false">'Proy. ventas'!M21</f>
        <v>1</v>
      </c>
      <c r="M23" s="427" t="n">
        <f aca="false">L23*$C23</f>
        <v>135</v>
      </c>
      <c r="N23" s="439" t="n">
        <f aca="false">'Proy. ventas'!O21</f>
        <v>2</v>
      </c>
      <c r="O23" s="427" t="n">
        <f aca="false">N23*$C23</f>
        <v>270</v>
      </c>
      <c r="P23" s="439" t="n">
        <f aca="false">'Proy. ventas'!Q21</f>
        <v>2</v>
      </c>
      <c r="Q23" s="427" t="n">
        <f aca="false">P23*$C23</f>
        <v>270</v>
      </c>
      <c r="R23" s="439" t="n">
        <f aca="false">'Proy. ventas'!S21</f>
        <v>3</v>
      </c>
      <c r="S23" s="427" t="n">
        <f aca="false">R23*$C23</f>
        <v>405</v>
      </c>
      <c r="T23" s="439" t="n">
        <f aca="false">'Proy. ventas'!U21</f>
        <v>3</v>
      </c>
      <c r="U23" s="427" t="n">
        <f aca="false">T23*$C23</f>
        <v>405</v>
      </c>
      <c r="V23" s="439" t="n">
        <f aca="false">'Proy. ventas'!W21</f>
        <v>4</v>
      </c>
      <c r="W23" s="427" t="n">
        <f aca="false">V23*$C23</f>
        <v>540</v>
      </c>
      <c r="X23" s="439" t="n">
        <f aca="false">'Proy. ventas'!Y21</f>
        <v>4</v>
      </c>
      <c r="Y23" s="427" t="n">
        <f aca="false">X23*$C23</f>
        <v>540</v>
      </c>
      <c r="Z23" s="439" t="n">
        <f aca="false">'Proy. ventas'!AA21</f>
        <v>5</v>
      </c>
      <c r="AA23" s="427" t="n">
        <f aca="false">Z23*$C23</f>
        <v>675</v>
      </c>
      <c r="AB23" s="430" t="n">
        <f aca="false">E23+G23+I23+K23+M23+O23+Q23+S23+U23+W23+Y23+AA23</f>
        <v>3375</v>
      </c>
    </row>
    <row r="24" customFormat="false" ht="15" hidden="false" customHeight="true" outlineLevel="0" collapsed="false">
      <c r="A24" s="429"/>
      <c r="B24" s="429" t="s">
        <v>296</v>
      </c>
      <c r="C24" s="438" t="n">
        <v>10</v>
      </c>
      <c r="D24" s="439" t="n">
        <f aca="false">ROUND(('Proy. ventas'!E19+'Proy. ventas'!E20+'Proy. ventas'!E21)*0.3,0)</f>
        <v>0</v>
      </c>
      <c r="E24" s="427" t="n">
        <f aca="false">D24*$C24</f>
        <v>0</v>
      </c>
      <c r="F24" s="439" t="n">
        <f aca="false">ROUND(('Proy. ventas'!G19+'Proy. ventas'!G20+'Proy. ventas'!G21)*0.3,0)</f>
        <v>1</v>
      </c>
      <c r="G24" s="427" t="n">
        <f aca="false">F24*$C24</f>
        <v>10</v>
      </c>
      <c r="H24" s="439" t="n">
        <f aca="false">ROUND(('Proy. ventas'!I19+'Proy. ventas'!I20+'Proy. ventas'!I21)*0.3,0)</f>
        <v>1</v>
      </c>
      <c r="I24" s="427" t="n">
        <f aca="false">H24*$C24</f>
        <v>10</v>
      </c>
      <c r="J24" s="439" t="n">
        <f aca="false">ROUND(('Proy. ventas'!K19+'Proy. ventas'!K20+'Proy. ventas'!K21)*0.3,0)</f>
        <v>2</v>
      </c>
      <c r="K24" s="427" t="n">
        <f aca="false">J24*$C24</f>
        <v>20</v>
      </c>
      <c r="L24" s="439" t="n">
        <f aca="false">ROUND(('Proy. ventas'!M19+'Proy. ventas'!M20+'Proy. ventas'!M21)*0.3,0)</f>
        <v>4</v>
      </c>
      <c r="M24" s="427" t="n">
        <f aca="false">L24*$C24</f>
        <v>40</v>
      </c>
      <c r="N24" s="439" t="n">
        <f aca="false">ROUND(('Proy. ventas'!O19+'Proy. ventas'!O20+'Proy. ventas'!O21)*0.3,0)</f>
        <v>6</v>
      </c>
      <c r="O24" s="427" t="n">
        <f aca="false">N24*$C24</f>
        <v>60</v>
      </c>
      <c r="P24" s="439" t="n">
        <f aca="false">ROUND(('Proy. ventas'!Q19+'Proy. ventas'!Q20+'Proy. ventas'!Q21)*0.3,0)</f>
        <v>7</v>
      </c>
      <c r="Q24" s="427" t="n">
        <f aca="false">P24*$C24</f>
        <v>70</v>
      </c>
      <c r="R24" s="439" t="n">
        <f aca="false">ROUND(('Proy. ventas'!S19+'Proy. ventas'!S20+'Proy. ventas'!S21)*0.3,0)</f>
        <v>9</v>
      </c>
      <c r="S24" s="427" t="n">
        <f aca="false">R24*$C24</f>
        <v>90</v>
      </c>
      <c r="T24" s="439" t="n">
        <f aca="false">ROUND(('Proy. ventas'!U19+'Proy. ventas'!U20+'Proy. ventas'!U21)*0.3,0)</f>
        <v>10</v>
      </c>
      <c r="U24" s="427" t="n">
        <f aca="false">T24*$C24</f>
        <v>100</v>
      </c>
      <c r="V24" s="439" t="n">
        <f aca="false">ROUND(('Proy. ventas'!W19+'Proy. ventas'!W20+'Proy. ventas'!W21)*0.3,0)</f>
        <v>12</v>
      </c>
      <c r="W24" s="427" t="n">
        <f aca="false">V24*$C24</f>
        <v>120</v>
      </c>
      <c r="X24" s="439" t="n">
        <f aca="false">ROUND(('Proy. ventas'!Y19+'Proy. ventas'!Y20+'Proy. ventas'!Y21)*0.3,0)</f>
        <v>13</v>
      </c>
      <c r="Y24" s="427" t="n">
        <f aca="false">X24*$C24</f>
        <v>130</v>
      </c>
      <c r="Z24" s="439" t="n">
        <f aca="false">ROUND(('Proy. ventas'!AA19+'Proy. ventas'!AA20+'Proy. ventas'!AA21)*0.3,0)</f>
        <v>16</v>
      </c>
      <c r="AA24" s="427" t="n">
        <f aca="false">Z24*$C24</f>
        <v>160</v>
      </c>
      <c r="AB24" s="430" t="n">
        <f aca="false">E24+G24+I24+K24+M24+O24+Q24+S24+U24+W24+Y24+AA24</f>
        <v>810</v>
      </c>
    </row>
    <row r="25" customFormat="false" ht="15" hidden="false" customHeight="true" outlineLevel="0" collapsed="false">
      <c r="A25" s="432" t="s">
        <v>285</v>
      </c>
      <c r="B25" s="429" t="s">
        <v>297</v>
      </c>
      <c r="C25" s="438" t="n">
        <v>7</v>
      </c>
      <c r="D25" s="439" t="n">
        <f aca="false">'Anexo capacidad operativa'!D87</f>
        <v>0</v>
      </c>
      <c r="E25" s="427" t="n">
        <f aca="false">D25*$C25</f>
        <v>0</v>
      </c>
      <c r="F25" s="439" t="n">
        <f aca="false">'Anexo capacidad operativa'!F87</f>
        <v>150</v>
      </c>
      <c r="G25" s="427" t="n">
        <f aca="false">F25*$C25</f>
        <v>1050</v>
      </c>
      <c r="H25" s="439" t="n">
        <f aca="false">'Anexo capacidad operativa'!H87</f>
        <v>150</v>
      </c>
      <c r="I25" s="427" t="n">
        <f aca="false">H25*$C25</f>
        <v>1050</v>
      </c>
      <c r="J25" s="439" t="n">
        <f aca="false">'Anexo capacidad operativa'!J87</f>
        <v>150</v>
      </c>
      <c r="K25" s="427" t="n">
        <f aca="false">J25*$C25</f>
        <v>1050</v>
      </c>
      <c r="L25" s="439" t="n">
        <f aca="false">'Anexo capacidad operativa'!L87</f>
        <v>150</v>
      </c>
      <c r="M25" s="427" t="n">
        <f aca="false">L25*$C25</f>
        <v>1050</v>
      </c>
      <c r="N25" s="439" t="n">
        <f aca="false">'Anexo capacidad operativa'!N87</f>
        <v>150</v>
      </c>
      <c r="O25" s="427" t="n">
        <f aca="false">N25*$C25</f>
        <v>1050</v>
      </c>
      <c r="P25" s="439" t="n">
        <f aca="false">'Anexo capacidad operativa'!P87</f>
        <v>150</v>
      </c>
      <c r="Q25" s="427" t="n">
        <f aca="false">P25*$C25</f>
        <v>1050</v>
      </c>
      <c r="R25" s="439" t="n">
        <f aca="false">'Anexo capacidad operativa'!R87</f>
        <v>150</v>
      </c>
      <c r="S25" s="427" t="n">
        <f aca="false">R25*$C25</f>
        <v>1050</v>
      </c>
      <c r="T25" s="439" t="n">
        <f aca="false">'Anexo capacidad operativa'!T87</f>
        <v>150</v>
      </c>
      <c r="U25" s="427" t="n">
        <f aca="false">T25*$C25</f>
        <v>1050</v>
      </c>
      <c r="V25" s="439" t="n">
        <f aca="false">'Anexo capacidad operativa'!V87</f>
        <v>300</v>
      </c>
      <c r="W25" s="427" t="n">
        <f aca="false">V25*$C25</f>
        <v>2100</v>
      </c>
      <c r="X25" s="439" t="n">
        <f aca="false">'Anexo capacidad operativa'!X87</f>
        <v>300</v>
      </c>
      <c r="Y25" s="427" t="n">
        <f aca="false">X25*$C25</f>
        <v>2100</v>
      </c>
      <c r="Z25" s="439" t="n">
        <f aca="false">'Anexo capacidad operativa'!Z87</f>
        <v>300</v>
      </c>
      <c r="AA25" s="427" t="n">
        <f aca="false">Z25*$C25</f>
        <v>2100</v>
      </c>
      <c r="AB25" s="430" t="n">
        <f aca="false">E25+G25+I25+K25+M25+O25+Q25+S25+U25+W25+Y25+AA25</f>
        <v>14700</v>
      </c>
    </row>
    <row r="26" customFormat="false" ht="15" hidden="false" customHeight="true" outlineLevel="0" collapsed="false">
      <c r="A26" s="432"/>
      <c r="B26" s="429"/>
      <c r="C26" s="438"/>
      <c r="D26" s="439"/>
      <c r="E26" s="427"/>
      <c r="F26" s="439"/>
      <c r="G26" s="427"/>
      <c r="H26" s="439"/>
      <c r="I26" s="427"/>
      <c r="J26" s="439"/>
      <c r="K26" s="427"/>
      <c r="L26" s="439"/>
      <c r="M26" s="427"/>
      <c r="N26" s="439"/>
      <c r="O26" s="427"/>
      <c r="P26" s="439"/>
      <c r="Q26" s="427"/>
      <c r="R26" s="439"/>
      <c r="S26" s="427"/>
      <c r="T26" s="439"/>
      <c r="U26" s="427"/>
      <c r="V26" s="439"/>
      <c r="W26" s="427"/>
      <c r="X26" s="439"/>
      <c r="Y26" s="427"/>
      <c r="Z26" s="439"/>
      <c r="AA26" s="427"/>
      <c r="AB26" s="430"/>
    </row>
    <row r="27" customFormat="false" ht="15" hidden="false" customHeight="true" outlineLevel="0" collapsed="false">
      <c r="A27" s="432"/>
      <c r="B27" s="429"/>
      <c r="C27" s="438"/>
      <c r="D27" s="439"/>
      <c r="E27" s="427"/>
      <c r="F27" s="439"/>
      <c r="G27" s="427"/>
      <c r="H27" s="439"/>
      <c r="I27" s="427"/>
      <c r="J27" s="439"/>
      <c r="K27" s="427"/>
      <c r="L27" s="439"/>
      <c r="M27" s="427"/>
      <c r="N27" s="439"/>
      <c r="O27" s="427"/>
      <c r="P27" s="439"/>
      <c r="Q27" s="427"/>
      <c r="R27" s="439"/>
      <c r="S27" s="427"/>
      <c r="T27" s="439"/>
      <c r="U27" s="427"/>
      <c r="V27" s="439"/>
      <c r="W27" s="427"/>
      <c r="X27" s="439"/>
      <c r="Y27" s="427"/>
      <c r="Z27" s="439"/>
      <c r="AA27" s="427"/>
      <c r="AB27" s="430"/>
    </row>
    <row r="28" customFormat="false" ht="15" hidden="false" customHeight="true" outlineLevel="0" collapsed="false">
      <c r="B28" s="440"/>
      <c r="C28" s="441"/>
      <c r="D28" s="442"/>
      <c r="E28" s="443"/>
      <c r="F28" s="442"/>
      <c r="G28" s="443"/>
      <c r="H28" s="442"/>
      <c r="I28" s="443"/>
      <c r="J28" s="442"/>
      <c r="K28" s="443"/>
      <c r="L28" s="442"/>
      <c r="M28" s="443"/>
      <c r="N28" s="442"/>
      <c r="O28" s="443"/>
      <c r="P28" s="442"/>
      <c r="Q28" s="443"/>
      <c r="R28" s="442"/>
      <c r="S28" s="443"/>
      <c r="T28" s="442"/>
      <c r="U28" s="443"/>
      <c r="V28" s="442"/>
      <c r="W28" s="443"/>
      <c r="X28" s="442"/>
      <c r="Y28" s="443"/>
      <c r="Z28" s="442"/>
      <c r="AA28" s="443"/>
      <c r="AB28" s="444"/>
    </row>
    <row r="29" customFormat="false" ht="14.25" hidden="false" customHeight="true" outlineLevel="0" collapsed="false">
      <c r="B29" s="440"/>
      <c r="C29" s="441"/>
      <c r="D29" s="442"/>
      <c r="E29" s="443"/>
      <c r="F29" s="442"/>
      <c r="G29" s="443"/>
      <c r="H29" s="442"/>
      <c r="I29" s="443"/>
      <c r="J29" s="442"/>
      <c r="K29" s="443"/>
      <c r="L29" s="442"/>
      <c r="M29" s="443"/>
      <c r="N29" s="442"/>
      <c r="O29" s="443"/>
      <c r="P29" s="442"/>
      <c r="Q29" s="443"/>
      <c r="R29" s="442"/>
      <c r="S29" s="443"/>
      <c r="T29" s="442"/>
      <c r="U29" s="443"/>
      <c r="V29" s="442"/>
      <c r="W29" s="443"/>
      <c r="X29" s="442"/>
      <c r="Y29" s="443"/>
      <c r="Z29" s="442"/>
      <c r="AA29" s="443"/>
      <c r="AB29" s="444"/>
    </row>
    <row r="30" customFormat="false" ht="14.25" hidden="false" customHeight="true" outlineLevel="0" collapsed="false">
      <c r="B30" s="445"/>
      <c r="C30" s="446"/>
      <c r="D30" s="447"/>
      <c r="E30" s="448"/>
      <c r="F30" s="449"/>
      <c r="G30" s="448"/>
      <c r="H30" s="449"/>
      <c r="I30" s="448"/>
      <c r="J30" s="449"/>
      <c r="K30" s="448"/>
      <c r="L30" s="449"/>
      <c r="M30" s="448"/>
      <c r="N30" s="449"/>
      <c r="O30" s="448"/>
      <c r="P30" s="449"/>
      <c r="Q30" s="448"/>
      <c r="R30" s="449"/>
      <c r="S30" s="448"/>
      <c r="T30" s="449"/>
      <c r="U30" s="448"/>
      <c r="V30" s="449"/>
      <c r="W30" s="448"/>
      <c r="X30" s="449"/>
      <c r="Y30" s="448"/>
      <c r="Z30" s="449"/>
      <c r="AA30" s="443"/>
      <c r="AB30" s="450"/>
    </row>
    <row r="31" customFormat="false" ht="14.25" hidden="false" customHeight="true" outlineLevel="0" collapsed="false">
      <c r="A31" s="451"/>
      <c r="B31" s="452"/>
      <c r="C31" s="453"/>
      <c r="D31" s="454"/>
      <c r="E31" s="455"/>
      <c r="F31" s="456"/>
      <c r="G31" s="455"/>
      <c r="H31" s="456"/>
      <c r="I31" s="455"/>
      <c r="J31" s="456"/>
      <c r="K31" s="455"/>
      <c r="L31" s="456"/>
      <c r="M31" s="455"/>
      <c r="N31" s="456"/>
      <c r="O31" s="455"/>
      <c r="P31" s="456"/>
      <c r="Q31" s="455"/>
      <c r="R31" s="456"/>
      <c r="S31" s="455"/>
      <c r="T31" s="456"/>
      <c r="U31" s="455"/>
      <c r="V31" s="456"/>
      <c r="W31" s="455"/>
      <c r="X31" s="456"/>
      <c r="Y31" s="455"/>
      <c r="Z31" s="456"/>
      <c r="AA31" s="455"/>
      <c r="AB31" s="450"/>
    </row>
    <row r="32" customFormat="false" ht="14.25" hidden="false" customHeight="true" outlineLevel="0" collapsed="false">
      <c r="A32" s="434"/>
      <c r="B32" s="433" t="s">
        <v>276</v>
      </c>
      <c r="C32" s="434"/>
      <c r="D32" s="434"/>
      <c r="E32" s="435" t="n">
        <f aca="false">SUM(E15:E31)</f>
        <v>0</v>
      </c>
      <c r="F32" s="457"/>
      <c r="G32" s="435" t="n">
        <f aca="false">SUM(G15:G31)</f>
        <v>1290.2</v>
      </c>
      <c r="H32" s="457"/>
      <c r="I32" s="435" t="n">
        <f aca="false">SUM(I15:I31)</f>
        <v>1382.8</v>
      </c>
      <c r="J32" s="457"/>
      <c r="K32" s="435" t="n">
        <f aca="false">SUM(K15:K31)</f>
        <v>1816</v>
      </c>
      <c r="L32" s="457"/>
      <c r="M32" s="435" t="n">
        <f aca="false">SUM(M15:M31)</f>
        <v>2307.6</v>
      </c>
      <c r="N32" s="434"/>
      <c r="O32" s="435" t="n">
        <f aca="false">SUM(O15:O31)</f>
        <v>2853.2</v>
      </c>
      <c r="P32" s="457"/>
      <c r="Q32" s="435" t="n">
        <f aca="false">SUM(Q15:Q31)</f>
        <v>3261.8</v>
      </c>
      <c r="R32" s="457"/>
      <c r="S32" s="435" t="n">
        <f aca="false">SUM(S15:S31)</f>
        <v>3909.8</v>
      </c>
      <c r="T32" s="457"/>
      <c r="U32" s="435" t="n">
        <f aca="false">SUM(U15:U31)</f>
        <v>4192</v>
      </c>
      <c r="V32" s="457"/>
      <c r="W32" s="435" t="n">
        <f aca="false">SUM(W15:W31)</f>
        <v>6044.4</v>
      </c>
      <c r="X32" s="457"/>
      <c r="Y32" s="435" t="n">
        <f aca="false">SUM(Y15:Y31)</f>
        <v>6253.6</v>
      </c>
      <c r="Z32" s="457"/>
      <c r="AA32" s="435" t="n">
        <f aca="false">SUM(AA15:AA31)</f>
        <v>7168.4</v>
      </c>
      <c r="AB32" s="435" t="n">
        <f aca="false">SUM(AB15:AB31)</f>
        <v>40479.8</v>
      </c>
    </row>
    <row r="33" customFormat="false" ht="14.2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customFormat="false" ht="14.2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customFormat="false" ht="25.5" hidden="false" customHeight="true" outlineLevel="0" collapsed="false">
      <c r="A35" s="2"/>
      <c r="B35" s="423" t="s">
        <v>298</v>
      </c>
    </row>
    <row r="36" customFormat="false" ht="14.25" hidden="false" customHeight="true" outlineLevel="0" collapsed="false">
      <c r="A36" s="424" t="s">
        <v>248</v>
      </c>
      <c r="B36" s="424" t="s">
        <v>172</v>
      </c>
      <c r="C36" s="424" t="s">
        <v>282</v>
      </c>
      <c r="D36" s="424" t="s">
        <v>81</v>
      </c>
      <c r="E36" s="424"/>
      <c r="F36" s="424" t="s">
        <v>82</v>
      </c>
      <c r="G36" s="424"/>
      <c r="H36" s="424" t="s">
        <v>83</v>
      </c>
      <c r="I36" s="424"/>
      <c r="J36" s="424" t="s">
        <v>84</v>
      </c>
      <c r="K36" s="424"/>
      <c r="L36" s="424" t="s">
        <v>85</v>
      </c>
      <c r="M36" s="424"/>
      <c r="N36" s="424" t="s">
        <v>86</v>
      </c>
      <c r="O36" s="424"/>
      <c r="P36" s="424" t="s">
        <v>87</v>
      </c>
      <c r="Q36" s="424"/>
      <c r="R36" s="424" t="s">
        <v>88</v>
      </c>
      <c r="S36" s="424"/>
      <c r="T36" s="424" t="s">
        <v>89</v>
      </c>
      <c r="U36" s="424"/>
      <c r="V36" s="424" t="s">
        <v>90</v>
      </c>
      <c r="W36" s="424"/>
      <c r="X36" s="424" t="s">
        <v>91</v>
      </c>
      <c r="Y36" s="424"/>
      <c r="Z36" s="424" t="s">
        <v>92</v>
      </c>
      <c r="AA36" s="424"/>
      <c r="AB36" s="424" t="s">
        <v>249</v>
      </c>
    </row>
    <row r="37" customFormat="false" ht="14.25" hidden="false" customHeight="true" outlineLevel="0" collapsed="false">
      <c r="A37" s="437"/>
      <c r="B37" s="437"/>
      <c r="C37" s="437"/>
      <c r="D37" s="437" t="s">
        <v>283</v>
      </c>
      <c r="E37" s="437" t="s">
        <v>284</v>
      </c>
      <c r="F37" s="437" t="s">
        <v>283</v>
      </c>
      <c r="G37" s="437" t="s">
        <v>284</v>
      </c>
      <c r="H37" s="437" t="s">
        <v>283</v>
      </c>
      <c r="I37" s="437" t="s">
        <v>284</v>
      </c>
      <c r="J37" s="437" t="s">
        <v>283</v>
      </c>
      <c r="K37" s="437" t="s">
        <v>284</v>
      </c>
      <c r="L37" s="437" t="s">
        <v>283</v>
      </c>
      <c r="M37" s="437" t="s">
        <v>284</v>
      </c>
      <c r="N37" s="437" t="s">
        <v>283</v>
      </c>
      <c r="O37" s="437" t="s">
        <v>284</v>
      </c>
      <c r="P37" s="437" t="s">
        <v>283</v>
      </c>
      <c r="Q37" s="437" t="s">
        <v>284</v>
      </c>
      <c r="R37" s="437" t="s">
        <v>283</v>
      </c>
      <c r="S37" s="437" t="s">
        <v>284</v>
      </c>
      <c r="T37" s="437" t="s">
        <v>283</v>
      </c>
      <c r="U37" s="437" t="s">
        <v>284</v>
      </c>
      <c r="V37" s="437" t="s">
        <v>283</v>
      </c>
      <c r="W37" s="437" t="s">
        <v>284</v>
      </c>
      <c r="X37" s="437" t="s">
        <v>283</v>
      </c>
      <c r="Y37" s="437" t="s">
        <v>284</v>
      </c>
      <c r="Z37" s="437" t="s">
        <v>283</v>
      </c>
      <c r="AA37" s="437" t="s">
        <v>284</v>
      </c>
      <c r="AB37" s="424"/>
    </row>
    <row r="38" customFormat="false" ht="14.25" hidden="false" customHeight="true" outlineLevel="0" collapsed="false">
      <c r="A38" s="429" t="s">
        <v>285</v>
      </c>
      <c r="B38" s="429" t="s">
        <v>286</v>
      </c>
      <c r="C38" s="438" t="n">
        <v>40</v>
      </c>
      <c r="D38" s="439" t="n">
        <f aca="false">'Proy. ventas'!E82+'Proy. ventas'!E83+'Proy. ventas'!E84</f>
        <v>22</v>
      </c>
      <c r="E38" s="427" t="n">
        <f aca="false">D38*$C38</f>
        <v>880</v>
      </c>
      <c r="F38" s="439" t="n">
        <f aca="false">'Proy. ventas'!G82+'Proy. ventas'!G83+'Proy. ventas'!G84</f>
        <v>22</v>
      </c>
      <c r="G38" s="427" t="n">
        <f aca="false">F38*$C38</f>
        <v>880</v>
      </c>
      <c r="H38" s="439" t="n">
        <f aca="false">'Proy. ventas'!I82+'Proy. ventas'!I83+'Proy. ventas'!I84</f>
        <v>25</v>
      </c>
      <c r="I38" s="427" t="n">
        <f aca="false">H38*$C38</f>
        <v>1000</v>
      </c>
      <c r="J38" s="439" t="n">
        <f aca="false">'Proy. ventas'!K82+'Proy. ventas'!K83+'Proy. ventas'!K84</f>
        <v>25</v>
      </c>
      <c r="K38" s="427" t="n">
        <f aca="false">J38*$C38</f>
        <v>1000</v>
      </c>
      <c r="L38" s="439" t="n">
        <f aca="false">'Proy. ventas'!M82+'Proy. ventas'!M83+'Proy. ventas'!M84</f>
        <v>26</v>
      </c>
      <c r="M38" s="427" t="n">
        <f aca="false">L38*$C38</f>
        <v>1040</v>
      </c>
      <c r="N38" s="439" t="n">
        <f aca="false">'Proy. ventas'!O82+'Proy. ventas'!O83+'Proy. ventas'!O84</f>
        <v>26</v>
      </c>
      <c r="O38" s="427" t="n">
        <f aca="false">N38*$C38</f>
        <v>1040</v>
      </c>
      <c r="P38" s="439" t="n">
        <f aca="false">'Proy. ventas'!Q82+'Proy. ventas'!Q83+'Proy. ventas'!Q84</f>
        <v>27</v>
      </c>
      <c r="Q38" s="427" t="n">
        <f aca="false">P38*$C38</f>
        <v>1080</v>
      </c>
      <c r="R38" s="439" t="n">
        <f aca="false">'Proy. ventas'!S82+'Proy. ventas'!S83+'Proy. ventas'!S84</f>
        <v>27</v>
      </c>
      <c r="S38" s="427" t="n">
        <f aca="false">R38*$C38</f>
        <v>1080</v>
      </c>
      <c r="T38" s="439" t="n">
        <f aca="false">'Proy. ventas'!U82+'Proy. ventas'!U83+'Proy. ventas'!U84</f>
        <v>30</v>
      </c>
      <c r="U38" s="427" t="n">
        <f aca="false">T38*$C38</f>
        <v>1200</v>
      </c>
      <c r="V38" s="439" t="n">
        <f aca="false">'Proy. ventas'!W82+'Proy. ventas'!W83+'Proy. ventas'!W84</f>
        <v>30</v>
      </c>
      <c r="W38" s="427" t="n">
        <f aca="false">V38*$C38</f>
        <v>1200</v>
      </c>
      <c r="X38" s="439" t="n">
        <f aca="false">'Proy. ventas'!Y82+'Proy. ventas'!Y83+'Proy. ventas'!Y84</f>
        <v>33</v>
      </c>
      <c r="Y38" s="427" t="n">
        <f aca="false">X38*$C38</f>
        <v>1320</v>
      </c>
      <c r="Z38" s="439" t="n">
        <f aca="false">'Proy. ventas'!AA82+'Proy. ventas'!AA83+'Proy. ventas'!AA84</f>
        <v>33</v>
      </c>
      <c r="AA38" s="427" t="n">
        <f aca="false">Z38*$C38</f>
        <v>1320</v>
      </c>
      <c r="AB38" s="430" t="n">
        <f aca="false">E38+G38+I38+K38+M38+O38+Q38+S38+U38+W38+Y38+AA38</f>
        <v>13040</v>
      </c>
    </row>
    <row r="39" customFormat="false" ht="14.25" hidden="false" customHeight="true" outlineLevel="0" collapsed="false">
      <c r="A39" s="429"/>
      <c r="B39" s="429" t="s">
        <v>287</v>
      </c>
      <c r="C39" s="438" t="n">
        <v>5</v>
      </c>
      <c r="D39" s="439" t="n">
        <f aca="false">'Proy. ventas'!E83+'Proy. ventas'!E84</f>
        <v>16</v>
      </c>
      <c r="E39" s="427" t="n">
        <f aca="false">D39*$C39</f>
        <v>80</v>
      </c>
      <c r="F39" s="439" t="n">
        <f aca="false">'Proy. ventas'!G83+'Proy. ventas'!G84</f>
        <v>16</v>
      </c>
      <c r="G39" s="427" t="n">
        <f aca="false">F39*$C39</f>
        <v>80</v>
      </c>
      <c r="H39" s="439" t="n">
        <f aca="false">'Proy. ventas'!I83+'Proy. ventas'!I84</f>
        <v>18</v>
      </c>
      <c r="I39" s="427" t="n">
        <f aca="false">H39*$C39</f>
        <v>90</v>
      </c>
      <c r="J39" s="439" t="n">
        <f aca="false">'Proy. ventas'!K83+'Proy. ventas'!K84</f>
        <v>18</v>
      </c>
      <c r="K39" s="427" t="n">
        <f aca="false">J39*$C39</f>
        <v>90</v>
      </c>
      <c r="L39" s="439" t="n">
        <f aca="false">'Proy. ventas'!M83+'Proy. ventas'!M84</f>
        <v>19</v>
      </c>
      <c r="M39" s="427" t="n">
        <f aca="false">L39*$C39</f>
        <v>95</v>
      </c>
      <c r="N39" s="439" t="n">
        <f aca="false">'Proy. ventas'!O83+'Proy. ventas'!O84</f>
        <v>19</v>
      </c>
      <c r="O39" s="427" t="n">
        <f aca="false">N39*$C39</f>
        <v>95</v>
      </c>
      <c r="P39" s="439" t="n">
        <f aca="false">'Proy. ventas'!Q83+'Proy. ventas'!Q84</f>
        <v>20</v>
      </c>
      <c r="Q39" s="427" t="n">
        <f aca="false">P39*$C39</f>
        <v>100</v>
      </c>
      <c r="R39" s="439" t="n">
        <f aca="false">'Proy. ventas'!S83+'Proy. ventas'!S84</f>
        <v>20</v>
      </c>
      <c r="S39" s="427" t="n">
        <f aca="false">R39*$C39</f>
        <v>100</v>
      </c>
      <c r="T39" s="439" t="n">
        <f aca="false">'Proy. ventas'!U83+'Proy. ventas'!U84</f>
        <v>22</v>
      </c>
      <c r="U39" s="427" t="n">
        <f aca="false">T39*$C39</f>
        <v>110</v>
      </c>
      <c r="V39" s="439" t="n">
        <f aca="false">'Proy. ventas'!W83+'Proy. ventas'!W84</f>
        <v>22</v>
      </c>
      <c r="W39" s="427" t="n">
        <f aca="false">V39*$C39</f>
        <v>110</v>
      </c>
      <c r="X39" s="439" t="n">
        <f aca="false">'Proy. ventas'!Y83+'Proy. ventas'!Y84</f>
        <v>24</v>
      </c>
      <c r="Y39" s="427" t="n">
        <f aca="false">X39*$C39</f>
        <v>120</v>
      </c>
      <c r="Z39" s="439" t="n">
        <f aca="false">'Proy. ventas'!AA83+'Proy. ventas'!AA84</f>
        <v>24</v>
      </c>
      <c r="AA39" s="427" t="n">
        <f aca="false">Z39*$C39</f>
        <v>120</v>
      </c>
      <c r="AB39" s="430" t="n">
        <f aca="false">E39+G39+I39+K39+M39+O39+Q39+S39+U39+W39+Y39+AA39</f>
        <v>1190</v>
      </c>
    </row>
    <row r="40" customFormat="false" ht="14.25" hidden="false" customHeight="true" outlineLevel="0" collapsed="false">
      <c r="A40" s="429"/>
      <c r="B40" s="429" t="s">
        <v>288</v>
      </c>
      <c r="C40" s="438" t="n">
        <v>0.35</v>
      </c>
      <c r="D40" s="439" t="n">
        <f aca="false">'Proy. ventas'!E85+'Proy. ventas'!E86+'Proy. ventas'!E87</f>
        <v>293</v>
      </c>
      <c r="E40" s="427" t="n">
        <f aca="false">D40*$C40</f>
        <v>102.55</v>
      </c>
      <c r="F40" s="439" t="n">
        <f aca="false">'Proy. ventas'!G85+'Proy. ventas'!G86+'Proy. ventas'!G87</f>
        <v>315</v>
      </c>
      <c r="G40" s="427" t="n">
        <f aca="false">F40*$C40</f>
        <v>110.25</v>
      </c>
      <c r="H40" s="439" t="n">
        <f aca="false">'Proy. ventas'!I85+'Proy. ventas'!I86+'Proy. ventas'!I87</f>
        <v>340</v>
      </c>
      <c r="I40" s="427" t="n">
        <f aca="false">H40*$C40</f>
        <v>119</v>
      </c>
      <c r="J40" s="439" t="n">
        <f aca="false">'Proy. ventas'!K85+'Proy. ventas'!K86+'Proy. ventas'!K87</f>
        <v>365</v>
      </c>
      <c r="K40" s="427" t="n">
        <f aca="false">J40*$C40</f>
        <v>127.75</v>
      </c>
      <c r="L40" s="439" t="n">
        <f aca="false">'Proy. ventas'!M85+'Proy. ventas'!M86+'Proy. ventas'!M87</f>
        <v>391</v>
      </c>
      <c r="M40" s="427" t="n">
        <f aca="false">L40*$C40</f>
        <v>136.85</v>
      </c>
      <c r="N40" s="439" t="n">
        <f aca="false">'Proy. ventas'!O85+'Proy. ventas'!O86+'Proy. ventas'!O87</f>
        <v>417</v>
      </c>
      <c r="O40" s="427" t="n">
        <f aca="false">N40*$C40</f>
        <v>145.95</v>
      </c>
      <c r="P40" s="439" t="n">
        <f aca="false">'Proy. ventas'!Q85+'Proy. ventas'!Q86+'Proy. ventas'!Q87</f>
        <v>444</v>
      </c>
      <c r="Q40" s="427" t="n">
        <f aca="false">P40*$C40</f>
        <v>155.4</v>
      </c>
      <c r="R40" s="439" t="n">
        <f aca="false">'Proy. ventas'!S85+'Proy. ventas'!S86+'Proy. ventas'!S87</f>
        <v>471</v>
      </c>
      <c r="S40" s="427" t="n">
        <f aca="false">R40*$C40</f>
        <v>164.85</v>
      </c>
      <c r="T40" s="439" t="n">
        <f aca="false">'Proy. ventas'!U85+'Proy. ventas'!U86+'Proy. ventas'!U87</f>
        <v>501</v>
      </c>
      <c r="U40" s="427" t="n">
        <f aca="false">T40*$C40</f>
        <v>175.35</v>
      </c>
      <c r="V40" s="439" t="n">
        <f aca="false">'Proy. ventas'!W85+'Proy. ventas'!W86+'Proy. ventas'!W87</f>
        <v>531</v>
      </c>
      <c r="W40" s="427" t="n">
        <f aca="false">V40*$C40</f>
        <v>185.85</v>
      </c>
      <c r="X40" s="439" t="n">
        <f aca="false">'Proy. ventas'!Y85+'Proy. ventas'!Y86+'Proy. ventas'!Y87</f>
        <v>564</v>
      </c>
      <c r="Y40" s="427" t="n">
        <f aca="false">X40*$C40</f>
        <v>197.4</v>
      </c>
      <c r="Z40" s="439" t="n">
        <f aca="false">'Proy. ventas'!AA85+'Proy. ventas'!AA86+'Proy. ventas'!AA87</f>
        <v>597</v>
      </c>
      <c r="AA40" s="427" t="n">
        <f aca="false">Z40*$C40</f>
        <v>208.95</v>
      </c>
      <c r="AB40" s="430" t="n">
        <f aca="false">E40+G40+I40+K40+M40+O40+Q40+S40+U40+W40+Y40+AA40</f>
        <v>1830.15</v>
      </c>
    </row>
    <row r="41" customFormat="false" ht="14.25" hidden="false" customHeight="true" outlineLevel="0" collapsed="false">
      <c r="A41" s="429"/>
      <c r="B41" s="429" t="s">
        <v>289</v>
      </c>
      <c r="C41" s="438" t="n">
        <v>0.15</v>
      </c>
      <c r="D41" s="439" t="n">
        <f aca="false">'Proy. ventas'!E85+'Proy. ventas'!E86+'Proy. ventas'!E87</f>
        <v>293</v>
      </c>
      <c r="E41" s="427" t="n">
        <f aca="false">D41*$C41</f>
        <v>43.95</v>
      </c>
      <c r="F41" s="439" t="n">
        <f aca="false">'Proy. ventas'!G85+'Proy. ventas'!G86+'Proy. ventas'!G87</f>
        <v>315</v>
      </c>
      <c r="G41" s="427" t="n">
        <f aca="false">F41*$C41</f>
        <v>47.25</v>
      </c>
      <c r="H41" s="439" t="n">
        <f aca="false">'Proy. ventas'!I85+'Proy. ventas'!I86+'Proy. ventas'!I87</f>
        <v>340</v>
      </c>
      <c r="I41" s="427" t="n">
        <f aca="false">H41*$C41</f>
        <v>51</v>
      </c>
      <c r="J41" s="439" t="n">
        <f aca="false">'Proy. ventas'!K85+'Proy. ventas'!K86+'Proy. ventas'!K87</f>
        <v>365</v>
      </c>
      <c r="K41" s="427" t="n">
        <f aca="false">J41*$C41</f>
        <v>54.75</v>
      </c>
      <c r="L41" s="439" t="n">
        <f aca="false">'Proy. ventas'!M85+'Proy. ventas'!M86+'Proy. ventas'!M87</f>
        <v>391</v>
      </c>
      <c r="M41" s="427" t="n">
        <f aca="false">L41*$C41</f>
        <v>58.65</v>
      </c>
      <c r="N41" s="439" t="n">
        <f aca="false">'Proy. ventas'!O85+'Proy. ventas'!O86+'Proy. ventas'!O87</f>
        <v>417</v>
      </c>
      <c r="O41" s="427" t="n">
        <f aca="false">N41*$C41</f>
        <v>62.55</v>
      </c>
      <c r="P41" s="439" t="n">
        <f aca="false">'Proy. ventas'!Q85+'Proy. ventas'!Q86+'Proy. ventas'!Q87</f>
        <v>444</v>
      </c>
      <c r="Q41" s="427" t="n">
        <f aca="false">P41*$C41</f>
        <v>66.6</v>
      </c>
      <c r="R41" s="439" t="n">
        <f aca="false">'Proy. ventas'!S85+'Proy. ventas'!S86+'Proy. ventas'!S87</f>
        <v>471</v>
      </c>
      <c r="S41" s="427" t="n">
        <f aca="false">R41*$C41</f>
        <v>70.65</v>
      </c>
      <c r="T41" s="439" t="n">
        <f aca="false">'Proy. ventas'!U85+'Proy. ventas'!U86+'Proy. ventas'!U87</f>
        <v>501</v>
      </c>
      <c r="U41" s="427" t="n">
        <f aca="false">T41*$C41</f>
        <v>75.15</v>
      </c>
      <c r="V41" s="439" t="n">
        <f aca="false">'Proy. ventas'!W85+'Proy. ventas'!W86+'Proy. ventas'!W87</f>
        <v>531</v>
      </c>
      <c r="W41" s="427" t="n">
        <f aca="false">V41*$C41</f>
        <v>79.65</v>
      </c>
      <c r="X41" s="439" t="n">
        <f aca="false">'Proy. ventas'!Y85+'Proy. ventas'!Y86+'Proy. ventas'!Y87</f>
        <v>564</v>
      </c>
      <c r="Y41" s="427" t="n">
        <f aca="false">X41*$C41</f>
        <v>84.6</v>
      </c>
      <c r="Z41" s="439" t="n">
        <f aca="false">'Proy. ventas'!AA85+'Proy. ventas'!AA86+'Proy. ventas'!AA87</f>
        <v>597</v>
      </c>
      <c r="AA41" s="427" t="n">
        <f aca="false">Z41*$C41</f>
        <v>89.55</v>
      </c>
      <c r="AB41" s="430" t="n">
        <f aca="false">E41+G41+I41+K41+M41+O41+Q41+S41+U41+W41+Y41+AA41</f>
        <v>784.35</v>
      </c>
    </row>
    <row r="42" customFormat="false" ht="14.25" hidden="false" customHeight="true" outlineLevel="0" collapsed="false">
      <c r="A42" s="429"/>
      <c r="B42" s="429" t="s">
        <v>290</v>
      </c>
      <c r="C42" s="438" t="n">
        <v>0.9</v>
      </c>
      <c r="D42" s="439" t="n">
        <f aca="false">'Proy. ventas'!E85+'Proy. ventas'!E86+'Proy. ventas'!E87</f>
        <v>293</v>
      </c>
      <c r="E42" s="427" t="n">
        <f aca="false">D42*$C42</f>
        <v>263.7</v>
      </c>
      <c r="F42" s="439" t="n">
        <f aca="false">'Proy. ventas'!G85+'Proy. ventas'!G86+'Proy. ventas'!G87</f>
        <v>315</v>
      </c>
      <c r="G42" s="427" t="n">
        <f aca="false">F42*$C42</f>
        <v>283.5</v>
      </c>
      <c r="H42" s="439" t="n">
        <f aca="false">'Proy. ventas'!I85+'Proy. ventas'!I86+'Proy. ventas'!I87</f>
        <v>340</v>
      </c>
      <c r="I42" s="427" t="n">
        <f aca="false">H42*$C42</f>
        <v>306</v>
      </c>
      <c r="J42" s="439" t="n">
        <f aca="false">'Proy. ventas'!K85+'Proy. ventas'!K86+'Proy. ventas'!K87</f>
        <v>365</v>
      </c>
      <c r="K42" s="427" t="n">
        <f aca="false">J42*$C42</f>
        <v>328.5</v>
      </c>
      <c r="L42" s="439" t="n">
        <f aca="false">'Proy. ventas'!M85+'Proy. ventas'!M86+'Proy. ventas'!M87</f>
        <v>391</v>
      </c>
      <c r="M42" s="427" t="n">
        <f aca="false">L42*$C42</f>
        <v>351.9</v>
      </c>
      <c r="N42" s="439" t="n">
        <f aca="false">'Proy. ventas'!O85+'Proy. ventas'!O86+'Proy. ventas'!O87</f>
        <v>417</v>
      </c>
      <c r="O42" s="427" t="n">
        <f aca="false">N42*$C42</f>
        <v>375.3</v>
      </c>
      <c r="P42" s="439" t="n">
        <f aca="false">'Proy. ventas'!Q85+'Proy. ventas'!Q86+'Proy. ventas'!Q87</f>
        <v>444</v>
      </c>
      <c r="Q42" s="427" t="n">
        <f aca="false">P42*$C42</f>
        <v>399.6</v>
      </c>
      <c r="R42" s="439" t="n">
        <f aca="false">'Proy. ventas'!S85+'Proy. ventas'!S86+'Proy. ventas'!S87</f>
        <v>471</v>
      </c>
      <c r="S42" s="427" t="n">
        <f aca="false">R42*$C42</f>
        <v>423.9</v>
      </c>
      <c r="T42" s="439" t="n">
        <f aca="false">'Proy. ventas'!U85+'Proy. ventas'!U86+'Proy. ventas'!U87</f>
        <v>501</v>
      </c>
      <c r="U42" s="427" t="n">
        <f aca="false">T42*$C42</f>
        <v>450.9</v>
      </c>
      <c r="V42" s="439" t="n">
        <f aca="false">'Proy. ventas'!W85+'Proy. ventas'!W86+'Proy. ventas'!W87</f>
        <v>531</v>
      </c>
      <c r="W42" s="427" t="n">
        <f aca="false">V42*$C42</f>
        <v>477.9</v>
      </c>
      <c r="X42" s="439" t="n">
        <f aca="false">'Proy. ventas'!Y85+'Proy. ventas'!Y86+'Proy. ventas'!Y87</f>
        <v>564</v>
      </c>
      <c r="Y42" s="427" t="n">
        <f aca="false">X42*$C42</f>
        <v>507.6</v>
      </c>
      <c r="Z42" s="439" t="n">
        <f aca="false">'Proy. ventas'!AA85+'Proy. ventas'!AA86+'Proy. ventas'!AA87</f>
        <v>597</v>
      </c>
      <c r="AA42" s="427" t="n">
        <f aca="false">Z42*$C42</f>
        <v>537.3</v>
      </c>
      <c r="AB42" s="430" t="n">
        <f aca="false">E42+G42+I42+K42+M42+O42+Q42+S42+U42+W42+Y42+AA42</f>
        <v>4706.1</v>
      </c>
    </row>
    <row r="43" customFormat="false" ht="14.25" hidden="false" customHeight="true" outlineLevel="0" collapsed="false">
      <c r="A43" s="429"/>
      <c r="B43" s="429" t="s">
        <v>291</v>
      </c>
      <c r="C43" s="438" t="n">
        <v>6</v>
      </c>
      <c r="D43" s="439" t="n">
        <f aca="false">'Proy. ventas'!E83+'Proy. ventas'!E84</f>
        <v>16</v>
      </c>
      <c r="E43" s="427" t="n">
        <f aca="false">D43*$C43</f>
        <v>96</v>
      </c>
      <c r="F43" s="439" t="n">
        <f aca="false">'Proy. ventas'!G83+'Proy. ventas'!G84</f>
        <v>16</v>
      </c>
      <c r="G43" s="427" t="n">
        <f aca="false">F43*$C43</f>
        <v>96</v>
      </c>
      <c r="H43" s="439" t="n">
        <f aca="false">'Proy. ventas'!I83+'Proy. ventas'!I84</f>
        <v>18</v>
      </c>
      <c r="I43" s="427" t="n">
        <f aca="false">H43*$C43</f>
        <v>108</v>
      </c>
      <c r="J43" s="439" t="n">
        <f aca="false">'Proy. ventas'!K83+'Proy. ventas'!K84</f>
        <v>18</v>
      </c>
      <c r="K43" s="427" t="n">
        <f aca="false">J43*$C43</f>
        <v>108</v>
      </c>
      <c r="L43" s="439" t="n">
        <f aca="false">'Proy. ventas'!M83+'Proy. ventas'!M84</f>
        <v>19</v>
      </c>
      <c r="M43" s="427" t="n">
        <f aca="false">L43*$C43</f>
        <v>114</v>
      </c>
      <c r="N43" s="439" t="n">
        <f aca="false">'Proy. ventas'!O83+'Proy. ventas'!O84</f>
        <v>19</v>
      </c>
      <c r="O43" s="427" t="n">
        <f aca="false">N43*$C43</f>
        <v>114</v>
      </c>
      <c r="P43" s="439" t="n">
        <f aca="false">'Proy. ventas'!Q83+'Proy. ventas'!Q84</f>
        <v>20</v>
      </c>
      <c r="Q43" s="427" t="n">
        <f aca="false">P43*$C43</f>
        <v>120</v>
      </c>
      <c r="R43" s="439" t="n">
        <f aca="false">'Proy. ventas'!S83+'Proy. ventas'!S84</f>
        <v>20</v>
      </c>
      <c r="S43" s="427" t="n">
        <f aca="false">R43*$C43</f>
        <v>120</v>
      </c>
      <c r="T43" s="439" t="n">
        <f aca="false">'Proy. ventas'!U83+'Proy. ventas'!U84</f>
        <v>22</v>
      </c>
      <c r="U43" s="427" t="n">
        <f aca="false">T43*$C43</f>
        <v>132</v>
      </c>
      <c r="V43" s="439" t="n">
        <f aca="false">'Proy. ventas'!W83+'Proy. ventas'!W84</f>
        <v>22</v>
      </c>
      <c r="W43" s="427" t="n">
        <f aca="false">V43*$C43</f>
        <v>132</v>
      </c>
      <c r="X43" s="439" t="n">
        <f aca="false">'Proy. ventas'!Y83+'Proy. ventas'!Y84</f>
        <v>24</v>
      </c>
      <c r="Y43" s="427" t="n">
        <f aca="false">X43*$C43</f>
        <v>144</v>
      </c>
      <c r="Z43" s="439" t="n">
        <f aca="false">'Proy. ventas'!AA83+'Proy. ventas'!AA84</f>
        <v>24</v>
      </c>
      <c r="AA43" s="427" t="n">
        <f aca="false">Z43*$C43</f>
        <v>144</v>
      </c>
      <c r="AB43" s="430" t="n">
        <f aca="false">E43+G43+I43+K43+M43+O43+Q43+S43+U43+W43+Y43+AA43</f>
        <v>1428</v>
      </c>
    </row>
    <row r="44" customFormat="false" ht="14.25" hidden="false" customHeight="true" outlineLevel="0" collapsed="false">
      <c r="A44" s="429" t="s">
        <v>292</v>
      </c>
      <c r="B44" s="429" t="s">
        <v>293</v>
      </c>
      <c r="C44" s="438" t="n">
        <f aca="false">Hipótesis!$C$58*0.3</f>
        <v>12</v>
      </c>
      <c r="D44" s="439" t="n">
        <f aca="false">'Proy. ventas'!E82</f>
        <v>6</v>
      </c>
      <c r="E44" s="427" t="n">
        <f aca="false">D44*$C44</f>
        <v>72</v>
      </c>
      <c r="F44" s="439" t="n">
        <f aca="false">'Proy. ventas'!G82</f>
        <v>6</v>
      </c>
      <c r="G44" s="427" t="n">
        <f aca="false">F44*$C44</f>
        <v>72</v>
      </c>
      <c r="H44" s="439" t="n">
        <f aca="false">'Proy. ventas'!I82</f>
        <v>7</v>
      </c>
      <c r="I44" s="427" t="n">
        <f aca="false">H44*$C44</f>
        <v>84</v>
      </c>
      <c r="J44" s="439" t="n">
        <f aca="false">'Proy. ventas'!K82</f>
        <v>7</v>
      </c>
      <c r="K44" s="427" t="n">
        <f aca="false">J44*$C44</f>
        <v>84</v>
      </c>
      <c r="L44" s="439" t="n">
        <f aca="false">'Proy. ventas'!M82</f>
        <v>7</v>
      </c>
      <c r="M44" s="427" t="n">
        <f aca="false">L44*$C44</f>
        <v>84</v>
      </c>
      <c r="N44" s="439" t="n">
        <f aca="false">'Proy. ventas'!O82</f>
        <v>7</v>
      </c>
      <c r="O44" s="427" t="n">
        <f aca="false">N44*$C44</f>
        <v>84</v>
      </c>
      <c r="P44" s="439" t="n">
        <f aca="false">'Proy. ventas'!Q82</f>
        <v>7</v>
      </c>
      <c r="Q44" s="427" t="n">
        <f aca="false">P44*$C44</f>
        <v>84</v>
      </c>
      <c r="R44" s="439" t="n">
        <f aca="false">'Proy. ventas'!S82</f>
        <v>7</v>
      </c>
      <c r="S44" s="427" t="n">
        <f aca="false">R44*$C44</f>
        <v>84</v>
      </c>
      <c r="T44" s="439" t="n">
        <f aca="false">'Proy. ventas'!U82</f>
        <v>8</v>
      </c>
      <c r="U44" s="427" t="n">
        <f aca="false">T44*$C44</f>
        <v>96</v>
      </c>
      <c r="V44" s="439" t="n">
        <f aca="false">'Proy. ventas'!W82</f>
        <v>8</v>
      </c>
      <c r="W44" s="427" t="n">
        <f aca="false">V44*$C44</f>
        <v>96</v>
      </c>
      <c r="X44" s="439" t="n">
        <f aca="false">'Proy. ventas'!Y82</f>
        <v>9</v>
      </c>
      <c r="Y44" s="427" t="n">
        <f aca="false">X44*$C44</f>
        <v>108</v>
      </c>
      <c r="Z44" s="439" t="n">
        <f aca="false">'Proy. ventas'!AA82</f>
        <v>9</v>
      </c>
      <c r="AA44" s="427" t="n">
        <f aca="false">Z44*$C44</f>
        <v>108</v>
      </c>
      <c r="AB44" s="430" t="n">
        <f aca="false">E44+G44+I44+K44+M44+O44+Q44+S44+U44+W44+Y44+AA44</f>
        <v>1056</v>
      </c>
    </row>
    <row r="45" customFormat="false" ht="14.25" hidden="false" customHeight="true" outlineLevel="0" collapsed="false">
      <c r="A45" s="429"/>
      <c r="B45" s="429" t="s">
        <v>294</v>
      </c>
      <c r="C45" s="438" t="n">
        <f aca="false">Hipótesis!$C$59*0.3</f>
        <v>36</v>
      </c>
      <c r="D45" s="439" t="n">
        <f aca="false">'Proy. ventas'!E83</f>
        <v>14</v>
      </c>
      <c r="E45" s="427" t="n">
        <f aca="false">D45*$C45</f>
        <v>504</v>
      </c>
      <c r="F45" s="439" t="n">
        <f aca="false">'Proy. ventas'!G83</f>
        <v>14</v>
      </c>
      <c r="G45" s="427" t="n">
        <f aca="false">F45*$C45</f>
        <v>504</v>
      </c>
      <c r="H45" s="439" t="n">
        <f aca="false">'Proy. ventas'!I83</f>
        <v>16</v>
      </c>
      <c r="I45" s="427" t="n">
        <f aca="false">H45*$C45</f>
        <v>576</v>
      </c>
      <c r="J45" s="439" t="n">
        <f aca="false">'Proy. ventas'!K83</f>
        <v>16</v>
      </c>
      <c r="K45" s="427" t="n">
        <f aca="false">J45*$C45</f>
        <v>576</v>
      </c>
      <c r="L45" s="439" t="n">
        <f aca="false">'Proy. ventas'!M83</f>
        <v>17</v>
      </c>
      <c r="M45" s="427" t="n">
        <f aca="false">L45*$C45</f>
        <v>612</v>
      </c>
      <c r="N45" s="439" t="n">
        <f aca="false">'Proy. ventas'!O83</f>
        <v>17</v>
      </c>
      <c r="O45" s="427" t="n">
        <f aca="false">N45*$C45</f>
        <v>612</v>
      </c>
      <c r="P45" s="439" t="n">
        <f aca="false">'Proy. ventas'!Q83</f>
        <v>18</v>
      </c>
      <c r="Q45" s="427" t="n">
        <f aca="false">P45*$C45</f>
        <v>648</v>
      </c>
      <c r="R45" s="439" t="n">
        <f aca="false">'Proy. ventas'!S83</f>
        <v>18</v>
      </c>
      <c r="S45" s="427" t="n">
        <f aca="false">R45*$C45</f>
        <v>648</v>
      </c>
      <c r="T45" s="439" t="n">
        <f aca="false">'Proy. ventas'!U83</f>
        <v>19</v>
      </c>
      <c r="U45" s="427" t="n">
        <f aca="false">T45*$C45</f>
        <v>684</v>
      </c>
      <c r="V45" s="439" t="n">
        <f aca="false">'Proy. ventas'!W83</f>
        <v>19</v>
      </c>
      <c r="W45" s="427" t="n">
        <f aca="false">V45*$C45</f>
        <v>684</v>
      </c>
      <c r="X45" s="439" t="n">
        <f aca="false">'Proy. ventas'!Y83</f>
        <v>21</v>
      </c>
      <c r="Y45" s="427" t="n">
        <f aca="false">X45*$C45</f>
        <v>756</v>
      </c>
      <c r="Z45" s="439" t="n">
        <f aca="false">'Proy. ventas'!AA83</f>
        <v>21</v>
      </c>
      <c r="AA45" s="427" t="n">
        <f aca="false">Z45*$C45</f>
        <v>756</v>
      </c>
      <c r="AB45" s="430" t="n">
        <f aca="false">E45+G45+I45+K45+M45+O45+Q45+S45+U45+W45+Y45+AA45</f>
        <v>7560</v>
      </c>
    </row>
    <row r="46" customFormat="false" ht="14.25" hidden="false" customHeight="true" outlineLevel="0" collapsed="false">
      <c r="A46" s="429"/>
      <c r="B46" s="429" t="s">
        <v>295</v>
      </c>
      <c r="C46" s="438" t="n">
        <f aca="false">Hipótesis!$C$60*0.3</f>
        <v>135</v>
      </c>
      <c r="D46" s="439" t="n">
        <f aca="false">'Proy. ventas'!E84</f>
        <v>2</v>
      </c>
      <c r="E46" s="427" t="n">
        <f aca="false">D46*$C46</f>
        <v>270</v>
      </c>
      <c r="F46" s="439" t="n">
        <f aca="false">'Proy. ventas'!G84</f>
        <v>2</v>
      </c>
      <c r="G46" s="427" t="n">
        <f aca="false">F46*$C46</f>
        <v>270</v>
      </c>
      <c r="H46" s="439" t="n">
        <f aca="false">'Proy. ventas'!I84</f>
        <v>2</v>
      </c>
      <c r="I46" s="427" t="n">
        <f aca="false">H46*$C46</f>
        <v>270</v>
      </c>
      <c r="J46" s="439" t="n">
        <f aca="false">'Proy. ventas'!K84</f>
        <v>2</v>
      </c>
      <c r="K46" s="427" t="n">
        <f aca="false">J46*$C46</f>
        <v>270</v>
      </c>
      <c r="L46" s="439" t="n">
        <f aca="false">'Proy. ventas'!M84</f>
        <v>2</v>
      </c>
      <c r="M46" s="427" t="n">
        <f aca="false">L46*$C46</f>
        <v>270</v>
      </c>
      <c r="N46" s="439" t="n">
        <f aca="false">'Proy. ventas'!O84</f>
        <v>2</v>
      </c>
      <c r="O46" s="427" t="n">
        <f aca="false">N46*$C46</f>
        <v>270</v>
      </c>
      <c r="P46" s="439" t="n">
        <f aca="false">'Proy. ventas'!Q84</f>
        <v>2</v>
      </c>
      <c r="Q46" s="427" t="n">
        <f aca="false">P46*$C46</f>
        <v>270</v>
      </c>
      <c r="R46" s="439" t="n">
        <f aca="false">'Proy. ventas'!S84</f>
        <v>2</v>
      </c>
      <c r="S46" s="427" t="n">
        <f aca="false">R46*$C46</f>
        <v>270</v>
      </c>
      <c r="T46" s="439" t="n">
        <f aca="false">'Proy. ventas'!U84</f>
        <v>3</v>
      </c>
      <c r="U46" s="427" t="n">
        <f aca="false">T46*$C46</f>
        <v>405</v>
      </c>
      <c r="V46" s="439" t="n">
        <f aca="false">'Proy. ventas'!W84</f>
        <v>3</v>
      </c>
      <c r="W46" s="427" t="n">
        <f aca="false">V46*$C46</f>
        <v>405</v>
      </c>
      <c r="X46" s="439" t="n">
        <f aca="false">'Proy. ventas'!Y84</f>
        <v>3</v>
      </c>
      <c r="Y46" s="427" t="n">
        <f aca="false">X46*$C46</f>
        <v>405</v>
      </c>
      <c r="Z46" s="439" t="n">
        <f aca="false">'Proy. ventas'!AA84</f>
        <v>3</v>
      </c>
      <c r="AA46" s="427" t="n">
        <f aca="false">Z46*$C46</f>
        <v>405</v>
      </c>
      <c r="AB46" s="430" t="n">
        <f aca="false">E46+G46+I46+K46+M46+O46+Q46+S46+U46+W46+Y46+AA46</f>
        <v>3780</v>
      </c>
    </row>
    <row r="47" customFormat="false" ht="14.25" hidden="false" customHeight="true" outlineLevel="0" collapsed="false">
      <c r="A47" s="429"/>
      <c r="B47" s="429" t="s">
        <v>296</v>
      </c>
      <c r="C47" s="438" t="n">
        <v>10</v>
      </c>
      <c r="D47" s="439" t="n">
        <f aca="false">ROUND(('Proy. ventas'!E82+'Proy. ventas'!E83+'Proy. ventas'!E84)*0.3,0)</f>
        <v>7</v>
      </c>
      <c r="E47" s="427" t="n">
        <f aca="false">D47*$C47</f>
        <v>70</v>
      </c>
      <c r="F47" s="439" t="n">
        <f aca="false">ROUND(('Proy. ventas'!G82+'Proy. ventas'!G83+'Proy. ventas'!G84)*0.3,0)</f>
        <v>7</v>
      </c>
      <c r="G47" s="427" t="n">
        <f aca="false">F47*$C47</f>
        <v>70</v>
      </c>
      <c r="H47" s="439" t="n">
        <f aca="false">ROUND(('Proy. ventas'!I82+'Proy. ventas'!I83+'Proy. ventas'!I84)*0.3,0)</f>
        <v>8</v>
      </c>
      <c r="I47" s="427" t="n">
        <f aca="false">H47*$C47</f>
        <v>80</v>
      </c>
      <c r="J47" s="439" t="n">
        <f aca="false">ROUND(('Proy. ventas'!K82+'Proy. ventas'!K83+'Proy. ventas'!K84)*0.3,0)</f>
        <v>8</v>
      </c>
      <c r="K47" s="427" t="n">
        <f aca="false">J47*$C47</f>
        <v>80</v>
      </c>
      <c r="L47" s="439" t="n">
        <f aca="false">ROUND(('Proy. ventas'!M82+'Proy. ventas'!M83+'Proy. ventas'!M84)*0.3,0)</f>
        <v>8</v>
      </c>
      <c r="M47" s="427" t="n">
        <f aca="false">L47*$C47</f>
        <v>80</v>
      </c>
      <c r="N47" s="439" t="n">
        <f aca="false">ROUND(('Proy. ventas'!O82+'Proy. ventas'!O83+'Proy. ventas'!O84)*0.3,0)</f>
        <v>8</v>
      </c>
      <c r="O47" s="427" t="n">
        <f aca="false">N47*$C47</f>
        <v>80</v>
      </c>
      <c r="P47" s="439" t="n">
        <f aca="false">ROUND(('Proy. ventas'!Q82+'Proy. ventas'!Q83+'Proy. ventas'!Q84)*0.3,0)</f>
        <v>8</v>
      </c>
      <c r="Q47" s="427" t="n">
        <f aca="false">P47*$C47</f>
        <v>80</v>
      </c>
      <c r="R47" s="439" t="n">
        <f aca="false">ROUND(('Proy. ventas'!S82+'Proy. ventas'!S83+'Proy. ventas'!S84)*0.3,0)</f>
        <v>8</v>
      </c>
      <c r="S47" s="427" t="n">
        <f aca="false">R47*$C47</f>
        <v>80</v>
      </c>
      <c r="T47" s="439" t="n">
        <f aca="false">ROUND(('Proy. ventas'!U82+'Proy. ventas'!U83+'Proy. ventas'!U84)*0.3,0)</f>
        <v>9</v>
      </c>
      <c r="U47" s="427" t="n">
        <f aca="false">T47*$C47</f>
        <v>90</v>
      </c>
      <c r="V47" s="439" t="n">
        <f aca="false">ROUND(('Proy. ventas'!W82+'Proy. ventas'!W83+'Proy. ventas'!W84)*0.3,0)</f>
        <v>9</v>
      </c>
      <c r="W47" s="427" t="n">
        <f aca="false">V47*$C47</f>
        <v>90</v>
      </c>
      <c r="X47" s="439" t="n">
        <f aca="false">ROUND(('Proy. ventas'!Y82+'Proy. ventas'!Y83+'Proy. ventas'!Y84)*0.3,0)</f>
        <v>10</v>
      </c>
      <c r="Y47" s="427" t="n">
        <f aca="false">X47*$C47</f>
        <v>100</v>
      </c>
      <c r="Z47" s="439" t="n">
        <f aca="false">ROUND(('Proy. ventas'!AA82+'Proy. ventas'!AA83+'Proy. ventas'!AA84)*0.3,0)</f>
        <v>10</v>
      </c>
      <c r="AA47" s="427" t="n">
        <f aca="false">Z47*$C47</f>
        <v>100</v>
      </c>
      <c r="AB47" s="430" t="n">
        <f aca="false">E47+G47+I47+K47+M47+O47+Q47+S47+U47+W47+Y47+AA47</f>
        <v>1000</v>
      </c>
    </row>
    <row r="48" customFormat="false" ht="14.25" hidden="false" customHeight="true" outlineLevel="0" collapsed="false">
      <c r="A48" s="432" t="s">
        <v>285</v>
      </c>
      <c r="B48" s="429" t="s">
        <v>297</v>
      </c>
      <c r="C48" s="438" t="n">
        <v>7</v>
      </c>
      <c r="D48" s="439" t="n">
        <f aca="false">'Anexo capacidad operativa'!D98</f>
        <v>150</v>
      </c>
      <c r="E48" s="427" t="n">
        <f aca="false">D48*$C48</f>
        <v>1050</v>
      </c>
      <c r="F48" s="439" t="n">
        <f aca="false">'Anexo capacidad operativa'!F98</f>
        <v>150</v>
      </c>
      <c r="G48" s="427" t="n">
        <f aca="false">F48*$C48</f>
        <v>1050</v>
      </c>
      <c r="H48" s="439" t="n">
        <f aca="false">'Anexo capacidad operativa'!H98</f>
        <v>300</v>
      </c>
      <c r="I48" s="427" t="n">
        <f aca="false">H48*$C48</f>
        <v>2100</v>
      </c>
      <c r="J48" s="439" t="n">
        <f aca="false">'Anexo capacidad operativa'!J98</f>
        <v>300</v>
      </c>
      <c r="K48" s="427" t="n">
        <f aca="false">J48*$C48</f>
        <v>2100</v>
      </c>
      <c r="L48" s="439" t="n">
        <f aca="false">'Anexo capacidad operativa'!L98</f>
        <v>300</v>
      </c>
      <c r="M48" s="427" t="n">
        <f aca="false">L48*$C48</f>
        <v>2100</v>
      </c>
      <c r="N48" s="439" t="n">
        <f aca="false">'Anexo capacidad operativa'!N98</f>
        <v>300</v>
      </c>
      <c r="O48" s="427" t="n">
        <f aca="false">N48*$C48</f>
        <v>2100</v>
      </c>
      <c r="P48" s="439" t="n">
        <f aca="false">'Anexo capacidad operativa'!P98</f>
        <v>300</v>
      </c>
      <c r="Q48" s="427" t="n">
        <f aca="false">P48*$C48</f>
        <v>2100</v>
      </c>
      <c r="R48" s="439" t="n">
        <f aca="false">'Anexo capacidad operativa'!R98</f>
        <v>300</v>
      </c>
      <c r="S48" s="427" t="n">
        <f aca="false">R48*$C48</f>
        <v>2100</v>
      </c>
      <c r="T48" s="439" t="n">
        <f aca="false">'Anexo capacidad operativa'!T98</f>
        <v>300</v>
      </c>
      <c r="U48" s="427" t="n">
        <f aca="false">T48*$C48</f>
        <v>2100</v>
      </c>
      <c r="V48" s="439" t="n">
        <f aca="false">'Anexo capacidad operativa'!V98</f>
        <v>300</v>
      </c>
      <c r="W48" s="427" t="n">
        <f aca="false">V48*$C48</f>
        <v>2100</v>
      </c>
      <c r="X48" s="439" t="n">
        <f aca="false">'Anexo capacidad operativa'!X98</f>
        <v>300</v>
      </c>
      <c r="Y48" s="427" t="n">
        <f aca="false">X48*$C48</f>
        <v>2100</v>
      </c>
      <c r="Z48" s="439" t="n">
        <f aca="false">'Anexo capacidad operativa'!Z98</f>
        <v>300</v>
      </c>
      <c r="AA48" s="427" t="n">
        <f aca="false">Z48*$C48</f>
        <v>2100</v>
      </c>
      <c r="AB48" s="430" t="n">
        <f aca="false">E48+G48+I48+K48+M48+O48+Q48+S48+U48+W48+Y48+AA48</f>
        <v>23100</v>
      </c>
    </row>
    <row r="49" customFormat="false" ht="14.25" hidden="false" customHeight="true" outlineLevel="0" collapsed="false">
      <c r="A49" s="432"/>
      <c r="B49" s="429"/>
      <c r="C49" s="438"/>
      <c r="D49" s="439"/>
      <c r="E49" s="427"/>
      <c r="F49" s="439"/>
      <c r="G49" s="427"/>
      <c r="H49" s="439"/>
      <c r="I49" s="427"/>
      <c r="J49" s="439"/>
      <c r="K49" s="427"/>
      <c r="L49" s="439"/>
      <c r="M49" s="427"/>
      <c r="N49" s="439"/>
      <c r="O49" s="427"/>
      <c r="P49" s="439"/>
      <c r="Q49" s="427"/>
      <c r="R49" s="439"/>
      <c r="S49" s="427"/>
      <c r="T49" s="439"/>
      <c r="U49" s="427"/>
      <c r="V49" s="439"/>
      <c r="W49" s="427"/>
      <c r="X49" s="439"/>
      <c r="Y49" s="427"/>
      <c r="Z49" s="439"/>
      <c r="AA49" s="427"/>
      <c r="AB49" s="430"/>
    </row>
    <row r="50" customFormat="false" ht="14.25" hidden="false" customHeight="true" outlineLevel="0" collapsed="false">
      <c r="A50" s="432"/>
      <c r="B50" s="429"/>
      <c r="C50" s="438"/>
      <c r="D50" s="439"/>
      <c r="E50" s="427"/>
      <c r="F50" s="439"/>
      <c r="G50" s="427"/>
      <c r="H50" s="439"/>
      <c r="I50" s="427"/>
      <c r="J50" s="439"/>
      <c r="K50" s="427"/>
      <c r="L50" s="439"/>
      <c r="M50" s="427"/>
      <c r="N50" s="439"/>
      <c r="O50" s="427"/>
      <c r="P50" s="439"/>
      <c r="Q50" s="427"/>
      <c r="R50" s="439"/>
      <c r="S50" s="427"/>
      <c r="T50" s="439"/>
      <c r="U50" s="427"/>
      <c r="V50" s="439"/>
      <c r="W50" s="427"/>
      <c r="X50" s="439"/>
      <c r="Y50" s="427"/>
      <c r="Z50" s="439"/>
      <c r="AA50" s="427"/>
      <c r="AB50" s="430"/>
    </row>
    <row r="51" customFormat="false" ht="14.25" hidden="false" customHeight="true" outlineLevel="0" collapsed="false">
      <c r="B51" s="440"/>
      <c r="C51" s="441"/>
      <c r="D51" s="442"/>
      <c r="E51" s="443"/>
      <c r="F51" s="442"/>
      <c r="G51" s="443"/>
      <c r="H51" s="442"/>
      <c r="I51" s="443"/>
      <c r="J51" s="442"/>
      <c r="K51" s="443"/>
      <c r="L51" s="442"/>
      <c r="M51" s="443"/>
      <c r="N51" s="442"/>
      <c r="O51" s="443"/>
      <c r="P51" s="442"/>
      <c r="Q51" s="443"/>
      <c r="R51" s="442"/>
      <c r="S51" s="443"/>
      <c r="T51" s="442"/>
      <c r="U51" s="443"/>
      <c r="V51" s="442"/>
      <c r="W51" s="443"/>
      <c r="X51" s="442"/>
      <c r="Y51" s="443"/>
      <c r="Z51" s="442"/>
      <c r="AA51" s="443"/>
      <c r="AB51" s="444"/>
    </row>
    <row r="52" customFormat="false" ht="14.25" hidden="false" customHeight="true" outlineLevel="0" collapsed="false">
      <c r="B52" s="440"/>
      <c r="C52" s="441"/>
      <c r="D52" s="442"/>
      <c r="E52" s="443"/>
      <c r="F52" s="442"/>
      <c r="G52" s="443"/>
      <c r="H52" s="442"/>
      <c r="I52" s="443"/>
      <c r="J52" s="442"/>
      <c r="K52" s="443"/>
      <c r="L52" s="442"/>
      <c r="M52" s="443"/>
      <c r="N52" s="442"/>
      <c r="O52" s="443"/>
      <c r="P52" s="442"/>
      <c r="Q52" s="443"/>
      <c r="R52" s="442"/>
      <c r="S52" s="443"/>
      <c r="T52" s="442"/>
      <c r="U52" s="443"/>
      <c r="V52" s="442"/>
      <c r="W52" s="443"/>
      <c r="X52" s="442"/>
      <c r="Y52" s="443"/>
      <c r="Z52" s="442"/>
      <c r="AA52" s="443"/>
      <c r="AB52" s="444"/>
    </row>
    <row r="53" customFormat="false" ht="14.25" hidden="false" customHeight="true" outlineLevel="0" collapsed="false">
      <c r="B53" s="458"/>
      <c r="C53" s="459"/>
      <c r="D53" s="447"/>
      <c r="E53" s="448"/>
      <c r="F53" s="449"/>
      <c r="G53" s="448"/>
      <c r="H53" s="449"/>
      <c r="I53" s="448"/>
      <c r="J53" s="449"/>
      <c r="K53" s="448"/>
      <c r="L53" s="449"/>
      <c r="M53" s="448"/>
      <c r="N53" s="449"/>
      <c r="O53" s="448"/>
      <c r="P53" s="449"/>
      <c r="Q53" s="448"/>
      <c r="R53" s="449"/>
      <c r="S53" s="448"/>
      <c r="T53" s="449"/>
      <c r="U53" s="448"/>
      <c r="V53" s="449"/>
      <c r="W53" s="448"/>
      <c r="X53" s="449"/>
      <c r="Y53" s="448"/>
      <c r="Z53" s="449"/>
      <c r="AA53" s="443"/>
      <c r="AB53" s="460"/>
    </row>
    <row r="54" customFormat="false" ht="14.25" hidden="false" customHeight="true" outlineLevel="0" collapsed="false">
      <c r="A54" s="451"/>
      <c r="B54" s="452"/>
      <c r="C54" s="453"/>
      <c r="D54" s="454"/>
      <c r="E54" s="455"/>
      <c r="F54" s="456"/>
      <c r="G54" s="455"/>
      <c r="H54" s="456"/>
      <c r="I54" s="455"/>
      <c r="J54" s="456"/>
      <c r="K54" s="455"/>
      <c r="L54" s="456"/>
      <c r="M54" s="455"/>
      <c r="N54" s="456"/>
      <c r="O54" s="455"/>
      <c r="P54" s="456"/>
      <c r="Q54" s="455"/>
      <c r="R54" s="456"/>
      <c r="S54" s="455"/>
      <c r="T54" s="456"/>
      <c r="U54" s="455"/>
      <c r="V54" s="456"/>
      <c r="W54" s="455"/>
      <c r="X54" s="456"/>
      <c r="Y54" s="455"/>
      <c r="Z54" s="456"/>
      <c r="AA54" s="455"/>
      <c r="AB54" s="450"/>
    </row>
    <row r="55" customFormat="false" ht="14.25" hidden="false" customHeight="true" outlineLevel="0" collapsed="false">
      <c r="A55" s="434"/>
      <c r="B55" s="433" t="s">
        <v>276</v>
      </c>
      <c r="C55" s="434"/>
      <c r="D55" s="434"/>
      <c r="E55" s="435" t="n">
        <f aca="false">SUM(E38:E54)</f>
        <v>3432.2</v>
      </c>
      <c r="F55" s="457"/>
      <c r="G55" s="435" t="n">
        <f aca="false">SUM(G38:G54)</f>
        <v>3463</v>
      </c>
      <c r="H55" s="457"/>
      <c r="I55" s="435" t="n">
        <f aca="false">SUM(I38:I54)</f>
        <v>4784</v>
      </c>
      <c r="J55" s="457"/>
      <c r="K55" s="435" t="n">
        <f aca="false">SUM(K38:K54)</f>
        <v>4819</v>
      </c>
      <c r="L55" s="457"/>
      <c r="M55" s="435" t="n">
        <f aca="false">SUM(M38:M54)</f>
        <v>4942.4</v>
      </c>
      <c r="N55" s="434"/>
      <c r="O55" s="435" t="n">
        <f aca="false">SUM(O38:O54)</f>
        <v>4978.8</v>
      </c>
      <c r="P55" s="457"/>
      <c r="Q55" s="435" t="n">
        <f aca="false">SUM(Q38:Q54)</f>
        <v>5103.6</v>
      </c>
      <c r="R55" s="457"/>
      <c r="S55" s="435" t="n">
        <f aca="false">SUM(S38:S54)</f>
        <v>5141.4</v>
      </c>
      <c r="T55" s="457"/>
      <c r="U55" s="435" t="n">
        <f aca="false">SUM(U38:U54)</f>
        <v>5518.4</v>
      </c>
      <c r="V55" s="457"/>
      <c r="W55" s="435" t="n">
        <f aca="false">SUM(W38:W54)</f>
        <v>5560.4</v>
      </c>
      <c r="X55" s="457"/>
      <c r="Y55" s="435" t="n">
        <f aca="false">SUM(Y38:Y54)</f>
        <v>5842.6</v>
      </c>
      <c r="Z55" s="457"/>
      <c r="AA55" s="435" t="n">
        <f aca="false">SUM(AA38:AA54)</f>
        <v>5888.8</v>
      </c>
      <c r="AB55" s="435" t="n">
        <f aca="false">SUM(AB38:AB54)</f>
        <v>59474.6</v>
      </c>
    </row>
    <row r="56" customFormat="false" ht="14.2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customFormat="false" ht="14.2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customFormat="false" ht="25.5" hidden="false" customHeight="true" outlineLevel="0" collapsed="false">
      <c r="A58" s="2"/>
      <c r="B58" s="423" t="s">
        <v>299</v>
      </c>
    </row>
    <row r="59" customFormat="false" ht="14.25" hidden="false" customHeight="true" outlineLevel="0" collapsed="false">
      <c r="A59" s="424" t="s">
        <v>248</v>
      </c>
      <c r="B59" s="424" t="s">
        <v>172</v>
      </c>
      <c r="C59" s="424" t="s">
        <v>282</v>
      </c>
      <c r="D59" s="424" t="s">
        <v>81</v>
      </c>
      <c r="E59" s="424"/>
      <c r="F59" s="424" t="s">
        <v>82</v>
      </c>
      <c r="G59" s="424"/>
      <c r="H59" s="424" t="s">
        <v>83</v>
      </c>
      <c r="I59" s="424"/>
      <c r="J59" s="424" t="s">
        <v>84</v>
      </c>
      <c r="K59" s="424"/>
      <c r="L59" s="424" t="s">
        <v>85</v>
      </c>
      <c r="M59" s="424"/>
      <c r="N59" s="424" t="s">
        <v>86</v>
      </c>
      <c r="O59" s="424"/>
      <c r="P59" s="424" t="s">
        <v>87</v>
      </c>
      <c r="Q59" s="424"/>
      <c r="R59" s="424" t="s">
        <v>88</v>
      </c>
      <c r="S59" s="424"/>
      <c r="T59" s="424" t="s">
        <v>89</v>
      </c>
      <c r="U59" s="424"/>
      <c r="V59" s="424" t="s">
        <v>90</v>
      </c>
      <c r="W59" s="424"/>
      <c r="X59" s="424" t="s">
        <v>91</v>
      </c>
      <c r="Y59" s="424"/>
      <c r="Z59" s="424" t="s">
        <v>92</v>
      </c>
      <c r="AA59" s="424"/>
      <c r="AB59" s="424" t="s">
        <v>249</v>
      </c>
    </row>
    <row r="60" customFormat="false" ht="14.25" hidden="false" customHeight="true" outlineLevel="0" collapsed="false">
      <c r="A60" s="437"/>
      <c r="B60" s="437"/>
      <c r="C60" s="437"/>
      <c r="D60" s="437" t="s">
        <v>283</v>
      </c>
      <c r="E60" s="437" t="s">
        <v>284</v>
      </c>
      <c r="F60" s="437" t="s">
        <v>283</v>
      </c>
      <c r="G60" s="437" t="s">
        <v>284</v>
      </c>
      <c r="H60" s="437" t="s">
        <v>283</v>
      </c>
      <c r="I60" s="437" t="s">
        <v>284</v>
      </c>
      <c r="J60" s="437" t="s">
        <v>283</v>
      </c>
      <c r="K60" s="437" t="s">
        <v>284</v>
      </c>
      <c r="L60" s="437" t="s">
        <v>283</v>
      </c>
      <c r="M60" s="437" t="s">
        <v>284</v>
      </c>
      <c r="N60" s="437" t="s">
        <v>283</v>
      </c>
      <c r="O60" s="437" t="s">
        <v>284</v>
      </c>
      <c r="P60" s="437" t="s">
        <v>283</v>
      </c>
      <c r="Q60" s="437" t="s">
        <v>284</v>
      </c>
      <c r="R60" s="437" t="s">
        <v>283</v>
      </c>
      <c r="S60" s="437" t="s">
        <v>284</v>
      </c>
      <c r="T60" s="437" t="s">
        <v>283</v>
      </c>
      <c r="U60" s="437" t="s">
        <v>284</v>
      </c>
      <c r="V60" s="437" t="s">
        <v>283</v>
      </c>
      <c r="W60" s="437" t="s">
        <v>284</v>
      </c>
      <c r="X60" s="437" t="s">
        <v>283</v>
      </c>
      <c r="Y60" s="437" t="s">
        <v>284</v>
      </c>
      <c r="Z60" s="437" t="s">
        <v>283</v>
      </c>
      <c r="AA60" s="437" t="s">
        <v>284</v>
      </c>
      <c r="AB60" s="424"/>
    </row>
    <row r="61" customFormat="false" ht="14.25" hidden="false" customHeight="true" outlineLevel="0" collapsed="false">
      <c r="A61" s="429" t="s">
        <v>285</v>
      </c>
      <c r="B61" s="429" t="s">
        <v>286</v>
      </c>
      <c r="C61" s="438" t="n">
        <v>40</v>
      </c>
      <c r="D61" s="439" t="n">
        <f aca="false">'Proy. ventas'!E144+'Proy. ventas'!E145+'Proy. ventas'!E146</f>
        <v>30</v>
      </c>
      <c r="E61" s="427" t="n">
        <f aca="false">D61*$C61</f>
        <v>1200</v>
      </c>
      <c r="F61" s="439" t="n">
        <f aca="false">'Proy. ventas'!G144+'Proy. ventas'!G145+'Proy. ventas'!G146</f>
        <v>30</v>
      </c>
      <c r="G61" s="427" t="n">
        <f aca="false">F61*$C61</f>
        <v>1200</v>
      </c>
      <c r="H61" s="439" t="n">
        <f aca="false">'Proy. ventas'!I144+'Proy. ventas'!I145+'Proy. ventas'!I146</f>
        <v>33</v>
      </c>
      <c r="I61" s="427" t="n">
        <f aca="false">H61*$C61</f>
        <v>1320</v>
      </c>
      <c r="J61" s="439" t="n">
        <f aca="false">'Proy. ventas'!K144+'Proy. ventas'!K145+'Proy. ventas'!K146</f>
        <v>33</v>
      </c>
      <c r="K61" s="427" t="n">
        <f aca="false">J61*$C61</f>
        <v>1320</v>
      </c>
      <c r="L61" s="439" t="n">
        <f aca="false">'Proy. ventas'!M144+'Proy. ventas'!M145+'Proy. ventas'!M146</f>
        <v>34</v>
      </c>
      <c r="M61" s="427" t="n">
        <f aca="false">L61*$C61</f>
        <v>1360</v>
      </c>
      <c r="N61" s="439" t="n">
        <f aca="false">'Proy. ventas'!O144+'Proy. ventas'!O145+'Proy. ventas'!O146</f>
        <v>34</v>
      </c>
      <c r="O61" s="427" t="n">
        <f aca="false">N61*$C61</f>
        <v>1360</v>
      </c>
      <c r="P61" s="439" t="n">
        <f aca="false">'Proy. ventas'!Q144+'Proy. ventas'!Q145+'Proy. ventas'!Q146</f>
        <v>37</v>
      </c>
      <c r="Q61" s="427" t="n">
        <f aca="false">P61*$C61</f>
        <v>1480</v>
      </c>
      <c r="R61" s="439" t="n">
        <f aca="false">'Proy. ventas'!S144+'Proy. ventas'!S145+'Proy. ventas'!S146</f>
        <v>37</v>
      </c>
      <c r="S61" s="427" t="n">
        <f aca="false">R61*$C61</f>
        <v>1480</v>
      </c>
      <c r="T61" s="439" t="n">
        <f aca="false">'Proy. ventas'!U144+'Proy. ventas'!U145+'Proy. ventas'!U146</f>
        <v>40</v>
      </c>
      <c r="U61" s="427" t="n">
        <f aca="false">T61*$C61</f>
        <v>1600</v>
      </c>
      <c r="V61" s="439" t="n">
        <f aca="false">'Proy. ventas'!W144+'Proy. ventas'!W145+'Proy. ventas'!W146</f>
        <v>40</v>
      </c>
      <c r="W61" s="427" t="n">
        <f aca="false">V61*$C61</f>
        <v>1600</v>
      </c>
      <c r="X61" s="439" t="n">
        <f aca="false">'Proy. ventas'!Y144+'Proy. ventas'!Y145+'Proy. ventas'!Y146</f>
        <v>44</v>
      </c>
      <c r="Y61" s="427" t="n">
        <f aca="false">X61*$C61</f>
        <v>1760</v>
      </c>
      <c r="Z61" s="439" t="n">
        <f aca="false">'Proy. ventas'!AA144+'Proy. ventas'!AA145+'Proy. ventas'!AA146</f>
        <v>44</v>
      </c>
      <c r="AA61" s="427" t="n">
        <f aca="false">Z61*$C61</f>
        <v>1760</v>
      </c>
      <c r="AB61" s="430" t="n">
        <f aca="false">E61+G61+I61+K61+M61+O61+Q61+S61+U61+W61+Y61+AA61</f>
        <v>17440</v>
      </c>
    </row>
    <row r="62" customFormat="false" ht="14.25" hidden="false" customHeight="true" outlineLevel="0" collapsed="false">
      <c r="A62" s="429"/>
      <c r="B62" s="429" t="s">
        <v>287</v>
      </c>
      <c r="C62" s="438" t="n">
        <v>5</v>
      </c>
      <c r="D62" s="439" t="n">
        <f aca="false">'Proy. ventas'!E145+'Proy. ventas'!E146</f>
        <v>22</v>
      </c>
      <c r="E62" s="427" t="n">
        <f aca="false">D62*$C62</f>
        <v>110</v>
      </c>
      <c r="F62" s="439" t="n">
        <f aca="false">'Proy. ventas'!G145+'Proy. ventas'!G146</f>
        <v>22</v>
      </c>
      <c r="G62" s="427" t="n">
        <f aca="false">F62*$C62</f>
        <v>110</v>
      </c>
      <c r="H62" s="439" t="n">
        <f aca="false">'Proy. ventas'!I145+'Proy. ventas'!I146</f>
        <v>24</v>
      </c>
      <c r="I62" s="427" t="n">
        <f aca="false">H62*$C62</f>
        <v>120</v>
      </c>
      <c r="J62" s="439" t="n">
        <f aca="false">'Proy. ventas'!K145+'Proy. ventas'!K146</f>
        <v>24</v>
      </c>
      <c r="K62" s="427" t="n">
        <f aca="false">J62*$C62</f>
        <v>120</v>
      </c>
      <c r="L62" s="439" t="n">
        <f aca="false">'Proy. ventas'!M145+'Proy. ventas'!M146</f>
        <v>25</v>
      </c>
      <c r="M62" s="427" t="n">
        <f aca="false">L62*$C62</f>
        <v>125</v>
      </c>
      <c r="N62" s="439" t="n">
        <f aca="false">'Proy. ventas'!O145+'Proy. ventas'!O146</f>
        <v>25</v>
      </c>
      <c r="O62" s="427" t="n">
        <f aca="false">N62*$C62</f>
        <v>125</v>
      </c>
      <c r="P62" s="439" t="n">
        <f aca="false">'Proy. ventas'!Q145+'Proy. ventas'!Q146</f>
        <v>27</v>
      </c>
      <c r="Q62" s="427" t="n">
        <f aca="false">P62*$C62</f>
        <v>135</v>
      </c>
      <c r="R62" s="439" t="n">
        <f aca="false">'Proy. ventas'!S145+'Proy. ventas'!S146</f>
        <v>27</v>
      </c>
      <c r="S62" s="427" t="n">
        <f aca="false">R62*$C62</f>
        <v>135</v>
      </c>
      <c r="T62" s="439" t="n">
        <f aca="false">'Proy. ventas'!U145+'Proy. ventas'!U146</f>
        <v>29</v>
      </c>
      <c r="U62" s="427" t="n">
        <f aca="false">T62*$C62</f>
        <v>145</v>
      </c>
      <c r="V62" s="439" t="n">
        <f aca="false">'Proy. ventas'!W145+'Proy. ventas'!W146</f>
        <v>29</v>
      </c>
      <c r="W62" s="427" t="n">
        <f aca="false">V62*$C62</f>
        <v>145</v>
      </c>
      <c r="X62" s="439" t="n">
        <f aca="false">'Proy. ventas'!Y145+'Proy. ventas'!Y146</f>
        <v>32</v>
      </c>
      <c r="Y62" s="427" t="n">
        <f aca="false">X62*$C62</f>
        <v>160</v>
      </c>
      <c r="Z62" s="439" t="n">
        <f aca="false">'Proy. ventas'!AA145+'Proy. ventas'!AA146</f>
        <v>32</v>
      </c>
      <c r="AA62" s="427" t="n">
        <f aca="false">Z62*$C62</f>
        <v>160</v>
      </c>
      <c r="AB62" s="430" t="n">
        <f aca="false">E62+G62+I62+K62+M62+O62+Q62+S62+U62+W62+Y62+AA62</f>
        <v>1590</v>
      </c>
    </row>
    <row r="63" customFormat="false" ht="14.25" hidden="false" customHeight="true" outlineLevel="0" collapsed="false">
      <c r="A63" s="429"/>
      <c r="B63" s="429" t="s">
        <v>288</v>
      </c>
      <c r="C63" s="438" t="n">
        <v>0.35</v>
      </c>
      <c r="D63" s="439" t="n">
        <f aca="false">'Proy. ventas'!E147+'Proy. ventas'!E148+'Proy. ventas'!E149</f>
        <v>627</v>
      </c>
      <c r="E63" s="427" t="n">
        <f aca="false">D63*$C63</f>
        <v>219.45</v>
      </c>
      <c r="F63" s="439" t="n">
        <f aca="false">'Proy. ventas'!G147+'Proy. ventas'!G148+'Proy. ventas'!G149</f>
        <v>657</v>
      </c>
      <c r="G63" s="427" t="n">
        <f aca="false">F63*$C63</f>
        <v>229.95</v>
      </c>
      <c r="H63" s="439" t="n">
        <f aca="false">'Proy. ventas'!I147+'Proy. ventas'!I148+'Proy. ventas'!I149</f>
        <v>690</v>
      </c>
      <c r="I63" s="427" t="n">
        <f aca="false">H63*$C63</f>
        <v>241.5</v>
      </c>
      <c r="J63" s="439" t="n">
        <f aca="false">'Proy. ventas'!K147+'Proy. ventas'!K148+'Proy. ventas'!K149</f>
        <v>723</v>
      </c>
      <c r="K63" s="427" t="n">
        <f aca="false">J63*$C63</f>
        <v>253.05</v>
      </c>
      <c r="L63" s="439" t="n">
        <f aca="false">'Proy. ventas'!M147+'Proy. ventas'!M148+'Proy. ventas'!M149</f>
        <v>757</v>
      </c>
      <c r="M63" s="427" t="n">
        <f aca="false">L63*$C63</f>
        <v>264.95</v>
      </c>
      <c r="N63" s="439" t="n">
        <f aca="false">'Proy. ventas'!O147+'Proy. ventas'!O148+'Proy. ventas'!O149</f>
        <v>791</v>
      </c>
      <c r="O63" s="427" t="n">
        <f aca="false">N63*$C63</f>
        <v>276.85</v>
      </c>
      <c r="P63" s="439" t="n">
        <f aca="false">'Proy. ventas'!Q147+'Proy. ventas'!Q148+'Proy. ventas'!Q149</f>
        <v>828</v>
      </c>
      <c r="Q63" s="427" t="n">
        <f aca="false">P63*$C63</f>
        <v>289.8</v>
      </c>
      <c r="R63" s="439" t="n">
        <f aca="false">'Proy. ventas'!S147+'Proy. ventas'!S148+'Proy. ventas'!S149</f>
        <v>865</v>
      </c>
      <c r="S63" s="427" t="n">
        <f aca="false">R63*$C63</f>
        <v>302.75</v>
      </c>
      <c r="T63" s="439" t="n">
        <f aca="false">'Proy. ventas'!U147+'Proy. ventas'!U148+'Proy. ventas'!U149</f>
        <v>905</v>
      </c>
      <c r="U63" s="427" t="n">
        <f aca="false">T63*$C63</f>
        <v>316.75</v>
      </c>
      <c r="V63" s="439" t="n">
        <f aca="false">'Proy. ventas'!W147+'Proy. ventas'!W148+'Proy. ventas'!W149</f>
        <v>945</v>
      </c>
      <c r="W63" s="427" t="n">
        <f aca="false">V63*$C63</f>
        <v>330.75</v>
      </c>
      <c r="X63" s="439" t="n">
        <f aca="false">'Proy. ventas'!Y147+'Proy. ventas'!Y148+'Proy. ventas'!Y149</f>
        <v>989</v>
      </c>
      <c r="Y63" s="427" t="n">
        <f aca="false">X63*$C63</f>
        <v>346.15</v>
      </c>
      <c r="Z63" s="439" t="n">
        <f aca="false">'Proy. ventas'!AA147+'Proy. ventas'!AA148+'Proy. ventas'!AA149</f>
        <v>1033</v>
      </c>
      <c r="AA63" s="427" t="n">
        <f aca="false">Z63*$C63</f>
        <v>361.55</v>
      </c>
      <c r="AB63" s="430" t="n">
        <f aca="false">E63+G63+I63+K63+M63+O63+Q63+S63+U63+W63+Y63+AA63</f>
        <v>3433.5</v>
      </c>
    </row>
    <row r="64" customFormat="false" ht="14.25" hidden="false" customHeight="true" outlineLevel="0" collapsed="false">
      <c r="A64" s="429"/>
      <c r="B64" s="429" t="s">
        <v>289</v>
      </c>
      <c r="C64" s="438" t="n">
        <v>0.15</v>
      </c>
      <c r="D64" s="439" t="n">
        <f aca="false">'Proy. ventas'!E147+'Proy. ventas'!E148+'Proy. ventas'!E149</f>
        <v>627</v>
      </c>
      <c r="E64" s="427" t="n">
        <f aca="false">D64*$C64</f>
        <v>94.05</v>
      </c>
      <c r="F64" s="439" t="n">
        <f aca="false">'Proy. ventas'!G147+'Proy. ventas'!G148+'Proy. ventas'!G149</f>
        <v>657</v>
      </c>
      <c r="G64" s="427" t="n">
        <f aca="false">F64*$C64</f>
        <v>98.55</v>
      </c>
      <c r="H64" s="439" t="n">
        <f aca="false">'Proy. ventas'!I147+'Proy. ventas'!I148+'Proy. ventas'!I149</f>
        <v>690</v>
      </c>
      <c r="I64" s="427" t="n">
        <f aca="false">H64*$C64</f>
        <v>103.5</v>
      </c>
      <c r="J64" s="439" t="n">
        <f aca="false">'Proy. ventas'!K147+'Proy. ventas'!K148+'Proy. ventas'!K149</f>
        <v>723</v>
      </c>
      <c r="K64" s="427" t="n">
        <f aca="false">J64*$C64</f>
        <v>108.45</v>
      </c>
      <c r="L64" s="439" t="n">
        <f aca="false">'Proy. ventas'!M147+'Proy. ventas'!M148+'Proy. ventas'!M149</f>
        <v>757</v>
      </c>
      <c r="M64" s="427" t="n">
        <f aca="false">L64*$C64</f>
        <v>113.55</v>
      </c>
      <c r="N64" s="439" t="n">
        <f aca="false">'Proy. ventas'!O147+'Proy. ventas'!O148+'Proy. ventas'!O149</f>
        <v>791</v>
      </c>
      <c r="O64" s="427" t="n">
        <f aca="false">N64*$C64</f>
        <v>118.65</v>
      </c>
      <c r="P64" s="439" t="n">
        <f aca="false">'Proy. ventas'!Q147+'Proy. ventas'!Q148+'Proy. ventas'!Q149</f>
        <v>828</v>
      </c>
      <c r="Q64" s="427" t="n">
        <f aca="false">P64*$C64</f>
        <v>124.2</v>
      </c>
      <c r="R64" s="439" t="n">
        <f aca="false">'Proy. ventas'!S147+'Proy. ventas'!S148+'Proy. ventas'!S149</f>
        <v>865</v>
      </c>
      <c r="S64" s="427" t="n">
        <f aca="false">R64*$C64</f>
        <v>129.75</v>
      </c>
      <c r="T64" s="439" t="n">
        <f aca="false">'Proy. ventas'!U147+'Proy. ventas'!U148+'Proy. ventas'!U149</f>
        <v>905</v>
      </c>
      <c r="U64" s="427" t="n">
        <f aca="false">T64*$C64</f>
        <v>135.75</v>
      </c>
      <c r="V64" s="439" t="n">
        <f aca="false">'Proy. ventas'!W147+'Proy. ventas'!W148+'Proy. ventas'!W149</f>
        <v>945</v>
      </c>
      <c r="W64" s="427" t="n">
        <f aca="false">V64*$C64</f>
        <v>141.75</v>
      </c>
      <c r="X64" s="439" t="n">
        <f aca="false">'Proy. ventas'!Y147+'Proy. ventas'!Y148+'Proy. ventas'!Y149</f>
        <v>989</v>
      </c>
      <c r="Y64" s="427" t="n">
        <f aca="false">X64*$C64</f>
        <v>148.35</v>
      </c>
      <c r="Z64" s="439" t="n">
        <f aca="false">'Proy. ventas'!AA147+'Proy. ventas'!AA148+'Proy. ventas'!AA149</f>
        <v>1033</v>
      </c>
      <c r="AA64" s="427" t="n">
        <f aca="false">Z64*$C64</f>
        <v>154.95</v>
      </c>
      <c r="AB64" s="430" t="n">
        <f aca="false">E64+G64+I64+K64+M64+O64+Q64+S64+U64+W64+Y64+AA64</f>
        <v>1471.5</v>
      </c>
    </row>
    <row r="65" customFormat="false" ht="14.25" hidden="false" customHeight="true" outlineLevel="0" collapsed="false">
      <c r="A65" s="429"/>
      <c r="B65" s="429" t="s">
        <v>290</v>
      </c>
      <c r="C65" s="438" t="n">
        <v>0.9</v>
      </c>
      <c r="D65" s="439" t="n">
        <f aca="false">'Proy. ventas'!E147+'Proy. ventas'!E148+'Proy. ventas'!E149</f>
        <v>627</v>
      </c>
      <c r="E65" s="427" t="n">
        <f aca="false">D65*$C65</f>
        <v>564.3</v>
      </c>
      <c r="F65" s="439" t="n">
        <f aca="false">'Proy. ventas'!G147+'Proy. ventas'!G148+'Proy. ventas'!G149</f>
        <v>657</v>
      </c>
      <c r="G65" s="427" t="n">
        <f aca="false">F65*$C65</f>
        <v>591.3</v>
      </c>
      <c r="H65" s="439" t="n">
        <f aca="false">'Proy. ventas'!I147+'Proy. ventas'!I148+'Proy. ventas'!I149</f>
        <v>690</v>
      </c>
      <c r="I65" s="427" t="n">
        <f aca="false">H65*$C65</f>
        <v>621</v>
      </c>
      <c r="J65" s="439" t="n">
        <f aca="false">'Proy. ventas'!K147+'Proy. ventas'!K148+'Proy. ventas'!K149</f>
        <v>723</v>
      </c>
      <c r="K65" s="427" t="n">
        <f aca="false">J65*$C65</f>
        <v>650.7</v>
      </c>
      <c r="L65" s="439" t="n">
        <f aca="false">'Proy. ventas'!M147+'Proy. ventas'!M148+'Proy. ventas'!M149</f>
        <v>757</v>
      </c>
      <c r="M65" s="427" t="n">
        <f aca="false">L65*$C65</f>
        <v>681.3</v>
      </c>
      <c r="N65" s="439" t="n">
        <f aca="false">'Proy. ventas'!O147+'Proy. ventas'!O148+'Proy. ventas'!O149</f>
        <v>791</v>
      </c>
      <c r="O65" s="427" t="n">
        <f aca="false">N65*$C65</f>
        <v>711.9</v>
      </c>
      <c r="P65" s="439" t="n">
        <f aca="false">'Proy. ventas'!Q147+'Proy. ventas'!Q148+'Proy. ventas'!Q149</f>
        <v>828</v>
      </c>
      <c r="Q65" s="427" t="n">
        <f aca="false">P65*$C65</f>
        <v>745.2</v>
      </c>
      <c r="R65" s="439" t="n">
        <f aca="false">'Proy. ventas'!S147+'Proy. ventas'!S148+'Proy. ventas'!S149</f>
        <v>865</v>
      </c>
      <c r="S65" s="427" t="n">
        <f aca="false">R65*$C65</f>
        <v>778.5</v>
      </c>
      <c r="T65" s="439" t="n">
        <f aca="false">'Proy. ventas'!U147+'Proy. ventas'!U148+'Proy. ventas'!U149</f>
        <v>905</v>
      </c>
      <c r="U65" s="427" t="n">
        <f aca="false">T65*$C65</f>
        <v>814.5</v>
      </c>
      <c r="V65" s="439" t="n">
        <f aca="false">'Proy. ventas'!W147+'Proy. ventas'!W148+'Proy. ventas'!W149</f>
        <v>945</v>
      </c>
      <c r="W65" s="427" t="n">
        <f aca="false">V65*$C65</f>
        <v>850.5</v>
      </c>
      <c r="X65" s="439" t="n">
        <f aca="false">'Proy. ventas'!Y147+'Proy. ventas'!Y148+'Proy. ventas'!Y149</f>
        <v>989</v>
      </c>
      <c r="Y65" s="427" t="n">
        <f aca="false">X65*$C65</f>
        <v>890.1</v>
      </c>
      <c r="Z65" s="439" t="n">
        <f aca="false">'Proy. ventas'!AA147+'Proy. ventas'!AA148+'Proy. ventas'!AA149</f>
        <v>1033</v>
      </c>
      <c r="AA65" s="427" t="n">
        <f aca="false">Z65*$C65</f>
        <v>929.7</v>
      </c>
      <c r="AB65" s="430" t="n">
        <f aca="false">E65+G65+I65+K65+M65+O65+Q65+S65+U65+W65+Y65+AA65</f>
        <v>8829</v>
      </c>
    </row>
    <row r="66" customFormat="false" ht="14.25" hidden="false" customHeight="true" outlineLevel="0" collapsed="false">
      <c r="A66" s="429"/>
      <c r="B66" s="429" t="s">
        <v>291</v>
      </c>
      <c r="C66" s="438" t="n">
        <v>6</v>
      </c>
      <c r="D66" s="439" t="n">
        <f aca="false">'Proy. ventas'!E145+'Proy. ventas'!E146</f>
        <v>22</v>
      </c>
      <c r="E66" s="427" t="n">
        <f aca="false">D66*$C66</f>
        <v>132</v>
      </c>
      <c r="F66" s="439" t="n">
        <f aca="false">'Proy. ventas'!G145+'Proy. ventas'!G146</f>
        <v>22</v>
      </c>
      <c r="G66" s="427" t="n">
        <f aca="false">F66*$C66</f>
        <v>132</v>
      </c>
      <c r="H66" s="439" t="n">
        <f aca="false">'Proy. ventas'!I145+'Proy. ventas'!I146</f>
        <v>24</v>
      </c>
      <c r="I66" s="427" t="n">
        <f aca="false">H66*$C66</f>
        <v>144</v>
      </c>
      <c r="J66" s="439" t="n">
        <f aca="false">'Proy. ventas'!K145+'Proy. ventas'!K146</f>
        <v>24</v>
      </c>
      <c r="K66" s="427" t="n">
        <f aca="false">J66*$C66</f>
        <v>144</v>
      </c>
      <c r="L66" s="439" t="n">
        <f aca="false">'Proy. ventas'!M145+'Proy. ventas'!M146</f>
        <v>25</v>
      </c>
      <c r="M66" s="427" t="n">
        <f aca="false">L66*$C66</f>
        <v>150</v>
      </c>
      <c r="N66" s="439" t="n">
        <f aca="false">'Proy. ventas'!O145+'Proy. ventas'!O146</f>
        <v>25</v>
      </c>
      <c r="O66" s="427" t="n">
        <f aca="false">N66*$C66</f>
        <v>150</v>
      </c>
      <c r="P66" s="439" t="n">
        <f aca="false">'Proy. ventas'!Q145+'Proy. ventas'!Q146</f>
        <v>27</v>
      </c>
      <c r="Q66" s="427" t="n">
        <f aca="false">P66*$C66</f>
        <v>162</v>
      </c>
      <c r="R66" s="439" t="n">
        <f aca="false">'Proy. ventas'!S145+'Proy. ventas'!S146</f>
        <v>27</v>
      </c>
      <c r="S66" s="427" t="n">
        <f aca="false">R66*$C66</f>
        <v>162</v>
      </c>
      <c r="T66" s="439" t="n">
        <f aca="false">'Proy. ventas'!U145+'Proy. ventas'!U146</f>
        <v>29</v>
      </c>
      <c r="U66" s="427" t="n">
        <f aca="false">T66*$C66</f>
        <v>174</v>
      </c>
      <c r="V66" s="439" t="n">
        <f aca="false">'Proy. ventas'!W145+'Proy. ventas'!W146</f>
        <v>29</v>
      </c>
      <c r="W66" s="427" t="n">
        <f aca="false">V66*$C66</f>
        <v>174</v>
      </c>
      <c r="X66" s="439" t="n">
        <f aca="false">'Proy. ventas'!Y145+'Proy. ventas'!Y146</f>
        <v>32</v>
      </c>
      <c r="Y66" s="427" t="n">
        <f aca="false">X66*$C66</f>
        <v>192</v>
      </c>
      <c r="Z66" s="439" t="n">
        <f aca="false">'Proy. ventas'!AA145+'Proy. ventas'!AA146</f>
        <v>32</v>
      </c>
      <c r="AA66" s="427" t="n">
        <f aca="false">Z66*$C66</f>
        <v>192</v>
      </c>
      <c r="AB66" s="430" t="n">
        <f aca="false">E66+G66+I66+K66+M66+O66+Q66+S66+U66+W66+Y66+AA66</f>
        <v>1908</v>
      </c>
    </row>
    <row r="67" customFormat="false" ht="14.25" hidden="false" customHeight="true" outlineLevel="0" collapsed="false">
      <c r="A67" s="429" t="s">
        <v>292</v>
      </c>
      <c r="B67" s="429" t="s">
        <v>293</v>
      </c>
      <c r="C67" s="438" t="n">
        <f aca="false">Hipótesis!$C$58*0.3</f>
        <v>12</v>
      </c>
      <c r="D67" s="439" t="n">
        <f aca="false">'Proy. ventas'!E144</f>
        <v>8</v>
      </c>
      <c r="E67" s="427" t="n">
        <f aca="false">D67*$C67</f>
        <v>96</v>
      </c>
      <c r="F67" s="439" t="n">
        <f aca="false">'Proy. ventas'!G144</f>
        <v>8</v>
      </c>
      <c r="G67" s="427" t="n">
        <f aca="false">F67*$C67</f>
        <v>96</v>
      </c>
      <c r="H67" s="439" t="n">
        <f aca="false">'Proy. ventas'!I144</f>
        <v>9</v>
      </c>
      <c r="I67" s="427" t="n">
        <f aca="false">H67*$C67</f>
        <v>108</v>
      </c>
      <c r="J67" s="439" t="n">
        <f aca="false">'Proy. ventas'!K144</f>
        <v>9</v>
      </c>
      <c r="K67" s="427" t="n">
        <f aca="false">J67*$C67</f>
        <v>108</v>
      </c>
      <c r="L67" s="439" t="n">
        <f aca="false">'Proy. ventas'!M144</f>
        <v>9</v>
      </c>
      <c r="M67" s="427" t="n">
        <f aca="false">L67*$C67</f>
        <v>108</v>
      </c>
      <c r="N67" s="439" t="n">
        <f aca="false">'Proy. ventas'!O144</f>
        <v>9</v>
      </c>
      <c r="O67" s="427" t="n">
        <f aca="false">N67*$C67</f>
        <v>108</v>
      </c>
      <c r="P67" s="439" t="n">
        <f aca="false">'Proy. ventas'!Q144</f>
        <v>10</v>
      </c>
      <c r="Q67" s="427" t="n">
        <f aca="false">P67*$C67</f>
        <v>120</v>
      </c>
      <c r="R67" s="439" t="n">
        <f aca="false">'Proy. ventas'!S144</f>
        <v>10</v>
      </c>
      <c r="S67" s="427" t="n">
        <f aca="false">R67*$C67</f>
        <v>120</v>
      </c>
      <c r="T67" s="439" t="n">
        <f aca="false">'Proy. ventas'!U144</f>
        <v>11</v>
      </c>
      <c r="U67" s="427" t="n">
        <f aca="false">T67*$C67</f>
        <v>132</v>
      </c>
      <c r="V67" s="439" t="n">
        <f aca="false">'Proy. ventas'!W144</f>
        <v>11</v>
      </c>
      <c r="W67" s="427" t="n">
        <f aca="false">V67*$C67</f>
        <v>132</v>
      </c>
      <c r="X67" s="439" t="n">
        <f aca="false">'Proy. ventas'!Y144</f>
        <v>12</v>
      </c>
      <c r="Y67" s="427" t="n">
        <f aca="false">X67*$C67</f>
        <v>144</v>
      </c>
      <c r="Z67" s="439" t="n">
        <f aca="false">'Proy. ventas'!AA144</f>
        <v>12</v>
      </c>
      <c r="AA67" s="427" t="n">
        <f aca="false">Z67*$C67</f>
        <v>144</v>
      </c>
      <c r="AB67" s="430" t="n">
        <f aca="false">E67+G67+I67+K67+M67+O67+Q67+S67+U67+W67+Y67+AA67</f>
        <v>1416</v>
      </c>
    </row>
    <row r="68" customFormat="false" ht="14.25" hidden="false" customHeight="true" outlineLevel="0" collapsed="false">
      <c r="A68" s="429"/>
      <c r="B68" s="429" t="s">
        <v>294</v>
      </c>
      <c r="C68" s="438" t="n">
        <f aca="false">Hipótesis!$C$59*0.3</f>
        <v>36</v>
      </c>
      <c r="D68" s="439" t="n">
        <f aca="false">'Proy. ventas'!E145</f>
        <v>19</v>
      </c>
      <c r="E68" s="427" t="n">
        <f aca="false">D68*$C68</f>
        <v>684</v>
      </c>
      <c r="F68" s="439" t="n">
        <f aca="false">'Proy. ventas'!G145</f>
        <v>19</v>
      </c>
      <c r="G68" s="427" t="n">
        <f aca="false">F68*$C68</f>
        <v>684</v>
      </c>
      <c r="H68" s="439" t="n">
        <f aca="false">'Proy. ventas'!I145</f>
        <v>21</v>
      </c>
      <c r="I68" s="427" t="n">
        <f aca="false">H68*$C68</f>
        <v>756</v>
      </c>
      <c r="J68" s="439" t="n">
        <f aca="false">'Proy. ventas'!K145</f>
        <v>21</v>
      </c>
      <c r="K68" s="427" t="n">
        <f aca="false">J68*$C68</f>
        <v>756</v>
      </c>
      <c r="L68" s="439" t="n">
        <f aca="false">'Proy. ventas'!M145</f>
        <v>22</v>
      </c>
      <c r="M68" s="427" t="n">
        <f aca="false">L68*$C68</f>
        <v>792</v>
      </c>
      <c r="N68" s="439" t="n">
        <f aca="false">'Proy. ventas'!O145</f>
        <v>22</v>
      </c>
      <c r="O68" s="427" t="n">
        <f aca="false">N68*$C68</f>
        <v>792</v>
      </c>
      <c r="P68" s="439" t="n">
        <f aca="false">'Proy. ventas'!Q145</f>
        <v>24</v>
      </c>
      <c r="Q68" s="427" t="n">
        <f aca="false">P68*$C68</f>
        <v>864</v>
      </c>
      <c r="R68" s="439" t="n">
        <f aca="false">'Proy. ventas'!S145</f>
        <v>24</v>
      </c>
      <c r="S68" s="427" t="n">
        <f aca="false">R68*$C68</f>
        <v>864</v>
      </c>
      <c r="T68" s="439" t="n">
        <f aca="false">'Proy. ventas'!U145</f>
        <v>25</v>
      </c>
      <c r="U68" s="427" t="n">
        <f aca="false">T68*$C68</f>
        <v>900</v>
      </c>
      <c r="V68" s="439" t="n">
        <f aca="false">'Proy. ventas'!W145</f>
        <v>25</v>
      </c>
      <c r="W68" s="427" t="n">
        <f aca="false">V68*$C68</f>
        <v>900</v>
      </c>
      <c r="X68" s="439" t="n">
        <f aca="false">'Proy. ventas'!Y145</f>
        <v>28</v>
      </c>
      <c r="Y68" s="427" t="n">
        <f aca="false">X68*$C68</f>
        <v>1008</v>
      </c>
      <c r="Z68" s="439" t="n">
        <f aca="false">'Proy. ventas'!AA145</f>
        <v>28</v>
      </c>
      <c r="AA68" s="427" t="n">
        <f aca="false">Z68*$C68</f>
        <v>1008</v>
      </c>
      <c r="AB68" s="430" t="n">
        <f aca="false">E68+G68+I68+K68+M68+O68+Q68+S68+U68+W68+Y68+AA68</f>
        <v>10008</v>
      </c>
    </row>
    <row r="69" customFormat="false" ht="14.25" hidden="false" customHeight="true" outlineLevel="0" collapsed="false">
      <c r="A69" s="429"/>
      <c r="B69" s="429" t="s">
        <v>295</v>
      </c>
      <c r="C69" s="438" t="n">
        <f aca="false">Hipótesis!$C$60*0.3</f>
        <v>135</v>
      </c>
      <c r="D69" s="439" t="n">
        <f aca="false">'Proy. ventas'!E146</f>
        <v>3</v>
      </c>
      <c r="E69" s="427" t="n">
        <f aca="false">D69*$C69</f>
        <v>405</v>
      </c>
      <c r="F69" s="439" t="n">
        <f aca="false">'Proy. ventas'!G146</f>
        <v>3</v>
      </c>
      <c r="G69" s="427" t="n">
        <f aca="false">F69*$C69</f>
        <v>405</v>
      </c>
      <c r="H69" s="439" t="n">
        <f aca="false">'Proy. ventas'!I146</f>
        <v>3</v>
      </c>
      <c r="I69" s="427" t="n">
        <f aca="false">H69*$C69</f>
        <v>405</v>
      </c>
      <c r="J69" s="439" t="n">
        <f aca="false">'Proy. ventas'!K146</f>
        <v>3</v>
      </c>
      <c r="K69" s="427" t="n">
        <f aca="false">J69*$C69</f>
        <v>405</v>
      </c>
      <c r="L69" s="439" t="n">
        <f aca="false">'Proy. ventas'!M146</f>
        <v>3</v>
      </c>
      <c r="M69" s="427" t="n">
        <f aca="false">L69*$C69</f>
        <v>405</v>
      </c>
      <c r="N69" s="439" t="n">
        <f aca="false">'Proy. ventas'!O146</f>
        <v>3</v>
      </c>
      <c r="O69" s="427" t="n">
        <f aca="false">N69*$C69</f>
        <v>405</v>
      </c>
      <c r="P69" s="439" t="n">
        <f aca="false">'Proy. ventas'!Q146</f>
        <v>3</v>
      </c>
      <c r="Q69" s="427" t="n">
        <f aca="false">P69*$C69</f>
        <v>405</v>
      </c>
      <c r="R69" s="439" t="n">
        <f aca="false">'Proy. ventas'!S146</f>
        <v>3</v>
      </c>
      <c r="S69" s="427" t="n">
        <f aca="false">R69*$C69</f>
        <v>405</v>
      </c>
      <c r="T69" s="439" t="n">
        <f aca="false">'Proy. ventas'!U146</f>
        <v>4</v>
      </c>
      <c r="U69" s="427" t="n">
        <f aca="false">T69*$C69</f>
        <v>540</v>
      </c>
      <c r="V69" s="439" t="n">
        <f aca="false">'Proy. ventas'!W146</f>
        <v>4</v>
      </c>
      <c r="W69" s="427" t="n">
        <f aca="false">V69*$C69</f>
        <v>540</v>
      </c>
      <c r="X69" s="439" t="n">
        <f aca="false">'Proy. ventas'!Y146</f>
        <v>4</v>
      </c>
      <c r="Y69" s="427" t="n">
        <f aca="false">X69*$C69</f>
        <v>540</v>
      </c>
      <c r="Z69" s="439" t="n">
        <f aca="false">'Proy. ventas'!AA146</f>
        <v>4</v>
      </c>
      <c r="AA69" s="427" t="n">
        <f aca="false">Z69*$C69</f>
        <v>540</v>
      </c>
      <c r="AB69" s="430" t="n">
        <f aca="false">E69+G69+I69+K69+M69+O69+Q69+S69+U69+W69+Y69+AA69</f>
        <v>5400</v>
      </c>
    </row>
    <row r="70" customFormat="false" ht="14.25" hidden="false" customHeight="true" outlineLevel="0" collapsed="false">
      <c r="A70" s="429"/>
      <c r="B70" s="429" t="s">
        <v>296</v>
      </c>
      <c r="C70" s="438" t="n">
        <v>10</v>
      </c>
      <c r="D70" s="439" t="n">
        <f aca="false">ROUND(('Proy. ventas'!E144+'Proy. ventas'!E145+'Proy. ventas'!E146)*0.3,0)</f>
        <v>9</v>
      </c>
      <c r="E70" s="427" t="n">
        <f aca="false">D70*$C70</f>
        <v>90</v>
      </c>
      <c r="F70" s="439" t="n">
        <f aca="false">ROUND(('Proy. ventas'!G144+'Proy. ventas'!G145+'Proy. ventas'!G146)*0.3,0)</f>
        <v>9</v>
      </c>
      <c r="G70" s="427" t="n">
        <f aca="false">F70*$C70</f>
        <v>90</v>
      </c>
      <c r="H70" s="439" t="n">
        <f aca="false">ROUND(('Proy. ventas'!I144+'Proy. ventas'!I145+'Proy. ventas'!I146)*0.3,0)</f>
        <v>10</v>
      </c>
      <c r="I70" s="427" t="n">
        <f aca="false">H70*$C70</f>
        <v>100</v>
      </c>
      <c r="J70" s="439" t="n">
        <f aca="false">ROUND(('Proy. ventas'!K144+'Proy. ventas'!K145+'Proy. ventas'!K146)*0.3,0)</f>
        <v>10</v>
      </c>
      <c r="K70" s="427" t="n">
        <f aca="false">J70*$C70</f>
        <v>100</v>
      </c>
      <c r="L70" s="439" t="n">
        <f aca="false">ROUND(('Proy. ventas'!M144+'Proy. ventas'!M145+'Proy. ventas'!M146)*0.3,0)</f>
        <v>10</v>
      </c>
      <c r="M70" s="427" t="n">
        <f aca="false">L70*$C70</f>
        <v>100</v>
      </c>
      <c r="N70" s="439" t="n">
        <f aca="false">ROUND(('Proy. ventas'!O144+'Proy. ventas'!O145+'Proy. ventas'!O146)*0.3,0)</f>
        <v>10</v>
      </c>
      <c r="O70" s="427" t="n">
        <f aca="false">N70*$C70</f>
        <v>100</v>
      </c>
      <c r="P70" s="439" t="n">
        <f aca="false">ROUND(('Proy. ventas'!Q144+'Proy. ventas'!Q145+'Proy. ventas'!Q146)*0.3,0)</f>
        <v>11</v>
      </c>
      <c r="Q70" s="427" t="n">
        <f aca="false">P70*$C70</f>
        <v>110</v>
      </c>
      <c r="R70" s="439" t="n">
        <f aca="false">ROUND(('Proy. ventas'!S144+'Proy. ventas'!S145+'Proy. ventas'!S146)*0.3,0)</f>
        <v>11</v>
      </c>
      <c r="S70" s="427" t="n">
        <f aca="false">R70*$C70</f>
        <v>110</v>
      </c>
      <c r="T70" s="439" t="n">
        <f aca="false">ROUND(('Proy. ventas'!U144+'Proy. ventas'!U145+'Proy. ventas'!U146)*0.3,0)</f>
        <v>12</v>
      </c>
      <c r="U70" s="427" t="n">
        <f aca="false">T70*$C70</f>
        <v>120</v>
      </c>
      <c r="V70" s="439" t="n">
        <f aca="false">ROUND(('Proy. ventas'!W144+'Proy. ventas'!W145+'Proy. ventas'!W146)*0.3,0)</f>
        <v>12</v>
      </c>
      <c r="W70" s="427" t="n">
        <f aca="false">V70*$C70</f>
        <v>120</v>
      </c>
      <c r="X70" s="439" t="n">
        <f aca="false">ROUND(('Proy. ventas'!Y144+'Proy. ventas'!Y145+'Proy. ventas'!Y146)*0.3,0)</f>
        <v>13</v>
      </c>
      <c r="Y70" s="427" t="n">
        <f aca="false">X70*$C70</f>
        <v>130</v>
      </c>
      <c r="Z70" s="439" t="n">
        <f aca="false">ROUND(('Proy. ventas'!AA144+'Proy. ventas'!AA145+'Proy. ventas'!AA146)*0.3,0)</f>
        <v>13</v>
      </c>
      <c r="AA70" s="427" t="n">
        <f aca="false">Z70*$C70</f>
        <v>130</v>
      </c>
      <c r="AB70" s="430" t="n">
        <f aca="false">E70+G70+I70+K70+M70+O70+Q70+S70+U70+W70+Y70+AA70</f>
        <v>1300</v>
      </c>
    </row>
    <row r="71" customFormat="false" ht="14.25" hidden="false" customHeight="true" outlineLevel="0" collapsed="false">
      <c r="A71" s="432" t="s">
        <v>285</v>
      </c>
      <c r="B71" s="429" t="s">
        <v>297</v>
      </c>
      <c r="C71" s="438" t="n">
        <v>7</v>
      </c>
      <c r="D71" s="439" t="n">
        <f aca="false">'Anexo capacidad operativa'!D109</f>
        <v>300</v>
      </c>
      <c r="E71" s="427" t="n">
        <f aca="false">D71*$C71</f>
        <v>2100</v>
      </c>
      <c r="F71" s="439" t="n">
        <f aca="false">'Anexo capacidad operativa'!F109</f>
        <v>300</v>
      </c>
      <c r="G71" s="427" t="n">
        <f aca="false">F71*$C71</f>
        <v>2100</v>
      </c>
      <c r="H71" s="439" t="n">
        <f aca="false">'Anexo capacidad operativa'!H109</f>
        <v>300</v>
      </c>
      <c r="I71" s="427" t="n">
        <f aca="false">H71*$C71</f>
        <v>2100</v>
      </c>
      <c r="J71" s="439" t="n">
        <f aca="false">'Anexo capacidad operativa'!J109</f>
        <v>300</v>
      </c>
      <c r="K71" s="427" t="n">
        <f aca="false">J71*$C71</f>
        <v>2100</v>
      </c>
      <c r="L71" s="439" t="n">
        <f aca="false">'Anexo capacidad operativa'!L109</f>
        <v>300</v>
      </c>
      <c r="M71" s="427" t="n">
        <f aca="false">L71*$C71</f>
        <v>2100</v>
      </c>
      <c r="N71" s="439" t="n">
        <f aca="false">'Anexo capacidad operativa'!N109</f>
        <v>450</v>
      </c>
      <c r="O71" s="427" t="n">
        <f aca="false">N71*$C71</f>
        <v>3150</v>
      </c>
      <c r="P71" s="439" t="n">
        <f aca="false">'Anexo capacidad operativa'!P109</f>
        <v>450</v>
      </c>
      <c r="Q71" s="427" t="n">
        <f aca="false">P71*$C71</f>
        <v>3150</v>
      </c>
      <c r="R71" s="439" t="n">
        <f aca="false">'Anexo capacidad operativa'!R109</f>
        <v>450</v>
      </c>
      <c r="S71" s="427" t="n">
        <f aca="false">R71*$C71</f>
        <v>3150</v>
      </c>
      <c r="T71" s="439" t="n">
        <f aca="false">'Anexo capacidad operativa'!T109</f>
        <v>450</v>
      </c>
      <c r="U71" s="427" t="n">
        <f aca="false">T71*$C71</f>
        <v>3150</v>
      </c>
      <c r="V71" s="439" t="n">
        <f aca="false">'Anexo capacidad operativa'!V109</f>
        <v>450</v>
      </c>
      <c r="W71" s="427" t="n">
        <f aca="false">V71*$C71</f>
        <v>3150</v>
      </c>
      <c r="X71" s="439" t="n">
        <f aca="false">'Anexo capacidad operativa'!X109</f>
        <v>450</v>
      </c>
      <c r="Y71" s="427" t="n">
        <f aca="false">X71*$C71</f>
        <v>3150</v>
      </c>
      <c r="Z71" s="439" t="n">
        <f aca="false">'Anexo capacidad operativa'!Z109</f>
        <v>450</v>
      </c>
      <c r="AA71" s="427" t="n">
        <f aca="false">Z71*$C71</f>
        <v>3150</v>
      </c>
      <c r="AB71" s="430" t="n">
        <f aca="false">E71+G71+I71+K71+M71+O71+Q71+S71+U71+W71+Y71+AA71</f>
        <v>32550</v>
      </c>
    </row>
    <row r="72" customFormat="false" ht="14.25" hidden="false" customHeight="true" outlineLevel="0" collapsed="false">
      <c r="A72" s="432"/>
      <c r="B72" s="429"/>
      <c r="C72" s="438"/>
      <c r="D72" s="439"/>
      <c r="E72" s="427"/>
      <c r="F72" s="439"/>
      <c r="G72" s="427"/>
      <c r="H72" s="439"/>
      <c r="I72" s="427"/>
      <c r="J72" s="439"/>
      <c r="K72" s="427"/>
      <c r="L72" s="439"/>
      <c r="M72" s="427"/>
      <c r="N72" s="439"/>
      <c r="O72" s="427"/>
      <c r="P72" s="439"/>
      <c r="Q72" s="427"/>
      <c r="R72" s="439"/>
      <c r="S72" s="427"/>
      <c r="T72" s="439"/>
      <c r="U72" s="427"/>
      <c r="V72" s="439"/>
      <c r="W72" s="427"/>
      <c r="X72" s="439"/>
      <c r="Y72" s="427"/>
      <c r="Z72" s="439"/>
      <c r="AA72" s="427"/>
      <c r="AB72" s="430"/>
    </row>
    <row r="73" customFormat="false" ht="14.25" hidden="false" customHeight="true" outlineLevel="0" collapsed="false">
      <c r="A73" s="432"/>
      <c r="B73" s="429"/>
      <c r="C73" s="438"/>
      <c r="D73" s="439"/>
      <c r="E73" s="427"/>
      <c r="F73" s="439"/>
      <c r="G73" s="427"/>
      <c r="H73" s="439"/>
      <c r="I73" s="427"/>
      <c r="J73" s="439"/>
      <c r="K73" s="427"/>
      <c r="L73" s="439"/>
      <c r="M73" s="427"/>
      <c r="N73" s="439"/>
      <c r="O73" s="427"/>
      <c r="P73" s="439"/>
      <c r="Q73" s="427"/>
      <c r="R73" s="439"/>
      <c r="S73" s="427"/>
      <c r="T73" s="439"/>
      <c r="U73" s="427"/>
      <c r="V73" s="439"/>
      <c r="W73" s="427"/>
      <c r="X73" s="439"/>
      <c r="Y73" s="427"/>
      <c r="Z73" s="439"/>
      <c r="AA73" s="427"/>
      <c r="AB73" s="430"/>
    </row>
    <row r="74" customFormat="false" ht="14.25" hidden="false" customHeight="true" outlineLevel="0" collapsed="false">
      <c r="B74" s="440"/>
      <c r="C74" s="441"/>
      <c r="D74" s="442"/>
      <c r="E74" s="443"/>
      <c r="F74" s="442"/>
      <c r="G74" s="443"/>
      <c r="H74" s="442"/>
      <c r="I74" s="443"/>
      <c r="J74" s="442"/>
      <c r="K74" s="443"/>
      <c r="L74" s="442"/>
      <c r="M74" s="443"/>
      <c r="N74" s="442"/>
      <c r="O74" s="443"/>
      <c r="P74" s="442"/>
      <c r="Q74" s="443"/>
      <c r="R74" s="442"/>
      <c r="S74" s="443"/>
      <c r="T74" s="442"/>
      <c r="U74" s="443"/>
      <c r="V74" s="442"/>
      <c r="W74" s="443"/>
      <c r="X74" s="442"/>
      <c r="Y74" s="443"/>
      <c r="Z74" s="442"/>
      <c r="AA74" s="443"/>
      <c r="AB74" s="444"/>
    </row>
    <row r="75" customFormat="false" ht="14.25" hidden="false" customHeight="true" outlineLevel="0" collapsed="false">
      <c r="B75" s="440"/>
      <c r="C75" s="441"/>
      <c r="D75" s="442"/>
      <c r="E75" s="443"/>
      <c r="F75" s="442"/>
      <c r="G75" s="443"/>
      <c r="H75" s="442"/>
      <c r="I75" s="443"/>
      <c r="J75" s="442"/>
      <c r="K75" s="443"/>
      <c r="L75" s="442"/>
      <c r="M75" s="443"/>
      <c r="N75" s="442"/>
      <c r="O75" s="443"/>
      <c r="P75" s="442"/>
      <c r="Q75" s="443"/>
      <c r="R75" s="442"/>
      <c r="S75" s="443"/>
      <c r="T75" s="442"/>
      <c r="U75" s="443"/>
      <c r="V75" s="442"/>
      <c r="W75" s="443"/>
      <c r="X75" s="442"/>
      <c r="Y75" s="443"/>
      <c r="Z75" s="442"/>
      <c r="AA75" s="443"/>
      <c r="AB75" s="444"/>
    </row>
    <row r="76" customFormat="false" ht="14.25" hidden="false" customHeight="true" outlineLevel="0" collapsed="false">
      <c r="B76" s="458"/>
      <c r="C76" s="459"/>
      <c r="D76" s="447"/>
      <c r="E76" s="448"/>
      <c r="F76" s="449"/>
      <c r="G76" s="448"/>
      <c r="H76" s="449"/>
      <c r="I76" s="448"/>
      <c r="J76" s="449"/>
      <c r="K76" s="448"/>
      <c r="L76" s="449"/>
      <c r="M76" s="448"/>
      <c r="N76" s="449"/>
      <c r="O76" s="448"/>
      <c r="P76" s="449"/>
      <c r="Q76" s="448"/>
      <c r="R76" s="449"/>
      <c r="S76" s="448"/>
      <c r="T76" s="449"/>
      <c r="U76" s="448"/>
      <c r="V76" s="449"/>
      <c r="W76" s="448"/>
      <c r="X76" s="449"/>
      <c r="Y76" s="448"/>
      <c r="Z76" s="449"/>
      <c r="AA76" s="443"/>
      <c r="AB76" s="460"/>
    </row>
    <row r="77" customFormat="false" ht="14.25" hidden="false" customHeight="true" outlineLevel="0" collapsed="false">
      <c r="A77" s="451"/>
      <c r="B77" s="452"/>
      <c r="C77" s="453"/>
      <c r="D77" s="454"/>
      <c r="E77" s="455"/>
      <c r="F77" s="456"/>
      <c r="G77" s="455"/>
      <c r="H77" s="456"/>
      <c r="I77" s="455"/>
      <c r="J77" s="456"/>
      <c r="K77" s="455"/>
      <c r="L77" s="456"/>
      <c r="M77" s="455"/>
      <c r="N77" s="456"/>
      <c r="O77" s="455"/>
      <c r="P77" s="456"/>
      <c r="Q77" s="455"/>
      <c r="R77" s="456"/>
      <c r="S77" s="455"/>
      <c r="T77" s="456"/>
      <c r="U77" s="455"/>
      <c r="V77" s="456"/>
      <c r="W77" s="455"/>
      <c r="X77" s="456"/>
      <c r="Y77" s="455"/>
      <c r="Z77" s="456"/>
      <c r="AA77" s="455"/>
      <c r="AB77" s="450"/>
    </row>
    <row r="78" customFormat="false" ht="14.25" hidden="false" customHeight="true" outlineLevel="0" collapsed="false">
      <c r="A78" s="434"/>
      <c r="B78" s="433" t="s">
        <v>276</v>
      </c>
      <c r="C78" s="434"/>
      <c r="D78" s="434"/>
      <c r="E78" s="435" t="n">
        <f aca="false">SUM(E61:E77)</f>
        <v>5694.8</v>
      </c>
      <c r="F78" s="457"/>
      <c r="G78" s="435" t="n">
        <f aca="false">SUM(G61:G77)</f>
        <v>5736.8</v>
      </c>
      <c r="H78" s="457"/>
      <c r="I78" s="435" t="n">
        <f aca="false">SUM(I61:I77)</f>
        <v>6019</v>
      </c>
      <c r="J78" s="457"/>
      <c r="K78" s="435" t="n">
        <f aca="false">SUM(K61:K77)</f>
        <v>6065.2</v>
      </c>
      <c r="L78" s="457"/>
      <c r="M78" s="435" t="n">
        <f aca="false">SUM(M61:M77)</f>
        <v>6199.8</v>
      </c>
      <c r="N78" s="434"/>
      <c r="O78" s="435" t="n">
        <f aca="false">SUM(O61:O77)</f>
        <v>7297.4</v>
      </c>
      <c r="P78" s="457"/>
      <c r="Q78" s="435" t="n">
        <f aca="false">SUM(Q61:Q77)</f>
        <v>7585.2</v>
      </c>
      <c r="R78" s="457"/>
      <c r="S78" s="435" t="n">
        <f aca="false">SUM(S61:S77)</f>
        <v>7637</v>
      </c>
      <c r="T78" s="457"/>
      <c r="U78" s="435" t="n">
        <f aca="false">SUM(U61:U77)</f>
        <v>8028</v>
      </c>
      <c r="V78" s="457"/>
      <c r="W78" s="435" t="n">
        <f aca="false">SUM(W61:W77)</f>
        <v>8084</v>
      </c>
      <c r="X78" s="457"/>
      <c r="Y78" s="435" t="n">
        <f aca="false">SUM(Y61:Y77)</f>
        <v>8468.6</v>
      </c>
      <c r="Z78" s="457"/>
      <c r="AA78" s="435" t="n">
        <f aca="false">SUM(AA61:AA77)</f>
        <v>8530.2</v>
      </c>
      <c r="AB78" s="435" t="n">
        <f aca="false">SUM(AB61:AB77)</f>
        <v>85346</v>
      </c>
    </row>
    <row r="79" customFormat="false" ht="14.2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customFormat="false" ht="14.2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customFormat="false" ht="14.2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customFormat="false" ht="14.2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customFormat="false" ht="14.2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customFormat="false" ht="14.2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customFormat="false" ht="14.2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customFormat="false" ht="14.2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customFormat="false" ht="14.2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customFormat="false" ht="14.2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customFormat="false" ht="14.2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customFormat="false" ht="14.2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customFormat="false" ht="14.2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customFormat="false" ht="14.2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customFormat="false" ht="14.2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customFormat="false" ht="14.2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customFormat="false" ht="14.2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customFormat="false" ht="14.2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customFormat="false" ht="14.2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customFormat="false" ht="14.2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customFormat="false" ht="14.2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customFormat="false" ht="14.2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customFormat="false" ht="14.2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customFormat="false" ht="14.2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customFormat="false" ht="14.2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customFormat="false" ht="14.2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customFormat="false" ht="14.2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customFormat="false" ht="14.2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ustomFormat="false" ht="14.2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customFormat="false" ht="14.2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customFormat="false" ht="14.2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customFormat="false" ht="14.2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customFormat="false" ht="14.2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customFormat="false" ht="14.2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customFormat="false" ht="14.2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customFormat="false" ht="14.2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customFormat="false" ht="14.2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customFormat="false" ht="14.2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customFormat="false" ht="14.2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customFormat="false" ht="14.2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customFormat="false" ht="14.2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customFormat="false" ht="14.2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customFormat="false" ht="14.2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customFormat="false" ht="14.2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customFormat="false" ht="14.2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customFormat="false" ht="14.2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customFormat="false" ht="14.2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customFormat="false" ht="14.2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customFormat="false" ht="14.2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customFormat="false" ht="14.2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ustomFormat="false" ht="14.2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ustomFormat="false" ht="14.2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customFormat="false" ht="14.2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customFormat="false" ht="14.2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customFormat="false" ht="14.2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customFormat="false" ht="14.2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customFormat="false" ht="14.2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customFormat="false" ht="14.2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customFormat="false" ht="14.2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customFormat="false" ht="14.2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ustomFormat="false" ht="14.2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ustomFormat="false" ht="14.2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ustomFormat="false" ht="14.2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ustomFormat="false" ht="14.2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ustomFormat="false" ht="14.2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ustomFormat="false" ht="14.2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ustomFormat="false" ht="14.2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ustomFormat="false" ht="14.2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ustomFormat="false" ht="14.2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ustomFormat="false" ht="14.2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ustomFormat="false" ht="14.2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ustomFormat="false" ht="14.2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ustomFormat="false" ht="14.2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ustomFormat="false" ht="14.2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ustomFormat="false" ht="14.2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ustomFormat="false" ht="14.2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ustomFormat="false" ht="14.2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ustomFormat="false" ht="14.2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ustomFormat="false" ht="14.2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ustomFormat="false" ht="14.2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ustomFormat="false" ht="14.2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ustomFormat="false" ht="14.2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ustomFormat="false" ht="14.2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ustomFormat="false" ht="14.2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ustomFormat="false" ht="14.2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ustomFormat="false" ht="14.2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ustomFormat="false" ht="14.2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ustomFormat="false" ht="14.2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ustomFormat="false" ht="14.2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ustomFormat="false" ht="14.2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ustomFormat="false" ht="14.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ustomFormat="false" ht="14.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ustomFormat="false" ht="14.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ustomFormat="false" ht="14.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ustomFormat="false" ht="14.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ustomFormat="false" ht="14.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ustomFormat="false" ht="14.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ustomFormat="false" ht="14.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ustomFormat="false" ht="14.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ustomFormat="false" ht="14.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ustomFormat="false" ht="14.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ustomFormat="false" ht="14.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ustomFormat="false" ht="14.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ustomFormat="false" ht="14.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ustomFormat="false" ht="14.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ustomFormat="false" ht="14.2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ustomFormat="false" ht="14.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ustomFormat="false" ht="14.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ustomFormat="false" ht="14.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ustomFormat="false" ht="14.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ustomFormat="false" ht="14.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ustomFormat="false" ht="14.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ustomFormat="false" ht="14.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ustomFormat="false" ht="14.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ustomFormat="false" ht="14.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ustomFormat="false" ht="14.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ustomFormat="false" ht="14.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ustomFormat="false" ht="14.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ustomFormat="false" ht="14.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ustomFormat="false" ht="14.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ustomFormat="false" ht="14.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ustomFormat="false" ht="14.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ustomFormat="false" ht="14.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ustomFormat="false" ht="14.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ustomFormat="false" ht="14.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ustomFormat="false" ht="14.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ustomFormat="false" ht="14.2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ustomFormat="false" ht="14.2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ustomFormat="false" ht="14.2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ustomFormat="false" ht="14.2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ustomFormat="false" ht="14.2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ustomFormat="false" ht="14.2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ustomFormat="false" ht="14.2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ustomFormat="false" ht="14.2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ustomFormat="false" ht="14.2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ustomFormat="false" ht="14.2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ustomFormat="false" ht="14.2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ustomFormat="false" ht="14.2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ustomFormat="false" ht="14.2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ustomFormat="false" ht="14.2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ustomFormat="false" ht="14.2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ustomFormat="false" ht="14.2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ustomFormat="false" ht="14.2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ustomFormat="false" ht="14.2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ustomFormat="false" ht="14.2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ustomFormat="false" ht="14.2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ustomFormat="false" ht="14.2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ustomFormat="false" ht="14.2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ustomFormat="false" ht="14.2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ustomFormat="false" ht="14.2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ustomFormat="false" ht="14.2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ustomFormat="false" ht="14.2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ustomFormat="false" ht="14.2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ustomFormat="false" ht="14.2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ustomFormat="false" ht="14.2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ustomFormat="false" ht="14.2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ustomFormat="false" ht="14.2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ustomFormat="false" ht="14.2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ustomFormat="false" ht="14.2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ustomFormat="false" ht="14.2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ustomFormat="false" ht="14.2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ustomFormat="false" ht="14.2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ustomFormat="false" ht="14.2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ustomFormat="false" ht="14.2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ustomFormat="false" ht="14.2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ustomFormat="false" ht="14.2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ustomFormat="false" ht="14.2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ustomFormat="false" ht="14.2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ustomFormat="false" ht="14.2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ustomFormat="false" ht="14.2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ustomFormat="false" ht="14.2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ustomFormat="false" ht="14.2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ustomFormat="false" ht="14.2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ustomFormat="false" ht="14.2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ustomFormat="false" ht="14.2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ustomFormat="false" ht="14.2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ustomFormat="false" ht="14.2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ustomFormat="false" ht="14.2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sheetData>
  <mergeCells count="48">
    <mergeCell ref="B4:D4"/>
    <mergeCell ref="H4:J4"/>
    <mergeCell ref="H8:J8"/>
    <mergeCell ref="D13:E13"/>
    <mergeCell ref="F13:G13"/>
    <mergeCell ref="H13:I13"/>
    <mergeCell ref="J13:K13"/>
    <mergeCell ref="L13:M13"/>
    <mergeCell ref="N13:O13"/>
    <mergeCell ref="P13:Q13"/>
    <mergeCell ref="R13:S13"/>
    <mergeCell ref="T13:U13"/>
    <mergeCell ref="V13:W13"/>
    <mergeCell ref="X13:Y13"/>
    <mergeCell ref="Z13:AA13"/>
    <mergeCell ref="AB13:AB14"/>
    <mergeCell ref="A15:A20"/>
    <mergeCell ref="A21:A24"/>
    <mergeCell ref="D36:E36"/>
    <mergeCell ref="F36:G36"/>
    <mergeCell ref="H36:I36"/>
    <mergeCell ref="J36:K36"/>
    <mergeCell ref="L36:M36"/>
    <mergeCell ref="N36:O36"/>
    <mergeCell ref="P36:Q36"/>
    <mergeCell ref="R36:S36"/>
    <mergeCell ref="T36:U36"/>
    <mergeCell ref="V36:W36"/>
    <mergeCell ref="X36:Y36"/>
    <mergeCell ref="Z36:AA36"/>
    <mergeCell ref="AB36:AB37"/>
    <mergeCell ref="A38:A43"/>
    <mergeCell ref="A44:A47"/>
    <mergeCell ref="D59:E59"/>
    <mergeCell ref="F59:G59"/>
    <mergeCell ref="H59:I59"/>
    <mergeCell ref="J59:K59"/>
    <mergeCell ref="L59:M59"/>
    <mergeCell ref="N59:O59"/>
    <mergeCell ref="P59:Q59"/>
    <mergeCell ref="R59:S59"/>
    <mergeCell ref="T59:U59"/>
    <mergeCell ref="V59:W59"/>
    <mergeCell ref="X59:Y59"/>
    <mergeCell ref="Z59:AA59"/>
    <mergeCell ref="AB59:AB60"/>
    <mergeCell ref="A61:A66"/>
    <mergeCell ref="A67:A7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95"/>
  <sheetViews>
    <sheetView showFormulas="false" showGridLines="true" showRowColHeaders="true" showZeros="true" rightToLeft="false" tabSelected="false" showOutlineSymbols="true" defaultGridColor="true" view="normal" topLeftCell="E1" colorId="64" zoomScale="100" zoomScaleNormal="100" zoomScalePageLayoutView="100" workbookViewId="0">
      <selection pane="topLeft" activeCell="A1" activeCellId="0" sqref="A1"/>
    </sheetView>
  </sheetViews>
  <sheetFormatPr defaultColWidth="8.66796875" defaultRowHeight="13.5" customHeight="false" zeroHeight="false" outlineLevelRow="0" outlineLevelCol="0"/>
  <cols>
    <col collapsed="false" customWidth="true" hidden="false" outlineLevel="0" max="1" min="1" style="1" width="11.5"/>
    <col collapsed="false" customWidth="true" hidden="false" outlineLevel="0" max="2" min="2" style="1" width="32.5"/>
    <col collapsed="false" customWidth="true" hidden="false" outlineLevel="0" max="3" min="3" style="1" width="38"/>
    <col collapsed="false" customWidth="true" hidden="false" outlineLevel="0" max="4" min="4" style="1" width="15.16"/>
    <col collapsed="false" customWidth="true" hidden="false" outlineLevel="0" max="5" min="5" style="1" width="22"/>
    <col collapsed="false" customWidth="true" hidden="false" outlineLevel="0" max="6" min="6" style="1" width="23"/>
    <col collapsed="false" customWidth="true" hidden="false" outlineLevel="0" max="7" min="7" style="1" width="11.5"/>
    <col collapsed="false" customWidth="true" hidden="false" outlineLevel="0" max="8" min="8" style="1" width="15.5"/>
    <col collapsed="false" customWidth="true" hidden="false" outlineLevel="0" max="9" min="9" style="1" width="14.16"/>
    <col collapsed="false" customWidth="true" hidden="false" outlineLevel="0" max="10" min="10" style="1" width="15.16"/>
    <col collapsed="false" customWidth="true" hidden="false" outlineLevel="0" max="11" min="11" style="1" width="16.66"/>
    <col collapsed="false" customWidth="true" hidden="false" outlineLevel="0" max="12" min="12" style="1" width="21.33"/>
    <col collapsed="false" customWidth="true" hidden="false" outlineLevel="0" max="13" min="13" style="1" width="12.83"/>
    <col collapsed="false" customWidth="true" hidden="false" outlineLevel="0" max="14" min="14" style="1" width="13.5"/>
    <col collapsed="false" customWidth="true" hidden="false" outlineLevel="0" max="15" min="15" style="1" width="11.5"/>
    <col collapsed="false" customWidth="true" hidden="false" outlineLevel="0" max="16" min="16" style="1" width="12"/>
    <col collapsed="false" customWidth="true" hidden="false" outlineLevel="0" max="17" min="17" style="1" width="11.5"/>
    <col collapsed="false" customWidth="true" hidden="false" outlineLevel="0" max="18" min="18" style="1" width="12"/>
    <col collapsed="false" customWidth="true" hidden="false" outlineLevel="0" max="19" min="19" style="1" width="11.5"/>
    <col collapsed="false" customWidth="true" hidden="false" outlineLevel="0" max="20" min="20" style="1" width="12"/>
    <col collapsed="false" customWidth="true" hidden="false" outlineLevel="0" max="21" min="21" style="1" width="11.5"/>
    <col collapsed="false" customWidth="true" hidden="false" outlineLevel="0" max="22" min="22" style="1" width="12"/>
    <col collapsed="false" customWidth="true" hidden="false" outlineLevel="0" max="23" min="23" style="1" width="17.84"/>
    <col collapsed="false" customWidth="true" hidden="false" outlineLevel="0" max="24" min="24" style="1" width="12"/>
    <col collapsed="false" customWidth="true" hidden="false" outlineLevel="0" max="25" min="25" style="1" width="12.5"/>
    <col collapsed="false" customWidth="true" hidden="false" outlineLevel="0" max="26" min="26" style="1" width="13.5"/>
    <col collapsed="false" customWidth="true" hidden="false" outlineLevel="0" max="27" min="27" style="1" width="15.5"/>
    <col collapsed="false" customWidth="true" hidden="false" outlineLevel="0" max="28" min="28" style="1" width="11.5"/>
    <col collapsed="false" customWidth="true" hidden="false" outlineLevel="0" max="29" min="29" style="1" width="12.5"/>
    <col collapsed="false" customWidth="true" hidden="false" outlineLevel="0" max="30" min="30" style="1" width="11.5"/>
  </cols>
  <sheetData>
    <row r="1" customFormat="false" ht="58.5" hidden="false" customHeight="true" outlineLevel="0" collapsed="false">
      <c r="A1" s="9"/>
      <c r="B1" s="9"/>
      <c r="C1" s="9"/>
      <c r="D1" s="9"/>
      <c r="E1" s="461" t="s">
        <v>14</v>
      </c>
      <c r="F1" s="462"/>
      <c r="G1" s="462"/>
      <c r="H1" s="9"/>
      <c r="I1" s="9"/>
      <c r="J1" s="9"/>
      <c r="K1" s="9"/>
      <c r="L1" s="9"/>
      <c r="M1" s="9"/>
      <c r="N1" s="9"/>
      <c r="O1" s="9"/>
      <c r="P1" s="9"/>
      <c r="Q1" s="9"/>
      <c r="R1" s="9"/>
      <c r="S1" s="9"/>
      <c r="T1" s="9"/>
      <c r="U1" s="9"/>
      <c r="V1" s="9"/>
      <c r="W1" s="9"/>
      <c r="X1" s="9"/>
      <c r="Y1" s="9"/>
      <c r="Z1" s="9"/>
      <c r="AA1" s="9"/>
      <c r="AB1" s="9"/>
      <c r="AC1" s="9"/>
      <c r="AD1" s="9"/>
      <c r="AE1" s="9"/>
    </row>
    <row r="3" customFormat="false" ht="15.75" hidden="false" customHeight="true" outlineLevel="0" collapsed="false"/>
    <row r="4" customFormat="false" ht="27" hidden="false" customHeight="true" outlineLevel="0" collapsed="false">
      <c r="B4" s="463" t="s">
        <v>74</v>
      </c>
      <c r="C4" s="463"/>
      <c r="D4" s="463"/>
      <c r="E4" s="464"/>
      <c r="H4" s="463" t="s">
        <v>300</v>
      </c>
      <c r="I4" s="463"/>
      <c r="J4" s="463"/>
    </row>
    <row r="5" customFormat="false" ht="15" hidden="false" customHeight="true" outlineLevel="0" collapsed="false">
      <c r="B5" s="465" t="n">
        <v>2026</v>
      </c>
      <c r="C5" s="465" t="n">
        <v>2027</v>
      </c>
      <c r="D5" s="465" t="n">
        <v>2028</v>
      </c>
      <c r="E5" s="349"/>
      <c r="H5" s="465" t="n">
        <v>2026</v>
      </c>
      <c r="I5" s="465" t="n">
        <v>2027</v>
      </c>
      <c r="J5" s="465" t="n">
        <v>2028</v>
      </c>
    </row>
    <row r="6" customFormat="false" ht="15.75" hidden="false" customHeight="true" outlineLevel="0" collapsed="false">
      <c r="B6" s="466" t="n">
        <f aca="false">Hipótesis!C24</f>
        <v>0.008</v>
      </c>
      <c r="C6" s="466" t="n">
        <f aca="false">Hipótesis!C25</f>
        <v>0.029</v>
      </c>
      <c r="D6" s="466" t="n">
        <f aca="false">Hipótesis!C26</f>
        <v>0.052</v>
      </c>
      <c r="E6" s="436"/>
      <c r="H6" s="86" t="n">
        <f aca="false">$AA$46</f>
        <v>67319.2</v>
      </c>
      <c r="I6" s="87" t="n">
        <f aca="false">$AA$67</f>
        <v>67319.2</v>
      </c>
      <c r="J6" s="88" t="n">
        <f aca="false">$AA$88</f>
        <v>67319.2</v>
      </c>
    </row>
    <row r="7" customFormat="false" ht="15" hidden="false" customHeight="true" outlineLevel="0" collapsed="false">
      <c r="B7" s="390" t="n">
        <f aca="false">Hipótesis!D24</f>
        <v>107520</v>
      </c>
      <c r="C7" s="390" t="n">
        <f aca="false">Hipótesis!D25</f>
        <v>389760</v>
      </c>
      <c r="D7" s="390" t="n">
        <f aca="false">Hipótesis!D26</f>
        <v>698880</v>
      </c>
      <c r="E7" s="428"/>
    </row>
    <row r="9" customFormat="false" ht="15" hidden="false" customHeight="true" outlineLevel="0" collapsed="false">
      <c r="A9" s="467"/>
      <c r="B9" s="467"/>
      <c r="C9" s="467"/>
      <c r="D9" s="467"/>
      <c r="E9" s="467"/>
      <c r="F9" s="467"/>
      <c r="G9" s="467"/>
      <c r="H9" s="467"/>
      <c r="I9" s="467"/>
      <c r="J9" s="467"/>
      <c r="K9" s="467"/>
      <c r="L9" s="467"/>
      <c r="M9" s="467"/>
      <c r="N9" s="467"/>
      <c r="O9" s="467"/>
      <c r="P9" s="467"/>
      <c r="Q9" s="467"/>
      <c r="R9" s="467"/>
      <c r="S9" s="467"/>
      <c r="T9" s="467"/>
      <c r="U9" s="467"/>
      <c r="V9" s="467"/>
      <c r="W9" s="467"/>
      <c r="X9" s="467"/>
      <c r="Y9" s="467"/>
      <c r="Z9" s="467"/>
      <c r="AA9" s="467"/>
      <c r="AB9" s="467"/>
      <c r="AC9" s="467"/>
      <c r="AD9" s="467"/>
      <c r="AE9" s="467"/>
    </row>
    <row r="10" customFormat="false" ht="15.75" hidden="false" customHeight="true" outlineLevel="0" collapsed="false">
      <c r="A10" s="467"/>
      <c r="B10" s="467"/>
      <c r="C10" s="467"/>
      <c r="D10" s="467"/>
      <c r="E10" s="467"/>
      <c r="F10" s="467"/>
      <c r="G10" s="467"/>
      <c r="H10" s="467"/>
      <c r="I10" s="467"/>
      <c r="J10" s="467"/>
      <c r="K10" s="467"/>
      <c r="L10" s="467"/>
      <c r="M10" s="467"/>
      <c r="N10" s="467"/>
      <c r="O10" s="467"/>
      <c r="P10" s="467"/>
      <c r="Q10" s="467"/>
      <c r="R10" s="467"/>
      <c r="S10" s="467"/>
      <c r="T10" s="467"/>
      <c r="U10" s="467"/>
      <c r="V10" s="467"/>
      <c r="W10" s="467"/>
      <c r="X10" s="467"/>
      <c r="Y10" s="467"/>
      <c r="Z10" s="467"/>
      <c r="AA10" s="467"/>
      <c r="AB10" s="467"/>
      <c r="AC10" s="467"/>
      <c r="AD10" s="467"/>
      <c r="AE10" s="467"/>
    </row>
    <row r="11" customFormat="false" ht="27" hidden="false" customHeight="true" outlineLevel="0" collapsed="false">
      <c r="A11" s="467"/>
      <c r="B11" s="463" t="s">
        <v>301</v>
      </c>
      <c r="C11" s="463"/>
      <c r="D11" s="463"/>
      <c r="E11" s="463"/>
      <c r="F11" s="463"/>
      <c r="G11" s="463"/>
      <c r="H11" s="463"/>
      <c r="I11" s="463"/>
      <c r="J11" s="463"/>
      <c r="K11" s="463"/>
      <c r="L11" s="463"/>
      <c r="M11" s="467"/>
      <c r="N11" s="467"/>
      <c r="O11" s="467"/>
      <c r="P11" s="467"/>
      <c r="Q11" s="467"/>
      <c r="R11" s="467"/>
      <c r="S11" s="467"/>
      <c r="T11" s="467"/>
      <c r="U11" s="467"/>
      <c r="V11" s="467"/>
      <c r="W11" s="467"/>
      <c r="X11" s="467"/>
      <c r="Y11" s="467"/>
      <c r="Z11" s="467"/>
      <c r="AA11" s="467"/>
      <c r="AB11" s="467"/>
      <c r="AC11" s="467"/>
      <c r="AD11" s="467"/>
      <c r="AE11" s="467"/>
    </row>
    <row r="12" customFormat="false" ht="16.5" hidden="false" customHeight="true" outlineLevel="0" collapsed="false">
      <c r="A12" s="467"/>
      <c r="B12" s="468" t="s">
        <v>302</v>
      </c>
      <c r="C12" s="468" t="s">
        <v>303</v>
      </c>
      <c r="D12" s="468" t="s">
        <v>304</v>
      </c>
      <c r="E12" s="468" t="s">
        <v>305</v>
      </c>
      <c r="F12" s="468" t="s">
        <v>306</v>
      </c>
      <c r="G12" s="468" t="s">
        <v>307</v>
      </c>
      <c r="H12" s="468" t="s">
        <v>308</v>
      </c>
      <c r="I12" s="468" t="s">
        <v>309</v>
      </c>
      <c r="J12" s="468" t="s">
        <v>310</v>
      </c>
      <c r="K12" s="468" t="s">
        <v>311</v>
      </c>
      <c r="L12" s="468" t="s">
        <v>312</v>
      </c>
      <c r="M12" s="468" t="s">
        <v>313</v>
      </c>
      <c r="N12" s="468" t="s">
        <v>314</v>
      </c>
      <c r="O12" s="468"/>
      <c r="P12" s="468"/>
      <c r="Q12" s="468"/>
      <c r="R12" s="468"/>
      <c r="S12" s="468"/>
      <c r="T12" s="468"/>
      <c r="U12" s="468"/>
      <c r="V12" s="468"/>
      <c r="W12" s="468"/>
      <c r="X12" s="468"/>
      <c r="Y12" s="468"/>
      <c r="Z12" s="468"/>
      <c r="AA12" s="468"/>
      <c r="AB12" s="467"/>
      <c r="AC12" s="467"/>
      <c r="AD12" s="467"/>
      <c r="AE12" s="467"/>
    </row>
    <row r="13" customFormat="false" ht="16.5" hidden="false" customHeight="true" outlineLevel="0" collapsed="false">
      <c r="A13" s="467"/>
      <c r="B13" s="468"/>
      <c r="C13" s="468"/>
      <c r="D13" s="468"/>
      <c r="E13" s="469" t="n">
        <v>0.1235</v>
      </c>
      <c r="F13" s="469" t="n">
        <v>0.0157</v>
      </c>
      <c r="G13" s="469" t="n">
        <v>0.06</v>
      </c>
      <c r="H13" s="469" t="n">
        <v>0.0108</v>
      </c>
      <c r="I13" s="469" t="n">
        <v>0.054</v>
      </c>
      <c r="J13" s="470" t="n">
        <v>1.2</v>
      </c>
      <c r="K13" s="469" t="n">
        <v>0.03</v>
      </c>
      <c r="L13" s="468"/>
      <c r="M13" s="468"/>
      <c r="N13" s="468"/>
      <c r="O13" s="468"/>
      <c r="P13" s="468"/>
      <c r="Q13" s="468"/>
      <c r="R13" s="468"/>
      <c r="S13" s="468"/>
      <c r="T13" s="468"/>
      <c r="U13" s="468"/>
      <c r="V13" s="468"/>
      <c r="W13" s="468"/>
      <c r="X13" s="468"/>
      <c r="Y13" s="468"/>
      <c r="Z13" s="468"/>
      <c r="AA13" s="468"/>
      <c r="AB13" s="467"/>
      <c r="AC13" s="467"/>
      <c r="AD13" s="467"/>
      <c r="AE13" s="467"/>
    </row>
    <row r="14" customFormat="false" ht="15.75" hidden="false" customHeight="true" outlineLevel="0" collapsed="false">
      <c r="A14" s="467"/>
      <c r="B14" s="471" t="s">
        <v>315</v>
      </c>
      <c r="C14" s="472" t="s">
        <v>316</v>
      </c>
      <c r="D14" s="473" t="n">
        <v>2000</v>
      </c>
      <c r="E14" s="474" t="n">
        <f aca="false">$D14*E$13</f>
        <v>247</v>
      </c>
      <c r="F14" s="474" t="n">
        <f aca="false">$D14*F$13</f>
        <v>31.4</v>
      </c>
      <c r="G14" s="474" t="n">
        <f aca="false">$D14*G$13</f>
        <v>120</v>
      </c>
      <c r="H14" s="474" t="n">
        <f aca="false">$D14*H$13</f>
        <v>21.6</v>
      </c>
      <c r="I14" s="474" t="n">
        <f aca="false">$D14*I$13</f>
        <v>108</v>
      </c>
      <c r="J14" s="475" t="n">
        <f aca="false">$J$13</f>
        <v>1.2</v>
      </c>
      <c r="K14" s="474" t="n">
        <f aca="false">$D14*K$13</f>
        <v>60</v>
      </c>
      <c r="L14" s="476" t="n">
        <f aca="false">SUM(E14:K14)</f>
        <v>589.2</v>
      </c>
      <c r="M14" s="477" t="n">
        <f aca="false">D14+L14</f>
        <v>2589.2</v>
      </c>
      <c r="N14" s="472" t="s">
        <v>317</v>
      </c>
      <c r="O14" s="472"/>
      <c r="P14" s="472"/>
      <c r="Q14" s="472"/>
      <c r="R14" s="472"/>
      <c r="S14" s="472"/>
      <c r="T14" s="472"/>
      <c r="U14" s="472"/>
      <c r="V14" s="472"/>
      <c r="W14" s="472"/>
      <c r="X14" s="472"/>
      <c r="Y14" s="472"/>
      <c r="Z14" s="472"/>
      <c r="AA14" s="472"/>
      <c r="AB14" s="467"/>
      <c r="AC14" s="467"/>
      <c r="AD14" s="467"/>
      <c r="AE14" s="467"/>
    </row>
    <row r="15" customFormat="false" ht="15.75" hidden="false" customHeight="true" outlineLevel="0" collapsed="false">
      <c r="A15" s="467"/>
      <c r="B15" s="471"/>
      <c r="C15" s="472" t="s">
        <v>318</v>
      </c>
      <c r="D15" s="473" t="n">
        <v>2000</v>
      </c>
      <c r="E15" s="474" t="n">
        <f aca="false">$D15*E$13</f>
        <v>247</v>
      </c>
      <c r="F15" s="474" t="n">
        <f aca="false">$D15*F$13</f>
        <v>31.4</v>
      </c>
      <c r="G15" s="474" t="n">
        <f aca="false">$D15*G$13</f>
        <v>120</v>
      </c>
      <c r="H15" s="474" t="n">
        <f aca="false">$D15*H$13</f>
        <v>21.6</v>
      </c>
      <c r="I15" s="474" t="n">
        <f aca="false">$D15*I$13</f>
        <v>108</v>
      </c>
      <c r="J15" s="475" t="n">
        <f aca="false">$J$13</f>
        <v>1.2</v>
      </c>
      <c r="K15" s="474" t="n">
        <f aca="false">$D15*K$13</f>
        <v>60</v>
      </c>
      <c r="L15" s="476" t="n">
        <f aca="false">SUM(E15:K15)</f>
        <v>589.2</v>
      </c>
      <c r="M15" s="477" t="n">
        <f aca="false">D15+L15</f>
        <v>2589.2</v>
      </c>
      <c r="N15" s="472" t="s">
        <v>317</v>
      </c>
      <c r="O15" s="472"/>
      <c r="P15" s="472"/>
      <c r="Q15" s="472"/>
      <c r="R15" s="472"/>
      <c r="S15" s="472"/>
      <c r="T15" s="472"/>
      <c r="U15" s="472"/>
      <c r="V15" s="472"/>
      <c r="W15" s="472"/>
      <c r="X15" s="472"/>
      <c r="Y15" s="472"/>
      <c r="Z15" s="472"/>
      <c r="AA15" s="472"/>
      <c r="AB15" s="467"/>
      <c r="AC15" s="467"/>
      <c r="AD15" s="467"/>
      <c r="AE15" s="467"/>
    </row>
    <row r="16" customFormat="false" ht="15.75" hidden="false" customHeight="true" outlineLevel="0" collapsed="false">
      <c r="A16" s="467"/>
      <c r="B16" s="471" t="s">
        <v>319</v>
      </c>
      <c r="C16" s="472" t="s">
        <v>320</v>
      </c>
      <c r="D16" s="473" t="n">
        <v>900</v>
      </c>
      <c r="E16" s="474" t="n">
        <f aca="false">$D16*E$13</f>
        <v>111.15</v>
      </c>
      <c r="F16" s="474" t="n">
        <f aca="false">$D16*F$13</f>
        <v>14.13</v>
      </c>
      <c r="G16" s="474" t="n">
        <f aca="false">$D16*G$13</f>
        <v>54</v>
      </c>
      <c r="H16" s="474" t="n">
        <f aca="false">$D16*H$13</f>
        <v>9.72</v>
      </c>
      <c r="I16" s="474" t="n">
        <f aca="false">$D16*I$13</f>
        <v>48.6</v>
      </c>
      <c r="J16" s="475" t="n">
        <f aca="false">$J$13</f>
        <v>1.2</v>
      </c>
      <c r="K16" s="474" t="n">
        <f aca="false">$D16*K$13</f>
        <v>27</v>
      </c>
      <c r="L16" s="476" t="n">
        <f aca="false">SUM(E16:K16)</f>
        <v>265.8</v>
      </c>
      <c r="M16" s="477" t="n">
        <f aca="false">D16+L16</f>
        <v>1165.8</v>
      </c>
      <c r="N16" s="472" t="s">
        <v>321</v>
      </c>
      <c r="O16" s="472"/>
      <c r="P16" s="472"/>
      <c r="Q16" s="472"/>
      <c r="R16" s="472"/>
      <c r="S16" s="472"/>
      <c r="T16" s="472"/>
      <c r="U16" s="472"/>
      <c r="V16" s="472"/>
      <c r="W16" s="472"/>
      <c r="X16" s="472"/>
      <c r="Y16" s="472"/>
      <c r="Z16" s="472"/>
      <c r="AA16" s="472"/>
      <c r="AB16" s="467"/>
      <c r="AC16" s="467"/>
      <c r="AD16" s="467"/>
      <c r="AE16" s="467"/>
    </row>
    <row r="17" customFormat="false" ht="15.75" hidden="false" customHeight="true" outlineLevel="0" collapsed="false">
      <c r="A17" s="467"/>
      <c r="B17" s="471"/>
      <c r="C17" s="472" t="s">
        <v>322</v>
      </c>
      <c r="D17" s="473" t="n">
        <v>800</v>
      </c>
      <c r="E17" s="474" t="n">
        <f aca="false">$D17*E$13</f>
        <v>98.8</v>
      </c>
      <c r="F17" s="474" t="n">
        <f aca="false">$D17*F$13</f>
        <v>12.56</v>
      </c>
      <c r="G17" s="474" t="n">
        <f aca="false">$D17*G$13</f>
        <v>48</v>
      </c>
      <c r="H17" s="474" t="n">
        <f aca="false">$D17*H$13</f>
        <v>8.64</v>
      </c>
      <c r="I17" s="474" t="n">
        <f aca="false">$D17*I$13</f>
        <v>43.2</v>
      </c>
      <c r="J17" s="475" t="n">
        <f aca="false">$J$13</f>
        <v>1.2</v>
      </c>
      <c r="K17" s="474" t="n">
        <f aca="false">$D17*K$13</f>
        <v>24</v>
      </c>
      <c r="L17" s="476" t="n">
        <f aca="false">SUM(E17:K17)</f>
        <v>236.4</v>
      </c>
      <c r="M17" s="477" t="n">
        <f aca="false">D17+L17</f>
        <v>1036.4</v>
      </c>
      <c r="N17" s="472" t="s">
        <v>323</v>
      </c>
      <c r="O17" s="472"/>
      <c r="P17" s="472"/>
      <c r="Q17" s="472"/>
      <c r="R17" s="472"/>
      <c r="S17" s="472"/>
      <c r="T17" s="472"/>
      <c r="U17" s="472"/>
      <c r="V17" s="472"/>
      <c r="W17" s="472"/>
      <c r="X17" s="472"/>
      <c r="Y17" s="472"/>
      <c r="Z17" s="472"/>
      <c r="AA17" s="472"/>
      <c r="AB17" s="467"/>
      <c r="AC17" s="467"/>
      <c r="AD17" s="467"/>
      <c r="AE17" s="467"/>
    </row>
    <row r="18" customFormat="false" ht="15.75" hidden="false" customHeight="true" outlineLevel="0" collapsed="false">
      <c r="A18" s="467"/>
      <c r="B18" s="471"/>
      <c r="C18" s="472" t="s">
        <v>324</v>
      </c>
      <c r="D18" s="473" t="n">
        <v>850</v>
      </c>
      <c r="E18" s="474" t="n">
        <f aca="false">$D18*E$13</f>
        <v>104.975</v>
      </c>
      <c r="F18" s="474" t="n">
        <f aca="false">$D18*F$13</f>
        <v>13.345</v>
      </c>
      <c r="G18" s="474" t="n">
        <f aca="false">$D18*G$13</f>
        <v>51</v>
      </c>
      <c r="H18" s="474" t="n">
        <f aca="false">$D18*H$13</f>
        <v>9.18</v>
      </c>
      <c r="I18" s="474" t="n">
        <f aca="false">$D18*I$13</f>
        <v>45.9</v>
      </c>
      <c r="J18" s="475" t="n">
        <f aca="false">$J$13</f>
        <v>1.2</v>
      </c>
      <c r="K18" s="474" t="n">
        <f aca="false">$D18*K$13</f>
        <v>25.5</v>
      </c>
      <c r="L18" s="476" t="n">
        <f aca="false">SUM(E18:K18)</f>
        <v>251.1</v>
      </c>
      <c r="M18" s="477" t="n">
        <f aca="false">D18+L18</f>
        <v>1101.1</v>
      </c>
      <c r="N18" s="472" t="s">
        <v>321</v>
      </c>
      <c r="O18" s="472"/>
      <c r="P18" s="472"/>
      <c r="Q18" s="472"/>
      <c r="R18" s="472"/>
      <c r="S18" s="472"/>
      <c r="T18" s="472"/>
      <c r="U18" s="472"/>
      <c r="V18" s="472"/>
      <c r="W18" s="472"/>
      <c r="X18" s="472"/>
      <c r="Y18" s="472"/>
      <c r="Z18" s="472"/>
      <c r="AA18" s="472"/>
      <c r="AB18" s="467"/>
      <c r="AC18" s="467"/>
      <c r="AD18" s="467"/>
      <c r="AE18" s="467"/>
    </row>
    <row r="19" customFormat="false" ht="15.75" hidden="false" customHeight="true" outlineLevel="0" collapsed="false">
      <c r="A19" s="467"/>
      <c r="B19" s="471" t="s">
        <v>325</v>
      </c>
      <c r="C19" s="472" t="s">
        <v>326</v>
      </c>
      <c r="D19" s="473" t="n">
        <v>1000</v>
      </c>
      <c r="E19" s="474" t="n">
        <f aca="false">$D19*E$13</f>
        <v>123.5</v>
      </c>
      <c r="F19" s="474" t="n">
        <f aca="false">$D19*F$13</f>
        <v>15.7</v>
      </c>
      <c r="G19" s="474" t="n">
        <f aca="false">$D19*G$13</f>
        <v>60</v>
      </c>
      <c r="H19" s="474" t="n">
        <f aca="false">$D19*H$13</f>
        <v>10.8</v>
      </c>
      <c r="I19" s="474" t="n">
        <f aca="false">$D19*I$13</f>
        <v>54</v>
      </c>
      <c r="J19" s="475" t="n">
        <f aca="false">$J$13</f>
        <v>1.2</v>
      </c>
      <c r="K19" s="474" t="n">
        <f aca="false">$D19*K$13</f>
        <v>30</v>
      </c>
      <c r="L19" s="476" t="n">
        <f aca="false">SUM(E19:K19)</f>
        <v>295.2</v>
      </c>
      <c r="M19" s="477" t="n">
        <f aca="false">D19+L19</f>
        <v>1295.2</v>
      </c>
      <c r="N19" s="472" t="s">
        <v>327</v>
      </c>
      <c r="O19" s="472"/>
      <c r="P19" s="472"/>
      <c r="Q19" s="472"/>
      <c r="R19" s="472"/>
      <c r="S19" s="472"/>
      <c r="T19" s="472"/>
      <c r="U19" s="472"/>
      <c r="V19" s="472"/>
      <c r="W19" s="472"/>
      <c r="X19" s="472"/>
      <c r="Y19" s="472"/>
      <c r="Z19" s="472"/>
      <c r="AA19" s="472"/>
      <c r="AB19" s="467"/>
      <c r="AC19" s="467"/>
      <c r="AD19" s="467"/>
      <c r="AE19" s="467"/>
    </row>
    <row r="20" customFormat="false" ht="15.75" hidden="false" customHeight="true" outlineLevel="0" collapsed="false">
      <c r="A20" s="467"/>
      <c r="B20" s="471"/>
      <c r="C20" s="472" t="s">
        <v>328</v>
      </c>
      <c r="D20" s="473" t="n">
        <v>900</v>
      </c>
      <c r="E20" s="474" t="n">
        <f aca="false">$D20*E$13</f>
        <v>111.15</v>
      </c>
      <c r="F20" s="474" t="n">
        <f aca="false">$D20*F$13</f>
        <v>14.13</v>
      </c>
      <c r="G20" s="474" t="n">
        <f aca="false">$D20*G$13</f>
        <v>54</v>
      </c>
      <c r="H20" s="474" t="n">
        <f aca="false">$D20*H$13</f>
        <v>9.72</v>
      </c>
      <c r="I20" s="474" t="n">
        <f aca="false">$D20*I$13</f>
        <v>48.6</v>
      </c>
      <c r="J20" s="475" t="n">
        <f aca="false">$J$13</f>
        <v>1.2</v>
      </c>
      <c r="K20" s="474" t="n">
        <f aca="false">$D20*K$13</f>
        <v>27</v>
      </c>
      <c r="L20" s="476" t="n">
        <f aca="false">SUM(E20:K20)</f>
        <v>265.8</v>
      </c>
      <c r="M20" s="477" t="n">
        <f aca="false">D20+L20</f>
        <v>1165.8</v>
      </c>
      <c r="N20" s="472" t="s">
        <v>321</v>
      </c>
      <c r="O20" s="472"/>
      <c r="P20" s="472"/>
      <c r="Q20" s="472"/>
      <c r="R20" s="472"/>
      <c r="S20" s="472"/>
      <c r="T20" s="472"/>
      <c r="U20" s="472"/>
      <c r="V20" s="472"/>
      <c r="W20" s="472"/>
      <c r="X20" s="472"/>
      <c r="Y20" s="472"/>
      <c r="Z20" s="472"/>
      <c r="AA20" s="472"/>
      <c r="AB20" s="467"/>
      <c r="AC20" s="467"/>
      <c r="AD20" s="467"/>
      <c r="AE20" s="467"/>
    </row>
    <row r="21" customFormat="false" ht="15.75" hidden="false" customHeight="true" outlineLevel="0" collapsed="false">
      <c r="A21" s="467"/>
      <c r="B21" s="471" t="s">
        <v>329</v>
      </c>
      <c r="C21" s="472" t="s">
        <v>330</v>
      </c>
      <c r="D21" s="473" t="n">
        <v>1100</v>
      </c>
      <c r="E21" s="474" t="n">
        <f aca="false">$D21*E$13</f>
        <v>135.85</v>
      </c>
      <c r="F21" s="474" t="n">
        <f aca="false">$D21*F$13</f>
        <v>17.27</v>
      </c>
      <c r="G21" s="474" t="n">
        <f aca="false">$D21*G$13</f>
        <v>66</v>
      </c>
      <c r="H21" s="474" t="n">
        <f aca="false">$D21*H$13</f>
        <v>11.88</v>
      </c>
      <c r="I21" s="474" t="n">
        <f aca="false">$D21*I$13</f>
        <v>59.4</v>
      </c>
      <c r="J21" s="475" t="n">
        <f aca="false">$J$13</f>
        <v>1.2</v>
      </c>
      <c r="K21" s="474" t="n">
        <f aca="false">$D21*K$13</f>
        <v>33</v>
      </c>
      <c r="L21" s="476" t="n">
        <f aca="false">SUM(E21:K21)</f>
        <v>324.6</v>
      </c>
      <c r="M21" s="477" t="n">
        <f aca="false">D21+L21</f>
        <v>1424.6</v>
      </c>
      <c r="N21" s="472" t="s">
        <v>331</v>
      </c>
      <c r="O21" s="472"/>
      <c r="P21" s="472"/>
      <c r="Q21" s="472"/>
      <c r="R21" s="472"/>
      <c r="S21" s="472"/>
      <c r="T21" s="472"/>
      <c r="U21" s="472"/>
      <c r="V21" s="472"/>
      <c r="W21" s="472"/>
      <c r="X21" s="472"/>
      <c r="Y21" s="472"/>
      <c r="Z21" s="472"/>
      <c r="AA21" s="472"/>
      <c r="AB21" s="467"/>
      <c r="AC21" s="467"/>
      <c r="AD21" s="467"/>
      <c r="AE21" s="467"/>
    </row>
    <row r="22" customFormat="false" ht="15.75" hidden="false" customHeight="true" outlineLevel="0" collapsed="false">
      <c r="A22" s="467"/>
      <c r="B22" s="471" t="s">
        <v>332</v>
      </c>
      <c r="C22" s="472" t="s">
        <v>333</v>
      </c>
      <c r="D22" s="473" t="n">
        <v>2200</v>
      </c>
      <c r="E22" s="474" t="n">
        <f aca="false">$D22*E$13</f>
        <v>271.7</v>
      </c>
      <c r="F22" s="474" t="n">
        <f aca="false">$D22*F$13</f>
        <v>34.54</v>
      </c>
      <c r="G22" s="474" t="n">
        <f aca="false">$D22*G$13</f>
        <v>132</v>
      </c>
      <c r="H22" s="474" t="n">
        <f aca="false">$D22*H$13</f>
        <v>23.76</v>
      </c>
      <c r="I22" s="474" t="n">
        <f aca="false">$D22*I$13</f>
        <v>118.8</v>
      </c>
      <c r="J22" s="475" t="n">
        <f aca="false">$J$13</f>
        <v>1.2</v>
      </c>
      <c r="K22" s="474" t="n">
        <f aca="false">$D22*K$13</f>
        <v>66</v>
      </c>
      <c r="L22" s="476" t="n">
        <f aca="false">SUM(E22:K22)</f>
        <v>648</v>
      </c>
      <c r="M22" s="477" t="n">
        <f aca="false">D22+L22</f>
        <v>2848</v>
      </c>
      <c r="N22" s="472" t="s">
        <v>334</v>
      </c>
      <c r="O22" s="472"/>
      <c r="P22" s="472"/>
      <c r="Q22" s="472"/>
      <c r="R22" s="472"/>
      <c r="S22" s="472"/>
      <c r="T22" s="472"/>
      <c r="U22" s="472"/>
      <c r="V22" s="472"/>
      <c r="W22" s="472"/>
      <c r="X22" s="472"/>
      <c r="Y22" s="472"/>
      <c r="Z22" s="472"/>
      <c r="AA22" s="472"/>
      <c r="AB22" s="467"/>
      <c r="AC22" s="467"/>
      <c r="AD22" s="467"/>
      <c r="AE22" s="467"/>
    </row>
    <row r="23" customFormat="false" ht="15.75" hidden="false" customHeight="true" outlineLevel="0" collapsed="false">
      <c r="A23" s="467"/>
      <c r="B23" s="471"/>
      <c r="C23" s="472" t="s">
        <v>105</v>
      </c>
      <c r="D23" s="473" t="n">
        <v>1800</v>
      </c>
      <c r="E23" s="474" t="n">
        <f aca="false">$D23*E$13</f>
        <v>222.3</v>
      </c>
      <c r="F23" s="474" t="n">
        <f aca="false">$D23*F$13</f>
        <v>28.26</v>
      </c>
      <c r="G23" s="474" t="n">
        <f aca="false">$D23*G$13</f>
        <v>108</v>
      </c>
      <c r="H23" s="474" t="n">
        <f aca="false">$D23*H$13</f>
        <v>19.44</v>
      </c>
      <c r="I23" s="474" t="n">
        <f aca="false">$D23*I$13</f>
        <v>97.2</v>
      </c>
      <c r="J23" s="475" t="n">
        <f aca="false">$J$13</f>
        <v>1.2</v>
      </c>
      <c r="K23" s="474" t="n">
        <f aca="false">$D23*K$13</f>
        <v>54</v>
      </c>
      <c r="L23" s="476" t="n">
        <f aca="false">SUM(E23:K23)</f>
        <v>530.4</v>
      </c>
      <c r="M23" s="477" t="n">
        <f aca="false">D23+L23</f>
        <v>2330.4</v>
      </c>
      <c r="N23" s="472" t="s">
        <v>335</v>
      </c>
      <c r="O23" s="472"/>
      <c r="P23" s="472"/>
      <c r="Q23" s="472"/>
      <c r="R23" s="472"/>
      <c r="S23" s="472"/>
      <c r="T23" s="472"/>
      <c r="U23" s="472"/>
      <c r="V23" s="472"/>
      <c r="W23" s="472"/>
      <c r="X23" s="472"/>
      <c r="Y23" s="472"/>
      <c r="Z23" s="472"/>
      <c r="AA23" s="472"/>
      <c r="AB23" s="467"/>
      <c r="AC23" s="467"/>
      <c r="AD23" s="467"/>
      <c r="AE23" s="467"/>
    </row>
    <row r="24" customFormat="false" ht="15.75" hidden="false" customHeight="true" outlineLevel="0" collapsed="false">
      <c r="A24" s="467"/>
      <c r="B24" s="471"/>
      <c r="C24" s="472" t="s">
        <v>336</v>
      </c>
      <c r="D24" s="473" t="n">
        <v>2000</v>
      </c>
      <c r="E24" s="474" t="n">
        <f aca="false">$D24*E$13</f>
        <v>247</v>
      </c>
      <c r="F24" s="474" t="n">
        <f aca="false">$D24*F$13</f>
        <v>31.4</v>
      </c>
      <c r="G24" s="474" t="n">
        <f aca="false">$D24*G$13</f>
        <v>120</v>
      </c>
      <c r="H24" s="474" t="n">
        <f aca="false">$D24*H$13</f>
        <v>21.6</v>
      </c>
      <c r="I24" s="474" t="n">
        <f aca="false">$D24*I$13</f>
        <v>108</v>
      </c>
      <c r="J24" s="475" t="n">
        <f aca="false">$J$13</f>
        <v>1.2</v>
      </c>
      <c r="K24" s="474" t="n">
        <f aca="false">$D24*K$13</f>
        <v>60</v>
      </c>
      <c r="L24" s="476" t="n">
        <f aca="false">SUM(E24:K24)</f>
        <v>589.2</v>
      </c>
      <c r="M24" s="477" t="n">
        <f aca="false">D24+L24</f>
        <v>2589.2</v>
      </c>
      <c r="N24" s="472" t="s">
        <v>337</v>
      </c>
      <c r="O24" s="472"/>
      <c r="P24" s="472"/>
      <c r="Q24" s="472"/>
      <c r="R24" s="472"/>
      <c r="S24" s="472"/>
      <c r="T24" s="472"/>
      <c r="U24" s="472"/>
      <c r="V24" s="472"/>
      <c r="W24" s="472"/>
      <c r="X24" s="472"/>
      <c r="Y24" s="472"/>
      <c r="Z24" s="472"/>
      <c r="AA24" s="472"/>
      <c r="AB24" s="467"/>
      <c r="AC24" s="467"/>
      <c r="AD24" s="467"/>
      <c r="AE24" s="467"/>
    </row>
    <row r="25" customFormat="false" ht="15.75" hidden="false" customHeight="true" outlineLevel="0" collapsed="false">
      <c r="A25" s="467"/>
      <c r="B25" s="471"/>
      <c r="C25" s="472" t="s">
        <v>338</v>
      </c>
      <c r="D25" s="473" t="n">
        <v>1900</v>
      </c>
      <c r="E25" s="474" t="n">
        <f aca="false">$D25*E$13</f>
        <v>234.65</v>
      </c>
      <c r="F25" s="474" t="n">
        <f aca="false">$D25*F$13</f>
        <v>29.83</v>
      </c>
      <c r="G25" s="474" t="n">
        <f aca="false">$D25*G$13</f>
        <v>114</v>
      </c>
      <c r="H25" s="474" t="n">
        <f aca="false">$D25*H$13</f>
        <v>20.52</v>
      </c>
      <c r="I25" s="474" t="n">
        <f aca="false">$D25*I$13</f>
        <v>102.6</v>
      </c>
      <c r="J25" s="475" t="n">
        <f aca="false">$J$13</f>
        <v>1.2</v>
      </c>
      <c r="K25" s="474" t="n">
        <f aca="false">$D25*K$13</f>
        <v>57</v>
      </c>
      <c r="L25" s="476" t="n">
        <f aca="false">SUM(E25:K25)</f>
        <v>559.8</v>
      </c>
      <c r="M25" s="477" t="n">
        <f aca="false">D25+L25</f>
        <v>2459.8</v>
      </c>
      <c r="N25" s="472" t="s">
        <v>337</v>
      </c>
      <c r="O25" s="472"/>
      <c r="P25" s="472"/>
      <c r="Q25" s="472"/>
      <c r="R25" s="472"/>
      <c r="S25" s="472"/>
      <c r="T25" s="472"/>
      <c r="U25" s="472"/>
      <c r="V25" s="472"/>
      <c r="W25" s="472"/>
      <c r="X25" s="472"/>
      <c r="Y25" s="472"/>
      <c r="Z25" s="472"/>
      <c r="AA25" s="472"/>
      <c r="AB25" s="467"/>
      <c r="AC25" s="467"/>
      <c r="AD25" s="467"/>
      <c r="AE25" s="467"/>
    </row>
    <row r="26" customFormat="false" ht="15.75" hidden="false" customHeight="true" outlineLevel="0" collapsed="false">
      <c r="A26" s="467"/>
      <c r="B26" s="471" t="s">
        <v>182</v>
      </c>
      <c r="C26" s="472" t="s">
        <v>107</v>
      </c>
      <c r="D26" s="473" t="n">
        <v>1100</v>
      </c>
      <c r="E26" s="474" t="n">
        <f aca="false">$D26*E$13</f>
        <v>135.85</v>
      </c>
      <c r="F26" s="474" t="n">
        <f aca="false">$D26*F$13</f>
        <v>17.27</v>
      </c>
      <c r="G26" s="474" t="n">
        <f aca="false">$D26*G$13</f>
        <v>66</v>
      </c>
      <c r="H26" s="474" t="n">
        <f aca="false">$D26*H$13</f>
        <v>11.88</v>
      </c>
      <c r="I26" s="474" t="n">
        <f aca="false">$D26*I$13</f>
        <v>59.4</v>
      </c>
      <c r="J26" s="475" t="n">
        <f aca="false">$J$13</f>
        <v>1.2</v>
      </c>
      <c r="K26" s="474" t="n">
        <f aca="false">$D26*K$13</f>
        <v>33</v>
      </c>
      <c r="L26" s="476" t="n">
        <f aca="false">SUM(E26:K26)</f>
        <v>324.6</v>
      </c>
      <c r="M26" s="477" t="n">
        <f aca="false">D26+L26</f>
        <v>1424.6</v>
      </c>
      <c r="N26" s="472" t="s">
        <v>339</v>
      </c>
      <c r="O26" s="472"/>
      <c r="P26" s="472"/>
      <c r="Q26" s="472"/>
      <c r="R26" s="472"/>
      <c r="S26" s="472"/>
      <c r="T26" s="472"/>
      <c r="U26" s="472"/>
      <c r="V26" s="472"/>
      <c r="W26" s="472"/>
      <c r="X26" s="472"/>
      <c r="Y26" s="472"/>
      <c r="Z26" s="472"/>
      <c r="AA26" s="472"/>
      <c r="AB26" s="467"/>
      <c r="AC26" s="467"/>
      <c r="AD26" s="467"/>
      <c r="AE26" s="467"/>
    </row>
    <row r="27" customFormat="false" ht="15.75" hidden="false" customHeight="true" outlineLevel="0" collapsed="false">
      <c r="A27" s="467"/>
      <c r="B27" s="471"/>
      <c r="C27" s="472" t="s">
        <v>340</v>
      </c>
      <c r="D27" s="473" t="n">
        <v>900</v>
      </c>
      <c r="E27" s="474" t="n">
        <f aca="false">$D27*E$13</f>
        <v>111.15</v>
      </c>
      <c r="F27" s="474" t="n">
        <f aca="false">$D27*F$13</f>
        <v>14.13</v>
      </c>
      <c r="G27" s="474" t="n">
        <f aca="false">$D27*G$13</f>
        <v>54</v>
      </c>
      <c r="H27" s="474" t="n">
        <f aca="false">$D27*H$13</f>
        <v>9.72</v>
      </c>
      <c r="I27" s="474" t="n">
        <f aca="false">$D27*I$13</f>
        <v>48.6</v>
      </c>
      <c r="J27" s="475" t="n">
        <f aca="false">$J$13</f>
        <v>1.2</v>
      </c>
      <c r="K27" s="474" t="n">
        <f aca="false">$D27*K$13</f>
        <v>27</v>
      </c>
      <c r="L27" s="476" t="n">
        <f aca="false">SUM(E27:K27)</f>
        <v>265.8</v>
      </c>
      <c r="M27" s="477" t="n">
        <f aca="false">D27+L27</f>
        <v>1165.8</v>
      </c>
      <c r="N27" s="472" t="s">
        <v>337</v>
      </c>
      <c r="O27" s="472"/>
      <c r="P27" s="472"/>
      <c r="Q27" s="472"/>
      <c r="R27" s="472"/>
      <c r="S27" s="472"/>
      <c r="T27" s="472"/>
      <c r="U27" s="472"/>
      <c r="V27" s="472"/>
      <c r="W27" s="472"/>
      <c r="X27" s="472"/>
      <c r="Y27" s="472"/>
      <c r="Z27" s="472"/>
      <c r="AA27" s="472"/>
      <c r="AB27" s="467"/>
      <c r="AC27" s="467"/>
      <c r="AD27" s="467"/>
      <c r="AE27" s="467"/>
    </row>
    <row r="28" customFormat="false" ht="15.75" hidden="false" customHeight="true" outlineLevel="0" collapsed="false">
      <c r="A28" s="467"/>
      <c r="B28" s="467"/>
      <c r="C28" s="467"/>
      <c r="D28" s="467"/>
      <c r="E28" s="467"/>
      <c r="F28" s="467"/>
      <c r="G28" s="467"/>
      <c r="H28" s="467"/>
      <c r="I28" s="467"/>
      <c r="J28" s="467"/>
      <c r="K28" s="467"/>
      <c r="L28" s="467"/>
      <c r="M28" s="467"/>
      <c r="N28" s="467"/>
      <c r="O28" s="467"/>
      <c r="P28" s="467"/>
      <c r="Q28" s="467"/>
      <c r="R28" s="467"/>
      <c r="S28" s="467"/>
      <c r="T28" s="467"/>
      <c r="U28" s="467"/>
      <c r="V28" s="467"/>
      <c r="W28" s="467"/>
      <c r="X28" s="467"/>
      <c r="Y28" s="467"/>
      <c r="Z28" s="467"/>
      <c r="AA28" s="467"/>
      <c r="AB28" s="467"/>
      <c r="AC28" s="467"/>
      <c r="AD28" s="467"/>
      <c r="AE28" s="467"/>
    </row>
    <row r="29" customFormat="false" ht="15.75" hidden="false" customHeight="true" outlineLevel="0" collapsed="false">
      <c r="A29" s="467"/>
      <c r="B29" s="463" t="s">
        <v>341</v>
      </c>
      <c r="C29" s="463"/>
      <c r="D29" s="463"/>
      <c r="E29" s="463"/>
      <c r="F29" s="463"/>
      <c r="G29" s="463"/>
      <c r="H29" s="463"/>
      <c r="I29" s="463"/>
      <c r="J29" s="463"/>
      <c r="K29" s="463"/>
      <c r="L29" s="463"/>
      <c r="M29" s="463"/>
      <c r="N29" s="463"/>
      <c r="O29" s="463"/>
      <c r="P29" s="463"/>
      <c r="Q29" s="463"/>
      <c r="R29" s="463"/>
      <c r="S29" s="463"/>
      <c r="T29" s="463"/>
      <c r="U29" s="463"/>
      <c r="V29" s="463"/>
      <c r="W29" s="463"/>
      <c r="X29" s="463"/>
      <c r="Y29" s="463"/>
      <c r="Z29" s="463"/>
      <c r="AA29" s="463"/>
      <c r="AB29" s="467"/>
      <c r="AC29" s="467"/>
      <c r="AD29" s="467"/>
      <c r="AE29" s="467"/>
    </row>
    <row r="30" customFormat="false" ht="15.75" hidden="false" customHeight="true" outlineLevel="0" collapsed="false">
      <c r="A30" s="467"/>
      <c r="B30" s="478" t="s">
        <v>303</v>
      </c>
      <c r="C30" s="478" t="s">
        <v>81</v>
      </c>
      <c r="D30" s="478"/>
      <c r="E30" s="478" t="s">
        <v>82</v>
      </c>
      <c r="F30" s="478"/>
      <c r="G30" s="478" t="s">
        <v>83</v>
      </c>
      <c r="H30" s="478"/>
      <c r="I30" s="478" t="s">
        <v>84</v>
      </c>
      <c r="J30" s="478"/>
      <c r="K30" s="478" t="s">
        <v>85</v>
      </c>
      <c r="L30" s="478"/>
      <c r="M30" s="478" t="s">
        <v>342</v>
      </c>
      <c r="N30" s="478"/>
      <c r="O30" s="478" t="s">
        <v>87</v>
      </c>
      <c r="P30" s="478"/>
      <c r="Q30" s="478" t="s">
        <v>88</v>
      </c>
      <c r="R30" s="478"/>
      <c r="S30" s="478" t="s">
        <v>89</v>
      </c>
      <c r="T30" s="478"/>
      <c r="U30" s="478" t="s">
        <v>90</v>
      </c>
      <c r="V30" s="478"/>
      <c r="W30" s="478" t="s">
        <v>91</v>
      </c>
      <c r="X30" s="478"/>
      <c r="Y30" s="478" t="s">
        <v>343</v>
      </c>
      <c r="Z30" s="478"/>
      <c r="AA30" s="478" t="s">
        <v>249</v>
      </c>
      <c r="AB30" s="467"/>
      <c r="AC30" s="467"/>
      <c r="AD30" s="467"/>
      <c r="AE30" s="467"/>
    </row>
    <row r="31" customFormat="false" ht="15.75" hidden="false" customHeight="true" outlineLevel="0" collapsed="false">
      <c r="A31" s="467"/>
      <c r="B31" s="478"/>
      <c r="C31" s="479" t="s">
        <v>37</v>
      </c>
      <c r="D31" s="479" t="s">
        <v>284</v>
      </c>
      <c r="E31" s="479" t="s">
        <v>37</v>
      </c>
      <c r="F31" s="479" t="s">
        <v>284</v>
      </c>
      <c r="G31" s="479" t="s">
        <v>37</v>
      </c>
      <c r="H31" s="479" t="s">
        <v>284</v>
      </c>
      <c r="I31" s="479" t="s">
        <v>37</v>
      </c>
      <c r="J31" s="479" t="s">
        <v>284</v>
      </c>
      <c r="K31" s="479" t="s">
        <v>37</v>
      </c>
      <c r="L31" s="479" t="s">
        <v>284</v>
      </c>
      <c r="M31" s="479" t="s">
        <v>37</v>
      </c>
      <c r="N31" s="479" t="s">
        <v>284</v>
      </c>
      <c r="O31" s="479" t="s">
        <v>37</v>
      </c>
      <c r="P31" s="479" t="s">
        <v>284</v>
      </c>
      <c r="Q31" s="479" t="s">
        <v>37</v>
      </c>
      <c r="R31" s="479" t="s">
        <v>284</v>
      </c>
      <c r="S31" s="479" t="s">
        <v>37</v>
      </c>
      <c r="T31" s="479" t="s">
        <v>284</v>
      </c>
      <c r="U31" s="479" t="s">
        <v>37</v>
      </c>
      <c r="V31" s="479" t="s">
        <v>284</v>
      </c>
      <c r="W31" s="479" t="s">
        <v>37</v>
      </c>
      <c r="X31" s="479" t="s">
        <v>284</v>
      </c>
      <c r="Y31" s="479" t="s">
        <v>37</v>
      </c>
      <c r="Z31" s="479" t="s">
        <v>284</v>
      </c>
      <c r="AA31" s="478"/>
      <c r="AB31" s="467"/>
      <c r="AC31" s="467"/>
      <c r="AD31" s="467"/>
      <c r="AE31" s="467"/>
    </row>
    <row r="32" customFormat="false" ht="27" hidden="false" customHeight="true" outlineLevel="0" collapsed="false">
      <c r="A32" s="467"/>
      <c r="B32" s="480" t="s">
        <v>316</v>
      </c>
      <c r="C32" s="481" t="n">
        <v>1</v>
      </c>
      <c r="D32" s="482" t="n">
        <f aca="false">C32*$M$14</f>
        <v>2589.2</v>
      </c>
      <c r="E32" s="481" t="n">
        <v>1</v>
      </c>
      <c r="F32" s="482" t="n">
        <f aca="false">E32*$M$14</f>
        <v>2589.2</v>
      </c>
      <c r="G32" s="481" t="n">
        <v>1</v>
      </c>
      <c r="H32" s="482" t="n">
        <f aca="false">G32*$M$14</f>
        <v>2589.2</v>
      </c>
      <c r="I32" s="481" t="n">
        <v>1</v>
      </c>
      <c r="J32" s="482" t="n">
        <f aca="false">I32*$M$14</f>
        <v>2589.2</v>
      </c>
      <c r="K32" s="481" t="n">
        <v>1</v>
      </c>
      <c r="L32" s="482" t="n">
        <f aca="false">K32*$M$14</f>
        <v>2589.2</v>
      </c>
      <c r="M32" s="481" t="n">
        <v>1</v>
      </c>
      <c r="N32" s="482" t="n">
        <f aca="false">M32*$M$14+L32/2</f>
        <v>3883.8</v>
      </c>
      <c r="O32" s="481" t="n">
        <v>1</v>
      </c>
      <c r="P32" s="482" t="n">
        <f aca="false">O32*$M$14</f>
        <v>2589.2</v>
      </c>
      <c r="Q32" s="481" t="n">
        <v>1</v>
      </c>
      <c r="R32" s="482" t="n">
        <f aca="false">Q32*$M$14</f>
        <v>2589.2</v>
      </c>
      <c r="S32" s="481" t="n">
        <v>1</v>
      </c>
      <c r="T32" s="482" t="n">
        <f aca="false">S32*$M$14</f>
        <v>2589.2</v>
      </c>
      <c r="U32" s="481" t="n">
        <v>1</v>
      </c>
      <c r="V32" s="482" t="n">
        <f aca="false">U32*$M$14</f>
        <v>2589.2</v>
      </c>
      <c r="W32" s="481" t="n">
        <v>1</v>
      </c>
      <c r="X32" s="482" t="n">
        <f aca="false">W32*$M$14</f>
        <v>2589.2</v>
      </c>
      <c r="Y32" s="481" t="n">
        <v>1</v>
      </c>
      <c r="Z32" s="482" t="n">
        <f aca="false">Y32*$M$14+X32/2</f>
        <v>3883.8</v>
      </c>
      <c r="AA32" s="482" t="n">
        <f aca="false">D32+F32+H32+J32+L32+N32+P32+R32+T32+V32+X32+Z32</f>
        <v>33659.6</v>
      </c>
      <c r="AB32" s="467"/>
      <c r="AC32" s="467"/>
      <c r="AD32" s="467"/>
      <c r="AE32" s="467"/>
    </row>
    <row r="33" customFormat="false" ht="15.75" hidden="false" customHeight="true" outlineLevel="0" collapsed="false">
      <c r="A33" s="467"/>
      <c r="B33" s="480" t="s">
        <v>318</v>
      </c>
      <c r="C33" s="481" t="n">
        <v>1</v>
      </c>
      <c r="D33" s="482" t="n">
        <f aca="false">C33*$M$15</f>
        <v>2589.2</v>
      </c>
      <c r="E33" s="481" t="n">
        <v>1</v>
      </c>
      <c r="F33" s="482" t="n">
        <f aca="false">E33*$M$15</f>
        <v>2589.2</v>
      </c>
      <c r="G33" s="481" t="n">
        <v>1</v>
      </c>
      <c r="H33" s="482" t="n">
        <f aca="false">G33*$M$15</f>
        <v>2589.2</v>
      </c>
      <c r="I33" s="481" t="n">
        <v>1</v>
      </c>
      <c r="J33" s="482" t="n">
        <f aca="false">I33*$M$15</f>
        <v>2589.2</v>
      </c>
      <c r="K33" s="481" t="n">
        <v>1</v>
      </c>
      <c r="L33" s="482" t="n">
        <f aca="false">K33*$M$15</f>
        <v>2589.2</v>
      </c>
      <c r="M33" s="481" t="n">
        <v>1</v>
      </c>
      <c r="N33" s="482" t="n">
        <f aca="false">M33*$M$15+L33/2</f>
        <v>3883.8</v>
      </c>
      <c r="O33" s="481" t="n">
        <v>1</v>
      </c>
      <c r="P33" s="482" t="n">
        <f aca="false">O33*$M$15</f>
        <v>2589.2</v>
      </c>
      <c r="Q33" s="481" t="n">
        <v>1</v>
      </c>
      <c r="R33" s="482" t="n">
        <f aca="false">Q33*$M$15</f>
        <v>2589.2</v>
      </c>
      <c r="S33" s="481" t="n">
        <v>1</v>
      </c>
      <c r="T33" s="482" t="n">
        <f aca="false">S33*$M$15</f>
        <v>2589.2</v>
      </c>
      <c r="U33" s="481" t="n">
        <v>1</v>
      </c>
      <c r="V33" s="482" t="n">
        <f aca="false">U33*$M$15</f>
        <v>2589.2</v>
      </c>
      <c r="W33" s="481" t="n">
        <v>1</v>
      </c>
      <c r="X33" s="482" t="n">
        <f aca="false">W33*$M$15</f>
        <v>2589.2</v>
      </c>
      <c r="Y33" s="481" t="n">
        <v>1</v>
      </c>
      <c r="Z33" s="482" t="n">
        <f aca="false">Y33*$M$15+X33/2</f>
        <v>3883.8</v>
      </c>
      <c r="AA33" s="482" t="n">
        <f aca="false">D33+F33+H33+J33+L33+N33+P33+R33+T33+V33+X33+Z33</f>
        <v>33659.6</v>
      </c>
      <c r="AB33" s="467"/>
      <c r="AC33" s="467"/>
      <c r="AD33" s="467"/>
      <c r="AE33" s="467"/>
    </row>
    <row r="34" customFormat="false" ht="15.75" hidden="false" customHeight="true" outlineLevel="0" collapsed="false">
      <c r="A34" s="467"/>
      <c r="B34" s="480" t="s">
        <v>320</v>
      </c>
      <c r="C34" s="481" t="n">
        <v>0</v>
      </c>
      <c r="D34" s="482" t="n">
        <f aca="false">C34*$M$16</f>
        <v>0</v>
      </c>
      <c r="E34" s="481" t="n">
        <v>0</v>
      </c>
      <c r="F34" s="482" t="n">
        <f aca="false">E34*$M$16</f>
        <v>0</v>
      </c>
      <c r="G34" s="481" t="n">
        <v>0</v>
      </c>
      <c r="H34" s="482" t="n">
        <f aca="false">G34*$M$16</f>
        <v>0</v>
      </c>
      <c r="I34" s="481" t="n">
        <v>0</v>
      </c>
      <c r="J34" s="482" t="n">
        <f aca="false">I34*$M$16</f>
        <v>0</v>
      </c>
      <c r="K34" s="481" t="n">
        <v>0</v>
      </c>
      <c r="L34" s="482" t="n">
        <f aca="false">K34*$M$16</f>
        <v>0</v>
      </c>
      <c r="M34" s="481" t="n">
        <v>0</v>
      </c>
      <c r="N34" s="482" t="n">
        <f aca="false">M34*$M$16+L34/2</f>
        <v>0</v>
      </c>
      <c r="O34" s="481" t="n">
        <v>0</v>
      </c>
      <c r="P34" s="482" t="n">
        <f aca="false">O34*$M$16</f>
        <v>0</v>
      </c>
      <c r="Q34" s="481" t="n">
        <v>0</v>
      </c>
      <c r="R34" s="482" t="n">
        <f aca="false">Q34*$M$16</f>
        <v>0</v>
      </c>
      <c r="S34" s="481" t="n">
        <v>0</v>
      </c>
      <c r="T34" s="482" t="n">
        <f aca="false">S34*$M$16</f>
        <v>0</v>
      </c>
      <c r="U34" s="481" t="n">
        <v>0</v>
      </c>
      <c r="V34" s="482" t="n">
        <f aca="false">U34*$M$16</f>
        <v>0</v>
      </c>
      <c r="W34" s="481" t="n">
        <v>0</v>
      </c>
      <c r="X34" s="482" t="n">
        <f aca="false">W34*$M$16</f>
        <v>0</v>
      </c>
      <c r="Y34" s="481" t="n">
        <v>0</v>
      </c>
      <c r="Z34" s="482" t="n">
        <f aca="false">Y34*$M$16+X34/2</f>
        <v>0</v>
      </c>
      <c r="AA34" s="482" t="n">
        <f aca="false">D34+F34+H34+J34+L34+N34+P34+R34+T34+V34+X34+Z34</f>
        <v>0</v>
      </c>
      <c r="AB34" s="467"/>
      <c r="AC34" s="467"/>
      <c r="AD34" s="467"/>
      <c r="AE34" s="467"/>
    </row>
    <row r="35" customFormat="false" ht="15" hidden="false" customHeight="true" outlineLevel="0" collapsed="false">
      <c r="A35" s="467"/>
      <c r="B35" s="480" t="s">
        <v>322</v>
      </c>
      <c r="C35" s="481" t="n">
        <v>0</v>
      </c>
      <c r="D35" s="482" t="n">
        <f aca="false">C35*$M$17</f>
        <v>0</v>
      </c>
      <c r="E35" s="481" t="n">
        <v>0</v>
      </c>
      <c r="F35" s="482" t="n">
        <f aca="false">E35*$M$17</f>
        <v>0</v>
      </c>
      <c r="G35" s="481" t="n">
        <v>0</v>
      </c>
      <c r="H35" s="482" t="n">
        <f aca="false">G35*$M$17</f>
        <v>0</v>
      </c>
      <c r="I35" s="481" t="n">
        <v>0</v>
      </c>
      <c r="J35" s="482" t="n">
        <f aca="false">I35*$M$17</f>
        <v>0</v>
      </c>
      <c r="K35" s="481" t="n">
        <v>0</v>
      </c>
      <c r="L35" s="482" t="n">
        <f aca="false">K35*$M$17</f>
        <v>0</v>
      </c>
      <c r="M35" s="481" t="n">
        <v>0</v>
      </c>
      <c r="N35" s="482" t="n">
        <f aca="false">M35*$M$17+L35/2</f>
        <v>0</v>
      </c>
      <c r="O35" s="481" t="n">
        <v>0</v>
      </c>
      <c r="P35" s="482" t="n">
        <f aca="false">O35*$M$17</f>
        <v>0</v>
      </c>
      <c r="Q35" s="481" t="n">
        <v>0</v>
      </c>
      <c r="R35" s="482" t="n">
        <f aca="false">Q35*$M$17</f>
        <v>0</v>
      </c>
      <c r="S35" s="481" t="n">
        <v>0</v>
      </c>
      <c r="T35" s="482" t="n">
        <f aca="false">S35*$M$17</f>
        <v>0</v>
      </c>
      <c r="U35" s="481" t="n">
        <v>0</v>
      </c>
      <c r="V35" s="482" t="n">
        <f aca="false">U35*$M$17</f>
        <v>0</v>
      </c>
      <c r="W35" s="481" t="n">
        <v>0</v>
      </c>
      <c r="X35" s="482" t="n">
        <f aca="false">W35*$M$17</f>
        <v>0</v>
      </c>
      <c r="Y35" s="481" t="n">
        <v>0</v>
      </c>
      <c r="Z35" s="482" t="n">
        <f aca="false">Y35*$M$17+X35/2</f>
        <v>0</v>
      </c>
      <c r="AA35" s="482" t="n">
        <f aca="false">D35+F35+H35+J35+L35+N35+P35+R35+T35+V35+X35+Z35</f>
        <v>0</v>
      </c>
      <c r="AB35" s="467"/>
      <c r="AC35" s="467"/>
      <c r="AD35" s="467"/>
      <c r="AE35" s="467"/>
    </row>
    <row r="36" customFormat="false" ht="15" hidden="false" customHeight="true" outlineLevel="0" collapsed="false">
      <c r="A36" s="467"/>
      <c r="B36" s="480" t="s">
        <v>324</v>
      </c>
      <c r="C36" s="481" t="n">
        <v>0</v>
      </c>
      <c r="D36" s="482" t="n">
        <f aca="false">C36*$M$18</f>
        <v>0</v>
      </c>
      <c r="E36" s="481" t="n">
        <v>0</v>
      </c>
      <c r="F36" s="482" t="n">
        <f aca="false">E36*$M$18</f>
        <v>0</v>
      </c>
      <c r="G36" s="481" t="n">
        <v>0</v>
      </c>
      <c r="H36" s="482" t="n">
        <f aca="false">G36*$M$18</f>
        <v>0</v>
      </c>
      <c r="I36" s="481" t="n">
        <v>0</v>
      </c>
      <c r="J36" s="482" t="n">
        <f aca="false">I36*$M$18</f>
        <v>0</v>
      </c>
      <c r="K36" s="481" t="n">
        <v>0</v>
      </c>
      <c r="L36" s="482" t="n">
        <f aca="false">K36*$M$18</f>
        <v>0</v>
      </c>
      <c r="M36" s="481" t="n">
        <v>0</v>
      </c>
      <c r="N36" s="482" t="n">
        <f aca="false">M36*$M$18+L36/2</f>
        <v>0</v>
      </c>
      <c r="O36" s="481" t="n">
        <v>0</v>
      </c>
      <c r="P36" s="482" t="n">
        <f aca="false">O36*$M$18</f>
        <v>0</v>
      </c>
      <c r="Q36" s="481" t="n">
        <v>0</v>
      </c>
      <c r="R36" s="482" t="n">
        <f aca="false">Q36*$M$18</f>
        <v>0</v>
      </c>
      <c r="S36" s="481" t="n">
        <v>0</v>
      </c>
      <c r="T36" s="482" t="n">
        <f aca="false">S36*$M$18</f>
        <v>0</v>
      </c>
      <c r="U36" s="481" t="n">
        <v>0</v>
      </c>
      <c r="V36" s="482" t="n">
        <f aca="false">U36*$M$18</f>
        <v>0</v>
      </c>
      <c r="W36" s="481" t="n">
        <v>0</v>
      </c>
      <c r="X36" s="482" t="n">
        <f aca="false">W36*$M$18</f>
        <v>0</v>
      </c>
      <c r="Y36" s="481" t="n">
        <v>0</v>
      </c>
      <c r="Z36" s="482" t="n">
        <f aca="false">Y36*$M$18+X36/2</f>
        <v>0</v>
      </c>
      <c r="AA36" s="482" t="n">
        <f aca="false">D36+F36+H36+J36+L36+N36+P36+R36+T36+V36+X36+Z36</f>
        <v>0</v>
      </c>
      <c r="AB36" s="467"/>
      <c r="AC36" s="467"/>
      <c r="AD36" s="467"/>
      <c r="AE36" s="467"/>
    </row>
    <row r="37" customFormat="false" ht="15" hidden="false" customHeight="true" outlineLevel="0" collapsed="false">
      <c r="A37" s="467"/>
      <c r="B37" s="480" t="s">
        <v>326</v>
      </c>
      <c r="C37" s="481" t="n">
        <v>0</v>
      </c>
      <c r="D37" s="482" t="n">
        <f aca="false">C37*$M$19</f>
        <v>0</v>
      </c>
      <c r="E37" s="481" t="n">
        <v>0</v>
      </c>
      <c r="F37" s="482" t="n">
        <f aca="false">E37*$M$19</f>
        <v>0</v>
      </c>
      <c r="G37" s="481" t="n">
        <v>0</v>
      </c>
      <c r="H37" s="482" t="n">
        <f aca="false">G37*$M$19</f>
        <v>0</v>
      </c>
      <c r="I37" s="481" t="n">
        <v>0</v>
      </c>
      <c r="J37" s="482" t="n">
        <f aca="false">I37*$M$19</f>
        <v>0</v>
      </c>
      <c r="K37" s="481" t="n">
        <v>0</v>
      </c>
      <c r="L37" s="482" t="n">
        <f aca="false">K37*$M$19</f>
        <v>0</v>
      </c>
      <c r="M37" s="481" t="n">
        <v>0</v>
      </c>
      <c r="N37" s="482" t="n">
        <f aca="false">M37*$M$19+L37/2</f>
        <v>0</v>
      </c>
      <c r="O37" s="481" t="n">
        <v>0</v>
      </c>
      <c r="P37" s="482" t="n">
        <f aca="false">O37*$M$19</f>
        <v>0</v>
      </c>
      <c r="Q37" s="481" t="n">
        <v>0</v>
      </c>
      <c r="R37" s="482" t="n">
        <f aca="false">Q37*$M$19</f>
        <v>0</v>
      </c>
      <c r="S37" s="481" t="n">
        <v>0</v>
      </c>
      <c r="T37" s="482" t="n">
        <f aca="false">S37*$M$19</f>
        <v>0</v>
      </c>
      <c r="U37" s="481" t="n">
        <v>0</v>
      </c>
      <c r="V37" s="482" t="n">
        <f aca="false">U37*$M$19</f>
        <v>0</v>
      </c>
      <c r="W37" s="481" t="n">
        <v>0</v>
      </c>
      <c r="X37" s="482" t="n">
        <f aca="false">W37*$M$19</f>
        <v>0</v>
      </c>
      <c r="Y37" s="481" t="n">
        <v>0</v>
      </c>
      <c r="Z37" s="482" t="n">
        <f aca="false">Y37*$M$19+X37/2</f>
        <v>0</v>
      </c>
      <c r="AA37" s="482" t="n">
        <f aca="false">D37+F37+H37+J37+L37+N37+P37+R37+T37+V37+X37+Z37</f>
        <v>0</v>
      </c>
      <c r="AB37" s="467"/>
      <c r="AC37" s="467"/>
      <c r="AD37" s="467"/>
      <c r="AE37" s="467"/>
    </row>
    <row r="38" customFormat="false" ht="15" hidden="false" customHeight="true" outlineLevel="0" collapsed="false">
      <c r="A38" s="467"/>
      <c r="B38" s="480" t="s">
        <v>328</v>
      </c>
      <c r="C38" s="481" t="n">
        <v>0</v>
      </c>
      <c r="D38" s="482" t="n">
        <f aca="false">C38*$M$20</f>
        <v>0</v>
      </c>
      <c r="E38" s="481" t="n">
        <v>0</v>
      </c>
      <c r="F38" s="482" t="n">
        <f aca="false">E38*$M$20</f>
        <v>0</v>
      </c>
      <c r="G38" s="481" t="n">
        <v>0</v>
      </c>
      <c r="H38" s="482" t="n">
        <f aca="false">G38*$M$20</f>
        <v>0</v>
      </c>
      <c r="I38" s="481" t="n">
        <v>0</v>
      </c>
      <c r="J38" s="482" t="n">
        <f aca="false">I38*$M$20</f>
        <v>0</v>
      </c>
      <c r="K38" s="481" t="n">
        <v>0</v>
      </c>
      <c r="L38" s="482" t="n">
        <f aca="false">K38*$M$20</f>
        <v>0</v>
      </c>
      <c r="M38" s="481" t="n">
        <v>0</v>
      </c>
      <c r="N38" s="482" t="n">
        <f aca="false">M38*$M$20+L38/2</f>
        <v>0</v>
      </c>
      <c r="O38" s="481" t="n">
        <v>0</v>
      </c>
      <c r="P38" s="482" t="n">
        <f aca="false">O38*$M$20</f>
        <v>0</v>
      </c>
      <c r="Q38" s="481" t="n">
        <v>0</v>
      </c>
      <c r="R38" s="482" t="n">
        <f aca="false">Q38*$M$20</f>
        <v>0</v>
      </c>
      <c r="S38" s="481" t="n">
        <v>0</v>
      </c>
      <c r="T38" s="482" t="n">
        <f aca="false">S38*$M$20</f>
        <v>0</v>
      </c>
      <c r="U38" s="481" t="n">
        <v>0</v>
      </c>
      <c r="V38" s="482" t="n">
        <f aca="false">U38*$M$20</f>
        <v>0</v>
      </c>
      <c r="W38" s="481" t="n">
        <v>0</v>
      </c>
      <c r="X38" s="482" t="n">
        <f aca="false">W38*$M$20</f>
        <v>0</v>
      </c>
      <c r="Y38" s="481" t="n">
        <v>0</v>
      </c>
      <c r="Z38" s="482" t="n">
        <f aca="false">Y38*$M$20+X38/2</f>
        <v>0</v>
      </c>
      <c r="AA38" s="482" t="n">
        <f aca="false">D38+F38+H38+J38+L38+N38+P38+R38+T38+V38+X38+Z38</f>
        <v>0</v>
      </c>
      <c r="AB38" s="467"/>
      <c r="AC38" s="467"/>
      <c r="AD38" s="467"/>
      <c r="AE38" s="467"/>
    </row>
    <row r="39" customFormat="false" ht="15" hidden="false" customHeight="true" outlineLevel="0" collapsed="false">
      <c r="A39" s="467"/>
      <c r="B39" s="480" t="s">
        <v>330</v>
      </c>
      <c r="C39" s="481" t="n">
        <v>0</v>
      </c>
      <c r="D39" s="482" t="n">
        <f aca="false">C39*$M$21</f>
        <v>0</v>
      </c>
      <c r="E39" s="481" t="n">
        <v>0</v>
      </c>
      <c r="F39" s="482" t="n">
        <f aca="false">E39*$M$21</f>
        <v>0</v>
      </c>
      <c r="G39" s="481" t="n">
        <v>0</v>
      </c>
      <c r="H39" s="482" t="n">
        <f aca="false">G39*$M$21</f>
        <v>0</v>
      </c>
      <c r="I39" s="481" t="n">
        <v>0</v>
      </c>
      <c r="J39" s="482" t="n">
        <f aca="false">I39*$M$21</f>
        <v>0</v>
      </c>
      <c r="K39" s="481" t="n">
        <v>0</v>
      </c>
      <c r="L39" s="482" t="n">
        <f aca="false">K39*$M$21</f>
        <v>0</v>
      </c>
      <c r="M39" s="481" t="n">
        <v>0</v>
      </c>
      <c r="N39" s="482" t="n">
        <f aca="false">M39*$M$21+L39/2</f>
        <v>0</v>
      </c>
      <c r="O39" s="481" t="n">
        <v>0</v>
      </c>
      <c r="P39" s="482" t="n">
        <f aca="false">O39*$M$21</f>
        <v>0</v>
      </c>
      <c r="Q39" s="481" t="n">
        <v>0</v>
      </c>
      <c r="R39" s="482" t="n">
        <f aca="false">Q39*$M$21</f>
        <v>0</v>
      </c>
      <c r="S39" s="481" t="n">
        <v>0</v>
      </c>
      <c r="T39" s="482" t="n">
        <f aca="false">S39*$M$21</f>
        <v>0</v>
      </c>
      <c r="U39" s="481" t="n">
        <v>0</v>
      </c>
      <c r="V39" s="482" t="n">
        <f aca="false">U39*$M$21</f>
        <v>0</v>
      </c>
      <c r="W39" s="481" t="n">
        <v>0</v>
      </c>
      <c r="X39" s="482" t="n">
        <f aca="false">W39*$M$21</f>
        <v>0</v>
      </c>
      <c r="Y39" s="481" t="n">
        <v>0</v>
      </c>
      <c r="Z39" s="482" t="n">
        <f aca="false">Y39*$M$21+X39/2</f>
        <v>0</v>
      </c>
      <c r="AA39" s="482" t="n">
        <f aca="false">D39+F39+H39+J39+L39+N39+P39+R39+T39+V39+X39+Z39</f>
        <v>0</v>
      </c>
      <c r="AB39" s="467"/>
      <c r="AC39" s="467"/>
      <c r="AD39" s="467"/>
      <c r="AE39" s="467"/>
    </row>
    <row r="40" customFormat="false" ht="15" hidden="false" customHeight="true" outlineLevel="0" collapsed="false">
      <c r="A40" s="467"/>
      <c r="B40" s="480" t="s">
        <v>333</v>
      </c>
      <c r="C40" s="481" t="n">
        <v>0</v>
      </c>
      <c r="D40" s="482" t="n">
        <f aca="false">C40*$M$22</f>
        <v>0</v>
      </c>
      <c r="E40" s="481" t="n">
        <v>0</v>
      </c>
      <c r="F40" s="482" t="n">
        <f aca="false">E40*$M$22</f>
        <v>0</v>
      </c>
      <c r="G40" s="481" t="n">
        <v>0</v>
      </c>
      <c r="H40" s="482" t="n">
        <f aca="false">G40*$M$22</f>
        <v>0</v>
      </c>
      <c r="I40" s="481" t="n">
        <v>0</v>
      </c>
      <c r="J40" s="482" t="n">
        <f aca="false">I40*$M$22</f>
        <v>0</v>
      </c>
      <c r="K40" s="481" t="n">
        <v>0</v>
      </c>
      <c r="L40" s="482" t="n">
        <f aca="false">K40*$M$22</f>
        <v>0</v>
      </c>
      <c r="M40" s="481" t="n">
        <v>0</v>
      </c>
      <c r="N40" s="482" t="n">
        <f aca="false">M40*$M$22+L40/2</f>
        <v>0</v>
      </c>
      <c r="O40" s="481" t="n">
        <v>0</v>
      </c>
      <c r="P40" s="482" t="n">
        <f aca="false">O40*$M$22</f>
        <v>0</v>
      </c>
      <c r="Q40" s="481" t="n">
        <v>0</v>
      </c>
      <c r="R40" s="482" t="n">
        <f aca="false">Q40*$M$22</f>
        <v>0</v>
      </c>
      <c r="S40" s="481" t="n">
        <v>0</v>
      </c>
      <c r="T40" s="482" t="n">
        <f aca="false">S40*$M$22</f>
        <v>0</v>
      </c>
      <c r="U40" s="481" t="n">
        <v>0</v>
      </c>
      <c r="V40" s="482" t="n">
        <f aca="false">U40*$M$22</f>
        <v>0</v>
      </c>
      <c r="W40" s="481" t="n">
        <v>0</v>
      </c>
      <c r="X40" s="482" t="n">
        <f aca="false">W40*$M$22</f>
        <v>0</v>
      </c>
      <c r="Y40" s="481" t="n">
        <v>0</v>
      </c>
      <c r="Z40" s="482" t="n">
        <f aca="false">Y40*$M$22+X40/2</f>
        <v>0</v>
      </c>
      <c r="AA40" s="482" t="n">
        <f aca="false">D40+F40+H40+J40+L40+N40+P40+R40+T40+V40+X40+Z40</f>
        <v>0</v>
      </c>
      <c r="AB40" s="467"/>
      <c r="AC40" s="467"/>
      <c r="AD40" s="467"/>
      <c r="AE40" s="467"/>
    </row>
    <row r="41" customFormat="false" ht="15" hidden="false" customHeight="true" outlineLevel="0" collapsed="false">
      <c r="A41" s="467"/>
      <c r="B41" s="480" t="s">
        <v>105</v>
      </c>
      <c r="C41" s="481" t="n">
        <v>0</v>
      </c>
      <c r="D41" s="482" t="n">
        <f aca="false">C41*$M$23</f>
        <v>0</v>
      </c>
      <c r="E41" s="481" t="n">
        <v>0</v>
      </c>
      <c r="F41" s="482" t="n">
        <f aca="false">E41*$M$23</f>
        <v>0</v>
      </c>
      <c r="G41" s="481" t="n">
        <v>0</v>
      </c>
      <c r="H41" s="482" t="n">
        <f aca="false">G41*$M$23</f>
        <v>0</v>
      </c>
      <c r="I41" s="481" t="n">
        <v>0</v>
      </c>
      <c r="J41" s="482" t="n">
        <f aca="false">I41*$M$23</f>
        <v>0</v>
      </c>
      <c r="K41" s="481" t="n">
        <v>0</v>
      </c>
      <c r="L41" s="482" t="n">
        <f aca="false">K41*$M$23</f>
        <v>0</v>
      </c>
      <c r="M41" s="481" t="n">
        <v>0</v>
      </c>
      <c r="N41" s="482" t="n">
        <f aca="false">M41*$M$23+L41/2</f>
        <v>0</v>
      </c>
      <c r="O41" s="481" t="n">
        <v>0</v>
      </c>
      <c r="P41" s="482" t="n">
        <f aca="false">O41*$M$23</f>
        <v>0</v>
      </c>
      <c r="Q41" s="481" t="n">
        <v>0</v>
      </c>
      <c r="R41" s="482" t="n">
        <f aca="false">Q41*$M$23</f>
        <v>0</v>
      </c>
      <c r="S41" s="481" t="n">
        <v>0</v>
      </c>
      <c r="T41" s="482" t="n">
        <f aca="false">S41*$M$23</f>
        <v>0</v>
      </c>
      <c r="U41" s="481" t="n">
        <v>0</v>
      </c>
      <c r="V41" s="482" t="n">
        <f aca="false">U41*$M$23</f>
        <v>0</v>
      </c>
      <c r="W41" s="481" t="n">
        <v>0</v>
      </c>
      <c r="X41" s="482" t="n">
        <f aca="false">W41*$M$23</f>
        <v>0</v>
      </c>
      <c r="Y41" s="481" t="n">
        <v>0</v>
      </c>
      <c r="Z41" s="482" t="n">
        <f aca="false">Y41*$M$23+X41/2</f>
        <v>0</v>
      </c>
      <c r="AA41" s="482" t="n">
        <f aca="false">D41+F41+H41+J41+L41+N41+P41+R41+T41+V41+X41+Z41</f>
        <v>0</v>
      </c>
      <c r="AB41" s="467"/>
      <c r="AC41" s="467"/>
      <c r="AD41" s="467"/>
      <c r="AE41" s="467"/>
    </row>
    <row r="42" customFormat="false" ht="15" hidden="false" customHeight="true" outlineLevel="0" collapsed="false">
      <c r="A42" s="467"/>
      <c r="B42" s="480" t="s">
        <v>336</v>
      </c>
      <c r="C42" s="481" t="n">
        <v>0</v>
      </c>
      <c r="D42" s="482" t="n">
        <f aca="false">C42*$M$24</f>
        <v>0</v>
      </c>
      <c r="E42" s="481" t="n">
        <v>0</v>
      </c>
      <c r="F42" s="482" t="n">
        <f aca="false">E42*$M$24</f>
        <v>0</v>
      </c>
      <c r="G42" s="481" t="n">
        <v>0</v>
      </c>
      <c r="H42" s="482" t="n">
        <f aca="false">G42*$M$24</f>
        <v>0</v>
      </c>
      <c r="I42" s="481" t="n">
        <v>0</v>
      </c>
      <c r="J42" s="482" t="n">
        <f aca="false">I42*$M$24</f>
        <v>0</v>
      </c>
      <c r="K42" s="481" t="n">
        <v>0</v>
      </c>
      <c r="L42" s="482" t="n">
        <f aca="false">K42*$M$24</f>
        <v>0</v>
      </c>
      <c r="M42" s="481" t="n">
        <v>0</v>
      </c>
      <c r="N42" s="482" t="n">
        <f aca="false">M42*$M$24+L42/2</f>
        <v>0</v>
      </c>
      <c r="O42" s="481" t="n">
        <v>0</v>
      </c>
      <c r="P42" s="482" t="n">
        <f aca="false">O42*$M$24</f>
        <v>0</v>
      </c>
      <c r="Q42" s="481" t="n">
        <v>0</v>
      </c>
      <c r="R42" s="482" t="n">
        <f aca="false">Q42*$M$24</f>
        <v>0</v>
      </c>
      <c r="S42" s="481" t="n">
        <v>0</v>
      </c>
      <c r="T42" s="482" t="n">
        <f aca="false">S42*$M$24</f>
        <v>0</v>
      </c>
      <c r="U42" s="481" t="n">
        <v>0</v>
      </c>
      <c r="V42" s="482" t="n">
        <f aca="false">U42*$M$24</f>
        <v>0</v>
      </c>
      <c r="W42" s="481" t="n">
        <v>0</v>
      </c>
      <c r="X42" s="482" t="n">
        <f aca="false">W42*$M$24</f>
        <v>0</v>
      </c>
      <c r="Y42" s="481" t="n">
        <v>0</v>
      </c>
      <c r="Z42" s="482" t="n">
        <f aca="false">Y42*$M$24+X42/2</f>
        <v>0</v>
      </c>
      <c r="AA42" s="482" t="n">
        <f aca="false">D42+F42+H42+J42+L42+N42+P42+R42+T42+V42+X42+Z42</f>
        <v>0</v>
      </c>
      <c r="AB42" s="467"/>
      <c r="AC42" s="467"/>
      <c r="AD42" s="467"/>
      <c r="AE42" s="467"/>
    </row>
    <row r="43" customFormat="false" ht="15" hidden="false" customHeight="true" outlineLevel="0" collapsed="false">
      <c r="A43" s="467"/>
      <c r="B43" s="480" t="s">
        <v>338</v>
      </c>
      <c r="C43" s="481" t="n">
        <v>0</v>
      </c>
      <c r="D43" s="482" t="n">
        <f aca="false">C43*$M$25</f>
        <v>0</v>
      </c>
      <c r="E43" s="481" t="n">
        <v>0</v>
      </c>
      <c r="F43" s="482" t="n">
        <f aca="false">E43*$M$25</f>
        <v>0</v>
      </c>
      <c r="G43" s="481" t="n">
        <v>0</v>
      </c>
      <c r="H43" s="482" t="n">
        <f aca="false">G43*$M$25</f>
        <v>0</v>
      </c>
      <c r="I43" s="481" t="n">
        <v>0</v>
      </c>
      <c r="J43" s="482" t="n">
        <f aca="false">I43*$M$25</f>
        <v>0</v>
      </c>
      <c r="K43" s="481" t="n">
        <v>0</v>
      </c>
      <c r="L43" s="482" t="n">
        <f aca="false">K43*$M$25</f>
        <v>0</v>
      </c>
      <c r="M43" s="481" t="n">
        <v>0</v>
      </c>
      <c r="N43" s="482" t="n">
        <f aca="false">M43*$M$25+L43/2</f>
        <v>0</v>
      </c>
      <c r="O43" s="481" t="n">
        <v>0</v>
      </c>
      <c r="P43" s="482" t="n">
        <f aca="false">O43*$M$25</f>
        <v>0</v>
      </c>
      <c r="Q43" s="481" t="n">
        <v>0</v>
      </c>
      <c r="R43" s="482" t="n">
        <f aca="false">Q43*$M$25</f>
        <v>0</v>
      </c>
      <c r="S43" s="481" t="n">
        <v>0</v>
      </c>
      <c r="T43" s="482" t="n">
        <f aca="false">S43*$M$25</f>
        <v>0</v>
      </c>
      <c r="U43" s="481" t="n">
        <v>0</v>
      </c>
      <c r="V43" s="482" t="n">
        <f aca="false">U43*$M$25</f>
        <v>0</v>
      </c>
      <c r="W43" s="481" t="n">
        <v>0</v>
      </c>
      <c r="X43" s="482" t="n">
        <f aca="false">W43*$M$25</f>
        <v>0</v>
      </c>
      <c r="Y43" s="481" t="n">
        <v>0</v>
      </c>
      <c r="Z43" s="482" t="n">
        <f aca="false">Y43*$M$25+X43/2</f>
        <v>0</v>
      </c>
      <c r="AA43" s="482" t="n">
        <f aca="false">D43+F43+H43+J43+L43+N43+P43+R43+T43+V43+X43+Z43</f>
        <v>0</v>
      </c>
      <c r="AB43" s="467"/>
      <c r="AC43" s="467"/>
      <c r="AD43" s="467"/>
      <c r="AE43" s="467"/>
    </row>
    <row r="44" customFormat="false" ht="16.5" hidden="false" customHeight="true" outlineLevel="0" collapsed="false">
      <c r="A44" s="467"/>
      <c r="B44" s="480" t="s">
        <v>107</v>
      </c>
      <c r="C44" s="481" t="n">
        <v>0</v>
      </c>
      <c r="D44" s="482" t="n">
        <f aca="false">C44*$M$26</f>
        <v>0</v>
      </c>
      <c r="E44" s="481" t="n">
        <v>0</v>
      </c>
      <c r="F44" s="482" t="n">
        <f aca="false">E44*$M$26</f>
        <v>0</v>
      </c>
      <c r="G44" s="481" t="n">
        <v>0</v>
      </c>
      <c r="H44" s="482" t="n">
        <f aca="false">G44*$M$26</f>
        <v>0</v>
      </c>
      <c r="I44" s="481" t="n">
        <v>0</v>
      </c>
      <c r="J44" s="482" t="n">
        <f aca="false">I44*$M$26</f>
        <v>0</v>
      </c>
      <c r="K44" s="481" t="n">
        <v>0</v>
      </c>
      <c r="L44" s="482" t="n">
        <f aca="false">K44*$M$26</f>
        <v>0</v>
      </c>
      <c r="M44" s="481" t="n">
        <v>0</v>
      </c>
      <c r="N44" s="482" t="n">
        <f aca="false">M44*$M$26+L44/2</f>
        <v>0</v>
      </c>
      <c r="O44" s="481" t="n">
        <v>0</v>
      </c>
      <c r="P44" s="482" t="n">
        <f aca="false">O44*$M$26</f>
        <v>0</v>
      </c>
      <c r="Q44" s="481" t="n">
        <v>0</v>
      </c>
      <c r="R44" s="482" t="n">
        <f aca="false">Q44*$M$26</f>
        <v>0</v>
      </c>
      <c r="S44" s="481" t="n">
        <v>0</v>
      </c>
      <c r="T44" s="482" t="n">
        <f aca="false">S44*$M$26</f>
        <v>0</v>
      </c>
      <c r="U44" s="481" t="n">
        <v>0</v>
      </c>
      <c r="V44" s="482" t="n">
        <f aca="false">U44*$M$26</f>
        <v>0</v>
      </c>
      <c r="W44" s="481" t="n">
        <v>0</v>
      </c>
      <c r="X44" s="482" t="n">
        <f aca="false">W44*$M$26</f>
        <v>0</v>
      </c>
      <c r="Y44" s="481" t="n">
        <v>0</v>
      </c>
      <c r="Z44" s="482" t="n">
        <f aca="false">Y44*$M$26+X44/2</f>
        <v>0</v>
      </c>
      <c r="AA44" s="482" t="n">
        <f aca="false">D44+F44+H44+J44+L44+N44+P44+R44+T44+V44+X44+Z44</f>
        <v>0</v>
      </c>
      <c r="AB44" s="467"/>
      <c r="AC44" s="467"/>
      <c r="AD44" s="467"/>
      <c r="AE44" s="467"/>
    </row>
    <row r="45" customFormat="false" ht="15" hidden="false" customHeight="true" outlineLevel="0" collapsed="false">
      <c r="A45" s="467"/>
      <c r="B45" s="480" t="s">
        <v>340</v>
      </c>
      <c r="C45" s="481" t="n">
        <v>0</v>
      </c>
      <c r="D45" s="482" t="n">
        <f aca="false">C45*$M$27</f>
        <v>0</v>
      </c>
      <c r="E45" s="481" t="n">
        <v>0</v>
      </c>
      <c r="F45" s="482" t="n">
        <f aca="false">E45*$M$27</f>
        <v>0</v>
      </c>
      <c r="G45" s="481" t="n">
        <v>0</v>
      </c>
      <c r="H45" s="482" t="n">
        <f aca="false">G45*$M$27</f>
        <v>0</v>
      </c>
      <c r="I45" s="481" t="n">
        <v>0</v>
      </c>
      <c r="J45" s="482" t="n">
        <f aca="false">I45*$M$27</f>
        <v>0</v>
      </c>
      <c r="K45" s="481" t="n">
        <v>0</v>
      </c>
      <c r="L45" s="482" t="n">
        <f aca="false">K45*$M$27</f>
        <v>0</v>
      </c>
      <c r="M45" s="481" t="n">
        <v>0</v>
      </c>
      <c r="N45" s="482" t="n">
        <f aca="false">M45*$M$27+L45/2</f>
        <v>0</v>
      </c>
      <c r="O45" s="481" t="n">
        <v>0</v>
      </c>
      <c r="P45" s="482" t="n">
        <f aca="false">O45*$M$27</f>
        <v>0</v>
      </c>
      <c r="Q45" s="481" t="n">
        <v>0</v>
      </c>
      <c r="R45" s="482" t="n">
        <f aca="false">Q45*$M$27</f>
        <v>0</v>
      </c>
      <c r="S45" s="481" t="n">
        <v>0</v>
      </c>
      <c r="T45" s="482" t="n">
        <f aca="false">S45*$M$27</f>
        <v>0</v>
      </c>
      <c r="U45" s="481" t="n">
        <v>0</v>
      </c>
      <c r="V45" s="482" t="n">
        <f aca="false">U45*$M$27</f>
        <v>0</v>
      </c>
      <c r="W45" s="481" t="n">
        <v>0</v>
      </c>
      <c r="X45" s="482" t="n">
        <f aca="false">W45*$M$27</f>
        <v>0</v>
      </c>
      <c r="Y45" s="481" t="n">
        <v>0</v>
      </c>
      <c r="Z45" s="482" t="n">
        <f aca="false">Y45*$M$27+X45/2</f>
        <v>0</v>
      </c>
      <c r="AA45" s="482" t="n">
        <f aca="false">D45+F45+H45+J45+L45+N45+P45+R45+T45+V45+X45+Z45</f>
        <v>0</v>
      </c>
      <c r="AB45" s="467"/>
      <c r="AC45" s="467"/>
      <c r="AD45" s="467"/>
      <c r="AE45" s="467"/>
    </row>
    <row r="46" customFormat="false" ht="15" hidden="false" customHeight="true" outlineLevel="0" collapsed="false">
      <c r="A46" s="467"/>
      <c r="B46" s="483" t="s">
        <v>344</v>
      </c>
      <c r="C46" s="484" t="n">
        <f aca="false">SUM(C32:C45)</f>
        <v>2</v>
      </c>
      <c r="D46" s="485" t="n">
        <f aca="false">SUM(D32:D45)</f>
        <v>5178.4</v>
      </c>
      <c r="E46" s="484" t="n">
        <f aca="false">SUM(E32:E45)</f>
        <v>2</v>
      </c>
      <c r="F46" s="485" t="n">
        <f aca="false">SUM(F32:F45)</f>
        <v>5178.4</v>
      </c>
      <c r="G46" s="484" t="n">
        <f aca="false">SUM(G32:G45)</f>
        <v>2</v>
      </c>
      <c r="H46" s="485" t="n">
        <f aca="false">SUM(H32:H45)</f>
        <v>5178.4</v>
      </c>
      <c r="I46" s="484" t="n">
        <f aca="false">SUM(I32:I45)</f>
        <v>2</v>
      </c>
      <c r="J46" s="485" t="n">
        <f aca="false">SUM(J32:J45)</f>
        <v>5178.4</v>
      </c>
      <c r="K46" s="484" t="n">
        <f aca="false">SUM(K32:K45)</f>
        <v>2</v>
      </c>
      <c r="L46" s="485" t="n">
        <f aca="false">SUM(L32:L45)</f>
        <v>5178.4</v>
      </c>
      <c r="M46" s="484" t="n">
        <f aca="false">SUM(M32:M45)</f>
        <v>2</v>
      </c>
      <c r="N46" s="485" t="n">
        <f aca="false">SUM(N32:N45)</f>
        <v>7767.6</v>
      </c>
      <c r="O46" s="484" t="n">
        <f aca="false">SUM(O32:O45)</f>
        <v>2</v>
      </c>
      <c r="P46" s="485" t="n">
        <f aca="false">SUM(P32:P45)</f>
        <v>5178.4</v>
      </c>
      <c r="Q46" s="484" t="n">
        <f aca="false">SUM(Q32:Q45)</f>
        <v>2</v>
      </c>
      <c r="R46" s="485" t="n">
        <f aca="false">SUM(R32:R45)</f>
        <v>5178.4</v>
      </c>
      <c r="S46" s="484" t="n">
        <f aca="false">SUM(S32:S45)</f>
        <v>2</v>
      </c>
      <c r="T46" s="485" t="n">
        <f aca="false">SUM(T32:T45)</f>
        <v>5178.4</v>
      </c>
      <c r="U46" s="484" t="n">
        <f aca="false">SUM(U32:U45)</f>
        <v>2</v>
      </c>
      <c r="V46" s="485" t="n">
        <f aca="false">SUM(V32:V45)</f>
        <v>5178.4</v>
      </c>
      <c r="W46" s="484" t="n">
        <f aca="false">SUM(W32:W45)</f>
        <v>2</v>
      </c>
      <c r="X46" s="485" t="n">
        <f aca="false">SUM(X32:X45)</f>
        <v>5178.4</v>
      </c>
      <c r="Y46" s="484" t="n">
        <f aca="false">SUM(Y32:Y45)</f>
        <v>2</v>
      </c>
      <c r="Z46" s="485" t="n">
        <f aca="false">SUM(Z32:Z45)</f>
        <v>7767.6</v>
      </c>
      <c r="AA46" s="485" t="n">
        <f aca="false">SUM(AA32:AA45)</f>
        <v>67319.2</v>
      </c>
      <c r="AB46" s="467"/>
      <c r="AC46" s="467"/>
      <c r="AD46" s="467"/>
      <c r="AE46" s="467"/>
    </row>
    <row r="47" customFormat="false" ht="15.75" hidden="false" customHeight="true" outlineLevel="0" collapsed="false">
      <c r="A47" s="467"/>
      <c r="B47" s="467"/>
      <c r="C47" s="467"/>
      <c r="D47" s="467"/>
      <c r="E47" s="467"/>
      <c r="F47" s="467"/>
      <c r="G47" s="467"/>
      <c r="H47" s="467"/>
      <c r="I47" s="467"/>
      <c r="J47" s="467"/>
      <c r="K47" s="467"/>
      <c r="L47" s="467"/>
      <c r="M47" s="467"/>
      <c r="N47" s="467"/>
      <c r="O47" s="467"/>
      <c r="P47" s="467"/>
      <c r="Q47" s="467"/>
      <c r="R47" s="467"/>
      <c r="S47" s="467"/>
      <c r="T47" s="467"/>
      <c r="U47" s="467"/>
      <c r="V47" s="467"/>
      <c r="W47" s="467"/>
      <c r="X47" s="467"/>
      <c r="Y47" s="467"/>
      <c r="Z47" s="467"/>
      <c r="AA47" s="467"/>
      <c r="AB47" s="467"/>
      <c r="AC47" s="467"/>
      <c r="AD47" s="467"/>
      <c r="AE47" s="467"/>
    </row>
    <row r="48" customFormat="false" ht="27" hidden="false" customHeight="true" outlineLevel="0" collapsed="false">
      <c r="A48" s="467"/>
      <c r="B48" s="467"/>
      <c r="C48" s="467"/>
      <c r="D48" s="467"/>
      <c r="E48" s="467"/>
      <c r="F48" s="467"/>
      <c r="G48" s="467"/>
      <c r="H48" s="467"/>
      <c r="I48" s="467"/>
      <c r="J48" s="467"/>
      <c r="K48" s="467"/>
      <c r="L48" s="467"/>
      <c r="M48" s="467"/>
      <c r="N48" s="467"/>
      <c r="O48" s="467"/>
      <c r="P48" s="467"/>
      <c r="Q48" s="467"/>
      <c r="R48" s="467"/>
      <c r="S48" s="467"/>
      <c r="T48" s="467"/>
      <c r="U48" s="467"/>
      <c r="V48" s="467"/>
      <c r="W48" s="467"/>
      <c r="X48" s="467"/>
      <c r="Y48" s="467"/>
      <c r="Z48" s="467"/>
      <c r="AA48" s="467"/>
      <c r="AB48" s="467"/>
      <c r="AC48" s="467"/>
      <c r="AD48" s="467"/>
      <c r="AE48" s="467"/>
    </row>
    <row r="49" customFormat="false" ht="15.75" hidden="false" customHeight="true" outlineLevel="0" collapsed="false">
      <c r="A49" s="467"/>
      <c r="B49" s="467"/>
      <c r="C49" s="467"/>
      <c r="D49" s="467"/>
      <c r="E49" s="467"/>
      <c r="F49" s="467"/>
      <c r="G49" s="467"/>
      <c r="H49" s="467"/>
      <c r="I49" s="467"/>
      <c r="J49" s="467"/>
      <c r="K49" s="467"/>
      <c r="L49" s="467"/>
      <c r="M49" s="467"/>
      <c r="N49" s="467"/>
      <c r="O49" s="467"/>
      <c r="P49" s="467"/>
      <c r="Q49" s="467"/>
      <c r="R49" s="467"/>
      <c r="S49" s="467"/>
      <c r="T49" s="467"/>
      <c r="U49" s="467"/>
      <c r="V49" s="467"/>
      <c r="W49" s="467"/>
      <c r="X49" s="467"/>
      <c r="Y49" s="467"/>
      <c r="Z49" s="467"/>
      <c r="AA49" s="467"/>
      <c r="AB49" s="467"/>
      <c r="AC49" s="467"/>
      <c r="AD49" s="467"/>
      <c r="AE49" s="467"/>
    </row>
    <row r="50" customFormat="false" ht="15.75" hidden="false" customHeight="true" outlineLevel="0" collapsed="false">
      <c r="A50" s="467"/>
      <c r="B50" s="463" t="s">
        <v>345</v>
      </c>
      <c r="C50" s="463"/>
      <c r="D50" s="463"/>
      <c r="E50" s="463"/>
      <c r="F50" s="463"/>
      <c r="G50" s="463"/>
      <c r="H50" s="463"/>
      <c r="I50" s="463"/>
      <c r="J50" s="463"/>
      <c r="K50" s="463"/>
      <c r="L50" s="463"/>
      <c r="M50" s="463"/>
      <c r="N50" s="463"/>
      <c r="O50" s="463"/>
      <c r="P50" s="463"/>
      <c r="Q50" s="463"/>
      <c r="R50" s="463"/>
      <c r="S50" s="463"/>
      <c r="T50" s="463"/>
      <c r="U50" s="463"/>
      <c r="V50" s="463"/>
      <c r="W50" s="463"/>
      <c r="X50" s="463"/>
      <c r="Y50" s="463"/>
      <c r="Z50" s="463"/>
      <c r="AA50" s="463"/>
      <c r="AB50" s="467"/>
      <c r="AC50" s="467"/>
      <c r="AD50" s="467"/>
      <c r="AE50" s="467"/>
    </row>
    <row r="51" customFormat="false" ht="15" hidden="false" customHeight="true" outlineLevel="0" collapsed="false">
      <c r="A51" s="467"/>
      <c r="B51" s="478" t="s">
        <v>303</v>
      </c>
      <c r="C51" s="478" t="s">
        <v>81</v>
      </c>
      <c r="D51" s="478"/>
      <c r="E51" s="478" t="s">
        <v>82</v>
      </c>
      <c r="F51" s="478"/>
      <c r="G51" s="478" t="s">
        <v>83</v>
      </c>
      <c r="H51" s="478"/>
      <c r="I51" s="478" t="s">
        <v>84</v>
      </c>
      <c r="J51" s="478"/>
      <c r="K51" s="478" t="s">
        <v>85</v>
      </c>
      <c r="L51" s="478"/>
      <c r="M51" s="478" t="s">
        <v>342</v>
      </c>
      <c r="N51" s="478"/>
      <c r="O51" s="478" t="s">
        <v>87</v>
      </c>
      <c r="P51" s="478"/>
      <c r="Q51" s="478" t="s">
        <v>88</v>
      </c>
      <c r="R51" s="478"/>
      <c r="S51" s="478" t="s">
        <v>89</v>
      </c>
      <c r="T51" s="478"/>
      <c r="U51" s="478" t="s">
        <v>90</v>
      </c>
      <c r="V51" s="478"/>
      <c r="W51" s="478" t="s">
        <v>91</v>
      </c>
      <c r="X51" s="478"/>
      <c r="Y51" s="478" t="s">
        <v>343</v>
      </c>
      <c r="Z51" s="478"/>
      <c r="AA51" s="478" t="s">
        <v>249</v>
      </c>
      <c r="AB51" s="467"/>
      <c r="AC51" s="467"/>
      <c r="AD51" s="467"/>
      <c r="AE51" s="467"/>
    </row>
    <row r="52" customFormat="false" ht="15" hidden="false" customHeight="true" outlineLevel="0" collapsed="false">
      <c r="A52" s="467"/>
      <c r="B52" s="478"/>
      <c r="C52" s="479" t="s">
        <v>37</v>
      </c>
      <c r="D52" s="479" t="s">
        <v>284</v>
      </c>
      <c r="E52" s="479" t="s">
        <v>37</v>
      </c>
      <c r="F52" s="479" t="s">
        <v>284</v>
      </c>
      <c r="G52" s="479" t="s">
        <v>37</v>
      </c>
      <c r="H52" s="479" t="s">
        <v>284</v>
      </c>
      <c r="I52" s="479" t="s">
        <v>37</v>
      </c>
      <c r="J52" s="479" t="s">
        <v>284</v>
      </c>
      <c r="K52" s="479" t="s">
        <v>37</v>
      </c>
      <c r="L52" s="479" t="s">
        <v>284</v>
      </c>
      <c r="M52" s="479" t="s">
        <v>37</v>
      </c>
      <c r="N52" s="479" t="s">
        <v>284</v>
      </c>
      <c r="O52" s="479" t="s">
        <v>37</v>
      </c>
      <c r="P52" s="479" t="s">
        <v>284</v>
      </c>
      <c r="Q52" s="479" t="s">
        <v>37</v>
      </c>
      <c r="R52" s="479" t="s">
        <v>284</v>
      </c>
      <c r="S52" s="479" t="s">
        <v>37</v>
      </c>
      <c r="T52" s="479" t="s">
        <v>284</v>
      </c>
      <c r="U52" s="479" t="s">
        <v>37</v>
      </c>
      <c r="V52" s="479" t="s">
        <v>284</v>
      </c>
      <c r="W52" s="479" t="s">
        <v>37</v>
      </c>
      <c r="X52" s="479" t="s">
        <v>284</v>
      </c>
      <c r="Y52" s="479" t="s">
        <v>37</v>
      </c>
      <c r="Z52" s="479" t="s">
        <v>284</v>
      </c>
      <c r="AA52" s="478"/>
      <c r="AB52" s="467"/>
      <c r="AC52" s="467"/>
      <c r="AD52" s="467"/>
      <c r="AE52" s="467"/>
    </row>
    <row r="53" customFormat="false" ht="15" hidden="false" customHeight="true" outlineLevel="0" collapsed="false">
      <c r="A53" s="467"/>
      <c r="B53" s="480" t="s">
        <v>316</v>
      </c>
      <c r="C53" s="481" t="n">
        <v>1</v>
      </c>
      <c r="D53" s="482" t="n">
        <f aca="false">C53*$M$14</f>
        <v>2589.2</v>
      </c>
      <c r="E53" s="481" t="n">
        <v>1</v>
      </c>
      <c r="F53" s="482" t="n">
        <f aca="false">E53*$M$14</f>
        <v>2589.2</v>
      </c>
      <c r="G53" s="481" t="n">
        <v>1</v>
      </c>
      <c r="H53" s="482" t="n">
        <f aca="false">G53*$M$14</f>
        <v>2589.2</v>
      </c>
      <c r="I53" s="481" t="n">
        <v>1</v>
      </c>
      <c r="J53" s="482" t="n">
        <f aca="false">I53*$M$14</f>
        <v>2589.2</v>
      </c>
      <c r="K53" s="481" t="n">
        <v>1</v>
      </c>
      <c r="L53" s="482" t="n">
        <f aca="false">K53*$M$14</f>
        <v>2589.2</v>
      </c>
      <c r="M53" s="481" t="n">
        <v>1</v>
      </c>
      <c r="N53" s="482" t="n">
        <f aca="false">M53*$M$14+L53/2</f>
        <v>3883.8</v>
      </c>
      <c r="O53" s="481" t="n">
        <v>1</v>
      </c>
      <c r="P53" s="482" t="n">
        <f aca="false">O53*$M$14</f>
        <v>2589.2</v>
      </c>
      <c r="Q53" s="481" t="n">
        <v>1</v>
      </c>
      <c r="R53" s="482" t="n">
        <f aca="false">Q53*$M$14</f>
        <v>2589.2</v>
      </c>
      <c r="S53" s="481" t="n">
        <v>1</v>
      </c>
      <c r="T53" s="482" t="n">
        <f aca="false">S53*$M$14</f>
        <v>2589.2</v>
      </c>
      <c r="U53" s="481" t="n">
        <v>1</v>
      </c>
      <c r="V53" s="482" t="n">
        <f aca="false">U53*$M$14</f>
        <v>2589.2</v>
      </c>
      <c r="W53" s="481" t="n">
        <v>1</v>
      </c>
      <c r="X53" s="482" t="n">
        <f aca="false">W53*$M$14</f>
        <v>2589.2</v>
      </c>
      <c r="Y53" s="481" t="n">
        <v>1</v>
      </c>
      <c r="Z53" s="482" t="n">
        <f aca="false">Y53*$M$14+X53/2</f>
        <v>3883.8</v>
      </c>
      <c r="AA53" s="482" t="n">
        <f aca="false">D53+F53+H53+J53+L53+N53+P53+R53+T53+V53+X53+Z53</f>
        <v>33659.6</v>
      </c>
      <c r="AB53" s="467"/>
      <c r="AC53" s="467"/>
      <c r="AD53" s="467"/>
      <c r="AE53" s="467"/>
    </row>
    <row r="54" customFormat="false" ht="15" hidden="false" customHeight="true" outlineLevel="0" collapsed="false">
      <c r="A54" s="467"/>
      <c r="B54" s="480" t="s">
        <v>318</v>
      </c>
      <c r="C54" s="481" t="n">
        <v>1</v>
      </c>
      <c r="D54" s="482" t="n">
        <f aca="false">C54*$M$15</f>
        <v>2589.2</v>
      </c>
      <c r="E54" s="481" t="n">
        <v>1</v>
      </c>
      <c r="F54" s="482" t="n">
        <f aca="false">E54*$M$15</f>
        <v>2589.2</v>
      </c>
      <c r="G54" s="481" t="n">
        <v>1</v>
      </c>
      <c r="H54" s="482" t="n">
        <f aca="false">G54*$M$15</f>
        <v>2589.2</v>
      </c>
      <c r="I54" s="481" t="n">
        <v>1</v>
      </c>
      <c r="J54" s="482" t="n">
        <f aca="false">I54*$M$15</f>
        <v>2589.2</v>
      </c>
      <c r="K54" s="481" t="n">
        <v>1</v>
      </c>
      <c r="L54" s="482" t="n">
        <f aca="false">K54*$M$15</f>
        <v>2589.2</v>
      </c>
      <c r="M54" s="481" t="n">
        <v>1</v>
      </c>
      <c r="N54" s="482" t="n">
        <f aca="false">M54*$M$15+L54/2</f>
        <v>3883.8</v>
      </c>
      <c r="O54" s="481" t="n">
        <v>1</v>
      </c>
      <c r="P54" s="482" t="n">
        <f aca="false">O54*$M$15</f>
        <v>2589.2</v>
      </c>
      <c r="Q54" s="481" t="n">
        <v>1</v>
      </c>
      <c r="R54" s="482" t="n">
        <f aca="false">Q54*$M$15</f>
        <v>2589.2</v>
      </c>
      <c r="S54" s="481" t="n">
        <v>1</v>
      </c>
      <c r="T54" s="482" t="n">
        <f aca="false">S54*$M$15</f>
        <v>2589.2</v>
      </c>
      <c r="U54" s="481" t="n">
        <v>1</v>
      </c>
      <c r="V54" s="482" t="n">
        <f aca="false">U54*$M$15</f>
        <v>2589.2</v>
      </c>
      <c r="W54" s="481" t="n">
        <v>1</v>
      </c>
      <c r="X54" s="482" t="n">
        <f aca="false">W54*$M$15</f>
        <v>2589.2</v>
      </c>
      <c r="Y54" s="481" t="n">
        <v>1</v>
      </c>
      <c r="Z54" s="482" t="n">
        <f aca="false">Y54*$M$15+X54/2</f>
        <v>3883.8</v>
      </c>
      <c r="AA54" s="482" t="n">
        <f aca="false">D54+F54+H54+J54+L54+N54+P54+R54+T54+V54+X54+Z54</f>
        <v>33659.6</v>
      </c>
      <c r="AB54" s="467"/>
      <c r="AC54" s="467"/>
      <c r="AD54" s="467"/>
      <c r="AE54" s="467"/>
    </row>
    <row r="55" customFormat="false" ht="15" hidden="false" customHeight="true" outlineLevel="0" collapsed="false">
      <c r="A55" s="467"/>
      <c r="B55" s="480" t="s">
        <v>320</v>
      </c>
      <c r="C55" s="481" t="n">
        <v>0</v>
      </c>
      <c r="D55" s="482" t="n">
        <f aca="false">C55*$M$16</f>
        <v>0</v>
      </c>
      <c r="E55" s="481" t="n">
        <v>0</v>
      </c>
      <c r="F55" s="482" t="n">
        <f aca="false">E55*$M$16</f>
        <v>0</v>
      </c>
      <c r="G55" s="481" t="n">
        <v>0</v>
      </c>
      <c r="H55" s="482" t="n">
        <f aca="false">G55*$M$16</f>
        <v>0</v>
      </c>
      <c r="I55" s="481" t="n">
        <v>0</v>
      </c>
      <c r="J55" s="482" t="n">
        <f aca="false">I55*$M$16</f>
        <v>0</v>
      </c>
      <c r="K55" s="481" t="n">
        <v>0</v>
      </c>
      <c r="L55" s="482" t="n">
        <f aca="false">K55*$M$16</f>
        <v>0</v>
      </c>
      <c r="M55" s="481" t="n">
        <v>0</v>
      </c>
      <c r="N55" s="482" t="n">
        <f aca="false">M55*$M$16+L55/2</f>
        <v>0</v>
      </c>
      <c r="O55" s="481" t="n">
        <v>0</v>
      </c>
      <c r="P55" s="482" t="n">
        <f aca="false">O55*$M$16</f>
        <v>0</v>
      </c>
      <c r="Q55" s="481" t="n">
        <v>0</v>
      </c>
      <c r="R55" s="482" t="n">
        <f aca="false">Q55*$M$16</f>
        <v>0</v>
      </c>
      <c r="S55" s="481" t="n">
        <v>0</v>
      </c>
      <c r="T55" s="482" t="n">
        <f aca="false">S55*$M$16</f>
        <v>0</v>
      </c>
      <c r="U55" s="481" t="n">
        <v>0</v>
      </c>
      <c r="V55" s="482" t="n">
        <f aca="false">U55*$M$16</f>
        <v>0</v>
      </c>
      <c r="W55" s="481" t="n">
        <v>0</v>
      </c>
      <c r="X55" s="482" t="n">
        <f aca="false">W55*$M$16</f>
        <v>0</v>
      </c>
      <c r="Y55" s="481" t="n">
        <v>0</v>
      </c>
      <c r="Z55" s="482" t="n">
        <f aca="false">Y55*$M$16+X55/2</f>
        <v>0</v>
      </c>
      <c r="AA55" s="482" t="n">
        <f aca="false">D55+F55+H55+J55+L55+N55+P55+R55+T55+V55+X55+Z55</f>
        <v>0</v>
      </c>
      <c r="AB55" s="467"/>
      <c r="AC55" s="467"/>
      <c r="AD55" s="467"/>
      <c r="AE55" s="467"/>
    </row>
    <row r="56" customFormat="false" ht="15" hidden="false" customHeight="true" outlineLevel="0" collapsed="false">
      <c r="A56" s="467"/>
      <c r="B56" s="480" t="s">
        <v>322</v>
      </c>
      <c r="C56" s="481" t="n">
        <v>0</v>
      </c>
      <c r="D56" s="482" t="n">
        <f aca="false">C56*$M$17</f>
        <v>0</v>
      </c>
      <c r="E56" s="481" t="n">
        <v>0</v>
      </c>
      <c r="F56" s="482" t="n">
        <f aca="false">E56*$M$17</f>
        <v>0</v>
      </c>
      <c r="G56" s="481" t="n">
        <v>0</v>
      </c>
      <c r="H56" s="482" t="n">
        <f aca="false">G56*$M$17</f>
        <v>0</v>
      </c>
      <c r="I56" s="481" t="n">
        <v>0</v>
      </c>
      <c r="J56" s="482" t="n">
        <f aca="false">I56*$M$17</f>
        <v>0</v>
      </c>
      <c r="K56" s="481" t="n">
        <v>0</v>
      </c>
      <c r="L56" s="482" t="n">
        <f aca="false">K56*$M$17</f>
        <v>0</v>
      </c>
      <c r="M56" s="481" t="n">
        <v>0</v>
      </c>
      <c r="N56" s="482" t="n">
        <f aca="false">M56*$M$17+L56/2</f>
        <v>0</v>
      </c>
      <c r="O56" s="481" t="n">
        <v>0</v>
      </c>
      <c r="P56" s="482" t="n">
        <f aca="false">O56*$M$17</f>
        <v>0</v>
      </c>
      <c r="Q56" s="481" t="n">
        <v>0</v>
      </c>
      <c r="R56" s="482" t="n">
        <f aca="false">Q56*$M$17</f>
        <v>0</v>
      </c>
      <c r="S56" s="481" t="n">
        <v>0</v>
      </c>
      <c r="T56" s="482" t="n">
        <f aca="false">S56*$M$17</f>
        <v>0</v>
      </c>
      <c r="U56" s="481" t="n">
        <v>0</v>
      </c>
      <c r="V56" s="482" t="n">
        <f aca="false">U56*$M$17</f>
        <v>0</v>
      </c>
      <c r="W56" s="481" t="n">
        <v>0</v>
      </c>
      <c r="X56" s="482" t="n">
        <f aca="false">W56*$M$17</f>
        <v>0</v>
      </c>
      <c r="Y56" s="481" t="n">
        <v>0</v>
      </c>
      <c r="Z56" s="482" t="n">
        <f aca="false">Y56*$M$17+X56/2</f>
        <v>0</v>
      </c>
      <c r="AA56" s="482" t="n">
        <f aca="false">D56+F56+H56+J56+L56+N56+P56+R56+T56+V56+X56+Z56</f>
        <v>0</v>
      </c>
      <c r="AB56" s="467"/>
      <c r="AC56" s="467"/>
      <c r="AD56" s="467"/>
      <c r="AE56" s="467"/>
    </row>
    <row r="57" customFormat="false" ht="15" hidden="false" customHeight="true" outlineLevel="0" collapsed="false">
      <c r="A57" s="467"/>
      <c r="B57" s="480" t="s">
        <v>324</v>
      </c>
      <c r="C57" s="481" t="n">
        <v>0</v>
      </c>
      <c r="D57" s="482" t="n">
        <f aca="false">C57*$M$18</f>
        <v>0</v>
      </c>
      <c r="E57" s="481" t="n">
        <v>0</v>
      </c>
      <c r="F57" s="482" t="n">
        <f aca="false">E57*$M$18</f>
        <v>0</v>
      </c>
      <c r="G57" s="481" t="n">
        <v>0</v>
      </c>
      <c r="H57" s="482" t="n">
        <f aca="false">G57*$M$18</f>
        <v>0</v>
      </c>
      <c r="I57" s="481" t="n">
        <v>0</v>
      </c>
      <c r="J57" s="482" t="n">
        <f aca="false">I57*$M$18</f>
        <v>0</v>
      </c>
      <c r="K57" s="481" t="n">
        <v>0</v>
      </c>
      <c r="L57" s="482" t="n">
        <f aca="false">K57*$M$18</f>
        <v>0</v>
      </c>
      <c r="M57" s="481" t="n">
        <v>0</v>
      </c>
      <c r="N57" s="482" t="n">
        <f aca="false">M57*$M$18+L57/2</f>
        <v>0</v>
      </c>
      <c r="O57" s="481" t="n">
        <v>0</v>
      </c>
      <c r="P57" s="482" t="n">
        <f aca="false">O57*$M$18</f>
        <v>0</v>
      </c>
      <c r="Q57" s="481" t="n">
        <v>0</v>
      </c>
      <c r="R57" s="482" t="n">
        <f aca="false">Q57*$M$18</f>
        <v>0</v>
      </c>
      <c r="S57" s="481" t="n">
        <v>0</v>
      </c>
      <c r="T57" s="482" t="n">
        <f aca="false">S57*$M$18</f>
        <v>0</v>
      </c>
      <c r="U57" s="481" t="n">
        <v>0</v>
      </c>
      <c r="V57" s="482" t="n">
        <f aca="false">U57*$M$18</f>
        <v>0</v>
      </c>
      <c r="W57" s="481" t="n">
        <v>0</v>
      </c>
      <c r="X57" s="482" t="n">
        <f aca="false">W57*$M$18</f>
        <v>0</v>
      </c>
      <c r="Y57" s="481" t="n">
        <v>0</v>
      </c>
      <c r="Z57" s="482" t="n">
        <f aca="false">Y57*$M$18+X57/2</f>
        <v>0</v>
      </c>
      <c r="AA57" s="482" t="n">
        <f aca="false">D57+F57+H57+J57+L57+N57+P57+R57+T57+V57+X57+Z57</f>
        <v>0</v>
      </c>
      <c r="AB57" s="467"/>
      <c r="AC57" s="467"/>
      <c r="AD57" s="467"/>
      <c r="AE57" s="467"/>
    </row>
    <row r="58" customFormat="false" ht="15" hidden="false" customHeight="true" outlineLevel="0" collapsed="false">
      <c r="A58" s="467"/>
      <c r="B58" s="480" t="s">
        <v>326</v>
      </c>
      <c r="C58" s="481" t="n">
        <v>0</v>
      </c>
      <c r="D58" s="482" t="n">
        <f aca="false">C58*$M$19</f>
        <v>0</v>
      </c>
      <c r="E58" s="481" t="n">
        <v>0</v>
      </c>
      <c r="F58" s="482" t="n">
        <f aca="false">E58*$M$19</f>
        <v>0</v>
      </c>
      <c r="G58" s="481" t="n">
        <v>0</v>
      </c>
      <c r="H58" s="482" t="n">
        <f aca="false">G58*$M$19</f>
        <v>0</v>
      </c>
      <c r="I58" s="481" t="n">
        <v>0</v>
      </c>
      <c r="J58" s="482" t="n">
        <f aca="false">I58*$M$19</f>
        <v>0</v>
      </c>
      <c r="K58" s="481" t="n">
        <v>0</v>
      </c>
      <c r="L58" s="482" t="n">
        <f aca="false">K58*$M$19</f>
        <v>0</v>
      </c>
      <c r="M58" s="481" t="n">
        <v>0</v>
      </c>
      <c r="N58" s="482" t="n">
        <f aca="false">M58*$M$19+L58/2</f>
        <v>0</v>
      </c>
      <c r="O58" s="481" t="n">
        <v>0</v>
      </c>
      <c r="P58" s="482" t="n">
        <f aca="false">O58*$M$19</f>
        <v>0</v>
      </c>
      <c r="Q58" s="481" t="n">
        <v>0</v>
      </c>
      <c r="R58" s="482" t="n">
        <f aca="false">Q58*$M$19</f>
        <v>0</v>
      </c>
      <c r="S58" s="481" t="n">
        <v>0</v>
      </c>
      <c r="T58" s="482" t="n">
        <f aca="false">S58*$M$19</f>
        <v>0</v>
      </c>
      <c r="U58" s="481" t="n">
        <v>0</v>
      </c>
      <c r="V58" s="482" t="n">
        <f aca="false">U58*$M$19</f>
        <v>0</v>
      </c>
      <c r="W58" s="481" t="n">
        <v>0</v>
      </c>
      <c r="X58" s="482" t="n">
        <f aca="false">W58*$M$19</f>
        <v>0</v>
      </c>
      <c r="Y58" s="481" t="n">
        <v>0</v>
      </c>
      <c r="Z58" s="482" t="n">
        <f aca="false">Y58*$M$19+X58/2</f>
        <v>0</v>
      </c>
      <c r="AA58" s="482" t="n">
        <f aca="false">D58+F58+H58+J58+L58+N58+P58+R58+T58+V58+X58+Z58</f>
        <v>0</v>
      </c>
      <c r="AB58" s="467"/>
      <c r="AC58" s="467"/>
      <c r="AD58" s="467"/>
      <c r="AE58" s="467"/>
    </row>
    <row r="59" customFormat="false" ht="15" hidden="false" customHeight="true" outlineLevel="0" collapsed="false">
      <c r="A59" s="467"/>
      <c r="B59" s="480" t="s">
        <v>328</v>
      </c>
      <c r="C59" s="481" t="n">
        <v>0</v>
      </c>
      <c r="D59" s="482" t="n">
        <f aca="false">C59*$M$20</f>
        <v>0</v>
      </c>
      <c r="E59" s="481" t="n">
        <v>0</v>
      </c>
      <c r="F59" s="482" t="n">
        <f aca="false">E59*$M$20</f>
        <v>0</v>
      </c>
      <c r="G59" s="481" t="n">
        <v>0</v>
      </c>
      <c r="H59" s="482" t="n">
        <f aca="false">G59*$M$20</f>
        <v>0</v>
      </c>
      <c r="I59" s="481" t="n">
        <v>0</v>
      </c>
      <c r="J59" s="482" t="n">
        <f aca="false">I59*$M$20</f>
        <v>0</v>
      </c>
      <c r="K59" s="481" t="n">
        <v>0</v>
      </c>
      <c r="L59" s="482" t="n">
        <f aca="false">K59*$M$20</f>
        <v>0</v>
      </c>
      <c r="M59" s="481" t="n">
        <v>0</v>
      </c>
      <c r="N59" s="482" t="n">
        <f aca="false">M59*$M$20+L59/2</f>
        <v>0</v>
      </c>
      <c r="O59" s="481" t="n">
        <v>0</v>
      </c>
      <c r="P59" s="482" t="n">
        <f aca="false">O59*$M$20</f>
        <v>0</v>
      </c>
      <c r="Q59" s="481" t="n">
        <v>0</v>
      </c>
      <c r="R59" s="482" t="n">
        <f aca="false">Q59*$M$20</f>
        <v>0</v>
      </c>
      <c r="S59" s="481" t="n">
        <v>0</v>
      </c>
      <c r="T59" s="482" t="n">
        <f aca="false">S59*$M$20</f>
        <v>0</v>
      </c>
      <c r="U59" s="481" t="n">
        <v>0</v>
      </c>
      <c r="V59" s="482" t="n">
        <f aca="false">U59*$M$20</f>
        <v>0</v>
      </c>
      <c r="W59" s="481" t="n">
        <v>0</v>
      </c>
      <c r="X59" s="482" t="n">
        <f aca="false">W59*$M$20</f>
        <v>0</v>
      </c>
      <c r="Y59" s="481" t="n">
        <v>0</v>
      </c>
      <c r="Z59" s="482" t="n">
        <f aca="false">Y59*$M$20+X59/2</f>
        <v>0</v>
      </c>
      <c r="AA59" s="482" t="n">
        <f aca="false">D59+F59+H59+J59+L59+N59+P59+R59+T59+V59+X59+Z59</f>
        <v>0</v>
      </c>
      <c r="AB59" s="467"/>
      <c r="AC59" s="467"/>
      <c r="AD59" s="467"/>
      <c r="AE59" s="467"/>
    </row>
    <row r="60" customFormat="false" ht="14.25" hidden="false" customHeight="true" outlineLevel="0" collapsed="false">
      <c r="A60" s="467"/>
      <c r="B60" s="480" t="s">
        <v>330</v>
      </c>
      <c r="C60" s="481" t="n">
        <v>0</v>
      </c>
      <c r="D60" s="482" t="n">
        <f aca="false">C60*$M$21</f>
        <v>0</v>
      </c>
      <c r="E60" s="481" t="n">
        <v>0</v>
      </c>
      <c r="F60" s="482" t="n">
        <f aca="false">E60*$M$21</f>
        <v>0</v>
      </c>
      <c r="G60" s="481" t="n">
        <v>0</v>
      </c>
      <c r="H60" s="482" t="n">
        <f aca="false">G60*$M$21</f>
        <v>0</v>
      </c>
      <c r="I60" s="481" t="n">
        <v>0</v>
      </c>
      <c r="J60" s="482" t="n">
        <f aca="false">I60*$M$21</f>
        <v>0</v>
      </c>
      <c r="K60" s="481" t="n">
        <v>0</v>
      </c>
      <c r="L60" s="482" t="n">
        <f aca="false">K60*$M$21</f>
        <v>0</v>
      </c>
      <c r="M60" s="481" t="n">
        <v>0</v>
      </c>
      <c r="N60" s="482" t="n">
        <f aca="false">M60*$M$21+L60/2</f>
        <v>0</v>
      </c>
      <c r="O60" s="481" t="n">
        <v>0</v>
      </c>
      <c r="P60" s="482" t="n">
        <f aca="false">O60*$M$21</f>
        <v>0</v>
      </c>
      <c r="Q60" s="481" t="n">
        <v>0</v>
      </c>
      <c r="R60" s="482" t="n">
        <f aca="false">Q60*$M$21</f>
        <v>0</v>
      </c>
      <c r="S60" s="481" t="n">
        <v>0</v>
      </c>
      <c r="T60" s="482" t="n">
        <f aca="false">S60*$M$21</f>
        <v>0</v>
      </c>
      <c r="U60" s="481" t="n">
        <v>0</v>
      </c>
      <c r="V60" s="482" t="n">
        <f aca="false">U60*$M$21</f>
        <v>0</v>
      </c>
      <c r="W60" s="481" t="n">
        <v>0</v>
      </c>
      <c r="X60" s="482" t="n">
        <f aca="false">W60*$M$21</f>
        <v>0</v>
      </c>
      <c r="Y60" s="481" t="n">
        <v>0</v>
      </c>
      <c r="Z60" s="482" t="n">
        <f aca="false">Y60*$M$21+X60/2</f>
        <v>0</v>
      </c>
      <c r="AA60" s="482" t="n">
        <f aca="false">D60+F60+H60+J60+L60+N60+P60+R60+T60+V60+X60+Z60</f>
        <v>0</v>
      </c>
      <c r="AB60" s="467"/>
      <c r="AC60" s="467"/>
      <c r="AD60" s="467"/>
      <c r="AE60" s="467"/>
    </row>
    <row r="61" customFormat="false" ht="15.75" hidden="false" customHeight="true" outlineLevel="0" collapsed="false">
      <c r="A61" s="467"/>
      <c r="B61" s="480" t="s">
        <v>333</v>
      </c>
      <c r="C61" s="481" t="n">
        <v>0</v>
      </c>
      <c r="D61" s="482" t="n">
        <f aca="false">C61*$M$22</f>
        <v>0</v>
      </c>
      <c r="E61" s="481" t="n">
        <v>0</v>
      </c>
      <c r="F61" s="482" t="n">
        <f aca="false">E61*$M$22</f>
        <v>0</v>
      </c>
      <c r="G61" s="481" t="n">
        <v>0</v>
      </c>
      <c r="H61" s="482" t="n">
        <f aca="false">G61*$M$22</f>
        <v>0</v>
      </c>
      <c r="I61" s="481" t="n">
        <v>0</v>
      </c>
      <c r="J61" s="482" t="n">
        <f aca="false">I61*$M$22</f>
        <v>0</v>
      </c>
      <c r="K61" s="481" t="n">
        <v>0</v>
      </c>
      <c r="L61" s="482" t="n">
        <f aca="false">K61*$M$22</f>
        <v>0</v>
      </c>
      <c r="M61" s="481" t="n">
        <v>0</v>
      </c>
      <c r="N61" s="482" t="n">
        <f aca="false">M61*$M$22+L61/2</f>
        <v>0</v>
      </c>
      <c r="O61" s="481" t="n">
        <v>0</v>
      </c>
      <c r="P61" s="482" t="n">
        <f aca="false">O61*$M$22</f>
        <v>0</v>
      </c>
      <c r="Q61" s="481" t="n">
        <v>0</v>
      </c>
      <c r="R61" s="482" t="n">
        <f aca="false">Q61*$M$22</f>
        <v>0</v>
      </c>
      <c r="S61" s="481" t="n">
        <v>0</v>
      </c>
      <c r="T61" s="482" t="n">
        <f aca="false">S61*$M$22</f>
        <v>0</v>
      </c>
      <c r="U61" s="481" t="n">
        <v>0</v>
      </c>
      <c r="V61" s="482" t="n">
        <f aca="false">U61*$M$22</f>
        <v>0</v>
      </c>
      <c r="W61" s="481" t="n">
        <v>0</v>
      </c>
      <c r="X61" s="482" t="n">
        <f aca="false">W61*$M$22</f>
        <v>0</v>
      </c>
      <c r="Y61" s="481" t="n">
        <v>0</v>
      </c>
      <c r="Z61" s="482" t="n">
        <f aca="false">Y61*$M$22+X61/2</f>
        <v>0</v>
      </c>
      <c r="AA61" s="482" t="n">
        <f aca="false">D61+F61+H61+J61+L61+N61+P61+R61+T61+V61+X61+Z61</f>
        <v>0</v>
      </c>
      <c r="AB61" s="467"/>
      <c r="AC61" s="467"/>
      <c r="AD61" s="467"/>
      <c r="AE61" s="467"/>
    </row>
    <row r="62" customFormat="false" ht="15.75" hidden="false" customHeight="true" outlineLevel="0" collapsed="false">
      <c r="A62" s="467"/>
      <c r="B62" s="480" t="s">
        <v>105</v>
      </c>
      <c r="C62" s="481" t="n">
        <v>0</v>
      </c>
      <c r="D62" s="482" t="n">
        <f aca="false">C62*$M$23</f>
        <v>0</v>
      </c>
      <c r="E62" s="481" t="n">
        <v>0</v>
      </c>
      <c r="F62" s="482" t="n">
        <f aca="false">E62*$M$23</f>
        <v>0</v>
      </c>
      <c r="G62" s="481" t="n">
        <v>0</v>
      </c>
      <c r="H62" s="482" t="n">
        <f aca="false">G62*$M$23</f>
        <v>0</v>
      </c>
      <c r="I62" s="481" t="n">
        <v>0</v>
      </c>
      <c r="J62" s="482" t="n">
        <f aca="false">I62*$M$23</f>
        <v>0</v>
      </c>
      <c r="K62" s="481" t="n">
        <v>0</v>
      </c>
      <c r="L62" s="482" t="n">
        <f aca="false">K62*$M$23</f>
        <v>0</v>
      </c>
      <c r="M62" s="481" t="n">
        <v>0</v>
      </c>
      <c r="N62" s="482" t="n">
        <f aca="false">M62*$M$23+L62/2</f>
        <v>0</v>
      </c>
      <c r="O62" s="481" t="n">
        <v>0</v>
      </c>
      <c r="P62" s="482" t="n">
        <f aca="false">O62*$M$23</f>
        <v>0</v>
      </c>
      <c r="Q62" s="481" t="n">
        <v>0</v>
      </c>
      <c r="R62" s="482" t="n">
        <f aca="false">Q62*$M$23</f>
        <v>0</v>
      </c>
      <c r="S62" s="481" t="n">
        <v>0</v>
      </c>
      <c r="T62" s="482" t="n">
        <f aca="false">S62*$M$23</f>
        <v>0</v>
      </c>
      <c r="U62" s="481" t="n">
        <v>0</v>
      </c>
      <c r="V62" s="482" t="n">
        <f aca="false">U62*$M$23</f>
        <v>0</v>
      </c>
      <c r="W62" s="481" t="n">
        <v>0</v>
      </c>
      <c r="X62" s="482" t="n">
        <f aca="false">W62*$M$23</f>
        <v>0</v>
      </c>
      <c r="Y62" s="481" t="n">
        <v>0</v>
      </c>
      <c r="Z62" s="482" t="n">
        <f aca="false">Y62*$M$23+X62/2</f>
        <v>0</v>
      </c>
      <c r="AA62" s="482" t="n">
        <f aca="false">D62+F62+H62+J62+L62+N62+P62+R62+T62+V62+X62+Z62</f>
        <v>0</v>
      </c>
      <c r="AB62" s="467"/>
      <c r="AC62" s="467"/>
      <c r="AD62" s="467"/>
      <c r="AE62" s="467"/>
    </row>
    <row r="63" customFormat="false" ht="15.75" hidden="false" customHeight="true" outlineLevel="0" collapsed="false">
      <c r="A63" s="467"/>
      <c r="B63" s="480" t="s">
        <v>336</v>
      </c>
      <c r="C63" s="481" t="n">
        <v>0</v>
      </c>
      <c r="D63" s="482" t="n">
        <f aca="false">C63*$M$24</f>
        <v>0</v>
      </c>
      <c r="E63" s="481" t="n">
        <v>0</v>
      </c>
      <c r="F63" s="482" t="n">
        <f aca="false">E63*$M$24</f>
        <v>0</v>
      </c>
      <c r="G63" s="481" t="n">
        <v>0</v>
      </c>
      <c r="H63" s="482" t="n">
        <f aca="false">G63*$M$24</f>
        <v>0</v>
      </c>
      <c r="I63" s="481" t="n">
        <v>0</v>
      </c>
      <c r="J63" s="482" t="n">
        <f aca="false">I63*$M$24</f>
        <v>0</v>
      </c>
      <c r="K63" s="481" t="n">
        <v>0</v>
      </c>
      <c r="L63" s="482" t="n">
        <f aca="false">K63*$M$24</f>
        <v>0</v>
      </c>
      <c r="M63" s="481" t="n">
        <v>0</v>
      </c>
      <c r="N63" s="482" t="n">
        <f aca="false">M63*$M$24+L63/2</f>
        <v>0</v>
      </c>
      <c r="O63" s="481" t="n">
        <v>0</v>
      </c>
      <c r="P63" s="482" t="n">
        <f aca="false">O63*$M$24</f>
        <v>0</v>
      </c>
      <c r="Q63" s="481" t="n">
        <v>0</v>
      </c>
      <c r="R63" s="482" t="n">
        <f aca="false">Q63*$M$24</f>
        <v>0</v>
      </c>
      <c r="S63" s="481" t="n">
        <v>0</v>
      </c>
      <c r="T63" s="482" t="n">
        <f aca="false">S63*$M$24</f>
        <v>0</v>
      </c>
      <c r="U63" s="481" t="n">
        <v>0</v>
      </c>
      <c r="V63" s="482" t="n">
        <f aca="false">U63*$M$24</f>
        <v>0</v>
      </c>
      <c r="W63" s="481" t="n">
        <v>0</v>
      </c>
      <c r="X63" s="482" t="n">
        <f aca="false">W63*$M$24</f>
        <v>0</v>
      </c>
      <c r="Y63" s="481" t="n">
        <v>0</v>
      </c>
      <c r="Z63" s="482" t="n">
        <f aca="false">Y63*$M$24+X63/2</f>
        <v>0</v>
      </c>
      <c r="AA63" s="482" t="n">
        <f aca="false">D63+F63+H63+J63+L63+N63+P63+R63+T63+V63+X63+Z63</f>
        <v>0</v>
      </c>
      <c r="AB63" s="467"/>
      <c r="AC63" s="467"/>
      <c r="AD63" s="467"/>
      <c r="AE63" s="467"/>
    </row>
    <row r="64" customFormat="false" ht="27" hidden="false" customHeight="true" outlineLevel="0" collapsed="false">
      <c r="A64" s="467"/>
      <c r="B64" s="480" t="s">
        <v>338</v>
      </c>
      <c r="C64" s="481" t="n">
        <v>0</v>
      </c>
      <c r="D64" s="482" t="n">
        <f aca="false">C64*$M$25</f>
        <v>0</v>
      </c>
      <c r="E64" s="481" t="n">
        <v>0</v>
      </c>
      <c r="F64" s="482" t="n">
        <f aca="false">E64*$M$25</f>
        <v>0</v>
      </c>
      <c r="G64" s="481" t="n">
        <v>0</v>
      </c>
      <c r="H64" s="482" t="n">
        <f aca="false">G64*$M$25</f>
        <v>0</v>
      </c>
      <c r="I64" s="481" t="n">
        <v>0</v>
      </c>
      <c r="J64" s="482" t="n">
        <f aca="false">I64*$M$25</f>
        <v>0</v>
      </c>
      <c r="K64" s="481" t="n">
        <v>0</v>
      </c>
      <c r="L64" s="482" t="n">
        <f aca="false">K64*$M$25</f>
        <v>0</v>
      </c>
      <c r="M64" s="481" t="n">
        <v>0</v>
      </c>
      <c r="N64" s="482" t="n">
        <f aca="false">M64*$M$25+L64/2</f>
        <v>0</v>
      </c>
      <c r="O64" s="481" t="n">
        <v>0</v>
      </c>
      <c r="P64" s="482" t="n">
        <f aca="false">O64*$M$25</f>
        <v>0</v>
      </c>
      <c r="Q64" s="481" t="n">
        <v>0</v>
      </c>
      <c r="R64" s="482" t="n">
        <f aca="false">Q64*$M$25</f>
        <v>0</v>
      </c>
      <c r="S64" s="481" t="n">
        <v>0</v>
      </c>
      <c r="T64" s="482" t="n">
        <f aca="false">S64*$M$25</f>
        <v>0</v>
      </c>
      <c r="U64" s="481" t="n">
        <v>0</v>
      </c>
      <c r="V64" s="482" t="n">
        <f aca="false">U64*$M$25</f>
        <v>0</v>
      </c>
      <c r="W64" s="481" t="n">
        <v>0</v>
      </c>
      <c r="X64" s="482" t="n">
        <f aca="false">W64*$M$25</f>
        <v>0</v>
      </c>
      <c r="Y64" s="481" t="n">
        <v>0</v>
      </c>
      <c r="Z64" s="482" t="n">
        <f aca="false">Y64*$M$25+X64/2</f>
        <v>0</v>
      </c>
      <c r="AA64" s="482" t="n">
        <f aca="false">D64+F64+H64+J64+L64+N64+P64+R64+T64+V64+X64+Z64</f>
        <v>0</v>
      </c>
      <c r="AB64" s="467"/>
      <c r="AC64" s="467"/>
      <c r="AD64" s="467"/>
      <c r="AE64" s="467"/>
    </row>
    <row r="65" customFormat="false" ht="15.75" hidden="false" customHeight="true" outlineLevel="0" collapsed="false">
      <c r="A65" s="467"/>
      <c r="B65" s="480" t="s">
        <v>107</v>
      </c>
      <c r="C65" s="481" t="n">
        <v>0</v>
      </c>
      <c r="D65" s="482" t="n">
        <f aca="false">C65*$M$26</f>
        <v>0</v>
      </c>
      <c r="E65" s="481" t="n">
        <v>0</v>
      </c>
      <c r="F65" s="482" t="n">
        <f aca="false">E65*$M$26</f>
        <v>0</v>
      </c>
      <c r="G65" s="481" t="n">
        <v>0</v>
      </c>
      <c r="H65" s="482" t="n">
        <f aca="false">G65*$M$26</f>
        <v>0</v>
      </c>
      <c r="I65" s="481" t="n">
        <v>0</v>
      </c>
      <c r="J65" s="482" t="n">
        <f aca="false">I65*$M$26</f>
        <v>0</v>
      </c>
      <c r="K65" s="481" t="n">
        <v>0</v>
      </c>
      <c r="L65" s="482" t="n">
        <f aca="false">K65*$M$26</f>
        <v>0</v>
      </c>
      <c r="M65" s="481" t="n">
        <v>0</v>
      </c>
      <c r="N65" s="482" t="n">
        <f aca="false">M65*$M$26+L65/2</f>
        <v>0</v>
      </c>
      <c r="O65" s="481" t="n">
        <v>0</v>
      </c>
      <c r="P65" s="482" t="n">
        <f aca="false">O65*$M$26</f>
        <v>0</v>
      </c>
      <c r="Q65" s="481" t="n">
        <v>0</v>
      </c>
      <c r="R65" s="482" t="n">
        <f aca="false">Q65*$M$26</f>
        <v>0</v>
      </c>
      <c r="S65" s="481" t="n">
        <v>0</v>
      </c>
      <c r="T65" s="482" t="n">
        <f aca="false">S65*$M$26</f>
        <v>0</v>
      </c>
      <c r="U65" s="481" t="n">
        <v>0</v>
      </c>
      <c r="V65" s="482" t="n">
        <f aca="false">U65*$M$26</f>
        <v>0</v>
      </c>
      <c r="W65" s="481" t="n">
        <v>0</v>
      </c>
      <c r="X65" s="482" t="n">
        <f aca="false">W65*$M$26</f>
        <v>0</v>
      </c>
      <c r="Y65" s="481" t="n">
        <v>0</v>
      </c>
      <c r="Z65" s="482" t="n">
        <f aca="false">Y65*$M$26+X65/2</f>
        <v>0</v>
      </c>
      <c r="AA65" s="482" t="n">
        <f aca="false">D65+F65+H65+J65+L65+N65+P65+R65+T65+V65+X65+Z65</f>
        <v>0</v>
      </c>
      <c r="AB65" s="467"/>
      <c r="AC65" s="467"/>
      <c r="AD65" s="467"/>
      <c r="AE65" s="467"/>
    </row>
    <row r="66" customFormat="false" ht="15.75" hidden="false" customHeight="true" outlineLevel="0" collapsed="false">
      <c r="A66" s="467"/>
      <c r="B66" s="480" t="s">
        <v>340</v>
      </c>
      <c r="C66" s="481" t="n">
        <v>0</v>
      </c>
      <c r="D66" s="482" t="n">
        <f aca="false">C66*$M$27</f>
        <v>0</v>
      </c>
      <c r="E66" s="481" t="n">
        <v>0</v>
      </c>
      <c r="F66" s="482" t="n">
        <f aca="false">E66*$M$27</f>
        <v>0</v>
      </c>
      <c r="G66" s="481" t="n">
        <v>0</v>
      </c>
      <c r="H66" s="482" t="n">
        <f aca="false">G66*$M$27</f>
        <v>0</v>
      </c>
      <c r="I66" s="481" t="n">
        <v>0</v>
      </c>
      <c r="J66" s="482" t="n">
        <f aca="false">I66*$M$27</f>
        <v>0</v>
      </c>
      <c r="K66" s="481" t="n">
        <v>0</v>
      </c>
      <c r="L66" s="482" t="n">
        <f aca="false">K66*$M$27</f>
        <v>0</v>
      </c>
      <c r="M66" s="481" t="n">
        <v>0</v>
      </c>
      <c r="N66" s="482" t="n">
        <f aca="false">M66*$M$27+L66/2</f>
        <v>0</v>
      </c>
      <c r="O66" s="481" t="n">
        <v>0</v>
      </c>
      <c r="P66" s="482" t="n">
        <f aca="false">O66*$M$27</f>
        <v>0</v>
      </c>
      <c r="Q66" s="481" t="n">
        <v>0</v>
      </c>
      <c r="R66" s="482" t="n">
        <f aca="false">Q66*$M$27</f>
        <v>0</v>
      </c>
      <c r="S66" s="481" t="n">
        <v>0</v>
      </c>
      <c r="T66" s="482" t="n">
        <f aca="false">S66*$M$27</f>
        <v>0</v>
      </c>
      <c r="U66" s="481" t="n">
        <v>0</v>
      </c>
      <c r="V66" s="482" t="n">
        <f aca="false">U66*$M$27</f>
        <v>0</v>
      </c>
      <c r="W66" s="481" t="n">
        <v>0</v>
      </c>
      <c r="X66" s="482" t="n">
        <f aca="false">W66*$M$27</f>
        <v>0</v>
      </c>
      <c r="Y66" s="481" t="n">
        <v>0</v>
      </c>
      <c r="Z66" s="482" t="n">
        <f aca="false">Y66*$M$27+X66/2</f>
        <v>0</v>
      </c>
      <c r="AA66" s="482" t="n">
        <f aca="false">D66+F66+H66+J66+L66+N66+P66+R66+T66+V66+X66+Z66</f>
        <v>0</v>
      </c>
      <c r="AB66" s="467"/>
      <c r="AC66" s="467"/>
      <c r="AD66" s="467"/>
      <c r="AE66" s="467"/>
    </row>
    <row r="67" customFormat="false" ht="15" hidden="false" customHeight="true" outlineLevel="0" collapsed="false">
      <c r="A67" s="467"/>
      <c r="B67" s="483" t="s">
        <v>344</v>
      </c>
      <c r="C67" s="484" t="n">
        <f aca="false">SUM(C53:C66)</f>
        <v>2</v>
      </c>
      <c r="D67" s="485" t="n">
        <f aca="false">SUM(D53:D66)</f>
        <v>5178.4</v>
      </c>
      <c r="E67" s="484" t="n">
        <f aca="false">SUM(E53:E66)</f>
        <v>2</v>
      </c>
      <c r="F67" s="485" t="n">
        <f aca="false">SUM(F53:F66)</f>
        <v>5178.4</v>
      </c>
      <c r="G67" s="484" t="n">
        <f aca="false">SUM(G53:G66)</f>
        <v>2</v>
      </c>
      <c r="H67" s="485" t="n">
        <f aca="false">SUM(H53:H66)</f>
        <v>5178.4</v>
      </c>
      <c r="I67" s="484" t="n">
        <f aca="false">SUM(I53:I66)</f>
        <v>2</v>
      </c>
      <c r="J67" s="485" t="n">
        <f aca="false">SUM(J53:J66)</f>
        <v>5178.4</v>
      </c>
      <c r="K67" s="484" t="n">
        <f aca="false">SUM(K53:K66)</f>
        <v>2</v>
      </c>
      <c r="L67" s="485" t="n">
        <f aca="false">SUM(L53:L66)</f>
        <v>5178.4</v>
      </c>
      <c r="M67" s="484" t="n">
        <f aca="false">SUM(M53:M66)</f>
        <v>2</v>
      </c>
      <c r="N67" s="485" t="n">
        <f aca="false">SUM(N53:N66)</f>
        <v>7767.6</v>
      </c>
      <c r="O67" s="484" t="n">
        <f aca="false">SUM(O53:O66)</f>
        <v>2</v>
      </c>
      <c r="P67" s="485" t="n">
        <f aca="false">SUM(P53:P66)</f>
        <v>5178.4</v>
      </c>
      <c r="Q67" s="484" t="n">
        <f aca="false">SUM(Q53:Q66)</f>
        <v>2</v>
      </c>
      <c r="R67" s="485" t="n">
        <f aca="false">SUM(R53:R66)</f>
        <v>5178.4</v>
      </c>
      <c r="S67" s="484" t="n">
        <f aca="false">SUM(S53:S66)</f>
        <v>2</v>
      </c>
      <c r="T67" s="485" t="n">
        <f aca="false">SUM(T53:T66)</f>
        <v>5178.4</v>
      </c>
      <c r="U67" s="484" t="n">
        <f aca="false">SUM(U53:U66)</f>
        <v>2</v>
      </c>
      <c r="V67" s="485" t="n">
        <f aca="false">SUM(V53:V66)</f>
        <v>5178.4</v>
      </c>
      <c r="W67" s="484" t="n">
        <f aca="false">SUM(W53:W66)</f>
        <v>2</v>
      </c>
      <c r="X67" s="485" t="n">
        <f aca="false">SUM(X53:X66)</f>
        <v>5178.4</v>
      </c>
      <c r="Y67" s="484" t="n">
        <f aca="false">SUM(Y53:Y66)</f>
        <v>2</v>
      </c>
      <c r="Z67" s="485" t="n">
        <f aca="false">SUM(Z53:Z66)</f>
        <v>7767.6</v>
      </c>
      <c r="AA67" s="485" t="n">
        <f aca="false">SUM(AA53:AA66)</f>
        <v>67319.2</v>
      </c>
      <c r="AB67" s="467"/>
      <c r="AC67" s="467"/>
      <c r="AD67" s="467"/>
      <c r="AE67" s="467"/>
    </row>
    <row r="68" customFormat="false" ht="15" hidden="false" customHeight="true" outlineLevel="0" collapsed="false">
      <c r="A68" s="467"/>
      <c r="B68" s="467"/>
      <c r="C68" s="467"/>
      <c r="D68" s="467"/>
      <c r="E68" s="467"/>
      <c r="F68" s="467"/>
      <c r="G68" s="467"/>
      <c r="H68" s="467"/>
      <c r="I68" s="467"/>
      <c r="J68" s="467"/>
      <c r="K68" s="467"/>
      <c r="L68" s="467"/>
      <c r="M68" s="467"/>
      <c r="N68" s="467"/>
      <c r="O68" s="467"/>
      <c r="P68" s="467"/>
      <c r="Q68" s="467"/>
      <c r="R68" s="467"/>
      <c r="S68" s="467"/>
      <c r="T68" s="467"/>
      <c r="U68" s="467"/>
      <c r="V68" s="467"/>
      <c r="W68" s="467"/>
      <c r="X68" s="467"/>
      <c r="Y68" s="467"/>
      <c r="Z68" s="467"/>
      <c r="AA68" s="467"/>
      <c r="AB68" s="467"/>
      <c r="AC68" s="467"/>
      <c r="AD68" s="467"/>
      <c r="AE68" s="467"/>
    </row>
    <row r="69" customFormat="false" ht="15" hidden="false" customHeight="true" outlineLevel="0" collapsed="false">
      <c r="A69" s="467"/>
      <c r="B69" s="467"/>
      <c r="C69" s="467"/>
      <c r="D69" s="467"/>
      <c r="E69" s="467"/>
      <c r="F69" s="467"/>
      <c r="G69" s="467"/>
      <c r="H69" s="467"/>
      <c r="I69" s="467"/>
      <c r="J69" s="467"/>
      <c r="K69" s="467"/>
      <c r="L69" s="467"/>
      <c r="M69" s="467"/>
      <c r="N69" s="467"/>
      <c r="O69" s="467"/>
      <c r="P69" s="467"/>
      <c r="Q69" s="467"/>
      <c r="R69" s="467"/>
      <c r="S69" s="467"/>
      <c r="T69" s="467"/>
      <c r="U69" s="467"/>
      <c r="V69" s="467"/>
      <c r="W69" s="467"/>
      <c r="X69" s="467"/>
      <c r="Y69" s="467"/>
      <c r="Z69" s="467"/>
      <c r="AA69" s="467"/>
      <c r="AB69" s="467"/>
      <c r="AC69" s="467"/>
      <c r="AD69" s="467"/>
      <c r="AE69" s="467"/>
    </row>
    <row r="70" customFormat="false" ht="15" hidden="false" customHeight="true" outlineLevel="0" collapsed="false">
      <c r="A70" s="467"/>
      <c r="B70" s="467"/>
      <c r="C70" s="467"/>
      <c r="D70" s="467"/>
      <c r="E70" s="467"/>
      <c r="F70" s="467"/>
      <c r="G70" s="467"/>
      <c r="H70" s="467"/>
      <c r="I70" s="467"/>
      <c r="J70" s="467"/>
      <c r="K70" s="467"/>
      <c r="L70" s="467"/>
      <c r="M70" s="467"/>
      <c r="N70" s="467"/>
      <c r="O70" s="467"/>
      <c r="P70" s="467"/>
      <c r="Q70" s="467"/>
      <c r="R70" s="467"/>
      <c r="S70" s="467"/>
      <c r="T70" s="467"/>
      <c r="U70" s="467"/>
      <c r="V70" s="467"/>
      <c r="W70" s="467"/>
      <c r="X70" s="467"/>
      <c r="Y70" s="467"/>
      <c r="Z70" s="467"/>
      <c r="AA70" s="467"/>
      <c r="AB70" s="467"/>
      <c r="AC70" s="467"/>
      <c r="AD70" s="467"/>
      <c r="AE70" s="467"/>
    </row>
    <row r="71" customFormat="false" ht="24" hidden="false" customHeight="true" outlineLevel="0" collapsed="false">
      <c r="A71" s="467"/>
      <c r="B71" s="463" t="s">
        <v>346</v>
      </c>
      <c r="C71" s="463"/>
      <c r="D71" s="463"/>
      <c r="E71" s="463"/>
      <c r="F71" s="463"/>
      <c r="G71" s="463"/>
      <c r="H71" s="463"/>
      <c r="I71" s="463"/>
      <c r="J71" s="463"/>
      <c r="K71" s="463"/>
      <c r="L71" s="463"/>
      <c r="M71" s="463"/>
      <c r="N71" s="463"/>
      <c r="O71" s="463"/>
      <c r="P71" s="463"/>
      <c r="Q71" s="463"/>
      <c r="R71" s="463"/>
      <c r="S71" s="463"/>
      <c r="T71" s="463"/>
      <c r="U71" s="463"/>
      <c r="V71" s="463"/>
      <c r="W71" s="463"/>
      <c r="X71" s="463"/>
      <c r="Y71" s="463"/>
      <c r="Z71" s="463"/>
      <c r="AA71" s="463"/>
      <c r="AB71" s="467"/>
      <c r="AC71" s="467"/>
      <c r="AD71" s="467"/>
      <c r="AE71" s="467"/>
    </row>
    <row r="72" customFormat="false" ht="15" hidden="false" customHeight="true" outlineLevel="0" collapsed="false">
      <c r="A72" s="467"/>
      <c r="B72" s="478" t="s">
        <v>303</v>
      </c>
      <c r="C72" s="478" t="s">
        <v>81</v>
      </c>
      <c r="D72" s="478"/>
      <c r="E72" s="478" t="s">
        <v>82</v>
      </c>
      <c r="F72" s="478"/>
      <c r="G72" s="478" t="s">
        <v>83</v>
      </c>
      <c r="H72" s="478"/>
      <c r="I72" s="478" t="s">
        <v>84</v>
      </c>
      <c r="J72" s="478"/>
      <c r="K72" s="478" t="s">
        <v>85</v>
      </c>
      <c r="L72" s="478"/>
      <c r="M72" s="478" t="s">
        <v>342</v>
      </c>
      <c r="N72" s="478"/>
      <c r="O72" s="478" t="s">
        <v>87</v>
      </c>
      <c r="P72" s="478"/>
      <c r="Q72" s="478" t="s">
        <v>88</v>
      </c>
      <c r="R72" s="478"/>
      <c r="S72" s="478" t="s">
        <v>89</v>
      </c>
      <c r="T72" s="478"/>
      <c r="U72" s="478" t="s">
        <v>90</v>
      </c>
      <c r="V72" s="478"/>
      <c r="W72" s="478" t="s">
        <v>91</v>
      </c>
      <c r="X72" s="478"/>
      <c r="Y72" s="478" t="s">
        <v>343</v>
      </c>
      <c r="Z72" s="478"/>
      <c r="AA72" s="478" t="s">
        <v>249</v>
      </c>
      <c r="AB72" s="467"/>
      <c r="AC72" s="467"/>
      <c r="AD72" s="467"/>
      <c r="AE72" s="467"/>
    </row>
    <row r="73" customFormat="false" ht="15" hidden="false" customHeight="true" outlineLevel="0" collapsed="false">
      <c r="A73" s="467"/>
      <c r="B73" s="478"/>
      <c r="C73" s="479" t="s">
        <v>37</v>
      </c>
      <c r="D73" s="479" t="s">
        <v>284</v>
      </c>
      <c r="E73" s="479" t="s">
        <v>37</v>
      </c>
      <c r="F73" s="479" t="s">
        <v>284</v>
      </c>
      <c r="G73" s="479" t="s">
        <v>37</v>
      </c>
      <c r="H73" s="479" t="s">
        <v>284</v>
      </c>
      <c r="I73" s="479" t="s">
        <v>37</v>
      </c>
      <c r="J73" s="479" t="s">
        <v>284</v>
      </c>
      <c r="K73" s="479" t="s">
        <v>37</v>
      </c>
      <c r="L73" s="479" t="s">
        <v>284</v>
      </c>
      <c r="M73" s="479" t="s">
        <v>37</v>
      </c>
      <c r="N73" s="479" t="s">
        <v>284</v>
      </c>
      <c r="O73" s="479" t="s">
        <v>37</v>
      </c>
      <c r="P73" s="479" t="s">
        <v>284</v>
      </c>
      <c r="Q73" s="479" t="s">
        <v>37</v>
      </c>
      <c r="R73" s="479" t="s">
        <v>284</v>
      </c>
      <c r="S73" s="479" t="s">
        <v>37</v>
      </c>
      <c r="T73" s="479" t="s">
        <v>284</v>
      </c>
      <c r="U73" s="479" t="s">
        <v>37</v>
      </c>
      <c r="V73" s="479" t="s">
        <v>284</v>
      </c>
      <c r="W73" s="479" t="s">
        <v>37</v>
      </c>
      <c r="X73" s="479" t="s">
        <v>284</v>
      </c>
      <c r="Y73" s="479" t="s">
        <v>37</v>
      </c>
      <c r="Z73" s="479" t="s">
        <v>284</v>
      </c>
      <c r="AA73" s="478"/>
      <c r="AB73" s="467"/>
      <c r="AC73" s="467"/>
      <c r="AD73" s="467"/>
      <c r="AE73" s="467"/>
    </row>
    <row r="74" customFormat="false" ht="15" hidden="false" customHeight="true" outlineLevel="0" collapsed="false">
      <c r="A74" s="467"/>
      <c r="B74" s="480" t="s">
        <v>316</v>
      </c>
      <c r="C74" s="481" t="n">
        <v>1</v>
      </c>
      <c r="D74" s="482" t="n">
        <f aca="false">C74*$M$14</f>
        <v>2589.2</v>
      </c>
      <c r="E74" s="481" t="n">
        <v>1</v>
      </c>
      <c r="F74" s="482" t="n">
        <f aca="false">E74*$M$14</f>
        <v>2589.2</v>
      </c>
      <c r="G74" s="481" t="n">
        <v>1</v>
      </c>
      <c r="H74" s="482" t="n">
        <f aca="false">G74*$M$14</f>
        <v>2589.2</v>
      </c>
      <c r="I74" s="481" t="n">
        <v>1</v>
      </c>
      <c r="J74" s="482" t="n">
        <f aca="false">I74*$M$14</f>
        <v>2589.2</v>
      </c>
      <c r="K74" s="481" t="n">
        <v>1</v>
      </c>
      <c r="L74" s="482" t="n">
        <f aca="false">K74*$M$14</f>
        <v>2589.2</v>
      </c>
      <c r="M74" s="481" t="n">
        <v>1</v>
      </c>
      <c r="N74" s="482" t="n">
        <f aca="false">M74*$M$14+L74/2</f>
        <v>3883.8</v>
      </c>
      <c r="O74" s="481" t="n">
        <v>1</v>
      </c>
      <c r="P74" s="482" t="n">
        <f aca="false">O74*$M$14</f>
        <v>2589.2</v>
      </c>
      <c r="Q74" s="481" t="n">
        <v>1</v>
      </c>
      <c r="R74" s="482" t="n">
        <f aca="false">Q74*$M$14</f>
        <v>2589.2</v>
      </c>
      <c r="S74" s="481" t="n">
        <v>1</v>
      </c>
      <c r="T74" s="482" t="n">
        <f aca="false">S74*$M$14</f>
        <v>2589.2</v>
      </c>
      <c r="U74" s="481" t="n">
        <v>1</v>
      </c>
      <c r="V74" s="482" t="n">
        <f aca="false">U74*$M$14</f>
        <v>2589.2</v>
      </c>
      <c r="W74" s="481" t="n">
        <v>1</v>
      </c>
      <c r="X74" s="482" t="n">
        <f aca="false">W74*$M$14</f>
        <v>2589.2</v>
      </c>
      <c r="Y74" s="481" t="n">
        <v>1</v>
      </c>
      <c r="Z74" s="482" t="n">
        <f aca="false">Y74*$M$14+X74/2</f>
        <v>3883.8</v>
      </c>
      <c r="AA74" s="482" t="n">
        <f aca="false">D74+F74+H74+J74+L74+N74+P74+R74+T74+V74+X74+Z74</f>
        <v>33659.6</v>
      </c>
      <c r="AB74" s="467"/>
      <c r="AC74" s="467"/>
      <c r="AD74" s="467"/>
      <c r="AE74" s="467"/>
    </row>
    <row r="75" customFormat="false" ht="15" hidden="false" customHeight="true" outlineLevel="0" collapsed="false">
      <c r="A75" s="467"/>
      <c r="B75" s="480" t="s">
        <v>318</v>
      </c>
      <c r="C75" s="481" t="n">
        <v>1</v>
      </c>
      <c r="D75" s="482" t="n">
        <f aca="false">C75*$M$15</f>
        <v>2589.2</v>
      </c>
      <c r="E75" s="481" t="n">
        <v>1</v>
      </c>
      <c r="F75" s="482" t="n">
        <f aca="false">E75*$M$15</f>
        <v>2589.2</v>
      </c>
      <c r="G75" s="481" t="n">
        <v>1</v>
      </c>
      <c r="H75" s="482" t="n">
        <f aca="false">G75*$M$15</f>
        <v>2589.2</v>
      </c>
      <c r="I75" s="481" t="n">
        <v>1</v>
      </c>
      <c r="J75" s="482" t="n">
        <f aca="false">I75*$M$15</f>
        <v>2589.2</v>
      </c>
      <c r="K75" s="481" t="n">
        <v>1</v>
      </c>
      <c r="L75" s="482" t="n">
        <f aca="false">K75*$M$15</f>
        <v>2589.2</v>
      </c>
      <c r="M75" s="481" t="n">
        <v>1</v>
      </c>
      <c r="N75" s="482" t="n">
        <f aca="false">M75*$M$15+L75/2</f>
        <v>3883.8</v>
      </c>
      <c r="O75" s="481" t="n">
        <v>1</v>
      </c>
      <c r="P75" s="482" t="n">
        <f aca="false">O75*$M$15</f>
        <v>2589.2</v>
      </c>
      <c r="Q75" s="481" t="n">
        <v>1</v>
      </c>
      <c r="R75" s="482" t="n">
        <f aca="false">Q75*$M$15</f>
        <v>2589.2</v>
      </c>
      <c r="S75" s="481" t="n">
        <v>1</v>
      </c>
      <c r="T75" s="482" t="n">
        <f aca="false">S75*$M$15</f>
        <v>2589.2</v>
      </c>
      <c r="U75" s="481" t="n">
        <v>1</v>
      </c>
      <c r="V75" s="482" t="n">
        <f aca="false">U75*$M$15</f>
        <v>2589.2</v>
      </c>
      <c r="W75" s="481" t="n">
        <v>1</v>
      </c>
      <c r="X75" s="482" t="n">
        <f aca="false">W75*$M$15</f>
        <v>2589.2</v>
      </c>
      <c r="Y75" s="481" t="n">
        <v>1</v>
      </c>
      <c r="Z75" s="482" t="n">
        <f aca="false">Y75*$M$15+X75/2</f>
        <v>3883.8</v>
      </c>
      <c r="AA75" s="482" t="n">
        <f aca="false">D75+F75+H75+J75+L75+N75+P75+R75+T75+V75+X75+Z75</f>
        <v>33659.6</v>
      </c>
      <c r="AB75" s="467"/>
      <c r="AC75" s="467"/>
      <c r="AD75" s="467"/>
      <c r="AE75" s="467"/>
    </row>
    <row r="76" customFormat="false" ht="15" hidden="false" customHeight="true" outlineLevel="0" collapsed="false">
      <c r="A76" s="467"/>
      <c r="B76" s="480" t="s">
        <v>320</v>
      </c>
      <c r="C76" s="481" t="n">
        <v>0</v>
      </c>
      <c r="D76" s="482" t="n">
        <f aca="false">C76*$M$16</f>
        <v>0</v>
      </c>
      <c r="E76" s="481" t="n">
        <v>0</v>
      </c>
      <c r="F76" s="482" t="n">
        <f aca="false">E76*$M$16</f>
        <v>0</v>
      </c>
      <c r="G76" s="481" t="n">
        <v>0</v>
      </c>
      <c r="H76" s="482" t="n">
        <f aca="false">G76*$M$16</f>
        <v>0</v>
      </c>
      <c r="I76" s="481" t="n">
        <v>0</v>
      </c>
      <c r="J76" s="482" t="n">
        <f aca="false">I76*$M$16</f>
        <v>0</v>
      </c>
      <c r="K76" s="481" t="n">
        <v>0</v>
      </c>
      <c r="L76" s="482" t="n">
        <f aca="false">K76*$M$16</f>
        <v>0</v>
      </c>
      <c r="M76" s="481" t="n">
        <v>0</v>
      </c>
      <c r="N76" s="482" t="n">
        <f aca="false">M76*$M$16+L76/2</f>
        <v>0</v>
      </c>
      <c r="O76" s="481" t="n">
        <v>0</v>
      </c>
      <c r="P76" s="482" t="n">
        <f aca="false">O76*$M$16</f>
        <v>0</v>
      </c>
      <c r="Q76" s="481" t="n">
        <v>0</v>
      </c>
      <c r="R76" s="482" t="n">
        <f aca="false">Q76*$M$16</f>
        <v>0</v>
      </c>
      <c r="S76" s="481" t="n">
        <v>0</v>
      </c>
      <c r="T76" s="482" t="n">
        <f aca="false">S76*$M$16</f>
        <v>0</v>
      </c>
      <c r="U76" s="481" t="n">
        <v>0</v>
      </c>
      <c r="V76" s="482" t="n">
        <f aca="false">U76*$M$16</f>
        <v>0</v>
      </c>
      <c r="W76" s="481" t="n">
        <v>0</v>
      </c>
      <c r="X76" s="482" t="n">
        <f aca="false">W76*$M$16</f>
        <v>0</v>
      </c>
      <c r="Y76" s="481" t="n">
        <v>0</v>
      </c>
      <c r="Z76" s="482" t="n">
        <f aca="false">Y76*$M$16+X76/2</f>
        <v>0</v>
      </c>
      <c r="AA76" s="482" t="n">
        <f aca="false">D76+F76+H76+J76+L76+N76+P76+R76+T76+V76+X76+Z76</f>
        <v>0</v>
      </c>
      <c r="AB76" s="467"/>
      <c r="AC76" s="467"/>
      <c r="AD76" s="467"/>
      <c r="AE76" s="467"/>
    </row>
    <row r="77" customFormat="false" ht="16.5" hidden="false" customHeight="true" outlineLevel="0" collapsed="false">
      <c r="A77" s="467"/>
      <c r="B77" s="480" t="s">
        <v>322</v>
      </c>
      <c r="C77" s="481" t="n">
        <v>0</v>
      </c>
      <c r="D77" s="482" t="n">
        <f aca="false">C77*$M$17</f>
        <v>0</v>
      </c>
      <c r="E77" s="481" t="n">
        <v>0</v>
      </c>
      <c r="F77" s="482" t="n">
        <f aca="false">E77*$M$17</f>
        <v>0</v>
      </c>
      <c r="G77" s="481" t="n">
        <v>0</v>
      </c>
      <c r="H77" s="482" t="n">
        <f aca="false">G77*$M$17</f>
        <v>0</v>
      </c>
      <c r="I77" s="481" t="n">
        <v>0</v>
      </c>
      <c r="J77" s="482" t="n">
        <f aca="false">I77*$M$17</f>
        <v>0</v>
      </c>
      <c r="K77" s="481" t="n">
        <v>0</v>
      </c>
      <c r="L77" s="482" t="n">
        <f aca="false">K77*$M$17</f>
        <v>0</v>
      </c>
      <c r="M77" s="481" t="n">
        <v>0</v>
      </c>
      <c r="N77" s="482" t="n">
        <f aca="false">M77*$M$17+L77/2</f>
        <v>0</v>
      </c>
      <c r="O77" s="481" t="n">
        <v>0</v>
      </c>
      <c r="P77" s="482" t="n">
        <f aca="false">O77*$M$17</f>
        <v>0</v>
      </c>
      <c r="Q77" s="481" t="n">
        <v>0</v>
      </c>
      <c r="R77" s="482" t="n">
        <f aca="false">Q77*$M$17</f>
        <v>0</v>
      </c>
      <c r="S77" s="481" t="n">
        <v>0</v>
      </c>
      <c r="T77" s="482" t="n">
        <f aca="false">S77*$M$17</f>
        <v>0</v>
      </c>
      <c r="U77" s="481" t="n">
        <v>0</v>
      </c>
      <c r="V77" s="482" t="n">
        <f aca="false">U77*$M$17</f>
        <v>0</v>
      </c>
      <c r="W77" s="481" t="n">
        <v>0</v>
      </c>
      <c r="X77" s="482" t="n">
        <f aca="false">W77*$M$17</f>
        <v>0</v>
      </c>
      <c r="Y77" s="481" t="n">
        <v>0</v>
      </c>
      <c r="Z77" s="482" t="n">
        <f aca="false">Y77*$M$17+X77/2</f>
        <v>0</v>
      </c>
      <c r="AA77" s="482" t="n">
        <f aca="false">D77+F77+H77+J77+L77+N77+P77+R77+T77+V77+X77+Z77</f>
        <v>0</v>
      </c>
      <c r="AB77" s="467"/>
      <c r="AC77" s="467"/>
      <c r="AD77" s="467"/>
      <c r="AE77" s="467"/>
    </row>
    <row r="78" customFormat="false" ht="15" hidden="false" customHeight="true" outlineLevel="0" collapsed="false">
      <c r="A78" s="467"/>
      <c r="B78" s="480" t="s">
        <v>324</v>
      </c>
      <c r="C78" s="481" t="n">
        <v>0</v>
      </c>
      <c r="D78" s="482" t="n">
        <f aca="false">C78*$M$18</f>
        <v>0</v>
      </c>
      <c r="E78" s="481" t="n">
        <v>0</v>
      </c>
      <c r="F78" s="482" t="n">
        <f aca="false">E78*$M$18</f>
        <v>0</v>
      </c>
      <c r="G78" s="481" t="n">
        <v>0</v>
      </c>
      <c r="H78" s="482" t="n">
        <f aca="false">G78*$M$18</f>
        <v>0</v>
      </c>
      <c r="I78" s="481" t="n">
        <v>0</v>
      </c>
      <c r="J78" s="482" t="n">
        <f aca="false">I78*$M$18</f>
        <v>0</v>
      </c>
      <c r="K78" s="481" t="n">
        <v>0</v>
      </c>
      <c r="L78" s="482" t="n">
        <f aca="false">K78*$M$18</f>
        <v>0</v>
      </c>
      <c r="M78" s="481" t="n">
        <v>0</v>
      </c>
      <c r="N78" s="482" t="n">
        <f aca="false">M78*$M$18+L78/2</f>
        <v>0</v>
      </c>
      <c r="O78" s="481" t="n">
        <v>0</v>
      </c>
      <c r="P78" s="482" t="n">
        <f aca="false">O78*$M$18</f>
        <v>0</v>
      </c>
      <c r="Q78" s="481" t="n">
        <v>0</v>
      </c>
      <c r="R78" s="482" t="n">
        <f aca="false">Q78*$M$18</f>
        <v>0</v>
      </c>
      <c r="S78" s="481" t="n">
        <v>0</v>
      </c>
      <c r="T78" s="482" t="n">
        <f aca="false">S78*$M$18</f>
        <v>0</v>
      </c>
      <c r="U78" s="481" t="n">
        <v>0</v>
      </c>
      <c r="V78" s="482" t="n">
        <f aca="false">U78*$M$18</f>
        <v>0</v>
      </c>
      <c r="W78" s="481" t="n">
        <v>0</v>
      </c>
      <c r="X78" s="482" t="n">
        <f aca="false">W78*$M$18</f>
        <v>0</v>
      </c>
      <c r="Y78" s="481" t="n">
        <v>0</v>
      </c>
      <c r="Z78" s="482" t="n">
        <f aca="false">Y78*$M$18+X78/2</f>
        <v>0</v>
      </c>
      <c r="AA78" s="482" t="n">
        <f aca="false">D78+F78+H78+J78+L78+N78+P78+R78+T78+V78+X78+Z78</f>
        <v>0</v>
      </c>
      <c r="AB78" s="467"/>
      <c r="AC78" s="467"/>
      <c r="AD78" s="467"/>
      <c r="AE78" s="467"/>
    </row>
    <row r="79" customFormat="false" ht="15" hidden="false" customHeight="true" outlineLevel="0" collapsed="false">
      <c r="A79" s="467"/>
      <c r="B79" s="480" t="s">
        <v>326</v>
      </c>
      <c r="C79" s="481" t="n">
        <v>0</v>
      </c>
      <c r="D79" s="482" t="n">
        <f aca="false">C79*$M$19</f>
        <v>0</v>
      </c>
      <c r="E79" s="481" t="n">
        <v>0</v>
      </c>
      <c r="F79" s="482" t="n">
        <f aca="false">E79*$M$19</f>
        <v>0</v>
      </c>
      <c r="G79" s="481" t="n">
        <v>0</v>
      </c>
      <c r="H79" s="482" t="n">
        <f aca="false">G79*$M$19</f>
        <v>0</v>
      </c>
      <c r="I79" s="481" t="n">
        <v>0</v>
      </c>
      <c r="J79" s="482" t="n">
        <f aca="false">I79*$M$19</f>
        <v>0</v>
      </c>
      <c r="K79" s="481" t="n">
        <v>0</v>
      </c>
      <c r="L79" s="482" t="n">
        <f aca="false">K79*$M$19</f>
        <v>0</v>
      </c>
      <c r="M79" s="481" t="n">
        <v>0</v>
      </c>
      <c r="N79" s="482" t="n">
        <f aca="false">M79*$M$19+L79/2</f>
        <v>0</v>
      </c>
      <c r="O79" s="481" t="n">
        <v>0</v>
      </c>
      <c r="P79" s="482" t="n">
        <f aca="false">O79*$M$19</f>
        <v>0</v>
      </c>
      <c r="Q79" s="481" t="n">
        <v>0</v>
      </c>
      <c r="R79" s="482" t="n">
        <f aca="false">Q79*$M$19</f>
        <v>0</v>
      </c>
      <c r="S79" s="481" t="n">
        <v>0</v>
      </c>
      <c r="T79" s="482" t="n">
        <f aca="false">S79*$M$19</f>
        <v>0</v>
      </c>
      <c r="U79" s="481" t="n">
        <v>0</v>
      </c>
      <c r="V79" s="482" t="n">
        <f aca="false">U79*$M$19</f>
        <v>0</v>
      </c>
      <c r="W79" s="481" t="n">
        <v>0</v>
      </c>
      <c r="X79" s="482" t="n">
        <f aca="false">W79*$M$19</f>
        <v>0</v>
      </c>
      <c r="Y79" s="481" t="n">
        <v>0</v>
      </c>
      <c r="Z79" s="482" t="n">
        <f aca="false">Y79*$M$19+X79/2</f>
        <v>0</v>
      </c>
      <c r="AA79" s="482" t="n">
        <f aca="false">D79+F79+H79+J79+L79+N79+P79+R79+T79+V79+X79+Z79</f>
        <v>0</v>
      </c>
      <c r="AB79" s="467"/>
      <c r="AC79" s="467"/>
      <c r="AD79" s="467"/>
      <c r="AE79" s="467"/>
    </row>
    <row r="80" customFormat="false" ht="15" hidden="false" customHeight="true" outlineLevel="0" collapsed="false">
      <c r="A80" s="467"/>
      <c r="B80" s="480" t="s">
        <v>328</v>
      </c>
      <c r="C80" s="481" t="n">
        <v>0</v>
      </c>
      <c r="D80" s="482" t="n">
        <f aca="false">C80*$M$20</f>
        <v>0</v>
      </c>
      <c r="E80" s="481" t="n">
        <v>0</v>
      </c>
      <c r="F80" s="482" t="n">
        <f aca="false">E80*$M$20</f>
        <v>0</v>
      </c>
      <c r="G80" s="481" t="n">
        <v>0</v>
      </c>
      <c r="H80" s="482" t="n">
        <f aca="false">G80*$M$20</f>
        <v>0</v>
      </c>
      <c r="I80" s="481" t="n">
        <v>0</v>
      </c>
      <c r="J80" s="482" t="n">
        <f aca="false">I80*$M$20</f>
        <v>0</v>
      </c>
      <c r="K80" s="481" t="n">
        <v>0</v>
      </c>
      <c r="L80" s="482" t="n">
        <f aca="false">K80*$M$20</f>
        <v>0</v>
      </c>
      <c r="M80" s="481" t="n">
        <v>0</v>
      </c>
      <c r="N80" s="482" t="n">
        <f aca="false">M80*$M$20+L80/2</f>
        <v>0</v>
      </c>
      <c r="O80" s="481" t="n">
        <v>0</v>
      </c>
      <c r="P80" s="482" t="n">
        <f aca="false">O80*$M$20</f>
        <v>0</v>
      </c>
      <c r="Q80" s="481" t="n">
        <v>0</v>
      </c>
      <c r="R80" s="482" t="n">
        <f aca="false">Q80*$M$20</f>
        <v>0</v>
      </c>
      <c r="S80" s="481" t="n">
        <v>0</v>
      </c>
      <c r="T80" s="482" t="n">
        <f aca="false">S80*$M$20</f>
        <v>0</v>
      </c>
      <c r="U80" s="481" t="n">
        <v>0</v>
      </c>
      <c r="V80" s="482" t="n">
        <f aca="false">U80*$M$20</f>
        <v>0</v>
      </c>
      <c r="W80" s="481" t="n">
        <v>0</v>
      </c>
      <c r="X80" s="482" t="n">
        <f aca="false">W80*$M$20</f>
        <v>0</v>
      </c>
      <c r="Y80" s="481" t="n">
        <v>0</v>
      </c>
      <c r="Z80" s="482" t="n">
        <f aca="false">Y80*$M$20+X80/2</f>
        <v>0</v>
      </c>
      <c r="AA80" s="482" t="n">
        <f aca="false">D80+F80+H80+J80+L80+N80+P80+R80+T80+V80+X80+Z80</f>
        <v>0</v>
      </c>
      <c r="AB80" s="467"/>
      <c r="AC80" s="467"/>
      <c r="AD80" s="467"/>
      <c r="AE80" s="467"/>
    </row>
    <row r="81" customFormat="false" ht="15" hidden="false" customHeight="true" outlineLevel="0" collapsed="false">
      <c r="A81" s="467"/>
      <c r="B81" s="480" t="s">
        <v>330</v>
      </c>
      <c r="C81" s="481" t="n">
        <v>0</v>
      </c>
      <c r="D81" s="482" t="n">
        <f aca="false">C81*$M$21</f>
        <v>0</v>
      </c>
      <c r="E81" s="481" t="n">
        <v>0</v>
      </c>
      <c r="F81" s="482" t="n">
        <f aca="false">E81*$M$21</f>
        <v>0</v>
      </c>
      <c r="G81" s="481" t="n">
        <v>0</v>
      </c>
      <c r="H81" s="482" t="n">
        <f aca="false">G81*$M$21</f>
        <v>0</v>
      </c>
      <c r="I81" s="481" t="n">
        <v>0</v>
      </c>
      <c r="J81" s="482" t="n">
        <f aca="false">I81*$M$21</f>
        <v>0</v>
      </c>
      <c r="K81" s="481" t="n">
        <v>0</v>
      </c>
      <c r="L81" s="482" t="n">
        <f aca="false">K81*$M$21</f>
        <v>0</v>
      </c>
      <c r="M81" s="481" t="n">
        <v>0</v>
      </c>
      <c r="N81" s="482" t="n">
        <f aca="false">M81*$M$21+L81/2</f>
        <v>0</v>
      </c>
      <c r="O81" s="481" t="n">
        <v>0</v>
      </c>
      <c r="P81" s="482" t="n">
        <f aca="false">O81*$M$21</f>
        <v>0</v>
      </c>
      <c r="Q81" s="481" t="n">
        <v>0</v>
      </c>
      <c r="R81" s="482" t="n">
        <f aca="false">Q81*$M$21</f>
        <v>0</v>
      </c>
      <c r="S81" s="481" t="n">
        <v>0</v>
      </c>
      <c r="T81" s="482" t="n">
        <f aca="false">S81*$M$21</f>
        <v>0</v>
      </c>
      <c r="U81" s="481" t="n">
        <v>0</v>
      </c>
      <c r="V81" s="482" t="n">
        <f aca="false">U81*$M$21</f>
        <v>0</v>
      </c>
      <c r="W81" s="481" t="n">
        <v>0</v>
      </c>
      <c r="X81" s="482" t="n">
        <f aca="false">W81*$M$21</f>
        <v>0</v>
      </c>
      <c r="Y81" s="481" t="n">
        <v>0</v>
      </c>
      <c r="Z81" s="482" t="n">
        <f aca="false">Y81*$M$21+X81/2</f>
        <v>0</v>
      </c>
      <c r="AA81" s="482" t="n">
        <f aca="false">D81+F81+H81+J81+L81+N81+P81+R81+T81+V81+X81+Z81</f>
        <v>0</v>
      </c>
      <c r="AB81" s="467"/>
      <c r="AC81" s="467"/>
      <c r="AD81" s="467"/>
      <c r="AE81" s="467"/>
    </row>
    <row r="82" customFormat="false" ht="15" hidden="false" customHeight="true" outlineLevel="0" collapsed="false">
      <c r="A82" s="467"/>
      <c r="B82" s="480" t="s">
        <v>333</v>
      </c>
      <c r="C82" s="481" t="n">
        <v>0</v>
      </c>
      <c r="D82" s="482" t="n">
        <f aca="false">C82*$M$22</f>
        <v>0</v>
      </c>
      <c r="E82" s="481" t="n">
        <v>0</v>
      </c>
      <c r="F82" s="482" t="n">
        <f aca="false">E82*$M$22</f>
        <v>0</v>
      </c>
      <c r="G82" s="481" t="n">
        <v>0</v>
      </c>
      <c r="H82" s="482" t="n">
        <f aca="false">G82*$M$22</f>
        <v>0</v>
      </c>
      <c r="I82" s="481" t="n">
        <v>0</v>
      </c>
      <c r="J82" s="482" t="n">
        <f aca="false">I82*$M$22</f>
        <v>0</v>
      </c>
      <c r="K82" s="481" t="n">
        <v>0</v>
      </c>
      <c r="L82" s="482" t="n">
        <f aca="false">K82*$M$22</f>
        <v>0</v>
      </c>
      <c r="M82" s="481" t="n">
        <v>0</v>
      </c>
      <c r="N82" s="482" t="n">
        <f aca="false">M82*$M$22+L82/2</f>
        <v>0</v>
      </c>
      <c r="O82" s="481" t="n">
        <v>0</v>
      </c>
      <c r="P82" s="482" t="n">
        <f aca="false">O82*$M$22</f>
        <v>0</v>
      </c>
      <c r="Q82" s="481" t="n">
        <v>0</v>
      </c>
      <c r="R82" s="482" t="n">
        <f aca="false">Q82*$M$22</f>
        <v>0</v>
      </c>
      <c r="S82" s="481" t="n">
        <v>0</v>
      </c>
      <c r="T82" s="482" t="n">
        <f aca="false">S82*$M$22</f>
        <v>0</v>
      </c>
      <c r="U82" s="481" t="n">
        <v>0</v>
      </c>
      <c r="V82" s="482" t="n">
        <f aca="false">U82*$M$22</f>
        <v>0</v>
      </c>
      <c r="W82" s="481" t="n">
        <v>0</v>
      </c>
      <c r="X82" s="482" t="n">
        <f aca="false">W82*$M$22</f>
        <v>0</v>
      </c>
      <c r="Y82" s="481" t="n">
        <v>0</v>
      </c>
      <c r="Z82" s="482" t="n">
        <f aca="false">Y82*$M$22+X82/2</f>
        <v>0</v>
      </c>
      <c r="AA82" s="482" t="n">
        <f aca="false">D82+F82+H82+J82+L82+N82+P82+R82+T82+V82+X82+Z82</f>
        <v>0</v>
      </c>
      <c r="AB82" s="467"/>
      <c r="AC82" s="467"/>
      <c r="AD82" s="467"/>
      <c r="AE82" s="467"/>
    </row>
    <row r="83" customFormat="false" ht="15" hidden="false" customHeight="true" outlineLevel="0" collapsed="false">
      <c r="A83" s="467"/>
      <c r="B83" s="480" t="s">
        <v>105</v>
      </c>
      <c r="C83" s="481" t="n">
        <v>0</v>
      </c>
      <c r="D83" s="482" t="n">
        <f aca="false">C83*$M$23</f>
        <v>0</v>
      </c>
      <c r="E83" s="481" t="n">
        <v>0</v>
      </c>
      <c r="F83" s="482" t="n">
        <f aca="false">E83*$M$23</f>
        <v>0</v>
      </c>
      <c r="G83" s="481" t="n">
        <v>0</v>
      </c>
      <c r="H83" s="482" t="n">
        <f aca="false">G83*$M$23</f>
        <v>0</v>
      </c>
      <c r="I83" s="481" t="n">
        <v>0</v>
      </c>
      <c r="J83" s="482" t="n">
        <f aca="false">I83*$M$23</f>
        <v>0</v>
      </c>
      <c r="K83" s="481" t="n">
        <v>0</v>
      </c>
      <c r="L83" s="482" t="n">
        <f aca="false">K83*$M$23</f>
        <v>0</v>
      </c>
      <c r="M83" s="481" t="n">
        <v>0</v>
      </c>
      <c r="N83" s="482" t="n">
        <f aca="false">M83*$M$23+L83/2</f>
        <v>0</v>
      </c>
      <c r="O83" s="481" t="n">
        <v>0</v>
      </c>
      <c r="P83" s="482" t="n">
        <f aca="false">O83*$M$23</f>
        <v>0</v>
      </c>
      <c r="Q83" s="481" t="n">
        <v>0</v>
      </c>
      <c r="R83" s="482" t="n">
        <f aca="false">Q83*$M$23</f>
        <v>0</v>
      </c>
      <c r="S83" s="481" t="n">
        <v>0</v>
      </c>
      <c r="T83" s="482" t="n">
        <f aca="false">S83*$M$23</f>
        <v>0</v>
      </c>
      <c r="U83" s="481" t="n">
        <v>0</v>
      </c>
      <c r="V83" s="482" t="n">
        <f aca="false">U83*$M$23</f>
        <v>0</v>
      </c>
      <c r="W83" s="481" t="n">
        <v>0</v>
      </c>
      <c r="X83" s="482" t="n">
        <f aca="false">W83*$M$23</f>
        <v>0</v>
      </c>
      <c r="Y83" s="481" t="n">
        <v>0</v>
      </c>
      <c r="Z83" s="482" t="n">
        <f aca="false">Y83*$M$23+X83/2</f>
        <v>0</v>
      </c>
      <c r="AA83" s="482" t="n">
        <f aca="false">D83+F83+H83+J83+L83+N83+P83+R83+T83+V83+X83+Z83</f>
        <v>0</v>
      </c>
      <c r="AB83" s="467"/>
      <c r="AC83" s="467"/>
      <c r="AD83" s="467"/>
      <c r="AE83" s="467"/>
    </row>
    <row r="84" customFormat="false" ht="15" hidden="false" customHeight="true" outlineLevel="0" collapsed="false">
      <c r="A84" s="467"/>
      <c r="B84" s="480" t="s">
        <v>336</v>
      </c>
      <c r="C84" s="481" t="n">
        <v>0</v>
      </c>
      <c r="D84" s="482" t="n">
        <f aca="false">C84*$M$24</f>
        <v>0</v>
      </c>
      <c r="E84" s="481" t="n">
        <v>0</v>
      </c>
      <c r="F84" s="482" t="n">
        <f aca="false">E84*$M$24</f>
        <v>0</v>
      </c>
      <c r="G84" s="481" t="n">
        <v>0</v>
      </c>
      <c r="H84" s="482" t="n">
        <f aca="false">G84*$M$24</f>
        <v>0</v>
      </c>
      <c r="I84" s="481" t="n">
        <v>0</v>
      </c>
      <c r="J84" s="482" t="n">
        <f aca="false">I84*$M$24</f>
        <v>0</v>
      </c>
      <c r="K84" s="481" t="n">
        <v>0</v>
      </c>
      <c r="L84" s="482" t="n">
        <f aca="false">K84*$M$24</f>
        <v>0</v>
      </c>
      <c r="M84" s="481" t="n">
        <v>0</v>
      </c>
      <c r="N84" s="482" t="n">
        <f aca="false">M84*$M$24+L84/2</f>
        <v>0</v>
      </c>
      <c r="O84" s="481" t="n">
        <v>0</v>
      </c>
      <c r="P84" s="482" t="n">
        <f aca="false">O84*$M$24</f>
        <v>0</v>
      </c>
      <c r="Q84" s="481" t="n">
        <v>0</v>
      </c>
      <c r="R84" s="482" t="n">
        <f aca="false">Q84*$M$24</f>
        <v>0</v>
      </c>
      <c r="S84" s="481" t="n">
        <v>0</v>
      </c>
      <c r="T84" s="482" t="n">
        <f aca="false">S84*$M$24</f>
        <v>0</v>
      </c>
      <c r="U84" s="481" t="n">
        <v>0</v>
      </c>
      <c r="V84" s="482" t="n">
        <f aca="false">U84*$M$24</f>
        <v>0</v>
      </c>
      <c r="W84" s="481" t="n">
        <v>0</v>
      </c>
      <c r="X84" s="482" t="n">
        <f aca="false">W84*$M$24</f>
        <v>0</v>
      </c>
      <c r="Y84" s="481" t="n">
        <v>0</v>
      </c>
      <c r="Z84" s="482" t="n">
        <f aca="false">Y84*$M$24+X84/2</f>
        <v>0</v>
      </c>
      <c r="AA84" s="482" t="n">
        <f aca="false">D84+F84+H84+J84+L84+N84+P84+R84+T84+V84+X84+Z84</f>
        <v>0</v>
      </c>
      <c r="AB84" s="467"/>
      <c r="AC84" s="467"/>
      <c r="AD84" s="467"/>
      <c r="AE84" s="467"/>
    </row>
    <row r="85" customFormat="false" ht="15" hidden="false" customHeight="true" outlineLevel="0" collapsed="false">
      <c r="A85" s="467"/>
      <c r="B85" s="480" t="s">
        <v>338</v>
      </c>
      <c r="C85" s="481" t="n">
        <v>0</v>
      </c>
      <c r="D85" s="482" t="n">
        <f aca="false">C85*$M$25</f>
        <v>0</v>
      </c>
      <c r="E85" s="481" t="n">
        <v>0</v>
      </c>
      <c r="F85" s="482" t="n">
        <f aca="false">E85*$M$25</f>
        <v>0</v>
      </c>
      <c r="G85" s="481" t="n">
        <v>0</v>
      </c>
      <c r="H85" s="482" t="n">
        <f aca="false">G85*$M$25</f>
        <v>0</v>
      </c>
      <c r="I85" s="481" t="n">
        <v>0</v>
      </c>
      <c r="J85" s="482" t="n">
        <f aca="false">I85*$M$25</f>
        <v>0</v>
      </c>
      <c r="K85" s="481" t="n">
        <v>0</v>
      </c>
      <c r="L85" s="482" t="n">
        <f aca="false">K85*$M$25</f>
        <v>0</v>
      </c>
      <c r="M85" s="481" t="n">
        <v>0</v>
      </c>
      <c r="N85" s="482" t="n">
        <f aca="false">M85*$M$25+L85/2</f>
        <v>0</v>
      </c>
      <c r="O85" s="481" t="n">
        <v>0</v>
      </c>
      <c r="P85" s="482" t="n">
        <f aca="false">O85*$M$25</f>
        <v>0</v>
      </c>
      <c r="Q85" s="481" t="n">
        <v>0</v>
      </c>
      <c r="R85" s="482" t="n">
        <f aca="false">Q85*$M$25</f>
        <v>0</v>
      </c>
      <c r="S85" s="481" t="n">
        <v>0</v>
      </c>
      <c r="T85" s="482" t="n">
        <f aca="false">S85*$M$25</f>
        <v>0</v>
      </c>
      <c r="U85" s="481" t="n">
        <v>0</v>
      </c>
      <c r="V85" s="482" t="n">
        <f aca="false">U85*$M$25</f>
        <v>0</v>
      </c>
      <c r="W85" s="481" t="n">
        <v>0</v>
      </c>
      <c r="X85" s="482" t="n">
        <f aca="false">W85*$M$25</f>
        <v>0</v>
      </c>
      <c r="Y85" s="481" t="n">
        <v>0</v>
      </c>
      <c r="Z85" s="482" t="n">
        <f aca="false">Y85*$M$25+X85/2</f>
        <v>0</v>
      </c>
      <c r="AA85" s="482" t="n">
        <f aca="false">D85+F85+H85+J85+L85+N85+P85+R85+T85+V85+X85+Z85</f>
        <v>0</v>
      </c>
      <c r="AB85" s="467"/>
      <c r="AC85" s="467"/>
      <c r="AD85" s="467"/>
      <c r="AE85" s="467"/>
    </row>
    <row r="86" customFormat="false" ht="15" hidden="false" customHeight="true" outlineLevel="0" collapsed="false">
      <c r="A86" s="467"/>
      <c r="B86" s="480" t="s">
        <v>107</v>
      </c>
      <c r="C86" s="481" t="n">
        <v>0</v>
      </c>
      <c r="D86" s="482" t="n">
        <f aca="false">C86*$M$26</f>
        <v>0</v>
      </c>
      <c r="E86" s="481" t="n">
        <v>0</v>
      </c>
      <c r="F86" s="482" t="n">
        <f aca="false">E86*$M$26</f>
        <v>0</v>
      </c>
      <c r="G86" s="481" t="n">
        <v>0</v>
      </c>
      <c r="H86" s="482" t="n">
        <f aca="false">G86*$M$26</f>
        <v>0</v>
      </c>
      <c r="I86" s="481" t="n">
        <v>0</v>
      </c>
      <c r="J86" s="482" t="n">
        <f aca="false">I86*$M$26</f>
        <v>0</v>
      </c>
      <c r="K86" s="481" t="n">
        <v>0</v>
      </c>
      <c r="L86" s="482" t="n">
        <f aca="false">K86*$M$26</f>
        <v>0</v>
      </c>
      <c r="M86" s="481" t="n">
        <v>0</v>
      </c>
      <c r="N86" s="482" t="n">
        <f aca="false">M86*$M$26+L86/2</f>
        <v>0</v>
      </c>
      <c r="O86" s="481" t="n">
        <v>0</v>
      </c>
      <c r="P86" s="482" t="n">
        <f aca="false">O86*$M$26</f>
        <v>0</v>
      </c>
      <c r="Q86" s="481" t="n">
        <v>0</v>
      </c>
      <c r="R86" s="482" t="n">
        <f aca="false">Q86*$M$26</f>
        <v>0</v>
      </c>
      <c r="S86" s="481" t="n">
        <v>0</v>
      </c>
      <c r="T86" s="482" t="n">
        <f aca="false">S86*$M$26</f>
        <v>0</v>
      </c>
      <c r="U86" s="481" t="n">
        <v>0</v>
      </c>
      <c r="V86" s="482" t="n">
        <f aca="false">U86*$M$26</f>
        <v>0</v>
      </c>
      <c r="W86" s="481" t="n">
        <v>0</v>
      </c>
      <c r="X86" s="482" t="n">
        <f aca="false">W86*$M$26</f>
        <v>0</v>
      </c>
      <c r="Y86" s="481" t="n">
        <v>0</v>
      </c>
      <c r="Z86" s="482" t="n">
        <f aca="false">Y86*$M$26+X86/2</f>
        <v>0</v>
      </c>
      <c r="AA86" s="482" t="n">
        <f aca="false">D86+F86+H86+J86+L86+N86+P86+R86+T86+V86+X86+Z86</f>
        <v>0</v>
      </c>
      <c r="AB86" s="467"/>
      <c r="AC86" s="467"/>
      <c r="AD86" s="467"/>
      <c r="AE86" s="467"/>
    </row>
    <row r="87" customFormat="false" ht="15" hidden="false" customHeight="true" outlineLevel="0" collapsed="false">
      <c r="A87" s="467"/>
      <c r="B87" s="480" t="s">
        <v>340</v>
      </c>
      <c r="C87" s="481" t="n">
        <v>0</v>
      </c>
      <c r="D87" s="482" t="n">
        <f aca="false">C87*$M$27</f>
        <v>0</v>
      </c>
      <c r="E87" s="481" t="n">
        <v>0</v>
      </c>
      <c r="F87" s="482" t="n">
        <f aca="false">E87*$M$27</f>
        <v>0</v>
      </c>
      <c r="G87" s="481" t="n">
        <v>0</v>
      </c>
      <c r="H87" s="482" t="n">
        <f aca="false">G87*$M$27</f>
        <v>0</v>
      </c>
      <c r="I87" s="481" t="n">
        <v>0</v>
      </c>
      <c r="J87" s="482" t="n">
        <f aca="false">I87*$M$27</f>
        <v>0</v>
      </c>
      <c r="K87" s="481" t="n">
        <v>0</v>
      </c>
      <c r="L87" s="482" t="n">
        <f aca="false">K87*$M$27</f>
        <v>0</v>
      </c>
      <c r="M87" s="481" t="n">
        <v>0</v>
      </c>
      <c r="N87" s="482" t="n">
        <f aca="false">M87*$M$27+L87/2</f>
        <v>0</v>
      </c>
      <c r="O87" s="481" t="n">
        <v>0</v>
      </c>
      <c r="P87" s="482" t="n">
        <f aca="false">O87*$M$27</f>
        <v>0</v>
      </c>
      <c r="Q87" s="481" t="n">
        <v>0</v>
      </c>
      <c r="R87" s="482" t="n">
        <f aca="false">Q87*$M$27</f>
        <v>0</v>
      </c>
      <c r="S87" s="481" t="n">
        <v>0</v>
      </c>
      <c r="T87" s="482" t="n">
        <f aca="false">S87*$M$27</f>
        <v>0</v>
      </c>
      <c r="U87" s="481" t="n">
        <v>0</v>
      </c>
      <c r="V87" s="482" t="n">
        <f aca="false">U87*$M$27</f>
        <v>0</v>
      </c>
      <c r="W87" s="481" t="n">
        <v>0</v>
      </c>
      <c r="X87" s="482" t="n">
        <f aca="false">W87*$M$27</f>
        <v>0</v>
      </c>
      <c r="Y87" s="481" t="n">
        <v>0</v>
      </c>
      <c r="Z87" s="482" t="n">
        <f aca="false">Y87*$M$27+X87/2</f>
        <v>0</v>
      </c>
      <c r="AA87" s="482" t="n">
        <f aca="false">D87+F87+H87+J87+L87+N87+P87+R87+T87+V87+X87+Z87</f>
        <v>0</v>
      </c>
      <c r="AB87" s="467"/>
      <c r="AC87" s="467"/>
      <c r="AD87" s="467"/>
      <c r="AE87" s="467"/>
    </row>
    <row r="88" customFormat="false" ht="15" hidden="false" customHeight="true" outlineLevel="0" collapsed="false">
      <c r="A88" s="467"/>
      <c r="B88" s="483" t="s">
        <v>344</v>
      </c>
      <c r="C88" s="484" t="n">
        <f aca="false">SUM(C74:C87)</f>
        <v>2</v>
      </c>
      <c r="D88" s="485" t="n">
        <f aca="false">SUM(D74:D87)</f>
        <v>5178.4</v>
      </c>
      <c r="E88" s="484" t="n">
        <f aca="false">SUM(E74:E87)</f>
        <v>2</v>
      </c>
      <c r="F88" s="485" t="n">
        <f aca="false">SUM(F74:F87)</f>
        <v>5178.4</v>
      </c>
      <c r="G88" s="484" t="n">
        <f aca="false">SUM(G74:G87)</f>
        <v>2</v>
      </c>
      <c r="H88" s="485" t="n">
        <f aca="false">SUM(H74:H87)</f>
        <v>5178.4</v>
      </c>
      <c r="I88" s="484" t="n">
        <f aca="false">SUM(I74:I87)</f>
        <v>2</v>
      </c>
      <c r="J88" s="485" t="n">
        <f aca="false">SUM(J74:J87)</f>
        <v>5178.4</v>
      </c>
      <c r="K88" s="484" t="n">
        <f aca="false">SUM(K74:K87)</f>
        <v>2</v>
      </c>
      <c r="L88" s="485" t="n">
        <f aca="false">SUM(L74:L87)</f>
        <v>5178.4</v>
      </c>
      <c r="M88" s="484" t="n">
        <f aca="false">SUM(M74:M87)</f>
        <v>2</v>
      </c>
      <c r="N88" s="485" t="n">
        <f aca="false">SUM(N74:N87)</f>
        <v>7767.6</v>
      </c>
      <c r="O88" s="484" t="n">
        <f aca="false">SUM(O74:O87)</f>
        <v>2</v>
      </c>
      <c r="P88" s="485" t="n">
        <f aca="false">SUM(P74:P87)</f>
        <v>5178.4</v>
      </c>
      <c r="Q88" s="484" t="n">
        <f aca="false">SUM(Q74:Q87)</f>
        <v>2</v>
      </c>
      <c r="R88" s="485" t="n">
        <f aca="false">SUM(R74:R87)</f>
        <v>5178.4</v>
      </c>
      <c r="S88" s="484" t="n">
        <f aca="false">SUM(S74:S87)</f>
        <v>2</v>
      </c>
      <c r="T88" s="485" t="n">
        <f aca="false">SUM(T74:T87)</f>
        <v>5178.4</v>
      </c>
      <c r="U88" s="484" t="n">
        <f aca="false">SUM(U74:U87)</f>
        <v>2</v>
      </c>
      <c r="V88" s="485" t="n">
        <f aca="false">SUM(V74:V87)</f>
        <v>5178.4</v>
      </c>
      <c r="W88" s="484" t="n">
        <f aca="false">SUM(W74:W87)</f>
        <v>2</v>
      </c>
      <c r="X88" s="485" t="n">
        <f aca="false">SUM(X74:X87)</f>
        <v>5178.4</v>
      </c>
      <c r="Y88" s="484" t="n">
        <f aca="false">SUM(Y74:Y87)</f>
        <v>2</v>
      </c>
      <c r="Z88" s="485" t="n">
        <f aca="false">SUM(Z74:Z87)</f>
        <v>7767.6</v>
      </c>
      <c r="AA88" s="485" t="n">
        <f aca="false">SUM(AA74:AA87)</f>
        <v>67319.2</v>
      </c>
      <c r="AB88" s="467"/>
      <c r="AC88" s="467"/>
      <c r="AD88" s="467"/>
      <c r="AE88" s="467"/>
    </row>
    <row r="89" customFormat="false" ht="15" hidden="false" customHeight="true" outlineLevel="0" collapsed="false">
      <c r="A89" s="467"/>
      <c r="B89" s="467"/>
      <c r="C89" s="467"/>
      <c r="D89" s="467"/>
      <c r="E89" s="467"/>
      <c r="F89" s="467"/>
      <c r="G89" s="467"/>
      <c r="H89" s="467"/>
      <c r="I89" s="467"/>
      <c r="J89" s="467"/>
      <c r="K89" s="467"/>
      <c r="L89" s="467"/>
      <c r="M89" s="467"/>
      <c r="N89" s="467"/>
      <c r="O89" s="467"/>
      <c r="P89" s="467"/>
      <c r="Q89" s="467"/>
      <c r="R89" s="467"/>
      <c r="S89" s="467"/>
      <c r="T89" s="467"/>
      <c r="U89" s="467"/>
      <c r="V89" s="467"/>
      <c r="W89" s="467"/>
      <c r="X89" s="467"/>
      <c r="Y89" s="467"/>
      <c r="Z89" s="467"/>
      <c r="AA89" s="467"/>
      <c r="AB89" s="467"/>
      <c r="AC89" s="467"/>
      <c r="AD89" s="467"/>
      <c r="AE89" s="467"/>
    </row>
    <row r="90" customFormat="false" ht="15" hidden="false" customHeight="true" outlineLevel="0" collapsed="false">
      <c r="A90" s="467"/>
      <c r="B90" s="467"/>
      <c r="C90" s="467"/>
      <c r="D90" s="467"/>
      <c r="E90" s="467"/>
      <c r="F90" s="467"/>
      <c r="G90" s="467"/>
      <c r="H90" s="467"/>
      <c r="I90" s="467"/>
      <c r="J90" s="467"/>
      <c r="K90" s="467"/>
      <c r="L90" s="467"/>
      <c r="M90" s="467"/>
      <c r="N90" s="467"/>
      <c r="O90" s="467"/>
      <c r="P90" s="467"/>
      <c r="Q90" s="467"/>
      <c r="R90" s="467"/>
      <c r="S90" s="467"/>
      <c r="T90" s="467"/>
      <c r="U90" s="467"/>
      <c r="V90" s="467"/>
      <c r="W90" s="467"/>
      <c r="X90" s="467"/>
      <c r="Y90" s="467"/>
      <c r="Z90" s="467"/>
      <c r="AA90" s="467"/>
      <c r="AB90" s="467"/>
      <c r="AC90" s="467"/>
      <c r="AD90" s="467"/>
      <c r="AE90" s="467"/>
    </row>
    <row r="91" customFormat="false" ht="15" hidden="false" customHeight="true" outlineLevel="0" collapsed="false">
      <c r="A91" s="467"/>
      <c r="B91" s="467"/>
      <c r="C91" s="467"/>
      <c r="D91" s="467"/>
      <c r="E91" s="467"/>
      <c r="F91" s="467"/>
      <c r="G91" s="467"/>
      <c r="H91" s="467"/>
      <c r="I91" s="467"/>
      <c r="J91" s="467"/>
      <c r="K91" s="467"/>
      <c r="L91" s="467"/>
      <c r="M91" s="467"/>
      <c r="N91" s="467"/>
      <c r="O91" s="467"/>
      <c r="P91" s="467"/>
      <c r="Q91" s="467"/>
      <c r="R91" s="467"/>
      <c r="S91" s="467"/>
      <c r="T91" s="467"/>
      <c r="U91" s="467"/>
      <c r="V91" s="467"/>
      <c r="W91" s="467"/>
      <c r="X91" s="467"/>
      <c r="Y91" s="467"/>
      <c r="Z91" s="467"/>
      <c r="AA91" s="467"/>
      <c r="AB91" s="467"/>
      <c r="AC91" s="467"/>
      <c r="AD91" s="467"/>
      <c r="AE91" s="467"/>
    </row>
    <row r="92" customFormat="false" ht="15" hidden="false" customHeight="true" outlineLevel="0" collapsed="false">
      <c r="A92" s="467"/>
      <c r="B92" s="467"/>
      <c r="C92" s="467"/>
      <c r="D92" s="467"/>
      <c r="E92" s="467"/>
      <c r="F92" s="467"/>
      <c r="G92" s="467"/>
      <c r="H92" s="467"/>
      <c r="I92" s="467"/>
      <c r="J92" s="467"/>
      <c r="K92" s="467"/>
      <c r="L92" s="467"/>
      <c r="M92" s="467"/>
      <c r="N92" s="467"/>
      <c r="O92" s="467"/>
      <c r="P92" s="467"/>
      <c r="Q92" s="467"/>
      <c r="R92" s="467"/>
      <c r="S92" s="467"/>
      <c r="T92" s="467"/>
      <c r="U92" s="467"/>
      <c r="V92" s="467"/>
      <c r="W92" s="467"/>
      <c r="X92" s="467"/>
      <c r="Y92" s="467"/>
      <c r="Z92" s="467"/>
      <c r="AA92" s="467"/>
      <c r="AB92" s="467"/>
      <c r="AC92" s="467"/>
      <c r="AD92" s="467"/>
      <c r="AE92" s="467"/>
    </row>
    <row r="93" customFormat="false" ht="15" hidden="false" customHeight="true" outlineLevel="0" collapsed="false">
      <c r="A93" s="467"/>
      <c r="B93" s="467"/>
      <c r="C93" s="467"/>
      <c r="D93" s="467"/>
      <c r="E93" s="467"/>
      <c r="F93" s="467"/>
      <c r="G93" s="467"/>
      <c r="H93" s="467"/>
      <c r="I93" s="467"/>
      <c r="J93" s="467"/>
      <c r="K93" s="467"/>
      <c r="L93" s="467"/>
      <c r="M93" s="467"/>
      <c r="N93" s="467"/>
      <c r="O93" s="467"/>
      <c r="P93" s="467"/>
      <c r="Q93" s="467"/>
      <c r="R93" s="467"/>
      <c r="S93" s="467"/>
      <c r="T93" s="467"/>
      <c r="U93" s="467"/>
      <c r="V93" s="467"/>
      <c r="W93" s="467"/>
      <c r="X93" s="467"/>
      <c r="Y93" s="467"/>
      <c r="Z93" s="467"/>
      <c r="AA93" s="467"/>
      <c r="AB93" s="467"/>
      <c r="AC93" s="467"/>
      <c r="AD93" s="467"/>
      <c r="AE93" s="467"/>
    </row>
    <row r="94" customFormat="false" ht="15" hidden="false" customHeight="true" outlineLevel="0" collapsed="false">
      <c r="A94" s="467"/>
      <c r="B94" s="467"/>
      <c r="C94" s="467"/>
      <c r="D94" s="467"/>
      <c r="E94" s="467"/>
      <c r="F94" s="467"/>
      <c r="G94" s="467"/>
      <c r="H94" s="467"/>
      <c r="I94" s="467"/>
      <c r="J94" s="467"/>
      <c r="K94" s="467"/>
      <c r="L94" s="467"/>
      <c r="M94" s="467"/>
      <c r="N94" s="467"/>
      <c r="O94" s="467"/>
      <c r="P94" s="467"/>
      <c r="Q94" s="467"/>
      <c r="R94" s="467"/>
      <c r="S94" s="467"/>
      <c r="T94" s="467"/>
      <c r="U94" s="467"/>
      <c r="V94" s="467"/>
      <c r="W94" s="467"/>
      <c r="X94" s="467"/>
      <c r="Y94" s="467"/>
      <c r="Z94" s="467"/>
      <c r="AA94" s="467"/>
      <c r="AB94" s="467"/>
      <c r="AC94" s="467"/>
      <c r="AD94" s="467"/>
      <c r="AE94" s="467"/>
    </row>
    <row r="95" customFormat="false" ht="15" hidden="false" customHeight="true" outlineLevel="0" collapsed="false">
      <c r="A95" s="467"/>
      <c r="B95" s="467"/>
      <c r="C95" s="467"/>
      <c r="D95" s="467"/>
      <c r="E95" s="467"/>
      <c r="F95" s="467"/>
      <c r="G95" s="467"/>
      <c r="H95" s="467"/>
      <c r="I95" s="467"/>
      <c r="J95" s="467"/>
      <c r="K95" s="467"/>
      <c r="L95" s="467"/>
      <c r="M95" s="467"/>
      <c r="N95" s="467"/>
      <c r="O95" s="467"/>
      <c r="P95" s="467"/>
      <c r="Q95" s="467"/>
      <c r="R95" s="467"/>
      <c r="S95" s="467"/>
      <c r="T95" s="467"/>
      <c r="U95" s="467"/>
      <c r="V95" s="467"/>
      <c r="W95" s="467"/>
      <c r="X95" s="467"/>
      <c r="Y95" s="467"/>
      <c r="Z95" s="467"/>
      <c r="AA95" s="467"/>
      <c r="AB95" s="467"/>
      <c r="AC95" s="467"/>
      <c r="AD95" s="467"/>
      <c r="AE95" s="467"/>
    </row>
  </sheetData>
  <mergeCells count="73">
    <mergeCell ref="B4:D4"/>
    <mergeCell ref="H4:J4"/>
    <mergeCell ref="B11:L11"/>
    <mergeCell ref="B12:B13"/>
    <mergeCell ref="C12:C13"/>
    <mergeCell ref="D12:D13"/>
    <mergeCell ref="L12:L13"/>
    <mergeCell ref="M12:M13"/>
    <mergeCell ref="N12:AA13"/>
    <mergeCell ref="B14:B15"/>
    <mergeCell ref="N14:AA14"/>
    <mergeCell ref="N15:AA15"/>
    <mergeCell ref="B16:B18"/>
    <mergeCell ref="N16:AA16"/>
    <mergeCell ref="N17:AA17"/>
    <mergeCell ref="N18:AA18"/>
    <mergeCell ref="B19:B20"/>
    <mergeCell ref="N19:AA19"/>
    <mergeCell ref="N20:AA20"/>
    <mergeCell ref="N21:AA21"/>
    <mergeCell ref="B22:B25"/>
    <mergeCell ref="N22:AA22"/>
    <mergeCell ref="N23:AA23"/>
    <mergeCell ref="N24:AA24"/>
    <mergeCell ref="N25:AA25"/>
    <mergeCell ref="B26:B27"/>
    <mergeCell ref="N26:AA26"/>
    <mergeCell ref="N27:AA27"/>
    <mergeCell ref="B29:AA29"/>
    <mergeCell ref="B30:B31"/>
    <mergeCell ref="C30:D30"/>
    <mergeCell ref="E30:F30"/>
    <mergeCell ref="G30:H30"/>
    <mergeCell ref="I30:J30"/>
    <mergeCell ref="K30:L30"/>
    <mergeCell ref="M30:N30"/>
    <mergeCell ref="O30:P30"/>
    <mergeCell ref="Q30:R30"/>
    <mergeCell ref="S30:T30"/>
    <mergeCell ref="U30:V30"/>
    <mergeCell ref="W30:X30"/>
    <mergeCell ref="Y30:Z30"/>
    <mergeCell ref="AA30:AA31"/>
    <mergeCell ref="B50:AA50"/>
    <mergeCell ref="B51:B52"/>
    <mergeCell ref="C51:D51"/>
    <mergeCell ref="E51:F51"/>
    <mergeCell ref="G51:H51"/>
    <mergeCell ref="I51:J51"/>
    <mergeCell ref="K51:L51"/>
    <mergeCell ref="M51:N51"/>
    <mergeCell ref="O51:P51"/>
    <mergeCell ref="Q51:R51"/>
    <mergeCell ref="S51:T51"/>
    <mergeCell ref="U51:V51"/>
    <mergeCell ref="W51:X51"/>
    <mergeCell ref="Y51:Z51"/>
    <mergeCell ref="AA51:AA52"/>
    <mergeCell ref="B71:AA71"/>
    <mergeCell ref="B72:B73"/>
    <mergeCell ref="C72:D72"/>
    <mergeCell ref="E72:F72"/>
    <mergeCell ref="G72:H72"/>
    <mergeCell ref="I72:J72"/>
    <mergeCell ref="K72:L72"/>
    <mergeCell ref="M72:N72"/>
    <mergeCell ref="O72:P72"/>
    <mergeCell ref="Q72:R72"/>
    <mergeCell ref="S72:T72"/>
    <mergeCell ref="U72:V72"/>
    <mergeCell ref="W72:X72"/>
    <mergeCell ref="Y72:Z72"/>
    <mergeCell ref="AA72:AA7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2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E32" activeCellId="0" sqref="E32"/>
    </sheetView>
  </sheetViews>
  <sheetFormatPr defaultColWidth="12.66796875" defaultRowHeight="15" customHeight="true" zeroHeight="false" outlineLevelRow="0" outlineLevelCol="0"/>
  <cols>
    <col collapsed="false" customWidth="true" hidden="false" outlineLevel="0" max="1" min="1" style="1" width="40"/>
    <col collapsed="false" customWidth="true" hidden="false" outlineLevel="0" max="4" min="2" style="1" width="16"/>
    <col collapsed="false" customWidth="true" hidden="false" outlineLevel="0" max="26" min="5" style="1" width="56"/>
  </cols>
  <sheetData>
    <row r="1" customFormat="false" ht="45.75" hidden="false" customHeight="true" outlineLevel="0" collapsed="false">
      <c r="A1" s="9"/>
      <c r="B1" s="9"/>
      <c r="C1" s="9"/>
      <c r="D1" s="9"/>
      <c r="E1" s="9"/>
      <c r="F1" s="422" t="s">
        <v>15</v>
      </c>
      <c r="G1" s="389"/>
      <c r="H1" s="389"/>
      <c r="I1" s="9"/>
      <c r="J1" s="9"/>
      <c r="K1" s="9"/>
      <c r="L1" s="9"/>
      <c r="M1" s="9"/>
      <c r="N1" s="9"/>
      <c r="O1" s="9"/>
      <c r="P1" s="2"/>
      <c r="Q1" s="2"/>
      <c r="R1" s="2"/>
      <c r="S1" s="2"/>
      <c r="T1" s="2"/>
      <c r="U1" s="2"/>
      <c r="V1" s="2"/>
      <c r="W1" s="2"/>
      <c r="X1" s="2"/>
      <c r="Y1" s="2"/>
      <c r="Z1" s="2"/>
    </row>
    <row r="2" customFormat="false" ht="15" hidden="false" customHeight="true" outlineLevel="0" collapsed="false">
      <c r="A2" s="2"/>
      <c r="B2" s="2"/>
      <c r="C2" s="2"/>
      <c r="D2" s="2"/>
      <c r="E2" s="2"/>
      <c r="F2" s="2"/>
      <c r="G2" s="2"/>
      <c r="H2" s="2"/>
      <c r="I2" s="2"/>
      <c r="J2" s="2"/>
      <c r="K2" s="2"/>
      <c r="L2" s="2"/>
      <c r="M2" s="2"/>
      <c r="N2" s="2"/>
      <c r="O2" s="2"/>
      <c r="P2" s="2"/>
      <c r="Q2" s="2"/>
      <c r="R2" s="2"/>
      <c r="S2" s="2"/>
      <c r="T2" s="2"/>
      <c r="U2" s="2"/>
      <c r="V2" s="2"/>
      <c r="W2" s="2"/>
      <c r="X2" s="2"/>
      <c r="Y2" s="2"/>
      <c r="Z2" s="2"/>
    </row>
    <row r="3" customFormat="false" ht="15" hidden="false" customHeight="true" outlineLevel="0" collapsed="false">
      <c r="A3" s="2"/>
      <c r="B3" s="423" t="s">
        <v>74</v>
      </c>
      <c r="C3" s="423"/>
      <c r="D3" s="423"/>
      <c r="E3" s="2"/>
      <c r="F3" s="2"/>
      <c r="G3" s="2"/>
      <c r="H3" s="2"/>
      <c r="I3" s="2"/>
      <c r="J3" s="2"/>
      <c r="K3" s="2"/>
      <c r="L3" s="2"/>
      <c r="M3" s="2"/>
      <c r="N3" s="2"/>
      <c r="O3" s="2"/>
      <c r="P3" s="2"/>
      <c r="Q3" s="2"/>
      <c r="R3" s="2"/>
      <c r="S3" s="2"/>
      <c r="T3" s="2"/>
      <c r="U3" s="2"/>
      <c r="V3" s="2"/>
      <c r="W3" s="2"/>
      <c r="X3" s="2"/>
      <c r="Y3" s="2"/>
      <c r="Z3" s="2"/>
    </row>
    <row r="4" customFormat="false" ht="15" hidden="false" customHeight="true" outlineLevel="0" collapsed="false">
      <c r="A4" s="2"/>
      <c r="B4" s="424" t="n">
        <v>2026</v>
      </c>
      <c r="C4" s="424" t="n">
        <v>2027</v>
      </c>
      <c r="D4" s="424" t="n">
        <v>2028</v>
      </c>
      <c r="E4" s="2"/>
      <c r="F4" s="2"/>
      <c r="G4" s="2"/>
      <c r="H4" s="2"/>
      <c r="I4" s="2"/>
      <c r="J4" s="2"/>
      <c r="K4" s="2"/>
      <c r="L4" s="2"/>
      <c r="M4" s="2"/>
      <c r="N4" s="2"/>
      <c r="O4" s="2"/>
      <c r="P4" s="2"/>
      <c r="Q4" s="2"/>
      <c r="R4" s="2"/>
      <c r="S4" s="2"/>
      <c r="T4" s="2"/>
      <c r="U4" s="2"/>
      <c r="V4" s="2"/>
      <c r="W4" s="2"/>
      <c r="X4" s="2"/>
      <c r="Y4" s="2"/>
      <c r="Z4" s="2"/>
    </row>
    <row r="5" customFormat="false" ht="15" hidden="false" customHeight="true" outlineLevel="0" collapsed="false">
      <c r="A5" s="2"/>
      <c r="B5" s="425" t="n">
        <f aca="false">Hipótesis!C24</f>
        <v>0.008</v>
      </c>
      <c r="C5" s="425" t="n">
        <f aca="false">Hipótesis!C25</f>
        <v>0.029</v>
      </c>
      <c r="D5" s="425" t="n">
        <f aca="false">Hipótesis!C26</f>
        <v>0.052</v>
      </c>
      <c r="E5" s="2"/>
      <c r="F5" s="2"/>
      <c r="G5" s="2"/>
      <c r="H5" s="2"/>
      <c r="I5" s="2"/>
      <c r="J5" s="2"/>
      <c r="K5" s="2"/>
      <c r="L5" s="2"/>
      <c r="M5" s="2"/>
      <c r="N5" s="2"/>
      <c r="O5" s="2"/>
      <c r="P5" s="2"/>
      <c r="Q5" s="2"/>
      <c r="R5" s="2"/>
      <c r="S5" s="2"/>
      <c r="T5" s="2"/>
      <c r="U5" s="2"/>
      <c r="V5" s="2"/>
      <c r="W5" s="2"/>
      <c r="X5" s="2"/>
      <c r="Y5" s="2"/>
      <c r="Z5" s="2"/>
    </row>
    <row r="6" customFormat="false" ht="15" hidden="false" customHeight="true" outlineLevel="0" collapsed="false">
      <c r="A6" s="2"/>
      <c r="B6" s="427" t="n">
        <f aca="false">Hipótesis!D24</f>
        <v>107520</v>
      </c>
      <c r="C6" s="427" t="n">
        <f aca="false">Hipótesis!D25</f>
        <v>389760</v>
      </c>
      <c r="D6" s="427" t="n">
        <f aca="false">Hipótesis!D26</f>
        <v>698880</v>
      </c>
      <c r="E6" s="2"/>
      <c r="F6" s="2"/>
      <c r="G6" s="2"/>
      <c r="H6" s="2"/>
      <c r="I6" s="2"/>
      <c r="J6" s="2"/>
      <c r="K6" s="2"/>
      <c r="L6" s="2"/>
      <c r="M6" s="2"/>
      <c r="N6" s="2"/>
      <c r="O6" s="2"/>
      <c r="P6" s="2"/>
      <c r="Q6" s="2"/>
      <c r="R6" s="2"/>
      <c r="S6" s="2"/>
      <c r="T6" s="2"/>
      <c r="U6" s="2"/>
      <c r="V6" s="2"/>
      <c r="W6" s="2"/>
      <c r="X6" s="2"/>
      <c r="Y6" s="2"/>
      <c r="Z6" s="2"/>
    </row>
    <row r="7" customFormat="false" ht="15" hidden="false" customHeight="true" outlineLevel="0" collapsed="false">
      <c r="A7" s="2"/>
      <c r="B7" s="428"/>
      <c r="C7" s="428"/>
      <c r="D7" s="428"/>
      <c r="E7" s="2"/>
      <c r="F7" s="2"/>
      <c r="G7" s="2"/>
      <c r="H7" s="2"/>
      <c r="I7" s="2"/>
      <c r="J7" s="2"/>
      <c r="K7" s="2"/>
      <c r="L7" s="2"/>
      <c r="M7" s="2"/>
      <c r="N7" s="2"/>
      <c r="O7" s="2"/>
      <c r="P7" s="2"/>
      <c r="Q7" s="2"/>
      <c r="R7" s="2"/>
      <c r="S7" s="2"/>
      <c r="T7" s="2"/>
      <c r="U7" s="2"/>
      <c r="V7" s="2"/>
      <c r="W7" s="2"/>
      <c r="X7" s="2"/>
      <c r="Y7" s="2"/>
      <c r="Z7" s="2"/>
    </row>
    <row r="8" customFormat="false" ht="21.75" hidden="false" customHeight="true" outlineLevel="0" collapsed="false">
      <c r="A8" s="2"/>
      <c r="B8" s="423" t="s">
        <v>347</v>
      </c>
      <c r="C8" s="423"/>
      <c r="D8" s="423"/>
      <c r="E8" s="2"/>
      <c r="F8" s="2"/>
      <c r="G8" s="2"/>
      <c r="H8" s="2"/>
      <c r="I8" s="2"/>
      <c r="J8" s="2"/>
      <c r="K8" s="2"/>
      <c r="L8" s="2"/>
      <c r="M8" s="2"/>
      <c r="N8" s="2"/>
      <c r="O8" s="2"/>
      <c r="P8" s="2"/>
      <c r="Q8" s="2"/>
      <c r="R8" s="2"/>
      <c r="S8" s="2"/>
      <c r="T8" s="2"/>
      <c r="U8" s="2"/>
      <c r="V8" s="2"/>
      <c r="W8" s="2"/>
      <c r="X8" s="2"/>
      <c r="Y8" s="2"/>
      <c r="Z8" s="2"/>
    </row>
    <row r="9" customFormat="false" ht="15" hidden="false" customHeight="true" outlineLevel="0" collapsed="false">
      <c r="A9" s="424" t="s">
        <v>98</v>
      </c>
      <c r="B9" s="424" t="n">
        <v>2026</v>
      </c>
      <c r="C9" s="424" t="n">
        <v>2027</v>
      </c>
      <c r="D9" s="424" t="n">
        <v>2028</v>
      </c>
      <c r="E9" s="2"/>
      <c r="F9" s="2"/>
      <c r="G9" s="2"/>
      <c r="H9" s="2"/>
      <c r="I9" s="2"/>
      <c r="J9" s="2"/>
      <c r="K9" s="2"/>
      <c r="L9" s="2"/>
      <c r="M9" s="2"/>
      <c r="N9" s="2"/>
      <c r="O9" s="2"/>
      <c r="P9" s="2"/>
      <c r="Q9" s="2"/>
      <c r="R9" s="2"/>
      <c r="S9" s="2"/>
      <c r="T9" s="2"/>
      <c r="U9" s="2"/>
      <c r="V9" s="2"/>
      <c r="W9" s="2"/>
      <c r="X9" s="2"/>
      <c r="Y9" s="2"/>
      <c r="Z9" s="2"/>
    </row>
    <row r="10" customFormat="false" ht="15" hidden="false" customHeight="true" outlineLevel="0" collapsed="false">
      <c r="A10" s="429" t="s">
        <v>348</v>
      </c>
      <c r="B10" s="427" t="n">
        <f aca="false">'Costos fijos'!$G$5</f>
        <v>32640</v>
      </c>
      <c r="C10" s="427" t="n">
        <f aca="false">'Costos fijos'!$H$5</f>
        <v>77700</v>
      </c>
      <c r="D10" s="427" t="n">
        <f aca="false">'Costos fijos'!$I$5</f>
        <v>106860</v>
      </c>
      <c r="E10" s="2"/>
      <c r="F10" s="2"/>
      <c r="G10" s="2"/>
      <c r="H10" s="2"/>
      <c r="I10" s="2"/>
      <c r="J10" s="2"/>
      <c r="K10" s="2"/>
      <c r="L10" s="2"/>
      <c r="M10" s="2"/>
      <c r="N10" s="2"/>
      <c r="O10" s="2"/>
      <c r="P10" s="2"/>
      <c r="Q10" s="2"/>
      <c r="R10" s="2"/>
      <c r="S10" s="2"/>
      <c r="T10" s="2"/>
      <c r="U10" s="2"/>
      <c r="V10" s="2"/>
      <c r="W10" s="2"/>
      <c r="X10" s="2"/>
      <c r="Y10" s="2"/>
      <c r="Z10" s="2"/>
    </row>
    <row r="11" customFormat="false" ht="15" hidden="false" customHeight="true" outlineLevel="0" collapsed="false">
      <c r="A11" s="429" t="s">
        <v>349</v>
      </c>
      <c r="B11" s="427" t="n">
        <f aca="false">'Costos variables'!$H$6</f>
        <v>40479.8</v>
      </c>
      <c r="C11" s="427" t="n">
        <f aca="false">'Costos variables'!$I$6</f>
        <v>59474.6</v>
      </c>
      <c r="D11" s="427" t="n">
        <f aca="false">'Costos variables'!$J$6</f>
        <v>85346</v>
      </c>
      <c r="E11" s="2"/>
      <c r="F11" s="2"/>
      <c r="G11" s="2"/>
      <c r="H11" s="2"/>
      <c r="I11" s="2"/>
      <c r="J11" s="2"/>
      <c r="K11" s="2"/>
      <c r="L11" s="2"/>
      <c r="M11" s="2"/>
      <c r="N11" s="2"/>
      <c r="O11" s="2"/>
      <c r="P11" s="2"/>
      <c r="Q11" s="2"/>
      <c r="R11" s="2"/>
      <c r="S11" s="2"/>
      <c r="T11" s="2"/>
      <c r="U11" s="2"/>
      <c r="V11" s="2"/>
      <c r="W11" s="2"/>
      <c r="X11" s="2"/>
      <c r="Y11" s="2"/>
      <c r="Z11" s="2"/>
    </row>
    <row r="12" customFormat="false" ht="15" hidden="false" customHeight="true" outlineLevel="0" collapsed="false">
      <c r="A12" s="429" t="s">
        <v>350</v>
      </c>
      <c r="B12" s="427" t="n">
        <f aca="false">'Costos RRHH'!$H$6</f>
        <v>67319.2</v>
      </c>
      <c r="C12" s="427" t="n">
        <f aca="false">'Costos RRHH'!$I$6</f>
        <v>67319.2</v>
      </c>
      <c r="D12" s="427" t="n">
        <f aca="false">'Costos RRHH'!$J$6</f>
        <v>67319.2</v>
      </c>
      <c r="E12" s="2"/>
      <c r="F12" s="2"/>
      <c r="G12" s="2"/>
      <c r="H12" s="2"/>
      <c r="I12" s="2"/>
      <c r="J12" s="2"/>
      <c r="K12" s="2"/>
      <c r="L12" s="2"/>
      <c r="M12" s="2"/>
      <c r="N12" s="2"/>
      <c r="O12" s="2"/>
      <c r="P12" s="2"/>
      <c r="Q12" s="2"/>
      <c r="R12" s="2"/>
      <c r="S12" s="2"/>
      <c r="T12" s="2"/>
      <c r="U12" s="2"/>
      <c r="V12" s="2"/>
      <c r="W12" s="2"/>
      <c r="X12" s="2"/>
      <c r="Y12" s="2"/>
      <c r="Z12" s="2"/>
    </row>
    <row r="13" customFormat="false" ht="15" hidden="false" customHeight="true" outlineLevel="0" collapsed="false">
      <c r="A13" s="433" t="s">
        <v>351</v>
      </c>
      <c r="B13" s="435" t="n">
        <f aca="false">SUM(B10:B12)</f>
        <v>140439</v>
      </c>
      <c r="C13" s="435" t="n">
        <f aca="false">SUM(C10:C12)</f>
        <v>204493.8</v>
      </c>
      <c r="D13" s="435" t="n">
        <f aca="false">SUM(D10:D12)</f>
        <v>259525.2</v>
      </c>
      <c r="E13" s="2"/>
      <c r="F13" s="2"/>
      <c r="G13" s="2"/>
      <c r="H13" s="2"/>
      <c r="I13" s="2"/>
      <c r="J13" s="2"/>
      <c r="K13" s="2"/>
      <c r="L13" s="2"/>
      <c r="M13" s="2"/>
      <c r="N13" s="2"/>
      <c r="O13" s="2"/>
      <c r="P13" s="2"/>
      <c r="Q13" s="2"/>
      <c r="R13" s="2"/>
      <c r="S13" s="2"/>
      <c r="T13" s="2"/>
      <c r="U13" s="2"/>
      <c r="V13" s="2"/>
      <c r="W13" s="2"/>
      <c r="X13" s="2"/>
      <c r="Y13" s="2"/>
      <c r="Z13" s="2"/>
    </row>
    <row r="14" customFormat="false" ht="15" hidden="false" customHeight="true" outlineLevel="0" collapsed="false">
      <c r="A14" s="486" t="s">
        <v>352</v>
      </c>
      <c r="B14" s="430" t="n">
        <f aca="false">+'Mod. ingresos'!C30</f>
        <v>105865</v>
      </c>
      <c r="C14" s="430" t="n">
        <f aca="false">+'Mod. ingresos'!D30</f>
        <v>386897</v>
      </c>
      <c r="D14" s="430" t="n">
        <f aca="false">+'Mod. ingresos'!E30</f>
        <v>705506</v>
      </c>
      <c r="E14" s="2"/>
      <c r="F14" s="2"/>
      <c r="G14" s="2"/>
      <c r="H14" s="2"/>
      <c r="I14" s="2"/>
      <c r="J14" s="2"/>
      <c r="K14" s="2"/>
      <c r="L14" s="2"/>
      <c r="M14" s="2"/>
      <c r="N14" s="2"/>
      <c r="O14" s="2"/>
      <c r="P14" s="2"/>
      <c r="Q14" s="2"/>
      <c r="R14" s="2"/>
      <c r="S14" s="2"/>
      <c r="T14" s="2"/>
      <c r="U14" s="2"/>
      <c r="V14" s="2"/>
      <c r="W14" s="2"/>
      <c r="X14" s="2"/>
      <c r="Y14" s="2"/>
      <c r="Z14" s="2"/>
    </row>
    <row r="15" customFormat="false" ht="15" hidden="false" customHeight="true" outlineLevel="0" collapsed="false">
      <c r="A15" s="487" t="s">
        <v>353</v>
      </c>
      <c r="B15" s="488" t="n">
        <f aca="false">B14-B13</f>
        <v>-34574</v>
      </c>
      <c r="C15" s="488" t="n">
        <f aca="false">C14-C13</f>
        <v>182403.2</v>
      </c>
      <c r="D15" s="488" t="n">
        <f aca="false">D14-D13</f>
        <v>445980.8</v>
      </c>
      <c r="E15" s="2"/>
      <c r="F15" s="2"/>
      <c r="G15" s="2"/>
      <c r="H15" s="2"/>
      <c r="I15" s="2"/>
      <c r="J15" s="2"/>
      <c r="K15" s="2"/>
      <c r="L15" s="2"/>
      <c r="M15" s="2"/>
      <c r="N15" s="2"/>
      <c r="O15" s="2"/>
      <c r="P15" s="2"/>
      <c r="Q15" s="2"/>
      <c r="R15" s="2"/>
      <c r="S15" s="2"/>
      <c r="T15" s="2"/>
      <c r="U15" s="2"/>
      <c r="V15" s="2"/>
      <c r="W15" s="2"/>
      <c r="X15" s="2"/>
      <c r="Y15" s="2"/>
      <c r="Z15" s="2"/>
    </row>
    <row r="16" customFormat="false" ht="15" hidden="false" customHeight="true" outlineLevel="0" collapsed="false">
      <c r="A16" s="431" t="s">
        <v>354</v>
      </c>
      <c r="B16" s="489" t="n">
        <f aca="false">IFERROR(B13/B14,"")</f>
        <v>1.32658574599726</v>
      </c>
      <c r="C16" s="489" t="n">
        <f aca="false">IFERROR(C13/C14,"")</f>
        <v>0.528548425033019</v>
      </c>
      <c r="D16" s="489" t="n">
        <f aca="false">IFERROR(D13/D14,"")</f>
        <v>0.367856828999328</v>
      </c>
      <c r="E16" s="2"/>
      <c r="F16" s="2"/>
      <c r="G16" s="2"/>
      <c r="H16" s="2"/>
      <c r="I16" s="2"/>
      <c r="J16" s="2"/>
      <c r="K16" s="2"/>
      <c r="L16" s="2"/>
      <c r="M16" s="2"/>
      <c r="N16" s="2"/>
      <c r="O16" s="2"/>
      <c r="P16" s="2"/>
      <c r="Q16" s="2"/>
      <c r="R16" s="2"/>
      <c r="S16" s="2"/>
      <c r="T16" s="2"/>
      <c r="U16" s="2"/>
      <c r="V16" s="2"/>
      <c r="W16" s="2"/>
      <c r="X16" s="2"/>
      <c r="Y16" s="2"/>
      <c r="Z16" s="2"/>
    </row>
    <row r="17" customFormat="false" ht="15" hidden="false" customHeight="true" outlineLevel="0" collapsed="false">
      <c r="A17" s="2"/>
      <c r="B17" s="2"/>
      <c r="C17" s="2"/>
      <c r="D17" s="2"/>
      <c r="E17" s="2"/>
      <c r="F17" s="2"/>
      <c r="G17" s="2"/>
      <c r="H17" s="2"/>
      <c r="I17" s="2"/>
      <c r="J17" s="2"/>
      <c r="K17" s="2"/>
      <c r="L17" s="2"/>
      <c r="M17" s="2"/>
      <c r="N17" s="2"/>
      <c r="O17" s="2"/>
      <c r="P17" s="2"/>
      <c r="Q17" s="2"/>
      <c r="R17" s="2"/>
      <c r="S17" s="2"/>
      <c r="T17" s="2"/>
      <c r="U17" s="2"/>
      <c r="V17" s="2"/>
      <c r="W17" s="2"/>
      <c r="X17" s="2"/>
      <c r="Y17" s="2"/>
      <c r="Z17" s="2"/>
    </row>
    <row r="18" customFormat="false" ht="21.75" hidden="false" customHeight="true" outlineLevel="0" collapsed="false">
      <c r="A18" s="2"/>
      <c r="B18" s="423"/>
      <c r="C18" s="423" t="s">
        <v>355</v>
      </c>
      <c r="D18" s="423"/>
      <c r="E18" s="2"/>
      <c r="F18" s="2"/>
      <c r="G18" s="2"/>
      <c r="H18" s="2"/>
      <c r="I18" s="2"/>
      <c r="J18" s="2"/>
      <c r="K18" s="2"/>
      <c r="L18" s="2"/>
      <c r="M18" s="2"/>
      <c r="N18" s="2"/>
      <c r="O18" s="2"/>
      <c r="P18" s="2"/>
      <c r="Q18" s="2"/>
      <c r="R18" s="2"/>
      <c r="S18" s="2"/>
      <c r="T18" s="2"/>
      <c r="U18" s="2"/>
      <c r="V18" s="2"/>
      <c r="W18" s="2"/>
      <c r="X18" s="2"/>
      <c r="Y18" s="2"/>
      <c r="Z18" s="2"/>
    </row>
    <row r="19" customFormat="false" ht="15" hidden="false" customHeight="true" outlineLevel="0" collapsed="false">
      <c r="A19" s="424" t="s">
        <v>98</v>
      </c>
      <c r="B19" s="424" t="n">
        <v>2026</v>
      </c>
      <c r="C19" s="424" t="n">
        <v>2027</v>
      </c>
      <c r="D19" s="424" t="n">
        <v>2028</v>
      </c>
      <c r="E19" s="2"/>
      <c r="F19" s="2"/>
      <c r="G19" s="2"/>
      <c r="H19" s="2"/>
      <c r="I19" s="2"/>
      <c r="J19" s="2"/>
      <c r="K19" s="2"/>
      <c r="L19" s="2"/>
      <c r="M19" s="2"/>
      <c r="N19" s="2"/>
      <c r="O19" s="2"/>
      <c r="P19" s="2"/>
      <c r="Q19" s="2"/>
      <c r="R19" s="2"/>
      <c r="S19" s="2"/>
      <c r="T19" s="2"/>
      <c r="U19" s="2"/>
      <c r="V19" s="2"/>
      <c r="W19" s="2"/>
      <c r="X19" s="2"/>
      <c r="Y19" s="2"/>
      <c r="Z19" s="2"/>
    </row>
    <row r="20" customFormat="false" ht="15" hidden="false" customHeight="true" outlineLevel="0" collapsed="false">
      <c r="A20" s="429" t="s">
        <v>348</v>
      </c>
      <c r="B20" s="425" t="n">
        <f aca="false">IFERROR(B10/B$13,"")</f>
        <v>0.232414073013906</v>
      </c>
      <c r="C20" s="425" t="n">
        <f aca="false">IFERROR(C10/C$13,"")</f>
        <v>0.37996261989361</v>
      </c>
      <c r="D20" s="425" t="n">
        <f aca="false">IFERROR(D10/D$13,"")</f>
        <v>0.411751922356673</v>
      </c>
      <c r="E20" s="2"/>
      <c r="F20" s="2"/>
      <c r="G20" s="2"/>
      <c r="H20" s="2"/>
      <c r="I20" s="2"/>
      <c r="J20" s="2"/>
      <c r="K20" s="2"/>
      <c r="L20" s="2"/>
      <c r="M20" s="2"/>
      <c r="N20" s="2"/>
      <c r="O20" s="2"/>
      <c r="P20" s="2"/>
      <c r="Q20" s="2"/>
      <c r="R20" s="2"/>
      <c r="S20" s="2"/>
      <c r="T20" s="2"/>
      <c r="U20" s="2"/>
      <c r="V20" s="2"/>
      <c r="W20" s="2"/>
      <c r="X20" s="2"/>
      <c r="Y20" s="2"/>
      <c r="Z20" s="2"/>
    </row>
    <row r="21" customFormat="false" ht="15" hidden="false" customHeight="true" outlineLevel="0" collapsed="false">
      <c r="A21" s="429" t="s">
        <v>349</v>
      </c>
      <c r="B21" s="425" t="n">
        <f aca="false">IFERROR(B11/B$13,"")</f>
        <v>0.28823759781827</v>
      </c>
      <c r="C21" s="425" t="n">
        <f aca="false">IFERROR(C11/C$13,"")</f>
        <v>0.29083815744047</v>
      </c>
      <c r="D21" s="425" t="n">
        <f aca="false">IFERROR(D11/D$13,"")</f>
        <v>0.328854384853571</v>
      </c>
      <c r="E21" s="2"/>
      <c r="F21" s="2"/>
      <c r="G21" s="2"/>
      <c r="H21" s="2"/>
      <c r="I21" s="2"/>
      <c r="J21" s="2"/>
      <c r="K21" s="2"/>
      <c r="L21" s="2"/>
      <c r="M21" s="2"/>
      <c r="N21" s="2"/>
      <c r="O21" s="2"/>
      <c r="P21" s="2"/>
      <c r="Q21" s="2"/>
      <c r="R21" s="2"/>
      <c r="S21" s="2"/>
      <c r="T21" s="2"/>
      <c r="U21" s="2"/>
      <c r="V21" s="2"/>
      <c r="W21" s="2"/>
      <c r="X21" s="2"/>
      <c r="Y21" s="2"/>
      <c r="Z21" s="2"/>
    </row>
    <row r="22" customFormat="false" ht="15" hidden="false" customHeight="true" outlineLevel="0" collapsed="false">
      <c r="A22" s="429" t="s">
        <v>350</v>
      </c>
      <c r="B22" s="425" t="n">
        <f aca="false">IFERROR(B12/B$13,"")</f>
        <v>0.479348329167824</v>
      </c>
      <c r="C22" s="425" t="n">
        <f aca="false">IFERROR(C12/C$13,"")</f>
        <v>0.32919922266592</v>
      </c>
      <c r="D22" s="425" t="n">
        <f aca="false">IFERROR(D12/D$13,"")</f>
        <v>0.259393692789756</v>
      </c>
      <c r="E22" s="2"/>
      <c r="F22" s="2"/>
      <c r="G22" s="2"/>
      <c r="H22" s="2"/>
      <c r="I22" s="2"/>
      <c r="J22" s="2"/>
      <c r="K22" s="2"/>
      <c r="L22" s="2"/>
      <c r="M22" s="2"/>
      <c r="N22" s="2"/>
      <c r="O22" s="2"/>
      <c r="P22" s="2"/>
      <c r="Q22" s="2"/>
      <c r="R22" s="2"/>
      <c r="S22" s="2"/>
      <c r="T22" s="2"/>
      <c r="U22" s="2"/>
      <c r="V22" s="2"/>
      <c r="W22" s="2"/>
      <c r="X22" s="2"/>
      <c r="Y22" s="2"/>
      <c r="Z22" s="2"/>
    </row>
    <row r="23" customFormat="false" ht="15" hidden="false" customHeight="tru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row>
    <row r="24" customFormat="false" ht="15" hidden="false" customHeight="tru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15" hidden="false" customHeight="tru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15" hidden="false" customHeight="tru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5" hidden="false" customHeight="tru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4.2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4.2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4.2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4.2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4.2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4.2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4.2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4.2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4.2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4.2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4.2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4.2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4.2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4.2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4.2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4.2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4.2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4.2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4.2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4.2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4.2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4.2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4.2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4.2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4.2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4.2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4.2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4.2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4.2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4.2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4.2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4.2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sheetData>
  <mergeCells count="2">
    <mergeCell ref="B3:D3"/>
    <mergeCell ref="B8:D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81"/>
  <sheetViews>
    <sheetView showFormulas="false" showGridLines="true" showRowColHeaders="true" showZeros="true" rightToLeft="false" tabSelected="false" showOutlineSymbols="true" defaultGridColor="true" view="normal" topLeftCell="A25" colorId="64" zoomScale="100" zoomScaleNormal="100" zoomScalePageLayoutView="100" workbookViewId="0">
      <selection pane="topLeft" activeCell="A1" activeCellId="0" sqref="A1"/>
    </sheetView>
  </sheetViews>
  <sheetFormatPr defaultColWidth="8.66796875" defaultRowHeight="13.5" customHeight="false" zeroHeight="false" outlineLevelRow="0" outlineLevelCol="0"/>
  <cols>
    <col collapsed="false" customWidth="true" hidden="false" outlineLevel="0" max="1" min="1" style="1" width="10"/>
    <col collapsed="false" customWidth="true" hidden="false" outlineLevel="0" max="2" min="2" style="1" width="40.67"/>
    <col collapsed="false" customWidth="true" hidden="false" outlineLevel="0" max="3" min="3" style="1" width="13.83"/>
    <col collapsed="false" customWidth="true" hidden="false" outlineLevel="0" max="4" min="4" style="1" width="14"/>
    <col collapsed="false" customWidth="true" hidden="false" outlineLevel="0" max="5" min="5" style="1" width="13.16"/>
    <col collapsed="false" customWidth="true" hidden="false" outlineLevel="0" max="6" min="6" style="1" width="83.33"/>
    <col collapsed="false" customWidth="true" hidden="false" outlineLevel="0" max="7" min="7" style="1" width="29.67"/>
    <col collapsed="false" customWidth="true" hidden="false" outlineLevel="0" max="8" min="8" style="1" width="12.17"/>
    <col collapsed="false" customWidth="true" hidden="false" outlineLevel="0" max="10" min="10" style="1" width="13.16"/>
    <col collapsed="false" customWidth="true" hidden="false" outlineLevel="0" max="11" min="11" style="1" width="10"/>
  </cols>
  <sheetData>
    <row r="1" customFormat="false" ht="60.75" hidden="false" customHeight="true" outlineLevel="0" collapsed="false">
      <c r="A1" s="9"/>
      <c r="B1" s="9"/>
      <c r="C1" s="9"/>
      <c r="D1" s="9"/>
      <c r="E1" s="9"/>
      <c r="F1" s="272" t="s">
        <v>16</v>
      </c>
      <c r="G1" s="389"/>
      <c r="H1" s="389"/>
      <c r="I1" s="9"/>
      <c r="J1" s="9"/>
      <c r="K1" s="9"/>
      <c r="L1" s="9"/>
      <c r="M1" s="2"/>
      <c r="N1" s="2"/>
      <c r="O1" s="2"/>
      <c r="P1" s="2"/>
      <c r="Q1" s="2"/>
      <c r="R1" s="2"/>
      <c r="S1" s="2"/>
      <c r="T1" s="2"/>
      <c r="U1" s="2"/>
      <c r="V1" s="2"/>
      <c r="W1" s="2"/>
      <c r="X1" s="2"/>
      <c r="Y1" s="2"/>
      <c r="Z1" s="2"/>
    </row>
    <row r="2" customFormat="false" ht="14.25" hidden="false" customHeight="true" outlineLevel="0" collapsed="false">
      <c r="A2" s="2"/>
      <c r="B2" s="2"/>
      <c r="C2" s="2"/>
      <c r="D2" s="2"/>
      <c r="E2" s="2"/>
      <c r="F2" s="2"/>
      <c r="G2" s="2"/>
      <c r="H2" s="2"/>
      <c r="I2" s="2"/>
      <c r="J2" s="2"/>
      <c r="K2" s="2"/>
      <c r="L2" s="2"/>
      <c r="M2" s="2"/>
      <c r="N2" s="2"/>
      <c r="O2" s="2"/>
      <c r="P2" s="2"/>
      <c r="Q2" s="2"/>
      <c r="R2" s="2"/>
      <c r="S2" s="2"/>
      <c r="T2" s="2"/>
      <c r="U2" s="2"/>
      <c r="V2" s="2"/>
      <c r="W2" s="2"/>
      <c r="X2" s="2"/>
      <c r="Y2" s="2"/>
      <c r="Z2" s="2"/>
    </row>
    <row r="3" customFormat="false" ht="25.5" hidden="false" customHeight="true" outlineLevel="0" collapsed="false">
      <c r="A3" s="2"/>
      <c r="B3" s="12" t="s">
        <v>74</v>
      </c>
      <c r="C3" s="12"/>
      <c r="D3" s="12"/>
      <c r="E3" s="2"/>
      <c r="F3" s="2"/>
      <c r="G3" s="40" t="s">
        <v>356</v>
      </c>
      <c r="H3" s="40"/>
      <c r="I3" s="40"/>
      <c r="J3" s="40"/>
      <c r="K3" s="2"/>
      <c r="L3" s="2"/>
      <c r="M3" s="2"/>
      <c r="N3" s="2"/>
      <c r="O3" s="2"/>
      <c r="P3" s="2"/>
      <c r="Q3" s="2"/>
      <c r="R3" s="2"/>
      <c r="S3" s="2"/>
      <c r="T3" s="2"/>
      <c r="U3" s="2"/>
      <c r="V3" s="2"/>
      <c r="W3" s="2"/>
      <c r="X3" s="2"/>
      <c r="Y3" s="2"/>
      <c r="Z3" s="2"/>
    </row>
    <row r="4" customFormat="false" ht="14.25" hidden="false" customHeight="true" outlineLevel="0" collapsed="false">
      <c r="A4" s="2"/>
      <c r="B4" s="79" t="n">
        <v>2026</v>
      </c>
      <c r="C4" s="80" t="n">
        <v>2027</v>
      </c>
      <c r="D4" s="81" t="n">
        <v>2028</v>
      </c>
      <c r="E4" s="2"/>
      <c r="F4" s="2"/>
      <c r="G4" s="490" t="s">
        <v>357</v>
      </c>
      <c r="H4" s="79" t="n">
        <v>2026</v>
      </c>
      <c r="I4" s="80" t="n">
        <v>2027</v>
      </c>
      <c r="J4" s="81" t="n">
        <v>2028</v>
      </c>
      <c r="K4" s="2"/>
      <c r="L4" s="2"/>
      <c r="M4" s="2"/>
      <c r="N4" s="2"/>
      <c r="O4" s="2"/>
      <c r="P4" s="2"/>
      <c r="Q4" s="2"/>
      <c r="R4" s="2"/>
      <c r="S4" s="2"/>
      <c r="T4" s="2"/>
      <c r="U4" s="2"/>
      <c r="V4" s="2"/>
      <c r="W4" s="2"/>
      <c r="X4" s="2"/>
      <c r="Y4" s="2"/>
      <c r="Z4" s="2"/>
    </row>
    <row r="5" customFormat="false" ht="14.25" hidden="false" customHeight="true" outlineLevel="0" collapsed="false">
      <c r="A5" s="2"/>
      <c r="B5" s="83" t="n">
        <f aca="false">Hipótesis!$C$24</f>
        <v>0.008</v>
      </c>
      <c r="C5" s="84" t="n">
        <f aca="false">Hipótesis!$C$25</f>
        <v>0.029</v>
      </c>
      <c r="D5" s="85" t="n">
        <f aca="false">Hipótesis!$C$26</f>
        <v>0.052</v>
      </c>
      <c r="E5" s="2"/>
      <c r="F5" s="2"/>
      <c r="G5" s="491" t="n">
        <f aca="false">$E$28</f>
        <v>67705</v>
      </c>
      <c r="H5" s="492" t="n">
        <f aca="false">$E$45</f>
        <v>10098</v>
      </c>
      <c r="I5" s="492" t="n">
        <f aca="false">$E$63</f>
        <v>11900</v>
      </c>
      <c r="J5" s="493" t="n">
        <f aca="false">$E$81</f>
        <v>18132</v>
      </c>
      <c r="K5" s="2"/>
      <c r="L5" s="2"/>
      <c r="M5" s="2"/>
      <c r="N5" s="2"/>
      <c r="O5" s="2"/>
      <c r="P5" s="2"/>
      <c r="Q5" s="2"/>
      <c r="R5" s="2"/>
      <c r="S5" s="2"/>
      <c r="T5" s="2"/>
      <c r="U5" s="2"/>
      <c r="V5" s="2"/>
      <c r="W5" s="2"/>
      <c r="X5" s="2"/>
      <c r="Y5" s="2"/>
      <c r="Z5" s="2"/>
    </row>
    <row r="6" customFormat="false" ht="14.25" hidden="false" customHeight="true" outlineLevel="0" collapsed="false">
      <c r="A6" s="2"/>
      <c r="B6" s="86" t="n">
        <f aca="false">Hipótesis!$D$24</f>
        <v>107520</v>
      </c>
      <c r="C6" s="87" t="n">
        <f aca="false">Hipótesis!$D$25</f>
        <v>389760</v>
      </c>
      <c r="D6" s="88" t="n">
        <f aca="false">Hipótesis!$D$26</f>
        <v>698880</v>
      </c>
      <c r="E6" s="2"/>
      <c r="F6" s="2"/>
      <c r="G6" s="2"/>
      <c r="H6" s="2"/>
      <c r="I6" s="2"/>
      <c r="J6" s="2"/>
      <c r="K6" s="2"/>
      <c r="L6" s="2"/>
      <c r="M6" s="2"/>
      <c r="N6" s="2"/>
      <c r="O6" s="2"/>
      <c r="P6" s="2"/>
      <c r="Q6" s="2"/>
      <c r="R6" s="2"/>
      <c r="S6" s="2"/>
      <c r="T6" s="2"/>
      <c r="U6" s="2"/>
      <c r="V6" s="2"/>
      <c r="W6" s="2"/>
      <c r="X6" s="2"/>
      <c r="Y6" s="2"/>
      <c r="Z6" s="2"/>
    </row>
    <row r="7" customFormat="false" ht="14.25" hidden="false" customHeight="true" outlineLevel="0" collapsed="false">
      <c r="A7" s="2"/>
      <c r="B7" s="2"/>
      <c r="C7" s="2"/>
      <c r="D7" s="2"/>
      <c r="E7" s="2"/>
      <c r="F7" s="2"/>
      <c r="G7" s="2"/>
      <c r="H7" s="2"/>
      <c r="I7" s="2"/>
      <c r="J7" s="2"/>
      <c r="K7" s="2"/>
      <c r="L7" s="2"/>
      <c r="M7" s="2"/>
      <c r="N7" s="2"/>
      <c r="O7" s="2"/>
      <c r="P7" s="2"/>
      <c r="Q7" s="2"/>
      <c r="R7" s="2"/>
      <c r="S7" s="2"/>
      <c r="T7" s="2"/>
      <c r="U7" s="2"/>
      <c r="V7" s="2"/>
      <c r="W7" s="2"/>
      <c r="X7" s="2"/>
      <c r="Y7" s="2"/>
      <c r="Z7" s="2"/>
    </row>
    <row r="8" customFormat="false" ht="14.25" hidden="false" customHeight="true" outlineLevel="0" collapsed="false">
      <c r="A8" s="2"/>
      <c r="B8" s="2"/>
      <c r="C8" s="2"/>
      <c r="D8" s="2"/>
      <c r="E8" s="2"/>
      <c r="F8" s="2"/>
      <c r="G8" s="2"/>
      <c r="H8" s="2"/>
      <c r="I8" s="2"/>
      <c r="J8" s="2"/>
      <c r="K8" s="2"/>
      <c r="L8" s="2"/>
      <c r="M8" s="2"/>
      <c r="N8" s="2"/>
      <c r="O8" s="2"/>
      <c r="P8" s="2"/>
      <c r="Q8" s="2"/>
      <c r="R8" s="2"/>
      <c r="S8" s="2"/>
      <c r="T8" s="2"/>
      <c r="U8" s="2"/>
      <c r="V8" s="2"/>
      <c r="W8" s="2"/>
      <c r="X8" s="2"/>
      <c r="Y8" s="2"/>
      <c r="Z8" s="2"/>
    </row>
    <row r="9" customFormat="false" ht="25.5" hidden="false" customHeight="true" outlineLevel="0" collapsed="false">
      <c r="A9" s="2"/>
      <c r="B9" s="12" t="s">
        <v>358</v>
      </c>
      <c r="C9" s="12"/>
      <c r="D9" s="12"/>
      <c r="E9" s="12"/>
      <c r="F9" s="12"/>
      <c r="G9" s="2"/>
      <c r="H9" s="2"/>
      <c r="I9" s="2"/>
      <c r="J9" s="2"/>
      <c r="K9" s="2"/>
      <c r="L9" s="2"/>
      <c r="M9" s="2"/>
      <c r="N9" s="2"/>
      <c r="O9" s="2"/>
      <c r="P9" s="2"/>
      <c r="Q9" s="2"/>
      <c r="R9" s="2"/>
      <c r="S9" s="2"/>
      <c r="T9" s="2"/>
      <c r="U9" s="2"/>
      <c r="V9" s="2"/>
      <c r="W9" s="2"/>
      <c r="X9" s="2"/>
      <c r="Y9" s="2"/>
      <c r="Z9" s="2"/>
    </row>
    <row r="10" customFormat="false" ht="15" hidden="false" customHeight="true" outlineLevel="0" collapsed="false">
      <c r="A10" s="2"/>
      <c r="B10" s="494" t="s">
        <v>98</v>
      </c>
      <c r="C10" s="495" t="s">
        <v>37</v>
      </c>
      <c r="D10" s="495" t="s">
        <v>177</v>
      </c>
      <c r="E10" s="495" t="s">
        <v>178</v>
      </c>
      <c r="F10" s="43" t="s">
        <v>359</v>
      </c>
      <c r="G10" s="2"/>
      <c r="H10" s="2"/>
      <c r="I10" s="2"/>
      <c r="J10" s="2"/>
      <c r="K10" s="2"/>
      <c r="L10" s="2"/>
      <c r="M10" s="2"/>
      <c r="N10" s="2"/>
      <c r="O10" s="2"/>
      <c r="P10" s="2"/>
      <c r="Q10" s="2"/>
      <c r="R10" s="2"/>
      <c r="S10" s="2"/>
      <c r="T10" s="2"/>
      <c r="U10" s="2"/>
      <c r="V10" s="2"/>
      <c r="W10" s="2"/>
      <c r="X10" s="2"/>
      <c r="Y10" s="2"/>
      <c r="Z10" s="2"/>
    </row>
    <row r="11" customFormat="false" ht="14.25" hidden="false" customHeight="true" outlineLevel="0" collapsed="false">
      <c r="A11" s="2"/>
      <c r="B11" s="496" t="s">
        <v>360</v>
      </c>
      <c r="C11" s="322" t="n">
        <v>1</v>
      </c>
      <c r="D11" s="497" t="n">
        <v>64880</v>
      </c>
      <c r="E11" s="498" t="n">
        <f aca="false">C11*D11</f>
        <v>64880</v>
      </c>
      <c r="F11" s="499" t="s">
        <v>361</v>
      </c>
      <c r="G11" s="2"/>
      <c r="H11" s="2"/>
      <c r="I11" s="2"/>
      <c r="J11" s="2"/>
      <c r="K11" s="2"/>
      <c r="L11" s="2"/>
      <c r="M11" s="2"/>
      <c r="N11" s="2"/>
      <c r="O11" s="2"/>
      <c r="P11" s="2"/>
      <c r="Q11" s="2"/>
      <c r="R11" s="2"/>
      <c r="S11" s="2"/>
      <c r="T11" s="2"/>
      <c r="U11" s="2"/>
      <c r="V11" s="2"/>
      <c r="W11" s="2"/>
      <c r="X11" s="2"/>
      <c r="Y11" s="2"/>
      <c r="Z11" s="2"/>
    </row>
    <row r="12" customFormat="false" ht="14.25" hidden="false" customHeight="true" outlineLevel="0" collapsed="false">
      <c r="A12" s="2"/>
      <c r="B12" s="496" t="s">
        <v>114</v>
      </c>
      <c r="C12" s="322" t="n">
        <v>2</v>
      </c>
      <c r="D12" s="497" t="n">
        <v>940</v>
      </c>
      <c r="E12" s="498" t="n">
        <f aca="false">C12*D12</f>
        <v>1880</v>
      </c>
      <c r="F12" s="499" t="s">
        <v>362</v>
      </c>
      <c r="G12" s="2"/>
      <c r="H12" s="2"/>
      <c r="I12" s="2"/>
      <c r="J12" s="2"/>
      <c r="K12" s="2"/>
      <c r="L12" s="2"/>
      <c r="M12" s="2"/>
      <c r="N12" s="2"/>
      <c r="O12" s="2"/>
      <c r="P12" s="2"/>
      <c r="Q12" s="2"/>
      <c r="R12" s="2"/>
      <c r="S12" s="2"/>
      <c r="T12" s="2"/>
      <c r="U12" s="2"/>
      <c r="V12" s="2"/>
      <c r="W12" s="2"/>
      <c r="X12" s="2"/>
      <c r="Y12" s="2"/>
      <c r="Z12" s="2"/>
    </row>
    <row r="13" customFormat="false" ht="14.25" hidden="false" customHeight="true" outlineLevel="0" collapsed="false">
      <c r="A13" s="2"/>
      <c r="B13" s="496" t="s">
        <v>115</v>
      </c>
      <c r="C13" s="322" t="n">
        <v>2</v>
      </c>
      <c r="D13" s="497" t="n">
        <v>100</v>
      </c>
      <c r="E13" s="498" t="n">
        <f aca="false">C13*D13</f>
        <v>200</v>
      </c>
      <c r="F13" s="500" t="s">
        <v>363</v>
      </c>
      <c r="G13" s="2"/>
      <c r="H13" s="2"/>
      <c r="I13" s="2"/>
      <c r="J13" s="2"/>
      <c r="K13" s="2"/>
      <c r="L13" s="2"/>
      <c r="M13" s="2"/>
      <c r="N13" s="2"/>
      <c r="O13" s="2"/>
      <c r="P13" s="2"/>
      <c r="Q13" s="2"/>
      <c r="R13" s="2"/>
      <c r="S13" s="2"/>
      <c r="T13" s="2"/>
      <c r="U13" s="2"/>
      <c r="V13" s="2"/>
      <c r="W13" s="2"/>
      <c r="X13" s="2"/>
      <c r="Y13" s="2"/>
      <c r="Z13" s="2"/>
    </row>
    <row r="14" customFormat="false" ht="14.25" hidden="false" customHeight="true" outlineLevel="0" collapsed="false">
      <c r="A14" s="2"/>
      <c r="B14" s="496" t="s">
        <v>116</v>
      </c>
      <c r="C14" s="322" t="n">
        <v>2</v>
      </c>
      <c r="D14" s="497" t="n">
        <v>85</v>
      </c>
      <c r="E14" s="498" t="n">
        <f aca="false">C14*D14</f>
        <v>170</v>
      </c>
      <c r="F14" s="500" t="s">
        <v>364</v>
      </c>
      <c r="G14" s="2"/>
      <c r="H14" s="2"/>
      <c r="I14" s="2"/>
      <c r="J14" s="2"/>
      <c r="K14" s="2"/>
      <c r="L14" s="2"/>
      <c r="M14" s="2"/>
      <c r="N14" s="2"/>
      <c r="O14" s="2"/>
      <c r="P14" s="2"/>
      <c r="Q14" s="2"/>
      <c r="R14" s="2"/>
      <c r="S14" s="2"/>
      <c r="T14" s="2"/>
      <c r="U14" s="2"/>
      <c r="V14" s="2"/>
      <c r="W14" s="2"/>
      <c r="X14" s="2"/>
      <c r="Y14" s="2"/>
      <c r="Z14" s="2"/>
    </row>
    <row r="15" customFormat="false" ht="14.25" hidden="false" customHeight="true" outlineLevel="0" collapsed="false">
      <c r="A15" s="2"/>
      <c r="B15" s="496" t="s">
        <v>365</v>
      </c>
      <c r="C15" s="481" t="n">
        <v>1</v>
      </c>
      <c r="D15" s="497" t="n">
        <v>205</v>
      </c>
      <c r="E15" s="498" t="n">
        <f aca="false">C15*D15</f>
        <v>205</v>
      </c>
      <c r="F15" s="500" t="s">
        <v>366</v>
      </c>
      <c r="G15" s="2"/>
      <c r="H15" s="2"/>
      <c r="I15" s="2"/>
      <c r="J15" s="2"/>
      <c r="K15" s="2"/>
      <c r="L15" s="2"/>
      <c r="M15" s="2"/>
      <c r="N15" s="2"/>
      <c r="O15" s="2"/>
      <c r="P15" s="2"/>
      <c r="Q15" s="2"/>
      <c r="R15" s="2"/>
      <c r="S15" s="2"/>
      <c r="T15" s="2"/>
      <c r="U15" s="2"/>
      <c r="V15" s="2"/>
      <c r="W15" s="2"/>
      <c r="X15" s="2"/>
      <c r="Y15" s="2"/>
      <c r="Z15" s="2"/>
    </row>
    <row r="16" customFormat="false" ht="14.25" hidden="false" customHeight="true" outlineLevel="0" collapsed="false">
      <c r="A16" s="2"/>
      <c r="B16" s="496" t="s">
        <v>367</v>
      </c>
      <c r="C16" s="481" t="n">
        <v>1</v>
      </c>
      <c r="D16" s="497" t="n">
        <v>370</v>
      </c>
      <c r="E16" s="498" t="n">
        <f aca="false">C16*D16</f>
        <v>370</v>
      </c>
      <c r="F16" s="501" t="s">
        <v>368</v>
      </c>
      <c r="G16" s="2"/>
      <c r="H16" s="2"/>
      <c r="I16" s="2"/>
      <c r="J16" s="2"/>
      <c r="K16" s="2"/>
      <c r="L16" s="2"/>
      <c r="M16" s="2"/>
      <c r="N16" s="2"/>
      <c r="O16" s="2"/>
      <c r="P16" s="2"/>
      <c r="Q16" s="2"/>
      <c r="R16" s="2"/>
      <c r="S16" s="2"/>
      <c r="T16" s="2"/>
      <c r="U16" s="2"/>
      <c r="V16" s="2"/>
      <c r="W16" s="2"/>
      <c r="X16" s="2"/>
      <c r="Y16" s="2"/>
      <c r="Z16" s="2"/>
    </row>
    <row r="17" customFormat="false" ht="14.25" hidden="false" customHeight="true" outlineLevel="0" collapsed="false">
      <c r="A17" s="2"/>
      <c r="B17" s="496"/>
      <c r="C17" s="481"/>
      <c r="D17" s="497"/>
      <c r="E17" s="498" t="n">
        <f aca="false">C17*D17</f>
        <v>0</v>
      </c>
      <c r="F17" s="502"/>
      <c r="G17" s="2"/>
      <c r="H17" s="2"/>
      <c r="I17" s="2"/>
      <c r="J17" s="2"/>
      <c r="K17" s="2"/>
      <c r="L17" s="2"/>
      <c r="M17" s="2"/>
      <c r="N17" s="2"/>
      <c r="O17" s="2"/>
      <c r="P17" s="2"/>
      <c r="Q17" s="2"/>
      <c r="R17" s="2"/>
      <c r="S17" s="2"/>
      <c r="T17" s="2"/>
      <c r="U17" s="2"/>
      <c r="V17" s="2"/>
      <c r="W17" s="2"/>
      <c r="X17" s="2"/>
      <c r="Y17" s="2"/>
      <c r="Z17" s="2"/>
    </row>
    <row r="18" customFormat="false" ht="14.25" hidden="false" customHeight="true" outlineLevel="0" collapsed="false">
      <c r="A18" s="2"/>
      <c r="B18" s="496"/>
      <c r="C18" s="481"/>
      <c r="D18" s="497"/>
      <c r="E18" s="498" t="n">
        <f aca="false">C18*D18</f>
        <v>0</v>
      </c>
      <c r="F18" s="502"/>
      <c r="G18" s="2"/>
      <c r="H18" s="2"/>
      <c r="I18" s="2"/>
      <c r="J18" s="2"/>
      <c r="K18" s="2"/>
      <c r="L18" s="2"/>
      <c r="M18" s="2"/>
      <c r="N18" s="2"/>
      <c r="O18" s="2"/>
      <c r="P18" s="2"/>
      <c r="Q18" s="2"/>
      <c r="R18" s="2"/>
      <c r="S18" s="2"/>
      <c r="T18" s="2"/>
      <c r="U18" s="2"/>
      <c r="V18" s="2"/>
      <c r="W18" s="2"/>
      <c r="X18" s="2"/>
      <c r="Y18" s="2"/>
      <c r="Z18" s="2"/>
    </row>
    <row r="19" customFormat="false" ht="14.25" hidden="false" customHeight="true" outlineLevel="0" collapsed="false">
      <c r="A19" s="2"/>
      <c r="B19" s="496"/>
      <c r="C19" s="481"/>
      <c r="D19" s="497"/>
      <c r="E19" s="498" t="n">
        <f aca="false">C19*D19</f>
        <v>0</v>
      </c>
      <c r="F19" s="502"/>
      <c r="G19" s="2"/>
      <c r="H19" s="2"/>
      <c r="I19" s="2"/>
      <c r="J19" s="2"/>
      <c r="K19" s="2"/>
      <c r="L19" s="2"/>
      <c r="M19" s="2"/>
      <c r="N19" s="2"/>
      <c r="O19" s="2"/>
      <c r="P19" s="2"/>
      <c r="Q19" s="2"/>
      <c r="R19" s="2"/>
      <c r="S19" s="2"/>
      <c r="T19" s="2"/>
      <c r="U19" s="2"/>
      <c r="V19" s="2"/>
      <c r="W19" s="2"/>
      <c r="X19" s="2"/>
      <c r="Y19" s="2"/>
      <c r="Z19" s="2"/>
    </row>
    <row r="20" customFormat="false" ht="14.25" hidden="false" customHeight="true" outlineLevel="0" collapsed="false">
      <c r="A20" s="503"/>
      <c r="B20" s="496"/>
      <c r="C20" s="481"/>
      <c r="D20" s="497"/>
      <c r="E20" s="498" t="n">
        <f aca="false">C20*D20</f>
        <v>0</v>
      </c>
      <c r="F20" s="504"/>
      <c r="G20" s="2"/>
      <c r="H20" s="2"/>
      <c r="I20" s="2"/>
      <c r="J20" s="2"/>
      <c r="K20" s="2"/>
      <c r="L20" s="2"/>
      <c r="M20" s="2"/>
      <c r="N20" s="2"/>
      <c r="O20" s="2"/>
      <c r="P20" s="2"/>
      <c r="Q20" s="2"/>
      <c r="R20" s="2"/>
      <c r="S20" s="2"/>
      <c r="T20" s="2"/>
      <c r="U20" s="2"/>
      <c r="V20" s="2"/>
      <c r="W20" s="2"/>
      <c r="X20" s="2"/>
      <c r="Y20" s="2"/>
      <c r="Z20" s="2"/>
    </row>
    <row r="21" customFormat="false" ht="14.25" hidden="false" customHeight="true" outlineLevel="0" collapsed="false">
      <c r="A21" s="2"/>
      <c r="B21" s="496"/>
      <c r="C21" s="481"/>
      <c r="D21" s="497"/>
      <c r="E21" s="498"/>
      <c r="F21" s="502"/>
      <c r="G21" s="2"/>
      <c r="H21" s="2"/>
      <c r="I21" s="2"/>
      <c r="J21" s="2"/>
      <c r="K21" s="2"/>
      <c r="L21" s="2"/>
      <c r="M21" s="2"/>
      <c r="N21" s="2"/>
      <c r="O21" s="2"/>
      <c r="P21" s="2"/>
      <c r="Q21" s="2"/>
      <c r="R21" s="2"/>
      <c r="S21" s="2"/>
      <c r="T21" s="2"/>
      <c r="U21" s="2"/>
      <c r="V21" s="2"/>
      <c r="W21" s="2"/>
      <c r="X21" s="2"/>
      <c r="Y21" s="2"/>
      <c r="Z21" s="2"/>
    </row>
    <row r="22" customFormat="false" ht="14.25" hidden="false" customHeight="true" outlineLevel="0" collapsed="false">
      <c r="A22" s="2"/>
      <c r="B22" s="496"/>
      <c r="C22" s="481"/>
      <c r="D22" s="497"/>
      <c r="E22" s="498"/>
      <c r="F22" s="502"/>
      <c r="G22" s="2"/>
      <c r="H22" s="2"/>
      <c r="I22" s="2"/>
      <c r="J22" s="2"/>
      <c r="K22" s="2"/>
      <c r="L22" s="2"/>
      <c r="M22" s="2"/>
      <c r="N22" s="2"/>
      <c r="O22" s="2"/>
      <c r="P22" s="2"/>
      <c r="Q22" s="2"/>
      <c r="R22" s="2"/>
      <c r="S22" s="2"/>
      <c r="T22" s="2"/>
      <c r="U22" s="2"/>
      <c r="V22" s="2"/>
      <c r="W22" s="2"/>
      <c r="X22" s="2"/>
      <c r="Y22" s="2"/>
      <c r="Z22" s="2"/>
    </row>
    <row r="23" customFormat="false" ht="14.25" hidden="false" customHeight="true" outlineLevel="0" collapsed="false">
      <c r="A23" s="2"/>
      <c r="B23" s="496"/>
      <c r="C23" s="481"/>
      <c r="D23" s="497"/>
      <c r="E23" s="498"/>
      <c r="F23" s="501"/>
      <c r="G23" s="2"/>
      <c r="H23" s="2"/>
      <c r="I23" s="2"/>
      <c r="J23" s="2"/>
      <c r="K23" s="2"/>
      <c r="L23" s="2"/>
      <c r="M23" s="2"/>
      <c r="N23" s="2"/>
      <c r="O23" s="2"/>
      <c r="P23" s="2"/>
      <c r="Q23" s="2"/>
      <c r="R23" s="2"/>
      <c r="S23" s="2"/>
      <c r="T23" s="2"/>
      <c r="U23" s="2"/>
      <c r="V23" s="2"/>
      <c r="W23" s="2"/>
      <c r="X23" s="2"/>
      <c r="Y23" s="2"/>
      <c r="Z23" s="2"/>
    </row>
    <row r="24" customFormat="false" ht="14.25" hidden="false" customHeight="true" outlineLevel="0" collapsed="false">
      <c r="A24" s="2"/>
      <c r="B24" s="496"/>
      <c r="C24" s="481"/>
      <c r="D24" s="497"/>
      <c r="E24" s="498"/>
      <c r="F24" s="502"/>
      <c r="G24" s="2"/>
      <c r="H24" s="2"/>
      <c r="I24" s="2"/>
      <c r="J24" s="2"/>
      <c r="K24" s="2"/>
      <c r="L24" s="2"/>
      <c r="M24" s="2"/>
      <c r="N24" s="2"/>
      <c r="O24" s="2"/>
      <c r="P24" s="2"/>
      <c r="Q24" s="2"/>
      <c r="R24" s="2"/>
      <c r="S24" s="2"/>
      <c r="T24" s="2"/>
      <c r="U24" s="2"/>
      <c r="V24" s="2"/>
      <c r="W24" s="2"/>
      <c r="X24" s="2"/>
      <c r="Y24" s="2"/>
      <c r="Z24" s="2"/>
    </row>
    <row r="25" customFormat="false" ht="14.25" hidden="false" customHeight="true" outlineLevel="0" collapsed="false">
      <c r="A25" s="2"/>
      <c r="B25" s="496"/>
      <c r="C25" s="481"/>
      <c r="D25" s="497"/>
      <c r="E25" s="498"/>
      <c r="F25" s="502"/>
      <c r="G25" s="2"/>
      <c r="H25" s="2"/>
      <c r="I25" s="2"/>
      <c r="J25" s="2"/>
      <c r="K25" s="2"/>
      <c r="L25" s="2"/>
      <c r="M25" s="2"/>
      <c r="N25" s="2"/>
      <c r="O25" s="2"/>
      <c r="P25" s="2"/>
      <c r="Q25" s="2"/>
      <c r="R25" s="2"/>
      <c r="S25" s="2"/>
      <c r="T25" s="2"/>
      <c r="U25" s="2"/>
      <c r="V25" s="2"/>
      <c r="W25" s="2"/>
      <c r="X25" s="2"/>
      <c r="Y25" s="2"/>
      <c r="Z25" s="2"/>
    </row>
    <row r="26" customFormat="false" ht="14.25" hidden="false" customHeight="true" outlineLevel="0" collapsed="false">
      <c r="A26" s="2"/>
      <c r="B26" s="496"/>
      <c r="C26" s="481"/>
      <c r="D26" s="497"/>
      <c r="E26" s="498"/>
      <c r="F26" s="502"/>
      <c r="G26" s="2"/>
      <c r="H26" s="2"/>
      <c r="I26" s="2"/>
      <c r="J26" s="2"/>
      <c r="K26" s="2"/>
      <c r="L26" s="2"/>
      <c r="M26" s="2"/>
      <c r="N26" s="2"/>
      <c r="O26" s="2"/>
      <c r="P26" s="2"/>
      <c r="Q26" s="2"/>
      <c r="R26" s="2"/>
      <c r="S26" s="2"/>
      <c r="T26" s="2"/>
      <c r="U26" s="2"/>
      <c r="V26" s="2"/>
      <c r="W26" s="2"/>
      <c r="X26" s="2"/>
      <c r="Y26" s="2"/>
      <c r="Z26" s="2"/>
    </row>
    <row r="27" customFormat="false" ht="14.25" hidden="false" customHeight="true" outlineLevel="0" collapsed="false">
      <c r="A27" s="2"/>
      <c r="B27" s="505"/>
      <c r="C27" s="506"/>
      <c r="D27" s="492"/>
      <c r="E27" s="498"/>
      <c r="F27" s="507"/>
      <c r="G27" s="2"/>
      <c r="H27" s="2"/>
      <c r="I27" s="2"/>
      <c r="J27" s="2"/>
      <c r="K27" s="2"/>
      <c r="L27" s="2"/>
      <c r="M27" s="2"/>
      <c r="N27" s="2"/>
      <c r="O27" s="2"/>
      <c r="P27" s="2"/>
      <c r="Q27" s="2"/>
      <c r="R27" s="2"/>
      <c r="S27" s="2"/>
      <c r="T27" s="2"/>
      <c r="U27" s="2"/>
      <c r="V27" s="2"/>
      <c r="W27" s="2"/>
      <c r="X27" s="2"/>
      <c r="Y27" s="2"/>
      <c r="Z27" s="2"/>
    </row>
    <row r="28" customFormat="false" ht="14.25" hidden="false" customHeight="true" outlineLevel="0" collapsed="false">
      <c r="A28" s="2"/>
      <c r="B28" s="508" t="s">
        <v>189</v>
      </c>
      <c r="C28" s="508"/>
      <c r="D28" s="508"/>
      <c r="E28" s="509" t="n">
        <f aca="false">SUM(E11:E27)</f>
        <v>67705</v>
      </c>
      <c r="F28" s="2"/>
      <c r="G28" s="2"/>
      <c r="H28" s="2"/>
      <c r="I28" s="2"/>
      <c r="J28" s="2"/>
      <c r="K28" s="2"/>
      <c r="L28" s="2"/>
      <c r="M28" s="2"/>
      <c r="N28" s="2"/>
      <c r="O28" s="2"/>
      <c r="P28" s="2"/>
      <c r="Q28" s="2"/>
      <c r="R28" s="2"/>
      <c r="S28" s="2"/>
      <c r="T28" s="2"/>
      <c r="U28" s="2"/>
      <c r="V28" s="2"/>
      <c r="W28" s="2"/>
      <c r="X28" s="2"/>
      <c r="Y28" s="2"/>
      <c r="Z28" s="2"/>
    </row>
    <row r="29" customFormat="false" ht="14.2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25.5" hidden="false" customHeight="true" outlineLevel="0" collapsed="false">
      <c r="A30" s="2"/>
      <c r="B30" s="12" t="s">
        <v>369</v>
      </c>
      <c r="C30" s="12"/>
      <c r="D30" s="12"/>
      <c r="E30" s="12"/>
      <c r="F30" s="510"/>
      <c r="G30" s="2"/>
      <c r="H30" s="2"/>
      <c r="I30" s="2"/>
      <c r="J30" s="2"/>
      <c r="K30" s="2"/>
      <c r="L30" s="2"/>
      <c r="M30" s="2"/>
      <c r="N30" s="2"/>
      <c r="O30" s="2"/>
      <c r="P30" s="2"/>
      <c r="Q30" s="2"/>
      <c r="R30" s="2"/>
      <c r="S30" s="2"/>
      <c r="T30" s="2"/>
      <c r="U30" s="2"/>
      <c r="V30" s="2"/>
      <c r="W30" s="2"/>
      <c r="X30" s="2"/>
      <c r="Y30" s="2"/>
      <c r="Z30" s="2"/>
    </row>
    <row r="31" customFormat="false" ht="15" hidden="false" customHeight="true" outlineLevel="0" collapsed="false">
      <c r="A31" s="2"/>
      <c r="B31" s="494" t="s">
        <v>98</v>
      </c>
      <c r="C31" s="495" t="s">
        <v>37</v>
      </c>
      <c r="D31" s="495" t="s">
        <v>177</v>
      </c>
      <c r="E31" s="511" t="s">
        <v>178</v>
      </c>
      <c r="F31" s="2"/>
      <c r="G31" s="2"/>
      <c r="H31" s="2"/>
      <c r="I31" s="2"/>
      <c r="J31" s="2"/>
      <c r="K31" s="2"/>
      <c r="L31" s="2"/>
      <c r="M31" s="2"/>
      <c r="N31" s="2"/>
      <c r="O31" s="2"/>
      <c r="P31" s="2"/>
      <c r="Q31" s="2"/>
      <c r="R31" s="2"/>
      <c r="S31" s="2"/>
      <c r="T31" s="2"/>
      <c r="U31" s="2"/>
      <c r="V31" s="2"/>
      <c r="W31" s="2"/>
      <c r="X31" s="2"/>
      <c r="Y31" s="2"/>
      <c r="Z31" s="2"/>
    </row>
    <row r="32" customFormat="false" ht="14.25" hidden="false" customHeight="true" outlineLevel="0" collapsed="false">
      <c r="A32" s="2"/>
      <c r="B32" s="496" t="s">
        <v>370</v>
      </c>
      <c r="C32" s="512" t="n">
        <f aca="false">'Proy. ventas'!C20</f>
        <v>172</v>
      </c>
      <c r="D32" s="497" t="n">
        <v>34</v>
      </c>
      <c r="E32" s="498" t="n">
        <f aca="false">C32*D32</f>
        <v>5848</v>
      </c>
      <c r="F32" s="499" t="s">
        <v>371</v>
      </c>
      <c r="G32" s="2"/>
      <c r="H32" s="2"/>
      <c r="I32" s="2"/>
      <c r="J32" s="2"/>
      <c r="K32" s="2"/>
      <c r="L32" s="2"/>
      <c r="M32" s="2"/>
      <c r="N32" s="2"/>
      <c r="O32" s="2"/>
      <c r="P32" s="2"/>
      <c r="Q32" s="2"/>
      <c r="R32" s="2"/>
      <c r="S32" s="2"/>
      <c r="T32" s="2"/>
      <c r="U32" s="2"/>
      <c r="V32" s="2"/>
      <c r="W32" s="2"/>
      <c r="X32" s="2"/>
      <c r="Y32" s="2"/>
      <c r="Z32" s="2"/>
    </row>
    <row r="33" customFormat="false" ht="14.25" hidden="false" customHeight="true" outlineLevel="0" collapsed="false">
      <c r="A33" s="2"/>
      <c r="B33" s="496" t="s">
        <v>372</v>
      </c>
      <c r="C33" s="512" t="n">
        <f aca="false">'Proy. ventas'!C21</f>
        <v>25</v>
      </c>
      <c r="D33" s="497" t="n">
        <v>170</v>
      </c>
      <c r="E33" s="498" t="n">
        <f aca="false">C33*D33</f>
        <v>4250</v>
      </c>
      <c r="F33" s="499" t="s">
        <v>373</v>
      </c>
      <c r="G33" s="2"/>
      <c r="H33" s="2"/>
      <c r="I33" s="2"/>
      <c r="J33" s="2"/>
      <c r="K33" s="2"/>
      <c r="L33" s="2"/>
      <c r="M33" s="2"/>
      <c r="N33" s="2"/>
      <c r="O33" s="2"/>
      <c r="P33" s="2"/>
      <c r="Q33" s="2"/>
      <c r="R33" s="2"/>
      <c r="S33" s="2"/>
      <c r="T33" s="2"/>
      <c r="U33" s="2"/>
      <c r="V33" s="2"/>
      <c r="W33" s="2"/>
      <c r="X33" s="2"/>
      <c r="Y33" s="2"/>
      <c r="Z33" s="2"/>
    </row>
    <row r="34" customFormat="false" ht="14.25" hidden="false" customHeight="true" outlineLevel="0" collapsed="false">
      <c r="A34" s="2"/>
      <c r="B34" s="496"/>
      <c r="C34" s="322"/>
      <c r="D34" s="497"/>
      <c r="E34" s="498"/>
      <c r="F34" s="513"/>
      <c r="G34" s="2"/>
      <c r="H34" s="2"/>
      <c r="I34" s="2"/>
      <c r="J34" s="2"/>
      <c r="K34" s="2"/>
      <c r="L34" s="2"/>
      <c r="M34" s="2"/>
      <c r="N34" s="2"/>
      <c r="O34" s="2"/>
      <c r="P34" s="2"/>
      <c r="Q34" s="2"/>
      <c r="R34" s="2"/>
      <c r="S34" s="2"/>
      <c r="T34" s="2"/>
      <c r="U34" s="2"/>
      <c r="V34" s="2"/>
      <c r="W34" s="2"/>
      <c r="X34" s="2"/>
      <c r="Y34" s="2"/>
      <c r="Z34" s="2"/>
    </row>
    <row r="35" customFormat="false" ht="14.25" hidden="false" customHeight="true" outlineLevel="0" collapsed="false">
      <c r="A35" s="2"/>
      <c r="B35" s="496"/>
      <c r="C35" s="322"/>
      <c r="D35" s="497"/>
      <c r="E35" s="498"/>
      <c r="F35" s="513"/>
      <c r="G35" s="514"/>
      <c r="H35" s="514"/>
      <c r="I35" s="2"/>
      <c r="J35" s="2"/>
      <c r="K35" s="2"/>
      <c r="L35" s="2"/>
      <c r="M35" s="2"/>
      <c r="N35" s="2"/>
      <c r="O35" s="2"/>
      <c r="P35" s="2"/>
      <c r="Q35" s="2"/>
      <c r="R35" s="2"/>
      <c r="S35" s="2"/>
      <c r="T35" s="2"/>
      <c r="U35" s="2"/>
      <c r="V35" s="2"/>
      <c r="W35" s="2"/>
      <c r="X35" s="2"/>
      <c r="Y35" s="2"/>
      <c r="Z35" s="2"/>
    </row>
    <row r="36" customFormat="false" ht="14.25" hidden="false" customHeight="true" outlineLevel="0" collapsed="false">
      <c r="A36" s="2"/>
      <c r="B36" s="496"/>
      <c r="C36" s="481"/>
      <c r="D36" s="497"/>
      <c r="E36" s="498"/>
      <c r="F36" s="513"/>
      <c r="G36" s="515"/>
      <c r="H36" s="515"/>
      <c r="I36" s="2"/>
      <c r="J36" s="2"/>
      <c r="K36" s="2"/>
      <c r="L36" s="2"/>
      <c r="M36" s="2"/>
      <c r="N36" s="2"/>
      <c r="O36" s="2"/>
      <c r="P36" s="2"/>
      <c r="Q36" s="2"/>
      <c r="R36" s="2"/>
      <c r="S36" s="2"/>
      <c r="T36" s="2"/>
      <c r="U36" s="2"/>
      <c r="V36" s="2"/>
      <c r="W36" s="2"/>
      <c r="X36" s="2"/>
      <c r="Y36" s="2"/>
      <c r="Z36" s="2"/>
    </row>
    <row r="37" customFormat="false" ht="14.25" hidden="false" customHeight="true" outlineLevel="0" collapsed="false">
      <c r="A37" s="2"/>
      <c r="B37" s="496"/>
      <c r="C37" s="481"/>
      <c r="D37" s="497"/>
      <c r="E37" s="498"/>
      <c r="F37" s="513"/>
      <c r="G37" s="514"/>
      <c r="H37" s="514"/>
      <c r="I37" s="2"/>
      <c r="J37" s="2"/>
      <c r="K37" s="2"/>
      <c r="L37" s="2"/>
      <c r="M37" s="2"/>
      <c r="N37" s="2"/>
      <c r="O37" s="2"/>
      <c r="P37" s="2"/>
      <c r="Q37" s="2"/>
      <c r="R37" s="2"/>
      <c r="S37" s="2"/>
      <c r="T37" s="2"/>
      <c r="U37" s="2"/>
      <c r="V37" s="2"/>
      <c r="W37" s="2"/>
      <c r="X37" s="2"/>
      <c r="Y37" s="2"/>
      <c r="Z37" s="2"/>
    </row>
    <row r="38" customFormat="false" ht="14.25" hidden="false" customHeight="true" outlineLevel="0" collapsed="false">
      <c r="A38" s="2"/>
      <c r="B38" s="496"/>
      <c r="C38" s="481"/>
      <c r="D38" s="497"/>
      <c r="E38" s="498"/>
      <c r="F38" s="513"/>
      <c r="G38" s="515"/>
      <c r="H38" s="515"/>
      <c r="I38" s="2"/>
      <c r="J38" s="2"/>
      <c r="K38" s="2"/>
      <c r="L38" s="2"/>
      <c r="M38" s="2"/>
      <c r="N38" s="2"/>
      <c r="O38" s="2"/>
      <c r="P38" s="2"/>
      <c r="Q38" s="2"/>
      <c r="R38" s="2"/>
      <c r="S38" s="2"/>
      <c r="T38" s="2"/>
      <c r="U38" s="2"/>
      <c r="V38" s="2"/>
      <c r="W38" s="2"/>
      <c r="X38" s="2"/>
      <c r="Y38" s="2"/>
      <c r="Z38" s="2"/>
    </row>
    <row r="39" customFormat="false" ht="14.25" hidden="false" customHeight="true" outlineLevel="0" collapsed="false">
      <c r="A39" s="2"/>
      <c r="B39" s="496"/>
      <c r="C39" s="481"/>
      <c r="D39" s="497"/>
      <c r="E39" s="498"/>
      <c r="F39" s="513"/>
      <c r="G39" s="515"/>
      <c r="H39" s="515"/>
      <c r="I39" s="2"/>
      <c r="J39" s="2"/>
      <c r="K39" s="2"/>
      <c r="L39" s="2"/>
      <c r="M39" s="2"/>
      <c r="N39" s="2"/>
      <c r="O39" s="2"/>
      <c r="P39" s="2"/>
      <c r="Q39" s="2"/>
      <c r="R39" s="2"/>
      <c r="S39" s="2"/>
      <c r="T39" s="2"/>
      <c r="U39" s="2"/>
      <c r="V39" s="2"/>
      <c r="W39" s="2"/>
      <c r="X39" s="2"/>
      <c r="Y39" s="2"/>
      <c r="Z39" s="2"/>
    </row>
    <row r="40" customFormat="false" ht="14.25" hidden="false" customHeight="true" outlineLevel="0" collapsed="false">
      <c r="A40" s="2"/>
      <c r="B40" s="496"/>
      <c r="C40" s="481"/>
      <c r="D40" s="497"/>
      <c r="E40" s="498"/>
      <c r="F40" s="513"/>
      <c r="G40" s="515"/>
      <c r="H40" s="515"/>
      <c r="I40" s="2"/>
      <c r="J40" s="2"/>
      <c r="K40" s="2"/>
      <c r="L40" s="2"/>
      <c r="M40" s="2"/>
      <c r="N40" s="2"/>
      <c r="O40" s="2"/>
      <c r="P40" s="2"/>
      <c r="Q40" s="2"/>
      <c r="R40" s="2"/>
      <c r="S40" s="2"/>
      <c r="T40" s="2"/>
      <c r="U40" s="2"/>
      <c r="V40" s="2"/>
      <c r="W40" s="2"/>
      <c r="X40" s="2"/>
      <c r="Y40" s="2"/>
      <c r="Z40" s="2"/>
    </row>
    <row r="41" customFormat="false" ht="14.25" hidden="false" customHeight="true" outlineLevel="0" collapsed="false">
      <c r="A41" s="2"/>
      <c r="B41" s="496"/>
      <c r="C41" s="481"/>
      <c r="D41" s="497"/>
      <c r="E41" s="498"/>
      <c r="F41" s="513"/>
      <c r="G41" s="514"/>
      <c r="H41" s="514"/>
      <c r="I41" s="2"/>
      <c r="J41" s="2"/>
      <c r="K41" s="2"/>
      <c r="L41" s="2"/>
      <c r="M41" s="2"/>
      <c r="N41" s="2"/>
      <c r="O41" s="2"/>
      <c r="P41" s="2"/>
      <c r="Q41" s="2"/>
      <c r="R41" s="2"/>
      <c r="S41" s="2"/>
      <c r="T41" s="2"/>
      <c r="U41" s="2"/>
      <c r="V41" s="2"/>
      <c r="W41" s="2"/>
      <c r="X41" s="2"/>
      <c r="Y41" s="2"/>
      <c r="Z41" s="2"/>
    </row>
    <row r="42" customFormat="false" ht="14.25" hidden="false" customHeight="true" outlineLevel="0" collapsed="false">
      <c r="A42" s="2"/>
      <c r="B42" s="496"/>
      <c r="C42" s="481"/>
      <c r="D42" s="497"/>
      <c r="E42" s="498"/>
      <c r="F42" s="513"/>
      <c r="G42" s="514"/>
      <c r="H42" s="514"/>
      <c r="I42" s="2"/>
      <c r="J42" s="2"/>
      <c r="K42" s="2"/>
      <c r="L42" s="2"/>
      <c r="M42" s="2"/>
      <c r="N42" s="2"/>
      <c r="O42" s="2"/>
      <c r="P42" s="2"/>
      <c r="Q42" s="2"/>
      <c r="R42" s="2"/>
      <c r="S42" s="2"/>
      <c r="T42" s="2"/>
      <c r="U42" s="2"/>
      <c r="V42" s="2"/>
      <c r="W42" s="2"/>
      <c r="X42" s="2"/>
      <c r="Y42" s="2"/>
      <c r="Z42" s="2"/>
    </row>
    <row r="43" customFormat="false" ht="14.25" hidden="false" customHeight="true" outlineLevel="0" collapsed="false">
      <c r="A43" s="2"/>
      <c r="B43" s="496"/>
      <c r="C43" s="516"/>
      <c r="D43" s="497"/>
      <c r="E43" s="517"/>
      <c r="F43" s="2"/>
      <c r="G43" s="2"/>
      <c r="H43" s="2"/>
      <c r="I43" s="2"/>
      <c r="J43" s="2"/>
      <c r="K43" s="2"/>
      <c r="L43" s="2"/>
      <c r="M43" s="2"/>
      <c r="N43" s="2"/>
      <c r="O43" s="2"/>
      <c r="P43" s="2"/>
      <c r="Q43" s="2"/>
      <c r="R43" s="2"/>
      <c r="S43" s="2"/>
      <c r="T43" s="2"/>
      <c r="U43" s="2"/>
      <c r="V43" s="2"/>
      <c r="W43" s="2"/>
      <c r="X43" s="2"/>
      <c r="Y43" s="2"/>
      <c r="Z43" s="2"/>
    </row>
    <row r="44" customFormat="false" ht="14.25" hidden="false" customHeight="true" outlineLevel="0" collapsed="false">
      <c r="A44" s="2"/>
      <c r="B44" s="505"/>
      <c r="C44" s="506"/>
      <c r="D44" s="492"/>
      <c r="E44" s="518"/>
      <c r="F44" s="2"/>
      <c r="G44" s="2"/>
      <c r="H44" s="2"/>
      <c r="I44" s="2"/>
      <c r="J44" s="2"/>
      <c r="K44" s="2"/>
      <c r="L44" s="2"/>
      <c r="M44" s="2"/>
      <c r="N44" s="2"/>
      <c r="O44" s="2"/>
      <c r="P44" s="2"/>
      <c r="Q44" s="2"/>
      <c r="R44" s="2"/>
      <c r="S44" s="2"/>
      <c r="T44" s="2"/>
      <c r="U44" s="2"/>
      <c r="V44" s="2"/>
      <c r="W44" s="2"/>
      <c r="X44" s="2"/>
      <c r="Y44" s="2"/>
      <c r="Z44" s="2"/>
    </row>
    <row r="45" customFormat="false" ht="14.25" hidden="false" customHeight="true" outlineLevel="0" collapsed="false">
      <c r="A45" s="2"/>
      <c r="B45" s="508" t="s">
        <v>189</v>
      </c>
      <c r="C45" s="508"/>
      <c r="D45" s="508"/>
      <c r="E45" s="519" t="n">
        <f aca="false">SUM(E32:E44)</f>
        <v>10098</v>
      </c>
      <c r="F45" s="2"/>
      <c r="G45" s="2"/>
      <c r="H45" s="2"/>
      <c r="I45" s="2"/>
      <c r="J45" s="2"/>
      <c r="K45" s="2"/>
      <c r="L45" s="2"/>
      <c r="M45" s="2"/>
      <c r="N45" s="2"/>
      <c r="O45" s="2"/>
      <c r="P45" s="2"/>
      <c r="Q45" s="2"/>
      <c r="R45" s="2"/>
      <c r="S45" s="2"/>
      <c r="T45" s="2"/>
      <c r="U45" s="2"/>
      <c r="V45" s="2"/>
      <c r="W45" s="2"/>
      <c r="X45" s="2"/>
      <c r="Y45" s="2"/>
      <c r="Z45" s="2"/>
    </row>
    <row r="46" customFormat="false" ht="14.2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4.2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25.5" hidden="false" customHeight="true" outlineLevel="0" collapsed="false">
      <c r="A48" s="2"/>
      <c r="B48" s="12" t="s">
        <v>374</v>
      </c>
      <c r="C48" s="12"/>
      <c r="D48" s="12"/>
      <c r="E48" s="12"/>
      <c r="F48" s="2"/>
      <c r="G48" s="2"/>
      <c r="H48" s="2"/>
      <c r="I48" s="2"/>
      <c r="J48" s="2"/>
      <c r="K48" s="2"/>
      <c r="L48" s="2"/>
      <c r="M48" s="2"/>
      <c r="N48" s="2"/>
      <c r="O48" s="2"/>
      <c r="P48" s="2"/>
      <c r="Q48" s="2"/>
      <c r="R48" s="2"/>
      <c r="S48" s="2"/>
      <c r="T48" s="2"/>
      <c r="U48" s="2"/>
      <c r="V48" s="2"/>
      <c r="W48" s="2"/>
      <c r="X48" s="2"/>
      <c r="Y48" s="2"/>
      <c r="Z48" s="2"/>
    </row>
    <row r="49" customFormat="false" ht="15" hidden="false" customHeight="true" outlineLevel="0" collapsed="false">
      <c r="A49" s="2"/>
      <c r="B49" s="494" t="s">
        <v>98</v>
      </c>
      <c r="C49" s="495" t="s">
        <v>37</v>
      </c>
      <c r="D49" s="495" t="s">
        <v>177</v>
      </c>
      <c r="E49" s="511" t="s">
        <v>178</v>
      </c>
      <c r="F49" s="2"/>
      <c r="G49" s="2"/>
      <c r="H49" s="2"/>
      <c r="I49" s="2"/>
      <c r="J49" s="2"/>
      <c r="K49" s="2"/>
      <c r="L49" s="2"/>
      <c r="M49" s="2"/>
      <c r="N49" s="2"/>
      <c r="O49" s="2"/>
      <c r="P49" s="2"/>
      <c r="Q49" s="2"/>
      <c r="R49" s="2"/>
      <c r="S49" s="2"/>
      <c r="T49" s="2"/>
      <c r="U49" s="2"/>
      <c r="V49" s="2"/>
      <c r="W49" s="2"/>
      <c r="X49" s="2"/>
      <c r="Y49" s="2"/>
      <c r="Z49" s="2"/>
    </row>
    <row r="50" customFormat="false" ht="14.25" hidden="false" customHeight="true" outlineLevel="0" collapsed="false">
      <c r="A50" s="2"/>
      <c r="B50" s="496" t="s">
        <v>370</v>
      </c>
      <c r="C50" s="512" t="n">
        <f aca="false">'Proy. ventas'!C83</f>
        <v>210</v>
      </c>
      <c r="D50" s="497" t="n">
        <v>34</v>
      </c>
      <c r="E50" s="498" t="n">
        <f aca="false">C50*D50</f>
        <v>7140</v>
      </c>
      <c r="F50" s="499" t="s">
        <v>371</v>
      </c>
      <c r="G50" s="2"/>
      <c r="H50" s="2"/>
      <c r="I50" s="2"/>
      <c r="J50" s="2"/>
      <c r="K50" s="2"/>
      <c r="L50" s="2"/>
      <c r="M50" s="2"/>
      <c r="N50" s="2"/>
      <c r="O50" s="2"/>
      <c r="P50" s="2"/>
      <c r="Q50" s="2"/>
      <c r="R50" s="2"/>
      <c r="S50" s="2"/>
      <c r="T50" s="2"/>
      <c r="U50" s="2"/>
      <c r="V50" s="2"/>
      <c r="W50" s="2"/>
      <c r="X50" s="2"/>
      <c r="Y50" s="2"/>
      <c r="Z50" s="2"/>
    </row>
    <row r="51" customFormat="false" ht="14.25" hidden="false" customHeight="true" outlineLevel="0" collapsed="false">
      <c r="A51" s="2"/>
      <c r="B51" s="496" t="s">
        <v>372</v>
      </c>
      <c r="C51" s="512" t="n">
        <f aca="false">'Proy. ventas'!C84</f>
        <v>28</v>
      </c>
      <c r="D51" s="497" t="n">
        <v>170</v>
      </c>
      <c r="E51" s="498" t="n">
        <f aca="false">C51*D51</f>
        <v>4760</v>
      </c>
      <c r="F51" s="499" t="s">
        <v>373</v>
      </c>
      <c r="G51" s="2"/>
      <c r="H51" s="2"/>
      <c r="I51" s="2"/>
      <c r="J51" s="2"/>
      <c r="K51" s="2"/>
      <c r="L51" s="2"/>
      <c r="M51" s="2"/>
      <c r="N51" s="2"/>
      <c r="O51" s="2"/>
      <c r="P51" s="2"/>
      <c r="Q51" s="2"/>
      <c r="R51" s="2"/>
      <c r="S51" s="2"/>
      <c r="T51" s="2"/>
      <c r="U51" s="2"/>
      <c r="V51" s="2"/>
      <c r="W51" s="2"/>
      <c r="X51" s="2"/>
      <c r="Y51" s="2"/>
      <c r="Z51" s="2"/>
    </row>
    <row r="52" customFormat="false" ht="14.25" hidden="false" customHeight="true" outlineLevel="0" collapsed="false">
      <c r="A52" s="2"/>
      <c r="B52" s="496"/>
      <c r="C52" s="322"/>
      <c r="D52" s="497"/>
      <c r="E52" s="498"/>
      <c r="F52" s="513"/>
      <c r="G52" s="2"/>
      <c r="H52" s="2"/>
      <c r="I52" s="2"/>
      <c r="J52" s="2"/>
      <c r="K52" s="2"/>
      <c r="L52" s="2"/>
      <c r="M52" s="2"/>
      <c r="N52" s="2"/>
      <c r="O52" s="2"/>
      <c r="P52" s="2"/>
      <c r="Q52" s="2"/>
      <c r="R52" s="2"/>
      <c r="S52" s="2"/>
      <c r="T52" s="2"/>
      <c r="U52" s="2"/>
      <c r="V52" s="2"/>
      <c r="W52" s="2"/>
      <c r="X52" s="2"/>
      <c r="Y52" s="2"/>
      <c r="Z52" s="2"/>
    </row>
    <row r="53" customFormat="false" ht="14.25" hidden="false" customHeight="true" outlineLevel="0" collapsed="false">
      <c r="A53" s="2"/>
      <c r="B53" s="496"/>
      <c r="C53" s="322"/>
      <c r="D53" s="497"/>
      <c r="E53" s="498"/>
      <c r="F53" s="513"/>
      <c r="G53" s="2"/>
      <c r="H53" s="2"/>
      <c r="I53" s="2"/>
      <c r="J53" s="2"/>
      <c r="K53" s="2"/>
      <c r="L53" s="2"/>
      <c r="M53" s="2"/>
      <c r="N53" s="2"/>
      <c r="O53" s="2"/>
      <c r="P53" s="2"/>
      <c r="Q53" s="2"/>
      <c r="R53" s="2"/>
      <c r="S53" s="2"/>
      <c r="T53" s="2"/>
      <c r="U53" s="2"/>
      <c r="V53" s="2"/>
      <c r="W53" s="2"/>
      <c r="X53" s="2"/>
      <c r="Y53" s="2"/>
      <c r="Z53" s="2"/>
    </row>
    <row r="54" customFormat="false" ht="14.25" hidden="false" customHeight="true" outlineLevel="0" collapsed="false">
      <c r="A54" s="2"/>
      <c r="B54" s="496"/>
      <c r="C54" s="481"/>
      <c r="D54" s="497"/>
      <c r="E54" s="498"/>
      <c r="F54" s="513"/>
      <c r="G54" s="2"/>
      <c r="H54" s="2"/>
      <c r="I54" s="2"/>
      <c r="J54" s="2"/>
      <c r="K54" s="2"/>
      <c r="L54" s="2"/>
      <c r="M54" s="2"/>
      <c r="N54" s="2"/>
      <c r="O54" s="2"/>
      <c r="P54" s="2"/>
      <c r="Q54" s="2"/>
      <c r="R54" s="2"/>
      <c r="S54" s="2"/>
      <c r="T54" s="2"/>
      <c r="U54" s="2"/>
      <c r="V54" s="2"/>
      <c r="W54" s="2"/>
      <c r="X54" s="2"/>
      <c r="Y54" s="2"/>
      <c r="Z54" s="2"/>
    </row>
    <row r="55" customFormat="false" ht="14.25" hidden="false" customHeight="true" outlineLevel="0" collapsed="false">
      <c r="A55" s="2"/>
      <c r="B55" s="496"/>
      <c r="C55" s="481"/>
      <c r="D55" s="497"/>
      <c r="E55" s="498"/>
      <c r="F55" s="513"/>
      <c r="G55" s="2"/>
      <c r="H55" s="2"/>
      <c r="I55" s="2"/>
      <c r="J55" s="2"/>
      <c r="K55" s="2"/>
      <c r="L55" s="2"/>
      <c r="M55" s="2"/>
      <c r="N55" s="2"/>
      <c r="O55" s="2"/>
      <c r="P55" s="2"/>
      <c r="Q55" s="2"/>
      <c r="R55" s="2"/>
      <c r="S55" s="2"/>
      <c r="T55" s="2"/>
      <c r="U55" s="2"/>
      <c r="V55" s="2"/>
      <c r="W55" s="2"/>
      <c r="X55" s="2"/>
      <c r="Y55" s="2"/>
      <c r="Z55" s="2"/>
    </row>
    <row r="56" customFormat="false" ht="14.25" hidden="false" customHeight="true" outlineLevel="0" collapsed="false">
      <c r="A56" s="2"/>
      <c r="B56" s="496"/>
      <c r="C56" s="481"/>
      <c r="D56" s="497"/>
      <c r="E56" s="498"/>
      <c r="F56" s="513"/>
      <c r="G56" s="2"/>
      <c r="H56" s="2"/>
      <c r="I56" s="2"/>
      <c r="J56" s="2"/>
      <c r="K56" s="2"/>
      <c r="L56" s="2"/>
      <c r="M56" s="2"/>
      <c r="N56" s="2"/>
      <c r="O56" s="2"/>
      <c r="P56" s="2"/>
      <c r="Q56" s="2"/>
      <c r="R56" s="2"/>
      <c r="S56" s="2"/>
      <c r="T56" s="2"/>
      <c r="U56" s="2"/>
      <c r="V56" s="2"/>
      <c r="W56" s="2"/>
      <c r="X56" s="2"/>
      <c r="Y56" s="2"/>
      <c r="Z56" s="2"/>
    </row>
    <row r="57" customFormat="false" ht="14.25" hidden="false" customHeight="true" outlineLevel="0" collapsed="false">
      <c r="A57" s="2"/>
      <c r="B57" s="496"/>
      <c r="C57" s="481"/>
      <c r="D57" s="497"/>
      <c r="E57" s="498"/>
      <c r="F57" s="513"/>
      <c r="G57" s="2"/>
      <c r="H57" s="2"/>
      <c r="I57" s="2"/>
      <c r="J57" s="2"/>
      <c r="K57" s="2"/>
      <c r="L57" s="2"/>
      <c r="M57" s="2"/>
      <c r="N57" s="2"/>
      <c r="O57" s="2"/>
      <c r="P57" s="2"/>
      <c r="Q57" s="2"/>
      <c r="R57" s="2"/>
      <c r="S57" s="2"/>
      <c r="T57" s="2"/>
      <c r="U57" s="2"/>
      <c r="V57" s="2"/>
      <c r="W57" s="2"/>
      <c r="X57" s="2"/>
      <c r="Y57" s="2"/>
      <c r="Z57" s="2"/>
    </row>
    <row r="58" customFormat="false" ht="14.25" hidden="false" customHeight="true" outlineLevel="0" collapsed="false">
      <c r="A58" s="2"/>
      <c r="B58" s="496"/>
      <c r="C58" s="481"/>
      <c r="D58" s="497"/>
      <c r="E58" s="498"/>
      <c r="F58" s="513"/>
      <c r="G58" s="2"/>
      <c r="H58" s="2"/>
      <c r="I58" s="2"/>
      <c r="J58" s="2"/>
      <c r="K58" s="2"/>
      <c r="L58" s="2"/>
      <c r="M58" s="2"/>
      <c r="N58" s="2"/>
      <c r="O58" s="2"/>
      <c r="P58" s="2"/>
      <c r="Q58" s="2"/>
      <c r="R58" s="2"/>
      <c r="S58" s="2"/>
      <c r="T58" s="2"/>
      <c r="U58" s="2"/>
      <c r="V58" s="2"/>
      <c r="W58" s="2"/>
      <c r="X58" s="2"/>
      <c r="Y58" s="2"/>
      <c r="Z58" s="2"/>
    </row>
    <row r="59" customFormat="false" ht="14.25" hidden="false" customHeight="true" outlineLevel="0" collapsed="false">
      <c r="A59" s="2"/>
      <c r="B59" s="496"/>
      <c r="C59" s="481"/>
      <c r="D59" s="497"/>
      <c r="E59" s="498"/>
      <c r="F59" s="513"/>
      <c r="G59" s="2"/>
      <c r="H59" s="2"/>
      <c r="I59" s="2"/>
      <c r="J59" s="2"/>
      <c r="K59" s="2"/>
      <c r="L59" s="2"/>
      <c r="M59" s="2"/>
      <c r="N59" s="2"/>
      <c r="O59" s="2"/>
      <c r="P59" s="2"/>
      <c r="Q59" s="2"/>
      <c r="R59" s="2"/>
      <c r="S59" s="2"/>
      <c r="T59" s="2"/>
      <c r="U59" s="2"/>
      <c r="V59" s="2"/>
      <c r="W59" s="2"/>
      <c r="X59" s="2"/>
      <c r="Y59" s="2"/>
      <c r="Z59" s="2"/>
    </row>
    <row r="60" customFormat="false" ht="14.25" hidden="false" customHeight="true" outlineLevel="0" collapsed="false">
      <c r="A60" s="2"/>
      <c r="B60" s="496"/>
      <c r="C60" s="481"/>
      <c r="D60" s="497"/>
      <c r="E60" s="498"/>
      <c r="F60" s="513"/>
      <c r="G60" s="2"/>
      <c r="H60" s="2"/>
      <c r="I60" s="2"/>
      <c r="J60" s="2"/>
      <c r="K60" s="2"/>
      <c r="L60" s="2"/>
      <c r="M60" s="2"/>
      <c r="N60" s="2"/>
      <c r="O60" s="2"/>
      <c r="P60" s="2"/>
      <c r="Q60" s="2"/>
      <c r="R60" s="2"/>
      <c r="S60" s="2"/>
      <c r="T60" s="2"/>
      <c r="U60" s="2"/>
      <c r="V60" s="2"/>
      <c r="W60" s="2"/>
      <c r="X60" s="2"/>
      <c r="Y60" s="2"/>
      <c r="Z60" s="2"/>
    </row>
    <row r="61" customFormat="false" ht="14.25" hidden="false" customHeight="true" outlineLevel="0" collapsed="false">
      <c r="A61" s="2"/>
      <c r="B61" s="496"/>
      <c r="C61" s="516"/>
      <c r="D61" s="497"/>
      <c r="E61" s="517"/>
      <c r="F61" s="2"/>
      <c r="G61" s="2"/>
      <c r="H61" s="2"/>
      <c r="I61" s="2"/>
      <c r="J61" s="2"/>
      <c r="K61" s="2"/>
      <c r="L61" s="2"/>
      <c r="M61" s="2"/>
      <c r="N61" s="2"/>
      <c r="O61" s="2"/>
      <c r="P61" s="2"/>
      <c r="Q61" s="2"/>
      <c r="R61" s="2"/>
      <c r="S61" s="2"/>
      <c r="T61" s="2"/>
      <c r="U61" s="2"/>
      <c r="V61" s="2"/>
      <c r="W61" s="2"/>
      <c r="X61" s="2"/>
      <c r="Y61" s="2"/>
      <c r="Z61" s="2"/>
    </row>
    <row r="62" customFormat="false" ht="14.25" hidden="false" customHeight="true" outlineLevel="0" collapsed="false">
      <c r="A62" s="2"/>
      <c r="B62" s="505"/>
      <c r="C62" s="506"/>
      <c r="D62" s="492"/>
      <c r="E62" s="518"/>
      <c r="F62" s="2"/>
      <c r="G62" s="2"/>
      <c r="H62" s="2"/>
      <c r="I62" s="2"/>
      <c r="J62" s="2"/>
      <c r="K62" s="2"/>
      <c r="L62" s="2"/>
      <c r="M62" s="2"/>
      <c r="N62" s="2"/>
      <c r="O62" s="2"/>
      <c r="P62" s="2"/>
      <c r="Q62" s="2"/>
      <c r="R62" s="2"/>
      <c r="S62" s="2"/>
      <c r="T62" s="2"/>
      <c r="U62" s="2"/>
      <c r="V62" s="2"/>
      <c r="W62" s="2"/>
      <c r="X62" s="2"/>
      <c r="Y62" s="2"/>
      <c r="Z62" s="2"/>
    </row>
    <row r="63" customFormat="false" ht="14.25" hidden="false" customHeight="true" outlineLevel="0" collapsed="false">
      <c r="A63" s="2"/>
      <c r="B63" s="508" t="s">
        <v>189</v>
      </c>
      <c r="C63" s="508"/>
      <c r="D63" s="508"/>
      <c r="E63" s="519" t="n">
        <f aca="false">SUM(E50:E62)</f>
        <v>11900</v>
      </c>
      <c r="F63" s="2"/>
      <c r="G63" s="2"/>
      <c r="H63" s="2"/>
      <c r="I63" s="2"/>
      <c r="J63" s="2"/>
      <c r="K63" s="2"/>
      <c r="L63" s="2"/>
      <c r="M63" s="2"/>
      <c r="N63" s="2"/>
      <c r="O63" s="2"/>
      <c r="P63" s="2"/>
      <c r="Q63" s="2"/>
      <c r="R63" s="2"/>
      <c r="S63" s="2"/>
      <c r="T63" s="2"/>
      <c r="U63" s="2"/>
      <c r="V63" s="2"/>
      <c r="W63" s="2"/>
      <c r="X63" s="2"/>
      <c r="Y63" s="2"/>
      <c r="Z63" s="2"/>
    </row>
    <row r="64" customFormat="false" ht="14.2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25.5" hidden="false" customHeight="true" outlineLevel="0" collapsed="false">
      <c r="A66" s="2"/>
      <c r="B66" s="12" t="s">
        <v>375</v>
      </c>
      <c r="C66" s="12"/>
      <c r="D66" s="12"/>
      <c r="E66" s="12"/>
      <c r="F66" s="2"/>
      <c r="G66" s="2"/>
      <c r="H66" s="2"/>
      <c r="I66" s="2"/>
      <c r="J66" s="2"/>
      <c r="K66" s="2"/>
      <c r="L66" s="2"/>
      <c r="M66" s="2"/>
      <c r="N66" s="2"/>
      <c r="O66" s="2"/>
      <c r="P66" s="2"/>
      <c r="Q66" s="2"/>
      <c r="R66" s="2"/>
      <c r="S66" s="2"/>
      <c r="T66" s="2"/>
      <c r="U66" s="2"/>
      <c r="V66" s="2"/>
      <c r="W66" s="2"/>
      <c r="X66" s="2"/>
      <c r="Y66" s="2"/>
      <c r="Z66" s="2"/>
    </row>
    <row r="67" customFormat="false" ht="15" hidden="false" customHeight="true" outlineLevel="0" collapsed="false">
      <c r="A67" s="2"/>
      <c r="B67" s="494" t="s">
        <v>98</v>
      </c>
      <c r="C67" s="495" t="s">
        <v>37</v>
      </c>
      <c r="D67" s="495" t="s">
        <v>177</v>
      </c>
      <c r="E67" s="511" t="s">
        <v>178</v>
      </c>
      <c r="F67" s="2"/>
      <c r="G67" s="2"/>
      <c r="H67" s="2"/>
      <c r="I67" s="2"/>
      <c r="J67" s="2"/>
      <c r="K67" s="2"/>
      <c r="L67" s="2"/>
      <c r="M67" s="2"/>
      <c r="N67" s="2"/>
      <c r="O67" s="2"/>
      <c r="P67" s="2"/>
      <c r="Q67" s="2"/>
      <c r="R67" s="2"/>
      <c r="S67" s="2"/>
      <c r="T67" s="2"/>
      <c r="U67" s="2"/>
      <c r="V67" s="2"/>
      <c r="W67" s="2"/>
      <c r="X67" s="2"/>
      <c r="Y67" s="2"/>
      <c r="Z67" s="2"/>
    </row>
    <row r="68" customFormat="false" ht="14.25" hidden="false" customHeight="true" outlineLevel="0" collapsed="false">
      <c r="A68" s="2"/>
      <c r="B68" s="496"/>
      <c r="C68" s="322"/>
      <c r="D68" s="497"/>
      <c r="E68" s="498"/>
      <c r="F68" s="513"/>
      <c r="G68" s="2"/>
      <c r="H68" s="2"/>
      <c r="I68" s="2"/>
      <c r="J68" s="2"/>
      <c r="K68" s="2"/>
      <c r="L68" s="2"/>
      <c r="M68" s="2"/>
      <c r="N68" s="2"/>
      <c r="O68" s="2"/>
      <c r="P68" s="2"/>
      <c r="Q68" s="2"/>
      <c r="R68" s="2"/>
      <c r="S68" s="2"/>
      <c r="T68" s="2"/>
      <c r="U68" s="2"/>
      <c r="V68" s="2"/>
      <c r="W68" s="2"/>
      <c r="X68" s="2"/>
      <c r="Y68" s="2"/>
      <c r="Z68" s="2"/>
    </row>
    <row r="69" customFormat="false" ht="14.25" hidden="false" customHeight="true" outlineLevel="0" collapsed="false">
      <c r="A69" s="2"/>
      <c r="B69" s="496" t="s">
        <v>376</v>
      </c>
      <c r="C69" s="322" t="n">
        <v>2</v>
      </c>
      <c r="D69" s="497" t="n">
        <v>940</v>
      </c>
      <c r="E69" s="498" t="n">
        <f aca="false">C69*D69</f>
        <v>1880</v>
      </c>
      <c r="F69" s="513"/>
      <c r="G69" s="2"/>
      <c r="H69" s="2"/>
      <c r="I69" s="2"/>
      <c r="J69" s="2"/>
      <c r="K69" s="2"/>
      <c r="L69" s="2"/>
      <c r="M69" s="2"/>
      <c r="N69" s="2"/>
      <c r="O69" s="2"/>
      <c r="P69" s="2"/>
      <c r="Q69" s="2"/>
      <c r="R69" s="2"/>
      <c r="S69" s="2"/>
      <c r="T69" s="2"/>
      <c r="U69" s="2"/>
      <c r="V69" s="2"/>
      <c r="W69" s="2"/>
      <c r="X69" s="2"/>
      <c r="Y69" s="2"/>
      <c r="Z69" s="2"/>
    </row>
    <row r="70" customFormat="false" ht="14.25" hidden="false" customHeight="true" outlineLevel="0" collapsed="false">
      <c r="A70" s="2"/>
      <c r="B70" s="496" t="s">
        <v>370</v>
      </c>
      <c r="C70" s="512" t="n">
        <f aca="false">'Proy. ventas'!C145</f>
        <v>278</v>
      </c>
      <c r="D70" s="497" t="n">
        <v>34</v>
      </c>
      <c r="E70" s="498" t="n">
        <f aca="false">C70*D70</f>
        <v>9452</v>
      </c>
      <c r="F70" s="499" t="s">
        <v>371</v>
      </c>
      <c r="G70" s="2"/>
      <c r="H70" s="2"/>
      <c r="I70" s="2"/>
      <c r="J70" s="2"/>
      <c r="K70" s="2"/>
      <c r="L70" s="2"/>
      <c r="M70" s="2"/>
      <c r="N70" s="2"/>
      <c r="O70" s="2"/>
      <c r="P70" s="2"/>
      <c r="Q70" s="2"/>
      <c r="R70" s="2"/>
      <c r="S70" s="2"/>
      <c r="T70" s="2"/>
      <c r="U70" s="2"/>
      <c r="V70" s="2"/>
      <c r="W70" s="2"/>
      <c r="X70" s="2"/>
      <c r="Y70" s="2"/>
      <c r="Z70" s="2"/>
    </row>
    <row r="71" customFormat="false" ht="14.25" hidden="false" customHeight="true" outlineLevel="0" collapsed="false">
      <c r="A71" s="2"/>
      <c r="B71" s="496" t="s">
        <v>372</v>
      </c>
      <c r="C71" s="512" t="n">
        <f aca="false">'Proy. ventas'!C146</f>
        <v>40</v>
      </c>
      <c r="D71" s="497" t="n">
        <v>170</v>
      </c>
      <c r="E71" s="498" t="n">
        <f aca="false">C71*D71</f>
        <v>6800</v>
      </c>
      <c r="F71" s="499" t="s">
        <v>373</v>
      </c>
      <c r="G71" s="2"/>
      <c r="H71" s="2"/>
      <c r="I71" s="2"/>
      <c r="J71" s="2"/>
      <c r="K71" s="2"/>
      <c r="L71" s="2"/>
      <c r="M71" s="2"/>
      <c r="N71" s="2"/>
      <c r="O71" s="2"/>
      <c r="P71" s="2"/>
      <c r="Q71" s="2"/>
      <c r="R71" s="2"/>
      <c r="S71" s="2"/>
      <c r="T71" s="2"/>
      <c r="U71" s="2"/>
      <c r="V71" s="2"/>
      <c r="W71" s="2"/>
      <c r="X71" s="2"/>
      <c r="Y71" s="2"/>
      <c r="Z71" s="2"/>
    </row>
    <row r="72" customFormat="false" ht="14.25" hidden="false" customHeight="true" outlineLevel="0" collapsed="false">
      <c r="A72" s="2"/>
      <c r="B72" s="496"/>
      <c r="C72" s="481"/>
      <c r="D72" s="497"/>
      <c r="E72" s="498"/>
      <c r="F72" s="513"/>
      <c r="G72" s="2"/>
      <c r="H72" s="2"/>
      <c r="I72" s="2"/>
      <c r="J72" s="2"/>
      <c r="K72" s="2"/>
      <c r="L72" s="2"/>
      <c r="M72" s="2"/>
      <c r="N72" s="2"/>
      <c r="O72" s="2"/>
      <c r="P72" s="2"/>
      <c r="Q72" s="2"/>
      <c r="R72" s="2"/>
      <c r="S72" s="2"/>
      <c r="T72" s="2"/>
      <c r="U72" s="2"/>
      <c r="V72" s="2"/>
      <c r="W72" s="2"/>
      <c r="X72" s="2"/>
      <c r="Y72" s="2"/>
      <c r="Z72" s="2"/>
    </row>
    <row r="73" customFormat="false" ht="14.25" hidden="false" customHeight="true" outlineLevel="0" collapsed="false">
      <c r="A73" s="2"/>
      <c r="B73" s="496"/>
      <c r="C73" s="481"/>
      <c r="D73" s="497"/>
      <c r="E73" s="498"/>
      <c r="F73" s="513"/>
      <c r="G73" s="2"/>
      <c r="H73" s="2"/>
      <c r="I73" s="2"/>
      <c r="J73" s="2"/>
      <c r="K73" s="2"/>
      <c r="L73" s="2"/>
      <c r="M73" s="2"/>
      <c r="N73" s="2"/>
      <c r="O73" s="2"/>
      <c r="P73" s="2"/>
      <c r="Q73" s="2"/>
      <c r="R73" s="2"/>
      <c r="S73" s="2"/>
      <c r="T73" s="2"/>
      <c r="U73" s="2"/>
      <c r="V73" s="2"/>
      <c r="W73" s="2"/>
      <c r="X73" s="2"/>
      <c r="Y73" s="2"/>
      <c r="Z73" s="2"/>
    </row>
    <row r="74" customFormat="false" ht="14.25" hidden="false" customHeight="true" outlineLevel="0" collapsed="false">
      <c r="A74" s="2"/>
      <c r="B74" s="496"/>
      <c r="C74" s="481"/>
      <c r="D74" s="497"/>
      <c r="E74" s="498"/>
      <c r="F74" s="513"/>
      <c r="G74" s="2"/>
      <c r="H74" s="2"/>
      <c r="I74" s="2"/>
      <c r="J74" s="2"/>
      <c r="K74" s="2"/>
      <c r="L74" s="2"/>
      <c r="M74" s="2"/>
      <c r="N74" s="2"/>
      <c r="O74" s="2"/>
      <c r="P74" s="2"/>
      <c r="Q74" s="2"/>
      <c r="R74" s="2"/>
      <c r="S74" s="2"/>
      <c r="T74" s="2"/>
      <c r="U74" s="2"/>
      <c r="V74" s="2"/>
      <c r="W74" s="2"/>
      <c r="X74" s="2"/>
      <c r="Y74" s="2"/>
      <c r="Z74" s="2"/>
    </row>
    <row r="75" customFormat="false" ht="14.25" hidden="false" customHeight="true" outlineLevel="0" collapsed="false">
      <c r="A75" s="2"/>
      <c r="B75" s="496"/>
      <c r="C75" s="481"/>
      <c r="D75" s="497"/>
      <c r="E75" s="498"/>
      <c r="F75" s="513"/>
      <c r="G75" s="2"/>
      <c r="H75" s="2"/>
      <c r="I75" s="2"/>
      <c r="J75" s="2"/>
      <c r="K75" s="2"/>
      <c r="L75" s="2"/>
      <c r="M75" s="2"/>
      <c r="N75" s="2"/>
      <c r="O75" s="2"/>
      <c r="P75" s="2"/>
      <c r="Q75" s="2"/>
      <c r="R75" s="2"/>
      <c r="S75" s="2"/>
      <c r="T75" s="2"/>
      <c r="U75" s="2"/>
      <c r="V75" s="2"/>
      <c r="W75" s="2"/>
      <c r="X75" s="2"/>
      <c r="Y75" s="2"/>
      <c r="Z75" s="2"/>
    </row>
    <row r="76" customFormat="false" ht="14.25" hidden="false" customHeight="true" outlineLevel="0" collapsed="false">
      <c r="A76" s="2"/>
      <c r="B76" s="496"/>
      <c r="C76" s="481"/>
      <c r="D76" s="497"/>
      <c r="E76" s="498"/>
      <c r="F76" s="513"/>
      <c r="G76" s="2"/>
      <c r="H76" s="2"/>
      <c r="I76" s="2"/>
      <c r="J76" s="2"/>
      <c r="K76" s="2"/>
      <c r="L76" s="2"/>
      <c r="M76" s="2"/>
      <c r="N76" s="2"/>
      <c r="O76" s="2"/>
      <c r="P76" s="2"/>
      <c r="Q76" s="2"/>
      <c r="R76" s="2"/>
      <c r="S76" s="2"/>
      <c r="T76" s="2"/>
      <c r="U76" s="2"/>
      <c r="V76" s="2"/>
      <c r="W76" s="2"/>
      <c r="X76" s="2"/>
      <c r="Y76" s="2"/>
      <c r="Z76" s="2"/>
    </row>
    <row r="77" customFormat="false" ht="14.25" hidden="false" customHeight="true" outlineLevel="0" collapsed="false">
      <c r="A77" s="2"/>
      <c r="B77" s="496"/>
      <c r="C77" s="481"/>
      <c r="D77" s="497"/>
      <c r="E77" s="498"/>
      <c r="F77" s="513"/>
      <c r="G77" s="2"/>
      <c r="H77" s="2"/>
      <c r="I77" s="2"/>
      <c r="J77" s="2"/>
      <c r="K77" s="2"/>
      <c r="L77" s="2"/>
      <c r="M77" s="2"/>
      <c r="N77" s="2"/>
      <c r="O77" s="2"/>
      <c r="P77" s="2"/>
      <c r="Q77" s="2"/>
      <c r="R77" s="2"/>
      <c r="S77" s="2"/>
      <c r="T77" s="2"/>
      <c r="U77" s="2"/>
      <c r="V77" s="2"/>
      <c r="W77" s="2"/>
      <c r="X77" s="2"/>
      <c r="Y77" s="2"/>
      <c r="Z77" s="2"/>
    </row>
    <row r="78" customFormat="false" ht="14.25" hidden="false" customHeight="true" outlineLevel="0" collapsed="false">
      <c r="A78" s="2"/>
      <c r="B78" s="496"/>
      <c r="C78" s="481"/>
      <c r="D78" s="497"/>
      <c r="E78" s="498"/>
      <c r="F78" s="513"/>
      <c r="G78" s="2"/>
      <c r="H78" s="2"/>
      <c r="I78" s="2"/>
      <c r="J78" s="2"/>
      <c r="K78" s="2"/>
      <c r="L78" s="2"/>
      <c r="M78" s="2"/>
      <c r="N78" s="2"/>
      <c r="O78" s="2"/>
      <c r="P78" s="2"/>
      <c r="Q78" s="2"/>
      <c r="R78" s="2"/>
      <c r="S78" s="2"/>
      <c r="T78" s="2"/>
      <c r="U78" s="2"/>
      <c r="V78" s="2"/>
      <c r="W78" s="2"/>
      <c r="X78" s="2"/>
      <c r="Y78" s="2"/>
      <c r="Z78" s="2"/>
    </row>
    <row r="79" customFormat="false" ht="14.25" hidden="false" customHeight="true" outlineLevel="0" collapsed="false">
      <c r="A79" s="2"/>
      <c r="B79" s="496"/>
      <c r="C79" s="516"/>
      <c r="D79" s="497"/>
      <c r="E79" s="517"/>
      <c r="F79" s="2"/>
      <c r="G79" s="2"/>
      <c r="H79" s="2"/>
      <c r="I79" s="2"/>
      <c r="J79" s="2"/>
      <c r="K79" s="2"/>
      <c r="L79" s="2"/>
      <c r="M79" s="2"/>
      <c r="N79" s="2"/>
      <c r="O79" s="2"/>
      <c r="P79" s="2"/>
      <c r="Q79" s="2"/>
      <c r="R79" s="2"/>
      <c r="S79" s="2"/>
      <c r="T79" s="2"/>
      <c r="U79" s="2"/>
      <c r="V79" s="2"/>
      <c r="W79" s="2"/>
      <c r="X79" s="2"/>
      <c r="Y79" s="2"/>
      <c r="Z79" s="2"/>
    </row>
    <row r="80" customFormat="false" ht="14.25" hidden="false" customHeight="true" outlineLevel="0" collapsed="false">
      <c r="A80" s="2"/>
      <c r="B80" s="505"/>
      <c r="C80" s="506"/>
      <c r="D80" s="492"/>
      <c r="E80" s="493"/>
      <c r="F80" s="2"/>
      <c r="G80" s="2"/>
      <c r="H80" s="2"/>
      <c r="I80" s="2"/>
      <c r="J80" s="2"/>
      <c r="K80" s="2"/>
      <c r="L80" s="2"/>
      <c r="M80" s="2"/>
      <c r="N80" s="2"/>
      <c r="O80" s="2"/>
      <c r="P80" s="2"/>
      <c r="Q80" s="2"/>
      <c r="R80" s="2"/>
      <c r="S80" s="2"/>
      <c r="T80" s="2"/>
      <c r="U80" s="2"/>
      <c r="V80" s="2"/>
      <c r="W80" s="2"/>
      <c r="X80" s="2"/>
      <c r="Y80" s="2"/>
      <c r="Z80" s="2"/>
    </row>
    <row r="81" customFormat="false" ht="14.25" hidden="false" customHeight="true" outlineLevel="0" collapsed="false">
      <c r="A81" s="2"/>
      <c r="B81" s="508" t="s">
        <v>189</v>
      </c>
      <c r="C81" s="508"/>
      <c r="D81" s="508"/>
      <c r="E81" s="519" t="n">
        <f aca="false">SUM(E68:E80)</f>
        <v>18132</v>
      </c>
      <c r="F81" s="2"/>
      <c r="G81" s="2"/>
      <c r="H81" s="2"/>
      <c r="I81" s="2"/>
      <c r="J81" s="2"/>
      <c r="K81" s="2"/>
      <c r="L81" s="2"/>
      <c r="M81" s="2"/>
      <c r="N81" s="2"/>
      <c r="O81" s="2"/>
      <c r="P81" s="2"/>
      <c r="Q81" s="2"/>
      <c r="R81" s="2"/>
      <c r="S81" s="2"/>
      <c r="T81" s="2"/>
      <c r="U81" s="2"/>
      <c r="V81" s="2"/>
      <c r="W81" s="2"/>
      <c r="X81" s="2"/>
      <c r="Y81" s="2"/>
      <c r="Z81" s="2"/>
    </row>
    <row r="82" customFormat="false" ht="14.2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4.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4.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4.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4.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4.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4.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4.2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4.2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4.2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4.2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4.2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4.2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4.2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4.2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4.2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4.2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4.2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4.2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4.2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4.2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4.2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4.2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4.2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4.2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4.2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4.2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4.2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4.2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4.2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4.2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4.2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4.2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4.2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4.2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4.2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4.2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4.2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4.2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4.2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4.2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4.2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4.2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4.2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4.2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4.2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4.2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4.2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4.2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4.2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4.2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4.2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4.2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4.2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4.2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4.2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4.2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4.2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4.2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4.2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4.2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4.2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sheetData>
  <mergeCells count="18">
    <mergeCell ref="B3:D3"/>
    <mergeCell ref="G3:J3"/>
    <mergeCell ref="B9:F9"/>
    <mergeCell ref="B28:D28"/>
    <mergeCell ref="B30:E30"/>
    <mergeCell ref="G35:H35"/>
    <mergeCell ref="G36:H36"/>
    <mergeCell ref="G37:H37"/>
    <mergeCell ref="G38:H38"/>
    <mergeCell ref="G39:H39"/>
    <mergeCell ref="G40:H40"/>
    <mergeCell ref="G41:H41"/>
    <mergeCell ref="G42:H42"/>
    <mergeCell ref="B45:D45"/>
    <mergeCell ref="B48:E48"/>
    <mergeCell ref="B63:D63"/>
    <mergeCell ref="B66:E66"/>
    <mergeCell ref="B81:D8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3.5" customHeight="false" zeroHeight="false" outlineLevelRow="0" outlineLevelCol="0"/>
  <cols>
    <col collapsed="false" customWidth="true" hidden="false" outlineLevel="0" max="1" min="1" style="1" width="10"/>
    <col collapsed="false" customWidth="true" hidden="false" outlineLevel="0" max="2" min="2" style="1" width="16.84"/>
    <col collapsed="false" customWidth="true" hidden="false" outlineLevel="0" max="3" min="3" style="1" width="38.17"/>
    <col collapsed="false" customWidth="true" hidden="false" outlineLevel="0" max="4" min="4" style="1" width="13.34"/>
    <col collapsed="false" customWidth="true" hidden="false" outlineLevel="0" max="5" min="5" style="1" width="19.34"/>
    <col collapsed="false" customWidth="true" hidden="false" outlineLevel="0" max="6" min="6" style="1" width="15.33"/>
    <col collapsed="false" customWidth="true" hidden="false" outlineLevel="0" max="7" min="7" style="1" width="12.66"/>
    <col collapsed="false" customWidth="true" hidden="false" outlineLevel="0" max="8" min="8" style="1" width="12.34"/>
    <col collapsed="false" customWidth="true" hidden="false" outlineLevel="0" max="9" min="9" style="1" width="13.34"/>
    <col collapsed="false" customWidth="true" hidden="false" outlineLevel="0" max="10" min="10" style="1" width="12.34"/>
    <col collapsed="false" customWidth="true" hidden="false" outlineLevel="0" max="11" min="11" style="1" width="13.34"/>
    <col collapsed="false" customWidth="true" hidden="false" outlineLevel="0" max="12" min="12" style="1" width="14.16"/>
    <col collapsed="false" customWidth="true" hidden="false" outlineLevel="0" max="13" min="13" style="1" width="13.5"/>
    <col collapsed="false" customWidth="true" hidden="false" outlineLevel="0" max="14" min="14" style="1" width="10"/>
  </cols>
  <sheetData>
    <row r="1" customFormat="false" ht="60.75" hidden="false" customHeight="true" outlineLevel="0" collapsed="false">
      <c r="A1" s="9"/>
      <c r="B1" s="9"/>
      <c r="C1" s="9"/>
      <c r="D1" s="9"/>
      <c r="E1" s="9"/>
      <c r="F1" s="9"/>
      <c r="G1" s="272" t="s">
        <v>17</v>
      </c>
      <c r="H1" s="389"/>
      <c r="I1" s="9"/>
      <c r="J1" s="9"/>
      <c r="K1" s="9"/>
      <c r="L1" s="9"/>
      <c r="M1" s="9"/>
      <c r="N1" s="9"/>
      <c r="O1" s="9"/>
      <c r="P1" s="2"/>
      <c r="Q1" s="2"/>
      <c r="R1" s="2"/>
      <c r="S1" s="2"/>
      <c r="T1" s="2"/>
      <c r="U1" s="2"/>
      <c r="V1" s="2"/>
      <c r="W1" s="2"/>
      <c r="X1" s="2"/>
      <c r="Y1" s="2"/>
      <c r="Z1" s="2"/>
    </row>
    <row r="2" customFormat="false" ht="14.25" hidden="false" customHeight="true" outlineLevel="0" collapsed="false">
      <c r="A2" s="2"/>
      <c r="B2" s="2"/>
      <c r="C2" s="2"/>
      <c r="D2" s="2"/>
      <c r="E2" s="2"/>
      <c r="F2" s="2"/>
      <c r="G2" s="2"/>
      <c r="H2" s="2"/>
      <c r="I2" s="2"/>
      <c r="J2" s="2"/>
      <c r="K2" s="2"/>
      <c r="L2" s="2"/>
      <c r="M2" s="2"/>
      <c r="N2" s="2"/>
      <c r="O2" s="2"/>
      <c r="P2" s="2"/>
      <c r="Q2" s="2"/>
      <c r="R2" s="2"/>
      <c r="S2" s="2"/>
      <c r="T2" s="2"/>
      <c r="U2" s="2"/>
      <c r="V2" s="2"/>
      <c r="W2" s="2"/>
      <c r="X2" s="2"/>
      <c r="Y2" s="2"/>
      <c r="Z2" s="2"/>
    </row>
    <row r="3" customFormat="false" ht="25.5" hidden="false" customHeight="true" outlineLevel="0" collapsed="false">
      <c r="A3" s="2"/>
      <c r="B3" s="12" t="s">
        <v>74</v>
      </c>
      <c r="C3" s="12"/>
      <c r="D3" s="12"/>
      <c r="E3" s="30"/>
      <c r="F3" s="2"/>
      <c r="G3" s="2"/>
      <c r="H3" s="2"/>
      <c r="I3" s="12" t="s">
        <v>17</v>
      </c>
      <c r="J3" s="12"/>
      <c r="K3" s="12"/>
      <c r="L3" s="2"/>
      <c r="M3" s="2"/>
      <c r="N3" s="2"/>
      <c r="O3" s="2"/>
      <c r="P3" s="2"/>
      <c r="Q3" s="2"/>
      <c r="R3" s="2"/>
      <c r="S3" s="2"/>
      <c r="T3" s="2"/>
      <c r="U3" s="2"/>
      <c r="V3" s="2"/>
      <c r="W3" s="2"/>
      <c r="X3" s="2"/>
      <c r="Y3" s="2"/>
      <c r="Z3" s="2"/>
    </row>
    <row r="4" customFormat="false" ht="14.25" hidden="false" customHeight="true" outlineLevel="0" collapsed="false">
      <c r="A4" s="2"/>
      <c r="B4" s="80" t="n">
        <v>2026</v>
      </c>
      <c r="C4" s="80" t="n">
        <v>2027</v>
      </c>
      <c r="D4" s="80" t="n">
        <v>2028</v>
      </c>
      <c r="E4" s="349"/>
      <c r="F4" s="2"/>
      <c r="G4" s="2"/>
      <c r="H4" s="2"/>
      <c r="I4" s="80" t="n">
        <v>2026</v>
      </c>
      <c r="J4" s="80" t="n">
        <v>2027</v>
      </c>
      <c r="K4" s="80" t="n">
        <v>2028</v>
      </c>
      <c r="L4" s="2"/>
      <c r="M4" s="2"/>
      <c r="N4" s="2"/>
      <c r="O4" s="2"/>
      <c r="P4" s="2"/>
      <c r="Q4" s="2"/>
      <c r="R4" s="2"/>
      <c r="S4" s="2"/>
      <c r="T4" s="2"/>
      <c r="U4" s="2"/>
      <c r="V4" s="2"/>
      <c r="W4" s="2"/>
      <c r="X4" s="2"/>
      <c r="Y4" s="2"/>
      <c r="Z4" s="2"/>
    </row>
    <row r="5" customFormat="false" ht="14.25" hidden="false" customHeight="true" outlineLevel="0" collapsed="false">
      <c r="A5" s="2"/>
      <c r="B5" s="84" t="n">
        <f aca="false">Hipótesis!$C$24</f>
        <v>0.008</v>
      </c>
      <c r="C5" s="84" t="n">
        <f aca="false">Hipótesis!$C$25</f>
        <v>0.029</v>
      </c>
      <c r="D5" s="84" t="n">
        <f aca="false">Hipótesis!$C$26</f>
        <v>0.052</v>
      </c>
      <c r="E5" s="436"/>
      <c r="F5" s="2"/>
      <c r="G5" s="2"/>
      <c r="H5" s="2"/>
      <c r="I5" s="491" t="n">
        <f aca="false">$K$27</f>
        <v>2148.66666666667</v>
      </c>
      <c r="J5" s="492" t="n">
        <f aca="false">$L$27</f>
        <v>3735.33333333333</v>
      </c>
      <c r="K5" s="493" t="n">
        <f aca="false">$M$27</f>
        <v>5292.2</v>
      </c>
      <c r="L5" s="2"/>
      <c r="M5" s="2"/>
      <c r="N5" s="2"/>
      <c r="O5" s="2"/>
      <c r="P5" s="2"/>
      <c r="Q5" s="2"/>
      <c r="R5" s="2"/>
      <c r="S5" s="2"/>
      <c r="T5" s="2"/>
      <c r="U5" s="2"/>
      <c r="V5" s="2"/>
      <c r="W5" s="2"/>
      <c r="X5" s="2"/>
      <c r="Y5" s="2"/>
      <c r="Z5" s="2"/>
    </row>
    <row r="6" customFormat="false" ht="14.25" hidden="false" customHeight="true" outlineLevel="0" collapsed="false">
      <c r="A6" s="2"/>
      <c r="B6" s="390" t="n">
        <f aca="false">Hipótesis!$D$24</f>
        <v>107520</v>
      </c>
      <c r="C6" s="390" t="n">
        <f aca="false">Hipótesis!$D$25</f>
        <v>389760</v>
      </c>
      <c r="D6" s="390" t="n">
        <f aca="false">Hipótesis!$D$26</f>
        <v>698880</v>
      </c>
      <c r="E6" s="428"/>
      <c r="F6" s="2"/>
      <c r="G6" s="2"/>
      <c r="H6" s="2"/>
      <c r="I6" s="2"/>
      <c r="J6" s="2"/>
      <c r="K6" s="2"/>
      <c r="L6" s="2"/>
      <c r="M6" s="2"/>
      <c r="N6" s="2"/>
      <c r="O6" s="2"/>
      <c r="P6" s="2"/>
      <c r="Q6" s="2"/>
      <c r="R6" s="2"/>
      <c r="S6" s="2"/>
      <c r="T6" s="2"/>
      <c r="U6" s="2"/>
      <c r="V6" s="2"/>
      <c r="W6" s="2"/>
      <c r="X6" s="2"/>
      <c r="Y6" s="2"/>
      <c r="Z6" s="2"/>
    </row>
    <row r="7" customFormat="false" ht="14.25" hidden="false" customHeight="true" outlineLevel="0" collapsed="false">
      <c r="A7" s="2"/>
      <c r="B7" s="2"/>
      <c r="C7" s="2"/>
      <c r="D7" s="2"/>
      <c r="E7" s="2"/>
      <c r="F7" s="2"/>
      <c r="G7" s="2"/>
      <c r="H7" s="2"/>
      <c r="I7" s="2"/>
      <c r="J7" s="2"/>
      <c r="K7" s="2"/>
      <c r="L7" s="2"/>
      <c r="M7" s="2"/>
      <c r="N7" s="2"/>
      <c r="O7" s="2"/>
      <c r="P7" s="2"/>
      <c r="Q7" s="2"/>
      <c r="R7" s="2"/>
      <c r="S7" s="2"/>
      <c r="T7" s="2"/>
      <c r="U7" s="2"/>
      <c r="V7" s="2"/>
      <c r="W7" s="2"/>
      <c r="X7" s="2"/>
      <c r="Y7" s="2"/>
      <c r="Z7" s="2"/>
    </row>
    <row r="8" customFormat="false" ht="25.5" hidden="false" customHeight="true" outlineLevel="0" collapsed="false">
      <c r="A8" s="2"/>
      <c r="B8" s="520" t="s">
        <v>17</v>
      </c>
      <c r="C8" s="520"/>
      <c r="D8" s="520"/>
      <c r="E8" s="520"/>
      <c r="F8" s="520"/>
      <c r="G8" s="520"/>
      <c r="H8" s="520"/>
      <c r="I8" s="520"/>
      <c r="J8" s="520"/>
      <c r="K8" s="520"/>
      <c r="L8" s="520"/>
      <c r="M8" s="520"/>
      <c r="N8" s="2"/>
      <c r="O8" s="2"/>
      <c r="P8" s="2"/>
      <c r="Q8" s="2"/>
      <c r="R8" s="2"/>
      <c r="S8" s="2"/>
      <c r="T8" s="2"/>
      <c r="U8" s="2"/>
      <c r="V8" s="2"/>
      <c r="W8" s="2"/>
      <c r="X8" s="2"/>
      <c r="Y8" s="2"/>
      <c r="Z8" s="2"/>
    </row>
    <row r="9" customFormat="false" ht="14.25" hidden="false" customHeight="true" outlineLevel="0" collapsed="false">
      <c r="A9" s="2"/>
      <c r="B9" s="521" t="s">
        <v>248</v>
      </c>
      <c r="C9" s="522" t="s">
        <v>98</v>
      </c>
      <c r="D9" s="522" t="s">
        <v>37</v>
      </c>
      <c r="E9" s="522" t="s">
        <v>177</v>
      </c>
      <c r="F9" s="523" t="s">
        <v>377</v>
      </c>
      <c r="G9" s="524" t="s">
        <v>378</v>
      </c>
      <c r="H9" s="524"/>
      <c r="I9" s="524"/>
      <c r="J9" s="524"/>
      <c r="K9" s="94" t="s">
        <v>379</v>
      </c>
      <c r="L9" s="94"/>
      <c r="M9" s="94"/>
      <c r="N9" s="2"/>
      <c r="O9" s="2"/>
      <c r="P9" s="2"/>
      <c r="Q9" s="2"/>
      <c r="R9" s="2"/>
      <c r="S9" s="2"/>
      <c r="T9" s="2"/>
      <c r="U9" s="2"/>
      <c r="V9" s="2"/>
      <c r="W9" s="2"/>
      <c r="X9" s="2"/>
      <c r="Y9" s="2"/>
      <c r="Z9" s="2"/>
    </row>
    <row r="10" customFormat="false" ht="14.25" hidden="false" customHeight="true" outlineLevel="0" collapsed="false">
      <c r="A10" s="2"/>
      <c r="B10" s="521"/>
      <c r="C10" s="522"/>
      <c r="D10" s="522"/>
      <c r="E10" s="522"/>
      <c r="F10" s="523"/>
      <c r="G10" s="525" t="s">
        <v>380</v>
      </c>
      <c r="H10" s="526" t="s">
        <v>100</v>
      </c>
      <c r="I10" s="526" t="s">
        <v>381</v>
      </c>
      <c r="J10" s="527" t="s">
        <v>382</v>
      </c>
      <c r="K10" s="526" t="s">
        <v>100</v>
      </c>
      <c r="L10" s="526" t="s">
        <v>381</v>
      </c>
      <c r="M10" s="527" t="s">
        <v>382</v>
      </c>
      <c r="N10" s="2"/>
      <c r="O10" s="2"/>
      <c r="P10" s="2"/>
      <c r="Q10" s="2"/>
      <c r="R10" s="2"/>
      <c r="S10" s="2"/>
      <c r="T10" s="2"/>
      <c r="U10" s="2"/>
      <c r="V10" s="2"/>
      <c r="W10" s="2"/>
      <c r="X10" s="2"/>
      <c r="Y10" s="2"/>
      <c r="Z10" s="2"/>
    </row>
    <row r="11" customFormat="false" ht="14.25" hidden="false" customHeight="true" outlineLevel="0" collapsed="false">
      <c r="A11" s="2"/>
      <c r="B11" s="528" t="s">
        <v>383</v>
      </c>
      <c r="C11" s="529" t="s">
        <v>114</v>
      </c>
      <c r="D11" s="530" t="n">
        <f aca="false">'Mod. inversión'!C12</f>
        <v>2</v>
      </c>
      <c r="E11" s="531" t="n">
        <f aca="false">'Mod. inversión'!D12</f>
        <v>940</v>
      </c>
      <c r="F11" s="532" t="n">
        <v>3</v>
      </c>
      <c r="G11" s="533" t="n">
        <f aca="false">D11*E11</f>
        <v>1880</v>
      </c>
      <c r="H11" s="534" t="n">
        <v>0</v>
      </c>
      <c r="I11" s="534" t="n">
        <v>0</v>
      </c>
      <c r="J11" s="535" t="n">
        <v>0</v>
      </c>
      <c r="K11" s="536" t="n">
        <f aca="false">$G$11/$F$11</f>
        <v>626.666666666667</v>
      </c>
      <c r="L11" s="537" t="n">
        <f aca="false">$G$11/$F$11</f>
        <v>626.666666666667</v>
      </c>
      <c r="M11" s="538" t="n">
        <v>0</v>
      </c>
      <c r="N11" s="2"/>
      <c r="O11" s="2"/>
      <c r="P11" s="2"/>
      <c r="Q11" s="2"/>
      <c r="R11" s="2"/>
      <c r="S11" s="2"/>
      <c r="T11" s="2"/>
      <c r="U11" s="2"/>
      <c r="V11" s="2"/>
      <c r="W11" s="2"/>
      <c r="X11" s="2"/>
      <c r="Y11" s="2"/>
      <c r="Z11" s="2"/>
    </row>
    <row r="12" customFormat="false" ht="14.25" hidden="false" customHeight="true" outlineLevel="0" collapsed="false">
      <c r="A12" s="2"/>
      <c r="B12" s="528"/>
      <c r="C12" s="539" t="s">
        <v>114</v>
      </c>
      <c r="D12" s="540" t="n">
        <f aca="false">'Mod. inversión'!C33</f>
        <v>25</v>
      </c>
      <c r="E12" s="497" t="n">
        <f aca="false">'Mod. inversión'!D33</f>
        <v>170</v>
      </c>
      <c r="F12" s="541" t="n">
        <v>3</v>
      </c>
      <c r="G12" s="542" t="n">
        <v>0</v>
      </c>
      <c r="H12" s="543" t="n">
        <f aca="false">D12*E12</f>
        <v>4250</v>
      </c>
      <c r="I12" s="544" t="n">
        <v>0</v>
      </c>
      <c r="J12" s="545" t="n">
        <v>0</v>
      </c>
      <c r="K12" s="546" t="n">
        <f aca="false">$H$12/$F$12</f>
        <v>1416.66666666667</v>
      </c>
      <c r="L12" s="547" t="n">
        <f aca="false">$H$12/$F$12</f>
        <v>1416.66666666667</v>
      </c>
      <c r="M12" s="548" t="n">
        <f aca="false">$H$12/$F$12</f>
        <v>1416.66666666667</v>
      </c>
      <c r="N12" s="2"/>
      <c r="O12" s="2"/>
      <c r="P12" s="2"/>
      <c r="Q12" s="2"/>
      <c r="R12" s="2"/>
      <c r="S12" s="2"/>
      <c r="T12" s="2"/>
      <c r="U12" s="2"/>
      <c r="V12" s="2"/>
      <c r="W12" s="2"/>
      <c r="X12" s="2"/>
      <c r="Y12" s="2"/>
      <c r="Z12" s="2"/>
    </row>
    <row r="13" customFormat="false" ht="14.25" hidden="false" customHeight="true" outlineLevel="0" collapsed="false">
      <c r="A13" s="2"/>
      <c r="B13" s="528"/>
      <c r="C13" s="539" t="s">
        <v>114</v>
      </c>
      <c r="D13" s="540" t="n">
        <f aca="false">'Mod. inversión'!C51</f>
        <v>28</v>
      </c>
      <c r="E13" s="497" t="n">
        <f aca="false">'Mod. inversión'!D51</f>
        <v>170</v>
      </c>
      <c r="F13" s="541" t="n">
        <v>3</v>
      </c>
      <c r="G13" s="542" t="n">
        <v>0</v>
      </c>
      <c r="H13" s="544" t="n">
        <v>0</v>
      </c>
      <c r="I13" s="543" t="n">
        <f aca="false">D13*E13</f>
        <v>4760</v>
      </c>
      <c r="J13" s="545" t="n">
        <v>0</v>
      </c>
      <c r="K13" s="546" t="n">
        <v>0</v>
      </c>
      <c r="L13" s="549" t="n">
        <f aca="false">$I$13/$F$13</f>
        <v>1586.66666666667</v>
      </c>
      <c r="M13" s="548" t="n">
        <f aca="false">$I$13/$F$13</f>
        <v>1586.66666666667</v>
      </c>
      <c r="N13" s="2"/>
      <c r="O13" s="2"/>
      <c r="P13" s="2"/>
      <c r="Q13" s="2"/>
      <c r="R13" s="2"/>
      <c r="S13" s="2"/>
      <c r="T13" s="2"/>
      <c r="U13" s="2"/>
      <c r="V13" s="2"/>
      <c r="W13" s="2"/>
      <c r="X13" s="2"/>
      <c r="Y13" s="2"/>
      <c r="Z13" s="2"/>
    </row>
    <row r="14" customFormat="false" ht="14.25" hidden="false" customHeight="true" outlineLevel="0" collapsed="false">
      <c r="A14" s="2"/>
      <c r="B14" s="528"/>
      <c r="C14" s="550" t="s">
        <v>114</v>
      </c>
      <c r="D14" s="506" t="n">
        <f aca="false">'Mod. inversión'!C69</f>
        <v>2</v>
      </c>
      <c r="E14" s="492" t="n">
        <f aca="false">'Mod. inversión'!D69</f>
        <v>940</v>
      </c>
      <c r="F14" s="551" t="n">
        <v>3</v>
      </c>
      <c r="G14" s="552" t="n">
        <v>0</v>
      </c>
      <c r="H14" s="553" t="n">
        <v>0</v>
      </c>
      <c r="I14" s="553" t="n">
        <v>0</v>
      </c>
      <c r="J14" s="554" t="n">
        <f aca="false">D14*E14</f>
        <v>1880</v>
      </c>
      <c r="K14" s="555" t="n">
        <v>0</v>
      </c>
      <c r="L14" s="556" t="n">
        <v>0</v>
      </c>
      <c r="M14" s="557" t="n">
        <f aca="false">$J$14/$F$14</f>
        <v>626.666666666667</v>
      </c>
      <c r="N14" s="2"/>
      <c r="O14" s="2"/>
      <c r="P14" s="2"/>
      <c r="Q14" s="2"/>
      <c r="R14" s="2"/>
      <c r="S14" s="2"/>
      <c r="T14" s="2"/>
      <c r="U14" s="2"/>
      <c r="V14" s="2"/>
      <c r="W14" s="2"/>
      <c r="X14" s="2"/>
      <c r="Y14" s="2"/>
      <c r="Z14" s="2"/>
    </row>
    <row r="15" customFormat="false" ht="14.25" hidden="false" customHeight="true" outlineLevel="0" collapsed="false">
      <c r="A15" s="2"/>
      <c r="B15" s="471" t="s">
        <v>384</v>
      </c>
      <c r="C15" s="529" t="s">
        <v>115</v>
      </c>
      <c r="D15" s="530" t="n">
        <f aca="false">'Mod. inversión'!C13</f>
        <v>2</v>
      </c>
      <c r="E15" s="531" t="n">
        <f aca="false">'Mod. inversión'!D13</f>
        <v>100</v>
      </c>
      <c r="F15" s="532" t="n">
        <v>10</v>
      </c>
      <c r="G15" s="533" t="n">
        <f aca="false">D15*E15</f>
        <v>200</v>
      </c>
      <c r="H15" s="534" t="n">
        <v>0</v>
      </c>
      <c r="I15" s="534" t="n">
        <v>0</v>
      </c>
      <c r="J15" s="535" t="n">
        <v>0</v>
      </c>
      <c r="K15" s="536" t="n">
        <f aca="false">$G$15/$F$15</f>
        <v>20</v>
      </c>
      <c r="L15" s="537" t="n">
        <f aca="false">$G$15/$F$15</f>
        <v>20</v>
      </c>
      <c r="M15" s="538" t="n">
        <f aca="false">$G$15/$F$15</f>
        <v>20</v>
      </c>
      <c r="N15" s="2"/>
      <c r="O15" s="2"/>
      <c r="P15" s="2"/>
      <c r="Q15" s="2"/>
      <c r="R15" s="2"/>
      <c r="S15" s="2"/>
      <c r="T15" s="2"/>
      <c r="U15" s="2"/>
      <c r="V15" s="2"/>
      <c r="W15" s="2"/>
      <c r="X15" s="2"/>
      <c r="Y15" s="2"/>
      <c r="Z15" s="2"/>
    </row>
    <row r="16" customFormat="false" ht="14.25" hidden="false" customHeight="true" outlineLevel="0" collapsed="false">
      <c r="A16" s="2"/>
      <c r="B16" s="471"/>
      <c r="C16" s="539" t="s">
        <v>115</v>
      </c>
      <c r="D16" s="481" t="n">
        <f aca="false">'Mod. inversión'!C34</f>
        <v>0</v>
      </c>
      <c r="E16" s="497" t="n">
        <f aca="false">'Mod. inversión'!D34</f>
        <v>0</v>
      </c>
      <c r="F16" s="541" t="n">
        <v>10</v>
      </c>
      <c r="G16" s="542" t="n">
        <v>0</v>
      </c>
      <c r="H16" s="544" t="n">
        <f aca="false">D16*E16</f>
        <v>0</v>
      </c>
      <c r="I16" s="543" t="n">
        <v>0</v>
      </c>
      <c r="J16" s="545" t="n">
        <v>0</v>
      </c>
      <c r="K16" s="546" t="n">
        <f aca="false">$H$16/$F$16</f>
        <v>0</v>
      </c>
      <c r="L16" s="549" t="n">
        <f aca="false">$H$16/$F$16</f>
        <v>0</v>
      </c>
      <c r="M16" s="548" t="n">
        <f aca="false">$H$16/$F$16</f>
        <v>0</v>
      </c>
      <c r="N16" s="2"/>
      <c r="O16" s="2"/>
      <c r="P16" s="2"/>
      <c r="Q16" s="2"/>
      <c r="R16" s="2"/>
      <c r="S16" s="2"/>
      <c r="T16" s="2"/>
      <c r="U16" s="2"/>
      <c r="V16" s="2"/>
      <c r="W16" s="2"/>
      <c r="X16" s="2"/>
      <c r="Y16" s="2"/>
      <c r="Z16" s="2"/>
    </row>
    <row r="17" customFormat="false" ht="14.25" hidden="false" customHeight="true" outlineLevel="0" collapsed="false">
      <c r="A17" s="2"/>
      <c r="B17" s="471"/>
      <c r="C17" s="539" t="s">
        <v>115</v>
      </c>
      <c r="D17" s="481" t="n">
        <f aca="false">'Mod. inversión'!C52</f>
        <v>0</v>
      </c>
      <c r="E17" s="497" t="n">
        <f aca="false">'Mod. inversión'!D52</f>
        <v>0</v>
      </c>
      <c r="F17" s="541" t="n">
        <v>10</v>
      </c>
      <c r="G17" s="542" t="n">
        <v>0</v>
      </c>
      <c r="H17" s="544" t="n">
        <v>0</v>
      </c>
      <c r="I17" s="544" t="n">
        <f aca="false">D17*E17</f>
        <v>0</v>
      </c>
      <c r="J17" s="558" t="n">
        <v>0</v>
      </c>
      <c r="K17" s="546" t="n">
        <v>0</v>
      </c>
      <c r="L17" s="549" t="n">
        <f aca="false">$I$17/$F$17</f>
        <v>0</v>
      </c>
      <c r="M17" s="559" t="n">
        <f aca="false">$I$17/$F$17</f>
        <v>0</v>
      </c>
      <c r="N17" s="2"/>
      <c r="O17" s="2"/>
      <c r="P17" s="2"/>
      <c r="Q17" s="2"/>
      <c r="R17" s="2"/>
      <c r="S17" s="2"/>
      <c r="T17" s="2"/>
      <c r="U17" s="2"/>
      <c r="V17" s="2"/>
      <c r="W17" s="2"/>
      <c r="X17" s="2"/>
      <c r="Y17" s="2"/>
      <c r="Z17" s="2"/>
    </row>
    <row r="18" customFormat="false" ht="14.25" hidden="false" customHeight="true" outlineLevel="0" collapsed="false">
      <c r="A18" s="2"/>
      <c r="B18" s="471"/>
      <c r="C18" s="539" t="s">
        <v>115</v>
      </c>
      <c r="D18" s="540" t="n">
        <f aca="false">'Mod. inversión'!C70</f>
        <v>278</v>
      </c>
      <c r="E18" s="497" t="n">
        <f aca="false">'Mod. inversión'!D70</f>
        <v>34</v>
      </c>
      <c r="F18" s="541" t="n">
        <v>10</v>
      </c>
      <c r="G18" s="560" t="n">
        <v>0</v>
      </c>
      <c r="H18" s="544" t="n">
        <v>0</v>
      </c>
      <c r="I18" s="544" t="n">
        <v>0</v>
      </c>
      <c r="J18" s="545" t="n">
        <f aca="false">D18*E18</f>
        <v>9452</v>
      </c>
      <c r="K18" s="561" t="n">
        <v>0</v>
      </c>
      <c r="L18" s="547" t="n">
        <v>0</v>
      </c>
      <c r="M18" s="548" t="n">
        <f aca="false">$J$18/$F$18</f>
        <v>945.2</v>
      </c>
      <c r="N18" s="2"/>
      <c r="O18" s="2"/>
      <c r="P18" s="2"/>
      <c r="Q18" s="2"/>
      <c r="R18" s="2"/>
      <c r="S18" s="2"/>
      <c r="T18" s="2"/>
      <c r="U18" s="2"/>
      <c r="V18" s="2"/>
      <c r="W18" s="2"/>
      <c r="X18" s="2"/>
      <c r="Y18" s="2"/>
      <c r="Z18" s="2"/>
    </row>
    <row r="19" customFormat="false" ht="14.25" hidden="false" customHeight="true" outlineLevel="0" collapsed="false">
      <c r="A19" s="2"/>
      <c r="B19" s="471"/>
      <c r="C19" s="539" t="s">
        <v>116</v>
      </c>
      <c r="D19" s="562" t="n">
        <f aca="false">'Mod. inversión'!C14</f>
        <v>2</v>
      </c>
      <c r="E19" s="497" t="n">
        <f aca="false">'Mod. inversión'!D14</f>
        <v>85</v>
      </c>
      <c r="F19" s="541" t="n">
        <v>10</v>
      </c>
      <c r="G19" s="542" t="n">
        <f aca="false">D19*E19</f>
        <v>170</v>
      </c>
      <c r="H19" s="544" t="n">
        <v>0</v>
      </c>
      <c r="I19" s="543" t="n">
        <v>0</v>
      </c>
      <c r="J19" s="545" t="n">
        <v>0</v>
      </c>
      <c r="K19" s="546" t="n">
        <f aca="false">$G$19/$F$19</f>
        <v>17</v>
      </c>
      <c r="L19" s="549" t="n">
        <f aca="false">$G$19/$F$19</f>
        <v>17</v>
      </c>
      <c r="M19" s="548" t="n">
        <f aca="false">$G$19/$F$19</f>
        <v>17</v>
      </c>
      <c r="N19" s="2"/>
      <c r="O19" s="2"/>
      <c r="P19" s="2"/>
      <c r="Q19" s="2"/>
      <c r="R19" s="2"/>
      <c r="S19" s="2"/>
      <c r="T19" s="2"/>
      <c r="U19" s="2"/>
      <c r="V19" s="2"/>
      <c r="W19" s="2"/>
      <c r="X19" s="2"/>
      <c r="Y19" s="2"/>
      <c r="Z19" s="2"/>
    </row>
    <row r="20" customFormat="false" ht="14.25" hidden="false" customHeight="true" outlineLevel="0" collapsed="false">
      <c r="A20" s="2"/>
      <c r="B20" s="471"/>
      <c r="C20" s="550" t="s">
        <v>116</v>
      </c>
      <c r="D20" s="506" t="n">
        <f aca="false">'Mod. inversión'!C35</f>
        <v>0</v>
      </c>
      <c r="E20" s="492" t="n">
        <f aca="false">'Mod. inversión'!D35</f>
        <v>0</v>
      </c>
      <c r="F20" s="551" t="n">
        <v>10</v>
      </c>
      <c r="G20" s="552" t="n">
        <v>0</v>
      </c>
      <c r="H20" s="553" t="n">
        <f aca="false">D20*E20</f>
        <v>0</v>
      </c>
      <c r="I20" s="553" t="n">
        <v>0</v>
      </c>
      <c r="J20" s="554" t="n">
        <v>0</v>
      </c>
      <c r="K20" s="555" t="n">
        <f aca="false">$H$20/$F$20</f>
        <v>0</v>
      </c>
      <c r="L20" s="556" t="n">
        <f aca="false">$H$20/$F$20</f>
        <v>0</v>
      </c>
      <c r="M20" s="557" t="n">
        <f aca="false">$H$20/$F$20</f>
        <v>0</v>
      </c>
      <c r="N20" s="2"/>
      <c r="O20" s="2"/>
      <c r="P20" s="2"/>
      <c r="Q20" s="2"/>
      <c r="R20" s="2"/>
      <c r="S20" s="2"/>
      <c r="T20" s="2"/>
      <c r="U20" s="2"/>
      <c r="V20" s="2"/>
      <c r="W20" s="2"/>
      <c r="X20" s="2"/>
      <c r="Y20" s="2"/>
      <c r="Z20" s="2"/>
    </row>
    <row r="21" customFormat="false" ht="14.25" hidden="false" customHeight="true" outlineLevel="0" collapsed="false">
      <c r="A21" s="2"/>
      <c r="B21" s="471"/>
      <c r="C21" s="529" t="s">
        <v>116</v>
      </c>
      <c r="D21" s="312" t="n">
        <f aca="false">'Mod. inversión'!C53</f>
        <v>0</v>
      </c>
      <c r="E21" s="531" t="n">
        <f aca="false">'Mod. inversión'!D53</f>
        <v>0</v>
      </c>
      <c r="F21" s="532" t="n">
        <v>10</v>
      </c>
      <c r="G21" s="533" t="n">
        <v>0</v>
      </c>
      <c r="H21" s="534" t="n">
        <v>0</v>
      </c>
      <c r="I21" s="534" t="n">
        <f aca="false">D21*E21</f>
        <v>0</v>
      </c>
      <c r="J21" s="535" t="n">
        <v>0</v>
      </c>
      <c r="K21" s="536" t="n">
        <v>0</v>
      </c>
      <c r="L21" s="537" t="n">
        <f aca="false">$I$21/$F$21</f>
        <v>0</v>
      </c>
      <c r="M21" s="538" t="n">
        <f aca="false">$I$21/$F$21</f>
        <v>0</v>
      </c>
      <c r="N21" s="2"/>
      <c r="O21" s="2"/>
      <c r="P21" s="2"/>
      <c r="Q21" s="2"/>
      <c r="R21" s="2"/>
      <c r="S21" s="2"/>
      <c r="T21" s="2"/>
      <c r="U21" s="2"/>
      <c r="V21" s="2"/>
      <c r="W21" s="2"/>
      <c r="X21" s="2"/>
      <c r="Y21" s="2"/>
      <c r="Z21" s="2"/>
    </row>
    <row r="22" customFormat="false" ht="14.25" hidden="false" customHeight="true" outlineLevel="0" collapsed="false">
      <c r="A22" s="2"/>
      <c r="B22" s="471"/>
      <c r="C22" s="539" t="s">
        <v>116</v>
      </c>
      <c r="D22" s="540" t="n">
        <f aca="false">'Mod. inversión'!C71</f>
        <v>40</v>
      </c>
      <c r="E22" s="497" t="n">
        <f aca="false">'Mod. inversión'!D71</f>
        <v>170</v>
      </c>
      <c r="F22" s="541" t="n">
        <v>10</v>
      </c>
      <c r="G22" s="560" t="n">
        <v>0</v>
      </c>
      <c r="H22" s="544" t="n">
        <v>0</v>
      </c>
      <c r="I22" s="544" t="n">
        <v>0</v>
      </c>
      <c r="J22" s="545" t="n">
        <f aca="false">D22*E22</f>
        <v>6800</v>
      </c>
      <c r="K22" s="561" t="n">
        <v>0</v>
      </c>
      <c r="L22" s="547" t="n">
        <v>0</v>
      </c>
      <c r="M22" s="548" t="n">
        <f aca="false">$J$22/$F$22</f>
        <v>680</v>
      </c>
      <c r="N22" s="2"/>
      <c r="O22" s="2"/>
      <c r="P22" s="2"/>
      <c r="Q22" s="2"/>
      <c r="R22" s="2"/>
      <c r="S22" s="2"/>
      <c r="T22" s="2"/>
      <c r="U22" s="2"/>
      <c r="V22" s="2"/>
      <c r="W22" s="2"/>
      <c r="X22" s="2"/>
      <c r="Y22" s="2"/>
      <c r="Z22" s="2"/>
    </row>
    <row r="23" customFormat="false" ht="14.25" hidden="false" customHeight="true" outlineLevel="0" collapsed="false">
      <c r="A23" s="2"/>
      <c r="B23" s="563" t="s">
        <v>385</v>
      </c>
      <c r="C23" s="539" t="s">
        <v>386</v>
      </c>
      <c r="D23" s="481" t="n">
        <f aca="false">'Mod. inversión'!C15</f>
        <v>1</v>
      </c>
      <c r="E23" s="497" t="n">
        <f aca="false">'Mod. inversión'!D15</f>
        <v>205</v>
      </c>
      <c r="F23" s="541" t="n">
        <v>3</v>
      </c>
      <c r="G23" s="560" t="n">
        <f aca="false">D23*E23</f>
        <v>205</v>
      </c>
      <c r="H23" s="544" t="n">
        <v>0</v>
      </c>
      <c r="I23" s="544" t="n">
        <v>0</v>
      </c>
      <c r="J23" s="545" t="n">
        <v>0</v>
      </c>
      <c r="K23" s="561" t="n">
        <f aca="false">$G$23/$F$23</f>
        <v>68.3333333333333</v>
      </c>
      <c r="L23" s="547" t="n">
        <f aca="false">$G$23/$F$23</f>
        <v>68.3333333333333</v>
      </c>
      <c r="M23" s="548" t="n">
        <v>0</v>
      </c>
      <c r="N23" s="2"/>
      <c r="O23" s="2"/>
      <c r="P23" s="2"/>
      <c r="Q23" s="2"/>
      <c r="R23" s="2"/>
      <c r="S23" s="2"/>
      <c r="T23" s="2"/>
      <c r="U23" s="2"/>
      <c r="V23" s="2"/>
      <c r="W23" s="2"/>
      <c r="X23" s="2"/>
      <c r="Y23" s="2"/>
      <c r="Z23" s="2"/>
    </row>
    <row r="24" customFormat="false" ht="14.25" hidden="false" customHeight="true" outlineLevel="0" collapsed="false">
      <c r="A24" s="2"/>
      <c r="B24" s="563"/>
      <c r="C24" s="539" t="s">
        <v>386</v>
      </c>
      <c r="D24" s="481" t="n">
        <f aca="false">'Mod. inversión'!C36</f>
        <v>0</v>
      </c>
      <c r="E24" s="497" t="n">
        <f aca="false">'Mod. inversión'!D36</f>
        <v>0</v>
      </c>
      <c r="F24" s="541" t="n">
        <v>3</v>
      </c>
      <c r="G24" s="560" t="n">
        <v>0</v>
      </c>
      <c r="H24" s="544" t="n">
        <f aca="false">D24*E24</f>
        <v>0</v>
      </c>
      <c r="I24" s="544" t="n">
        <v>0</v>
      </c>
      <c r="J24" s="545" t="n">
        <v>0</v>
      </c>
      <c r="K24" s="561" t="n">
        <f aca="false">$H$24/$F$24</f>
        <v>0</v>
      </c>
      <c r="L24" s="547" t="n">
        <f aca="false">$H$24/$F$24</f>
        <v>0</v>
      </c>
      <c r="M24" s="548" t="n">
        <f aca="false">$H$24/$F$24</f>
        <v>0</v>
      </c>
      <c r="N24" s="2"/>
      <c r="O24" s="2"/>
      <c r="P24" s="2"/>
      <c r="Q24" s="2"/>
      <c r="R24" s="2"/>
      <c r="S24" s="2"/>
      <c r="T24" s="2"/>
      <c r="U24" s="2"/>
      <c r="V24" s="2"/>
      <c r="W24" s="2"/>
      <c r="X24" s="2"/>
      <c r="Y24" s="2"/>
      <c r="Z24" s="2"/>
    </row>
    <row r="25" customFormat="false" ht="14.25" hidden="false" customHeight="true" outlineLevel="0" collapsed="false">
      <c r="A25" s="2"/>
      <c r="B25" s="563"/>
      <c r="C25" s="539"/>
      <c r="D25" s="481"/>
      <c r="E25" s="497"/>
      <c r="F25" s="541"/>
      <c r="G25" s="560"/>
      <c r="H25" s="544"/>
      <c r="I25" s="544"/>
      <c r="J25" s="545"/>
      <c r="K25" s="561"/>
      <c r="L25" s="547"/>
      <c r="M25" s="548"/>
      <c r="N25" s="2"/>
      <c r="O25" s="2"/>
      <c r="P25" s="2"/>
      <c r="Q25" s="2"/>
      <c r="R25" s="2"/>
      <c r="S25" s="2"/>
      <c r="T25" s="2"/>
      <c r="U25" s="2"/>
      <c r="V25" s="2"/>
      <c r="W25" s="2"/>
      <c r="X25" s="2"/>
      <c r="Y25" s="2"/>
      <c r="Z25" s="2"/>
    </row>
    <row r="26" customFormat="false" ht="14.25" hidden="false" customHeight="true" outlineLevel="0" collapsed="false">
      <c r="A26" s="2"/>
      <c r="B26" s="563"/>
      <c r="C26" s="550"/>
      <c r="D26" s="506"/>
      <c r="E26" s="492"/>
      <c r="F26" s="551"/>
      <c r="G26" s="564"/>
      <c r="H26" s="553"/>
      <c r="I26" s="553"/>
      <c r="J26" s="565"/>
      <c r="K26" s="566"/>
      <c r="L26" s="567"/>
      <c r="M26" s="568"/>
      <c r="N26" s="2"/>
      <c r="O26" s="2"/>
      <c r="P26" s="2"/>
      <c r="Q26" s="2"/>
      <c r="R26" s="2"/>
      <c r="S26" s="2"/>
      <c r="T26" s="2"/>
      <c r="U26" s="2"/>
      <c r="V26" s="2"/>
      <c r="W26" s="2"/>
      <c r="X26" s="2"/>
      <c r="Y26" s="2"/>
      <c r="Z26" s="2"/>
    </row>
    <row r="27" customFormat="false" ht="15" hidden="false" customHeight="true" outlineLevel="0" collapsed="false">
      <c r="A27" s="2"/>
      <c r="B27" s="569" t="s">
        <v>344</v>
      </c>
      <c r="C27" s="569"/>
      <c r="D27" s="569"/>
      <c r="E27" s="569"/>
      <c r="F27" s="569"/>
      <c r="G27" s="569"/>
      <c r="H27" s="569"/>
      <c r="I27" s="569"/>
      <c r="J27" s="569"/>
      <c r="K27" s="570" t="n">
        <f aca="false">SUM(K11:K26)</f>
        <v>2148.66666666667</v>
      </c>
      <c r="L27" s="571" t="n">
        <f aca="false">SUM(L11:L26)</f>
        <v>3735.33333333333</v>
      </c>
      <c r="M27" s="572" t="n">
        <f aca="false">SUM(M11:M26)</f>
        <v>5292.2</v>
      </c>
      <c r="N27" s="2"/>
      <c r="O27" s="2"/>
      <c r="P27" s="2"/>
      <c r="Q27" s="2"/>
      <c r="R27" s="2"/>
      <c r="S27" s="2"/>
      <c r="T27" s="2"/>
      <c r="U27" s="2"/>
      <c r="V27" s="2"/>
      <c r="W27" s="2"/>
      <c r="X27" s="2"/>
      <c r="Y27" s="2"/>
      <c r="Z27" s="2"/>
    </row>
    <row r="28" customFormat="false" ht="14.2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4.2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4.2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4.2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4.2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4.2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4.2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4.2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4.2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4.2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4.2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4.2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4.2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4.2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4.2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4.2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4.2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4.2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4.2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4.2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4.2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4.2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4.2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4.2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4.2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4.2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4.2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4.2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4.2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4.2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4.2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4.2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4.2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4.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4.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4.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4.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4.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4.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4.2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sheetData>
  <mergeCells count="14">
    <mergeCell ref="B3:D3"/>
    <mergeCell ref="I3:K3"/>
    <mergeCell ref="B8:M8"/>
    <mergeCell ref="B9:B10"/>
    <mergeCell ref="C9:C10"/>
    <mergeCell ref="D9:D10"/>
    <mergeCell ref="E9:E10"/>
    <mergeCell ref="F9:F10"/>
    <mergeCell ref="G9:J9"/>
    <mergeCell ref="K9:M9"/>
    <mergeCell ref="B11:B14"/>
    <mergeCell ref="B15:B22"/>
    <mergeCell ref="B23:B26"/>
    <mergeCell ref="B27:J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38" activeCellId="0" sqref="I38"/>
    </sheetView>
  </sheetViews>
  <sheetFormatPr defaultColWidth="8.66796875" defaultRowHeight="13.5" customHeight="false" zeroHeight="false" outlineLevelRow="0" outlineLevelCol="0"/>
  <cols>
    <col collapsed="false" customWidth="true" hidden="false" outlineLevel="0" max="1" min="1" style="1" width="5.33"/>
    <col collapsed="false" customWidth="true" hidden="false" outlineLevel="0" max="2" min="2" style="1" width="13.16"/>
    <col collapsed="false" customWidth="true" hidden="false" outlineLevel="0" max="3" min="3" style="1" width="25.84"/>
    <col collapsed="false" customWidth="true" hidden="false" outlineLevel="0" max="4" min="4" style="1" width="17.17"/>
    <col collapsed="false" customWidth="true" hidden="false" outlineLevel="0" max="5" min="5" style="1" width="16.66"/>
    <col collapsed="false" customWidth="true" hidden="false" outlineLevel="0" max="6" min="6" style="1" width="13.5"/>
    <col collapsed="false" customWidth="true" hidden="false" outlineLevel="0" max="7" min="7" style="1" width="20.34"/>
    <col collapsed="false" customWidth="true" hidden="false" outlineLevel="0" max="8" min="8" style="1" width="12.34"/>
    <col collapsed="false" customWidth="true" hidden="false" outlineLevel="0" max="9" min="9" style="1" width="12.83"/>
    <col collapsed="false" customWidth="true" hidden="false" outlineLevel="0" max="10" min="10" style="1" width="13.16"/>
    <col collapsed="false" customWidth="true" hidden="false" outlineLevel="0" max="12" min="11" style="1" width="15.33"/>
    <col collapsed="false" customWidth="true" hidden="false" outlineLevel="0" max="13" min="13" style="1" width="26.33"/>
    <col collapsed="false" customWidth="true" hidden="false" outlineLevel="0" max="14" min="14" style="1" width="20.67"/>
    <col collapsed="false" customWidth="true" hidden="false" outlineLevel="0" max="15" min="15" style="1" width="10"/>
  </cols>
  <sheetData>
    <row r="1" customFormat="false" ht="45" hidden="false" customHeight="true" outlineLevel="0" collapsed="false">
      <c r="A1" s="9"/>
      <c r="B1" s="9"/>
      <c r="C1" s="9"/>
      <c r="D1" s="9"/>
      <c r="E1" s="272" t="s">
        <v>18</v>
      </c>
      <c r="F1" s="389"/>
      <c r="G1" s="389"/>
      <c r="H1" s="9"/>
      <c r="I1" s="9"/>
      <c r="J1" s="9"/>
      <c r="K1" s="9"/>
      <c r="L1" s="9"/>
      <c r="M1" s="9"/>
      <c r="N1" s="9"/>
      <c r="O1" s="9"/>
      <c r="P1" s="2"/>
      <c r="Q1" s="2"/>
      <c r="R1" s="2"/>
      <c r="S1" s="2"/>
      <c r="T1" s="2"/>
      <c r="U1" s="2"/>
      <c r="V1" s="2"/>
      <c r="W1" s="2"/>
      <c r="X1" s="2"/>
      <c r="Y1" s="2"/>
      <c r="Z1" s="2"/>
    </row>
    <row r="2" customFormat="false" ht="15" hidden="false" customHeight="true" outlineLevel="0" collapsed="false">
      <c r="A2" s="2"/>
      <c r="B2" s="2"/>
      <c r="C2" s="2"/>
      <c r="D2" s="2"/>
      <c r="E2" s="2"/>
      <c r="F2" s="2"/>
      <c r="G2" s="2"/>
      <c r="H2" s="2"/>
      <c r="I2" s="2"/>
      <c r="J2" s="2"/>
      <c r="K2" s="2"/>
      <c r="L2" s="2"/>
      <c r="M2" s="2"/>
      <c r="N2" s="2"/>
      <c r="O2" s="2"/>
      <c r="P2" s="2"/>
      <c r="Q2" s="2"/>
      <c r="R2" s="2"/>
      <c r="S2" s="2"/>
      <c r="T2" s="2"/>
      <c r="U2" s="2"/>
      <c r="V2" s="2"/>
      <c r="W2" s="2"/>
      <c r="X2" s="2"/>
      <c r="Y2" s="2"/>
      <c r="Z2" s="2"/>
    </row>
    <row r="3" customFormat="false" ht="15" hidden="false" customHeight="true" outlineLevel="0" collapsed="false">
      <c r="A3" s="2"/>
      <c r="B3" s="2"/>
      <c r="C3" s="2"/>
      <c r="D3" s="2"/>
      <c r="E3" s="2"/>
      <c r="F3" s="2"/>
      <c r="G3" s="2"/>
      <c r="H3" s="279"/>
      <c r="I3" s="2"/>
      <c r="J3" s="2"/>
      <c r="K3" s="12" t="s">
        <v>74</v>
      </c>
      <c r="L3" s="12"/>
      <c r="M3" s="12"/>
      <c r="N3" s="2"/>
      <c r="O3" s="2"/>
      <c r="P3" s="2"/>
      <c r="Q3" s="2"/>
      <c r="R3" s="2"/>
      <c r="S3" s="2"/>
      <c r="T3" s="2"/>
      <c r="U3" s="2"/>
      <c r="V3" s="2"/>
      <c r="W3" s="2"/>
      <c r="X3" s="2"/>
      <c r="Y3" s="2"/>
      <c r="Z3" s="2"/>
    </row>
    <row r="4" customFormat="false" ht="15" hidden="false" customHeight="true" outlineLevel="0" collapsed="false">
      <c r="A4" s="2"/>
      <c r="B4" s="2"/>
      <c r="C4" s="2"/>
      <c r="D4" s="2"/>
      <c r="E4" s="2"/>
      <c r="F4" s="2"/>
      <c r="G4" s="2"/>
      <c r="H4" s="349"/>
      <c r="I4" s="2"/>
      <c r="J4" s="2"/>
      <c r="K4" s="573" t="n">
        <v>2026</v>
      </c>
      <c r="L4" s="574" t="n">
        <v>2027</v>
      </c>
      <c r="M4" s="575" t="n">
        <v>2028</v>
      </c>
      <c r="N4" s="2"/>
      <c r="O4" s="2"/>
      <c r="P4" s="2"/>
      <c r="Q4" s="2"/>
      <c r="R4" s="2"/>
      <c r="S4" s="2"/>
      <c r="T4" s="2"/>
      <c r="U4" s="2"/>
      <c r="V4" s="2"/>
      <c r="W4" s="2"/>
      <c r="X4" s="2"/>
      <c r="Y4" s="2"/>
      <c r="Z4" s="2"/>
    </row>
    <row r="5" customFormat="false" ht="15" hidden="false" customHeight="true" outlineLevel="0" collapsed="false">
      <c r="A5" s="2"/>
      <c r="B5" s="2"/>
      <c r="C5" s="2"/>
      <c r="D5" s="2"/>
      <c r="E5" s="2"/>
      <c r="F5" s="2"/>
      <c r="G5" s="2"/>
      <c r="H5" s="428"/>
      <c r="I5" s="2"/>
      <c r="J5" s="2"/>
      <c r="K5" s="83" t="n">
        <f aca="false">Hipótesis!$C$24</f>
        <v>0.008</v>
      </c>
      <c r="L5" s="84" t="n">
        <f aca="false">Hipótesis!$C$25</f>
        <v>0.029</v>
      </c>
      <c r="M5" s="85" t="n">
        <f aca="false">Hipótesis!$C$26</f>
        <v>0.052</v>
      </c>
      <c r="N5" s="2"/>
      <c r="O5" s="2"/>
      <c r="P5" s="2"/>
      <c r="Q5" s="2"/>
      <c r="R5" s="2"/>
      <c r="S5" s="2"/>
      <c r="T5" s="2"/>
      <c r="U5" s="2"/>
      <c r="V5" s="2"/>
      <c r="W5" s="2"/>
      <c r="X5" s="2"/>
      <c r="Y5" s="2"/>
      <c r="Z5" s="2"/>
    </row>
    <row r="6" customFormat="false" ht="15" hidden="false" customHeight="true" outlineLevel="0" collapsed="false">
      <c r="A6" s="2"/>
      <c r="B6" s="2"/>
      <c r="C6" s="2"/>
      <c r="D6" s="2"/>
      <c r="E6" s="2"/>
      <c r="F6" s="2"/>
      <c r="G6" s="2"/>
      <c r="H6" s="2"/>
      <c r="I6" s="2"/>
      <c r="J6" s="2"/>
      <c r="K6" s="86" t="n">
        <f aca="false">Hipótesis!$D$24</f>
        <v>107520</v>
      </c>
      <c r="L6" s="87" t="n">
        <f aca="false">Hipótesis!$D$25</f>
        <v>389760</v>
      </c>
      <c r="M6" s="88" t="n">
        <f aca="false">Hipótesis!$D$26</f>
        <v>698880</v>
      </c>
      <c r="N6" s="2"/>
      <c r="O6" s="2"/>
      <c r="P6" s="2"/>
      <c r="Q6" s="2"/>
      <c r="R6" s="2"/>
      <c r="S6" s="2"/>
      <c r="T6" s="2"/>
      <c r="U6" s="2"/>
      <c r="V6" s="2"/>
      <c r="W6" s="2"/>
      <c r="X6" s="2"/>
      <c r="Y6" s="2"/>
      <c r="Z6" s="2"/>
    </row>
    <row r="7" customFormat="false" ht="7.5" hidden="false" customHeight="true" outlineLevel="0" collapsed="false">
      <c r="A7" s="2"/>
      <c r="B7" s="2"/>
      <c r="C7" s="2"/>
      <c r="D7" s="2"/>
      <c r="E7" s="2"/>
      <c r="F7" s="2"/>
      <c r="G7" s="2"/>
      <c r="H7" s="2"/>
      <c r="I7" s="2"/>
      <c r="J7" s="2"/>
      <c r="K7" s="2"/>
      <c r="L7" s="2"/>
      <c r="M7" s="2"/>
      <c r="N7" s="2"/>
      <c r="O7" s="2"/>
      <c r="P7" s="2"/>
      <c r="Q7" s="2"/>
      <c r="R7" s="2"/>
      <c r="S7" s="2"/>
      <c r="T7" s="2"/>
      <c r="U7" s="2"/>
      <c r="V7" s="2"/>
      <c r="W7" s="2"/>
      <c r="X7" s="2"/>
      <c r="Y7" s="2"/>
      <c r="Z7" s="2"/>
    </row>
    <row r="8" customFormat="false" ht="21.75" hidden="false" customHeight="true" outlineLevel="0" collapsed="false">
      <c r="A8" s="2"/>
      <c r="B8" s="2"/>
      <c r="C8" s="2"/>
      <c r="D8" s="2"/>
      <c r="E8" s="2"/>
      <c r="F8" s="2"/>
      <c r="G8" s="2"/>
      <c r="H8" s="279"/>
      <c r="I8" s="2"/>
      <c r="J8" s="2"/>
      <c r="K8" s="12" t="s">
        <v>387</v>
      </c>
      <c r="L8" s="12"/>
      <c r="M8" s="12"/>
      <c r="N8" s="2"/>
      <c r="O8" s="2"/>
      <c r="P8" s="2"/>
      <c r="Q8" s="2"/>
      <c r="R8" s="2"/>
      <c r="S8" s="2"/>
      <c r="T8" s="2"/>
      <c r="U8" s="2"/>
      <c r="V8" s="2"/>
      <c r="W8" s="2"/>
      <c r="X8" s="2"/>
      <c r="Y8" s="2"/>
      <c r="Z8" s="2"/>
    </row>
    <row r="9" customFormat="false" ht="22.5" hidden="false" customHeight="true" outlineLevel="0" collapsed="false">
      <c r="A9" s="2"/>
      <c r="B9" s="2"/>
      <c r="C9" s="2"/>
      <c r="D9" s="2"/>
      <c r="E9" s="2"/>
      <c r="F9" s="2"/>
      <c r="G9" s="2"/>
      <c r="H9" s="349"/>
      <c r="I9" s="2"/>
      <c r="J9" s="2"/>
      <c r="K9" s="573" t="n">
        <v>2026</v>
      </c>
      <c r="L9" s="574" t="n">
        <v>2027</v>
      </c>
      <c r="M9" s="575" t="n">
        <v>2028</v>
      </c>
      <c r="N9" s="2"/>
      <c r="O9" s="2"/>
      <c r="P9" s="2"/>
      <c r="Q9" s="2"/>
      <c r="R9" s="2"/>
      <c r="S9" s="2"/>
      <c r="T9" s="2"/>
      <c r="U9" s="2"/>
      <c r="V9" s="2"/>
      <c r="W9" s="2"/>
      <c r="X9" s="2"/>
      <c r="Y9" s="2"/>
      <c r="Z9" s="2"/>
    </row>
    <row r="10" customFormat="false" ht="24.75" hidden="false" customHeight="true" outlineLevel="0" collapsed="false">
      <c r="A10" s="2"/>
      <c r="B10" s="12" t="s">
        <v>18</v>
      </c>
      <c r="C10" s="12"/>
      <c r="D10" s="12"/>
      <c r="E10" s="12"/>
      <c r="F10" s="12"/>
      <c r="G10" s="12"/>
      <c r="H10" s="428"/>
      <c r="I10" s="2"/>
      <c r="J10" s="576" t="s">
        <v>348</v>
      </c>
      <c r="K10" s="577" t="n">
        <f aca="false">'Costos fijos'!$G$5</f>
        <v>32640</v>
      </c>
      <c r="L10" s="578" t="n">
        <f aca="false">'Costos fijos'!$H$5</f>
        <v>77700</v>
      </c>
      <c r="M10" s="579" t="n">
        <f aca="false">'Costos fijos'!$I$5</f>
        <v>106860</v>
      </c>
      <c r="N10" s="2"/>
      <c r="O10" s="2"/>
      <c r="P10" s="2"/>
      <c r="Q10" s="2"/>
      <c r="R10" s="2"/>
      <c r="S10" s="2"/>
      <c r="T10" s="2"/>
      <c r="U10" s="2"/>
      <c r="V10" s="2"/>
      <c r="W10" s="2"/>
      <c r="X10" s="2"/>
      <c r="Y10" s="2"/>
      <c r="Z10" s="2"/>
    </row>
    <row r="11" customFormat="false" ht="15" hidden="false" customHeight="true" outlineLevel="0" collapsed="false">
      <c r="A11" s="2"/>
      <c r="B11" s="580" t="s">
        <v>388</v>
      </c>
      <c r="C11" s="580"/>
      <c r="D11" s="581" t="n">
        <v>0</v>
      </c>
      <c r="E11" s="582" t="n">
        <v>2026</v>
      </c>
      <c r="F11" s="582" t="n">
        <v>2027</v>
      </c>
      <c r="G11" s="583" t="n">
        <v>2028</v>
      </c>
      <c r="H11" s="2"/>
      <c r="I11" s="2"/>
      <c r="J11" s="584" t="s">
        <v>349</v>
      </c>
      <c r="K11" s="585" t="n">
        <f aca="false">'Costos variables'!$H$6</f>
        <v>40479.8</v>
      </c>
      <c r="L11" s="390" t="n">
        <f aca="false">'Costos variables'!$I$6</f>
        <v>59474.6</v>
      </c>
      <c r="M11" s="586" t="n">
        <f aca="false">'Costos variables'!$J$6</f>
        <v>85346</v>
      </c>
      <c r="N11" s="2"/>
      <c r="O11" s="2"/>
      <c r="P11" s="2"/>
      <c r="Q11" s="2"/>
      <c r="R11" s="2"/>
      <c r="S11" s="2"/>
      <c r="T11" s="2"/>
      <c r="U11" s="2"/>
      <c r="V11" s="2"/>
      <c r="W11" s="2"/>
      <c r="X11" s="2"/>
      <c r="Y11" s="2"/>
      <c r="Z11" s="2"/>
    </row>
    <row r="12" customFormat="false" ht="15" hidden="false" customHeight="true" outlineLevel="0" collapsed="false">
      <c r="A12" s="2"/>
      <c r="B12" s="587" t="s">
        <v>93</v>
      </c>
      <c r="C12" s="587"/>
      <c r="D12" s="588" t="s">
        <v>389</v>
      </c>
      <c r="E12" s="531" t="n">
        <f aca="false">+'Mod. ingresos'!C30</f>
        <v>105865</v>
      </c>
      <c r="F12" s="531" t="n">
        <f aca="false">+'Mod. ingresos'!D30</f>
        <v>386897</v>
      </c>
      <c r="G12" s="589" t="n">
        <f aca="false">+'Mod. ingresos'!E30</f>
        <v>705506</v>
      </c>
      <c r="H12" s="2"/>
      <c r="I12" s="2"/>
      <c r="J12" s="590" t="s">
        <v>350</v>
      </c>
      <c r="K12" s="86" t="n">
        <f aca="false">'Costos RRHH'!$H$6</f>
        <v>67319.2</v>
      </c>
      <c r="L12" s="87" t="n">
        <f aca="false">'Costos RRHH'!$I$6</f>
        <v>67319.2</v>
      </c>
      <c r="M12" s="88" t="n">
        <f aca="false">'Costos RRHH'!$J$6</f>
        <v>67319.2</v>
      </c>
      <c r="N12" s="2"/>
      <c r="O12" s="2"/>
      <c r="P12" s="2"/>
      <c r="Q12" s="2"/>
      <c r="R12" s="2"/>
      <c r="S12" s="2"/>
      <c r="T12" s="2"/>
      <c r="U12" s="2"/>
      <c r="V12" s="2"/>
      <c r="W12" s="2"/>
      <c r="X12" s="2"/>
      <c r="Y12" s="2"/>
      <c r="Z12" s="2"/>
    </row>
    <row r="13" customFormat="false" ht="15" hidden="false" customHeight="true" outlineLevel="0" collapsed="false">
      <c r="A13" s="2"/>
      <c r="B13" s="591" t="s">
        <v>390</v>
      </c>
      <c r="C13" s="592" t="s">
        <v>348</v>
      </c>
      <c r="D13" s="593" t="s">
        <v>389</v>
      </c>
      <c r="E13" s="497" t="n">
        <f aca="false">+'Mod. egresos'!B10</f>
        <v>32640</v>
      </c>
      <c r="F13" s="497" t="n">
        <f aca="false">+'Mod. egresos'!C10</f>
        <v>77700</v>
      </c>
      <c r="G13" s="517" t="n">
        <f aca="false">+'Mod. egresos'!D10</f>
        <v>106860</v>
      </c>
      <c r="H13" s="2"/>
      <c r="I13" s="2"/>
      <c r="J13" s="2"/>
      <c r="K13" s="2"/>
      <c r="L13" s="2"/>
      <c r="M13" s="2"/>
      <c r="N13" s="2"/>
      <c r="O13" s="2"/>
      <c r="P13" s="2"/>
      <c r="Q13" s="2"/>
      <c r="R13" s="2"/>
      <c r="S13" s="2"/>
      <c r="T13" s="2"/>
      <c r="U13" s="2"/>
      <c r="V13" s="2"/>
      <c r="W13" s="2"/>
      <c r="X13" s="2"/>
      <c r="Y13" s="2"/>
      <c r="Z13" s="2"/>
    </row>
    <row r="14" customFormat="false" ht="29.25" hidden="false" customHeight="true" outlineLevel="0" collapsed="false">
      <c r="A14" s="2"/>
      <c r="B14" s="591"/>
      <c r="C14" s="592" t="s">
        <v>349</v>
      </c>
      <c r="D14" s="593" t="s">
        <v>389</v>
      </c>
      <c r="E14" s="497" t="n">
        <f aca="false">+'Mod. egresos'!B11</f>
        <v>40479.8</v>
      </c>
      <c r="F14" s="497" t="n">
        <f aca="false">+'Mod. egresos'!C11</f>
        <v>59474.6</v>
      </c>
      <c r="G14" s="517" t="n">
        <f aca="false">+'Mod. egresos'!D11</f>
        <v>85346</v>
      </c>
      <c r="H14" s="2"/>
      <c r="I14" s="2"/>
      <c r="J14" s="2"/>
      <c r="K14" s="12" t="s">
        <v>17</v>
      </c>
      <c r="L14" s="12"/>
      <c r="M14" s="12"/>
      <c r="N14" s="2"/>
      <c r="O14" s="2"/>
      <c r="P14" s="2"/>
      <c r="Q14" s="2"/>
      <c r="R14" s="2"/>
      <c r="S14" s="2"/>
      <c r="T14" s="2"/>
      <c r="U14" s="2"/>
      <c r="V14" s="2"/>
      <c r="W14" s="2"/>
      <c r="X14" s="2"/>
      <c r="Y14" s="2"/>
      <c r="Z14" s="2"/>
    </row>
    <row r="15" customFormat="false" ht="15" hidden="false" customHeight="true" outlineLevel="0" collapsed="false">
      <c r="A15" s="2"/>
      <c r="B15" s="591"/>
      <c r="C15" s="594" t="s">
        <v>350</v>
      </c>
      <c r="D15" s="595" t="s">
        <v>389</v>
      </c>
      <c r="E15" s="497" t="n">
        <f aca="false">+'Mod. egresos'!B12</f>
        <v>67319.2</v>
      </c>
      <c r="F15" s="497" t="n">
        <f aca="false">+'Mod. egresos'!C12</f>
        <v>67319.2</v>
      </c>
      <c r="G15" s="517" t="n">
        <f aca="false">+'Mod. egresos'!D12</f>
        <v>67319.2</v>
      </c>
      <c r="H15" s="2"/>
      <c r="I15" s="2"/>
      <c r="J15" s="2"/>
      <c r="K15" s="573" t="n">
        <v>2026</v>
      </c>
      <c r="L15" s="574" t="n">
        <v>2027</v>
      </c>
      <c r="M15" s="575" t="n">
        <v>2028</v>
      </c>
      <c r="N15" s="2"/>
      <c r="O15" s="2"/>
      <c r="P15" s="2"/>
      <c r="Q15" s="2"/>
      <c r="R15" s="2"/>
      <c r="S15" s="2"/>
      <c r="T15" s="2"/>
      <c r="U15" s="2"/>
      <c r="V15" s="2"/>
      <c r="W15" s="2"/>
      <c r="X15" s="2"/>
      <c r="Y15" s="2"/>
      <c r="Z15" s="2"/>
    </row>
    <row r="16" customFormat="false" ht="15" hidden="false" customHeight="true" outlineLevel="0" collapsed="false">
      <c r="A16" s="2"/>
      <c r="B16" s="596" t="s">
        <v>391</v>
      </c>
      <c r="C16" s="596"/>
      <c r="D16" s="597" t="s">
        <v>389</v>
      </c>
      <c r="E16" s="598" t="n">
        <f aca="false">E12-E13-E14-E15</f>
        <v>-34574</v>
      </c>
      <c r="F16" s="598" t="n">
        <f aca="false">F12-F13-F14-F15</f>
        <v>182403.2</v>
      </c>
      <c r="G16" s="599" t="n">
        <f aca="false">G12-G13-G14-G15</f>
        <v>445980.8</v>
      </c>
      <c r="H16" s="2"/>
      <c r="I16" s="2"/>
      <c r="J16" s="2"/>
      <c r="K16" s="491" t="n">
        <f aca="false">Amortizaciones!$I$5</f>
        <v>2148.66666666667</v>
      </c>
      <c r="L16" s="492" t="n">
        <f aca="false">Amortizaciones!$J$5</f>
        <v>3735.33333333333</v>
      </c>
      <c r="M16" s="493" t="n">
        <f aca="false">Amortizaciones!$K$5</f>
        <v>5292.2</v>
      </c>
      <c r="N16" s="2"/>
      <c r="O16" s="2"/>
      <c r="P16" s="2"/>
      <c r="Q16" s="2"/>
      <c r="R16" s="2"/>
      <c r="S16" s="2"/>
      <c r="T16" s="2"/>
      <c r="U16" s="2"/>
      <c r="V16" s="2"/>
      <c r="W16" s="2"/>
      <c r="X16" s="2"/>
      <c r="Y16" s="2"/>
      <c r="Z16" s="2"/>
    </row>
    <row r="17" customFormat="false" ht="21" hidden="false" customHeight="true" outlineLevel="0" collapsed="false">
      <c r="A17" s="2"/>
      <c r="B17" s="600" t="s">
        <v>392</v>
      </c>
      <c r="C17" s="600"/>
      <c r="D17" s="601" t="s">
        <v>389</v>
      </c>
      <c r="E17" s="602" t="n">
        <f aca="false">E12*0.03</f>
        <v>3175.95</v>
      </c>
      <c r="F17" s="602" t="n">
        <f aca="false">F12*0.03</f>
        <v>11606.91</v>
      </c>
      <c r="G17" s="603" t="n">
        <f aca="false">G12*0.03</f>
        <v>21165.18</v>
      </c>
      <c r="H17" s="2"/>
      <c r="I17" s="2"/>
      <c r="J17" s="2"/>
      <c r="K17" s="2"/>
      <c r="L17" s="2"/>
      <c r="M17" s="2"/>
      <c r="N17" s="2"/>
      <c r="O17" s="2"/>
      <c r="P17" s="2"/>
      <c r="Q17" s="2"/>
      <c r="R17" s="2"/>
      <c r="S17" s="2"/>
      <c r="T17" s="2"/>
      <c r="U17" s="2"/>
      <c r="V17" s="2"/>
      <c r="W17" s="2"/>
      <c r="X17" s="2"/>
      <c r="Y17" s="2"/>
      <c r="Z17" s="2"/>
    </row>
    <row r="18" customFormat="false" ht="24.75" hidden="false" customHeight="true" outlineLevel="0" collapsed="false">
      <c r="A18" s="2"/>
      <c r="B18" s="2"/>
      <c r="C18" s="2"/>
      <c r="D18" s="2"/>
      <c r="E18" s="2"/>
      <c r="F18" s="2"/>
      <c r="G18" s="2"/>
      <c r="H18" s="2"/>
      <c r="I18" s="2"/>
      <c r="J18" s="12" t="s">
        <v>356</v>
      </c>
      <c r="K18" s="12"/>
      <c r="L18" s="12"/>
      <c r="M18" s="12"/>
      <c r="N18" s="2"/>
      <c r="O18" s="2"/>
      <c r="P18" s="2"/>
      <c r="Q18" s="2"/>
      <c r="R18" s="2"/>
      <c r="S18" s="2"/>
      <c r="T18" s="2"/>
      <c r="U18" s="2"/>
      <c r="V18" s="2"/>
      <c r="W18" s="2"/>
      <c r="X18" s="2"/>
      <c r="Y18" s="2"/>
      <c r="Z18" s="2"/>
    </row>
    <row r="19" customFormat="false" ht="15" hidden="false" customHeight="true" outlineLevel="0" collapsed="false">
      <c r="A19" s="2"/>
      <c r="B19" s="604" t="s">
        <v>393</v>
      </c>
      <c r="C19" s="604"/>
      <c r="D19" s="605" t="s">
        <v>389</v>
      </c>
      <c r="E19" s="606" t="n">
        <v>0</v>
      </c>
      <c r="F19" s="606" t="n">
        <f aca="false">MAX(0,$L$23)*0.35</f>
        <v>0</v>
      </c>
      <c r="G19" s="607" t="n">
        <f aca="false">MAX(0,$M$23)*0.35</f>
        <v>58471.3348333333</v>
      </c>
      <c r="H19" s="2"/>
      <c r="I19" s="2"/>
      <c r="J19" s="490" t="s">
        <v>357</v>
      </c>
      <c r="K19" s="80" t="n">
        <v>2026</v>
      </c>
      <c r="L19" s="80" t="n">
        <v>2027</v>
      </c>
      <c r="M19" s="81" t="n">
        <v>2028</v>
      </c>
      <c r="N19" s="2"/>
      <c r="O19" s="2"/>
      <c r="P19" s="2"/>
      <c r="Q19" s="2"/>
      <c r="R19" s="2"/>
      <c r="S19" s="2"/>
      <c r="T19" s="2"/>
      <c r="U19" s="2"/>
      <c r="V19" s="2"/>
      <c r="W19" s="2"/>
      <c r="X19" s="2"/>
      <c r="Y19" s="2"/>
      <c r="Z19" s="2"/>
    </row>
    <row r="20" customFormat="false" ht="15" hidden="false" customHeight="true" outlineLevel="0" collapsed="false">
      <c r="A20" s="2"/>
      <c r="B20" s="596" t="s">
        <v>394</v>
      </c>
      <c r="C20" s="596"/>
      <c r="D20" s="597" t="s">
        <v>389</v>
      </c>
      <c r="E20" s="598" t="n">
        <f aca="false">E16-E17-E19</f>
        <v>-37749.95</v>
      </c>
      <c r="F20" s="598" t="n">
        <f aca="false">F16-F17-F19</f>
        <v>170796.29</v>
      </c>
      <c r="G20" s="599" t="n">
        <f aca="false">G16-G17-G19</f>
        <v>366344.285166667</v>
      </c>
      <c r="H20" s="2"/>
      <c r="I20" s="2"/>
      <c r="J20" s="491" t="n">
        <f aca="false">'Mod. inversión'!$G$5</f>
        <v>67705</v>
      </c>
      <c r="K20" s="492" t="n">
        <f aca="false">'Mod. inversión'!$H$5</f>
        <v>10098</v>
      </c>
      <c r="L20" s="492" t="n">
        <f aca="false">'Mod. inversión'!$I$5</f>
        <v>11900</v>
      </c>
      <c r="M20" s="493" t="n">
        <f aca="false">'Mod. inversión'!$J$5</f>
        <v>18132</v>
      </c>
      <c r="N20" s="2"/>
      <c r="O20" s="2"/>
      <c r="P20" s="2"/>
      <c r="Q20" s="2"/>
      <c r="R20" s="2"/>
      <c r="S20" s="2"/>
      <c r="T20" s="2"/>
      <c r="U20" s="2"/>
      <c r="V20" s="2"/>
      <c r="W20" s="2"/>
      <c r="X20" s="2"/>
      <c r="Y20" s="2"/>
      <c r="Z20" s="2"/>
    </row>
    <row r="21" customFormat="false" ht="15" hidden="false" customHeight="true" outlineLevel="0" collapsed="false">
      <c r="A21" s="2"/>
      <c r="B21" s="608" t="s">
        <v>395</v>
      </c>
      <c r="C21" s="608"/>
      <c r="D21" s="609" t="n">
        <f aca="false">-J20</f>
        <v>-67705</v>
      </c>
      <c r="E21" s="610" t="n">
        <f aca="false">-K20</f>
        <v>-10098</v>
      </c>
      <c r="F21" s="610" t="n">
        <f aca="false">-L20</f>
        <v>-11900</v>
      </c>
      <c r="G21" s="611" t="n">
        <f aca="false">-M20</f>
        <v>-18132</v>
      </c>
      <c r="H21" s="2"/>
      <c r="I21" s="2"/>
      <c r="J21" s="2"/>
      <c r="K21" s="2"/>
      <c r="L21" s="2"/>
      <c r="M21" s="2"/>
      <c r="N21" s="2"/>
      <c r="O21" s="2"/>
      <c r="P21" s="2"/>
      <c r="Q21" s="2"/>
      <c r="R21" s="2"/>
      <c r="S21" s="2"/>
      <c r="T21" s="2"/>
      <c r="U21" s="2"/>
      <c r="V21" s="2"/>
      <c r="W21" s="2"/>
      <c r="X21" s="2"/>
      <c r="Y21" s="2"/>
      <c r="Z21" s="2"/>
    </row>
    <row r="22" customFormat="false" ht="15" hidden="false" customHeight="true" outlineLevel="0" collapsed="false">
      <c r="A22" s="2"/>
      <c r="B22" s="612" t="s">
        <v>396</v>
      </c>
      <c r="C22" s="612"/>
      <c r="D22" s="613" t="n">
        <f aca="false">D21</f>
        <v>-67705</v>
      </c>
      <c r="E22" s="614" t="n">
        <f aca="false">E20+E21</f>
        <v>-47847.95</v>
      </c>
      <c r="F22" s="614" t="n">
        <f aca="false">F20+F21</f>
        <v>158896.29</v>
      </c>
      <c r="G22" s="615" t="n">
        <f aca="false">G20+G21</f>
        <v>348212.285166667</v>
      </c>
      <c r="H22" s="2"/>
      <c r="I22" s="2"/>
      <c r="J22" s="2"/>
      <c r="K22" s="80" t="n">
        <v>2025</v>
      </c>
      <c r="L22" s="80" t="n">
        <v>2026</v>
      </c>
      <c r="M22" s="80" t="n">
        <v>2027</v>
      </c>
      <c r="N22" s="80" t="n">
        <v>2028</v>
      </c>
      <c r="O22" s="2"/>
      <c r="P22" s="2"/>
      <c r="Q22" s="2"/>
      <c r="R22" s="2"/>
      <c r="S22" s="2"/>
      <c r="T22" s="2"/>
      <c r="U22" s="2"/>
      <c r="V22" s="2"/>
      <c r="W22" s="2"/>
      <c r="X22" s="2"/>
      <c r="Y22" s="2"/>
      <c r="Z22" s="2"/>
    </row>
    <row r="23" customFormat="false" ht="15" hidden="false" customHeight="true" outlineLevel="0" collapsed="false">
      <c r="A23" s="2"/>
      <c r="B23" s="2"/>
      <c r="C23" s="2"/>
      <c r="D23" s="2"/>
      <c r="E23" s="2"/>
      <c r="F23" s="2"/>
      <c r="G23" s="2"/>
      <c r="H23" s="2"/>
      <c r="I23" s="616" t="s">
        <v>397</v>
      </c>
      <c r="J23" s="616"/>
      <c r="K23" s="617"/>
      <c r="L23" s="618" t="n">
        <f aca="false">E16-E17-K16</f>
        <v>-39898.6166666667</v>
      </c>
      <c r="M23" s="618" t="n">
        <f aca="false">F16-F17-L16</f>
        <v>167060.956666667</v>
      </c>
      <c r="N23" s="619" t="n">
        <f aca="false">G16-G17-M16</f>
        <v>419523.42</v>
      </c>
      <c r="O23" s="2"/>
      <c r="P23" s="2"/>
      <c r="Q23" s="2"/>
      <c r="R23" s="2"/>
      <c r="S23" s="2"/>
      <c r="T23" s="2"/>
      <c r="U23" s="2"/>
      <c r="V23" s="2"/>
      <c r="W23" s="2"/>
      <c r="X23" s="2"/>
      <c r="Y23" s="2"/>
      <c r="Z23" s="2"/>
    </row>
    <row r="24" customFormat="false" ht="15" hidden="false" customHeight="true" outlineLevel="0" collapsed="false">
      <c r="A24" s="2"/>
      <c r="B24" s="620" t="s">
        <v>398</v>
      </c>
      <c r="C24" s="620"/>
      <c r="D24" s="530" t="s">
        <v>389</v>
      </c>
      <c r="E24" s="531" t="n">
        <f aca="false">'Costos variables'!H10 + 'Costos fijos'!G9</f>
        <v>13665</v>
      </c>
      <c r="F24" s="531" t="n">
        <f aca="false">'Costos variables'!I10 + 'Costos fijos'!H9</f>
        <v>46636</v>
      </c>
      <c r="G24" s="531" t="n">
        <f aca="false">'Costos variables'!J10 + 'Costos fijos'!I9</f>
        <v>70444</v>
      </c>
      <c r="H24" s="2"/>
      <c r="I24" s="2"/>
      <c r="J24" s="2"/>
      <c r="K24" s="2"/>
      <c r="L24" s="2"/>
      <c r="M24" s="2"/>
      <c r="N24" s="2"/>
      <c r="O24" s="2"/>
      <c r="P24" s="2"/>
      <c r="Q24" s="2"/>
      <c r="R24" s="2"/>
      <c r="S24" s="2"/>
      <c r="T24" s="2"/>
      <c r="U24" s="2"/>
      <c r="V24" s="2"/>
      <c r="W24" s="2"/>
      <c r="X24" s="2"/>
      <c r="Y24" s="2"/>
      <c r="Z24" s="2"/>
    </row>
    <row r="25" customFormat="false" ht="15" hidden="false" customHeight="true" outlineLevel="0" collapsed="false">
      <c r="A25" s="2"/>
      <c r="B25" s="621" t="s">
        <v>399</v>
      </c>
      <c r="C25" s="620"/>
      <c r="D25" s="332"/>
      <c r="E25" s="622" t="n">
        <f aca="false">E24/E$12</f>
        <v>0.129079488027204</v>
      </c>
      <c r="F25" s="622" t="n">
        <f aca="false">F24/F12</f>
        <v>0.120538541265505</v>
      </c>
      <c r="G25" s="622" t="n">
        <f aca="false">G24/G12</f>
        <v>0.0998489027733286</v>
      </c>
      <c r="H25" s="2"/>
      <c r="I25" s="2"/>
      <c r="J25" s="2"/>
      <c r="K25" s="2"/>
      <c r="L25" s="2"/>
      <c r="M25" s="2"/>
      <c r="N25" s="2"/>
      <c r="O25" s="2"/>
      <c r="P25" s="2"/>
      <c r="Q25" s="2"/>
      <c r="R25" s="2"/>
      <c r="S25" s="2"/>
      <c r="T25" s="2"/>
      <c r="U25" s="2"/>
      <c r="V25" s="2"/>
      <c r="W25" s="2"/>
      <c r="X25" s="2"/>
      <c r="Y25" s="2"/>
      <c r="Z25" s="2"/>
    </row>
    <row r="26" customFormat="false" ht="15" hidden="false" customHeight="tru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5" hidden="false" customHeight="true" outlineLevel="0" collapsed="false">
      <c r="A27" s="2"/>
      <c r="B27" s="623" t="s">
        <v>400</v>
      </c>
      <c r="C27" s="623"/>
      <c r="D27" s="354"/>
      <c r="E27" s="624" t="n">
        <f aca="false">E13/E$12</f>
        <v>0.308317196429415</v>
      </c>
      <c r="F27" s="624" t="n">
        <f aca="false">F13/F$12</f>
        <v>0.200828644316188</v>
      </c>
      <c r="G27" s="625" t="n">
        <f aca="false">G13/G$12</f>
        <v>0.151465756492503</v>
      </c>
      <c r="H27" s="2"/>
      <c r="I27" s="2"/>
      <c r="J27" s="2"/>
      <c r="K27" s="2"/>
      <c r="L27" s="2"/>
      <c r="M27" s="2"/>
      <c r="N27" s="2"/>
      <c r="O27" s="2"/>
      <c r="P27" s="2"/>
      <c r="Q27" s="2"/>
      <c r="R27" s="2"/>
      <c r="S27" s="2"/>
      <c r="T27" s="2"/>
      <c r="U27" s="2"/>
      <c r="V27" s="2"/>
      <c r="W27" s="2"/>
      <c r="X27" s="2"/>
      <c r="Y27" s="2"/>
      <c r="Z27" s="2"/>
    </row>
    <row r="28" customFormat="false" ht="15" hidden="false" customHeight="true" outlineLevel="0" collapsed="false">
      <c r="A28" s="2"/>
      <c r="B28" s="480" t="s">
        <v>401</v>
      </c>
      <c r="C28" s="480"/>
      <c r="D28" s="282"/>
      <c r="E28" s="626" t="n">
        <f aca="false">E14/E$12</f>
        <v>0.382371888726208</v>
      </c>
      <c r="F28" s="626" t="n">
        <f aca="false">F14/F$12</f>
        <v>0.153722050054666</v>
      </c>
      <c r="G28" s="627" t="n">
        <f aca="false">G14/G$12</f>
        <v>0.120971331214759</v>
      </c>
      <c r="H28" s="2"/>
      <c r="I28" s="2"/>
      <c r="J28" s="2"/>
      <c r="K28" s="2"/>
      <c r="L28" s="2"/>
      <c r="M28" s="2"/>
      <c r="N28" s="2"/>
      <c r="O28" s="2"/>
      <c r="P28" s="2"/>
      <c r="Q28" s="2"/>
      <c r="R28" s="2"/>
      <c r="S28" s="2"/>
      <c r="T28" s="2"/>
      <c r="U28" s="2"/>
      <c r="V28" s="2"/>
      <c r="W28" s="2"/>
      <c r="X28" s="2"/>
      <c r="Y28" s="2"/>
      <c r="Z28" s="2"/>
    </row>
    <row r="29" customFormat="false" ht="14.25" hidden="false" customHeight="true" outlineLevel="0" collapsed="false">
      <c r="A29" s="2"/>
      <c r="B29" s="621" t="s">
        <v>402</v>
      </c>
      <c r="C29" s="621"/>
      <c r="D29" s="332"/>
      <c r="E29" s="622" t="n">
        <f aca="false">E15/E$12</f>
        <v>0.635896660841638</v>
      </c>
      <c r="F29" s="622" t="n">
        <f aca="false">F15/F$12</f>
        <v>0.173997730662166</v>
      </c>
      <c r="G29" s="628" t="n">
        <f aca="false">G15/G$12</f>
        <v>0.0954197412920656</v>
      </c>
      <c r="H29" s="2"/>
      <c r="I29" s="2"/>
      <c r="J29" s="2"/>
      <c r="K29" s="2"/>
      <c r="L29" s="2"/>
      <c r="M29" s="2"/>
      <c r="N29" s="2"/>
      <c r="O29" s="2"/>
      <c r="P29" s="2"/>
      <c r="Q29" s="2"/>
      <c r="R29" s="2"/>
      <c r="S29" s="2"/>
      <c r="T29" s="2"/>
      <c r="U29" s="2"/>
      <c r="V29" s="2"/>
      <c r="W29" s="2"/>
      <c r="X29" s="2"/>
      <c r="Y29" s="2"/>
      <c r="Z29" s="2"/>
    </row>
    <row r="30" customFormat="false" ht="14.2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4.25" hidden="false" customHeight="true" outlineLevel="0" collapsed="false">
      <c r="A31" s="2"/>
      <c r="C31" s="2"/>
      <c r="D31" s="2"/>
      <c r="E31" s="2"/>
      <c r="F31" s="2"/>
      <c r="G31" s="2"/>
      <c r="H31" s="2"/>
      <c r="I31" s="2"/>
      <c r="J31" s="2"/>
      <c r="K31" s="2"/>
      <c r="L31" s="2"/>
      <c r="M31" s="2"/>
      <c r="N31" s="2"/>
      <c r="O31" s="2"/>
      <c r="P31" s="2"/>
      <c r="Q31" s="2"/>
      <c r="R31" s="2"/>
      <c r="S31" s="2"/>
      <c r="T31" s="2"/>
      <c r="U31" s="2"/>
      <c r="V31" s="2"/>
      <c r="W31" s="2"/>
      <c r="X31" s="2"/>
      <c r="Y31" s="2"/>
      <c r="Z31" s="2"/>
    </row>
    <row r="32" customFormat="false" ht="14.2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4.25" hidden="false" customHeight="true" outlineLevel="0" collapsed="false">
      <c r="A33" s="2"/>
      <c r="B33" s="2"/>
      <c r="C33" s="2"/>
      <c r="D33" s="2"/>
      <c r="E33" s="2"/>
      <c r="F33" s="629" t="s">
        <v>403</v>
      </c>
      <c r="G33" s="630" t="n">
        <v>0.3</v>
      </c>
      <c r="H33" s="2"/>
      <c r="I33" s="2"/>
      <c r="J33" s="2"/>
      <c r="K33" s="2"/>
      <c r="L33" s="631"/>
      <c r="M33" s="2"/>
      <c r="N33" s="2"/>
      <c r="O33" s="2"/>
      <c r="P33" s="2"/>
      <c r="Q33" s="2"/>
      <c r="R33" s="2"/>
      <c r="S33" s="2"/>
      <c r="T33" s="2"/>
      <c r="U33" s="2"/>
      <c r="V33" s="2"/>
      <c r="W33" s="2"/>
      <c r="X33" s="2"/>
      <c r="Y33" s="2"/>
      <c r="Z33" s="2"/>
    </row>
    <row r="34" customFormat="false" ht="14.25" hidden="false" customHeight="true" outlineLevel="0" collapsed="false">
      <c r="A34" s="2"/>
      <c r="B34" s="2"/>
      <c r="C34" s="2"/>
      <c r="D34" s="2"/>
      <c r="E34" s="2"/>
      <c r="F34" s="632" t="s">
        <v>404</v>
      </c>
      <c r="G34" s="633" t="n">
        <f aca="false">NPV($G$33,E22:G22)+D22</f>
        <v>148004.79820968</v>
      </c>
      <c r="H34" s="634"/>
      <c r="I34" s="2" t="s">
        <v>405</v>
      </c>
      <c r="J34" s="2"/>
      <c r="K34" s="2"/>
      <c r="L34" s="2"/>
      <c r="M34" s="2"/>
      <c r="N34" s="2"/>
      <c r="O34" s="2"/>
      <c r="P34" s="2"/>
      <c r="Q34" s="2"/>
      <c r="R34" s="2"/>
      <c r="S34" s="2"/>
      <c r="T34" s="2"/>
      <c r="U34" s="2"/>
      <c r="V34" s="2"/>
      <c r="W34" s="2"/>
      <c r="X34" s="2"/>
      <c r="Y34" s="2"/>
      <c r="Z34" s="2"/>
    </row>
    <row r="35" customFormat="false" ht="14.25" hidden="false" customHeight="true" outlineLevel="0" collapsed="false">
      <c r="A35" s="2"/>
      <c r="B35" s="2"/>
      <c r="C35" s="2"/>
      <c r="D35" s="2"/>
      <c r="E35" s="2"/>
      <c r="F35" s="635" t="s">
        <v>406</v>
      </c>
      <c r="G35" s="636" t="n">
        <f aca="false">IRR(D22:G22,$G$33)</f>
        <v>0.917019380808568</v>
      </c>
      <c r="H35" s="631"/>
      <c r="J35" s="2"/>
      <c r="K35" s="2"/>
      <c r="L35" s="2"/>
      <c r="M35" s="2"/>
      <c r="N35" s="2"/>
      <c r="O35" s="2"/>
      <c r="P35" s="2"/>
      <c r="Q35" s="2"/>
      <c r="R35" s="2"/>
      <c r="S35" s="2"/>
      <c r="T35" s="2"/>
      <c r="U35" s="2"/>
      <c r="V35" s="2"/>
      <c r="W35" s="2"/>
      <c r="X35" s="2"/>
      <c r="Y35" s="2"/>
      <c r="Z35" s="2"/>
    </row>
    <row r="36" customFormat="false" ht="14.25" hidden="false" customHeight="true" outlineLevel="0" collapsed="false">
      <c r="A36" s="2"/>
      <c r="B36" s="2"/>
      <c r="C36" s="2"/>
      <c r="D36" s="2"/>
      <c r="E36" s="2"/>
      <c r="F36" s="2"/>
      <c r="G36" s="2"/>
      <c r="H36" s="2"/>
      <c r="I36" s="2"/>
      <c r="J36" s="631"/>
      <c r="K36" s="2"/>
      <c r="L36" s="2"/>
      <c r="M36" s="2"/>
      <c r="N36" s="2"/>
      <c r="O36" s="2"/>
      <c r="P36" s="2"/>
      <c r="Q36" s="2"/>
      <c r="R36" s="2"/>
      <c r="S36" s="2"/>
      <c r="T36" s="2"/>
      <c r="U36" s="2"/>
      <c r="V36" s="2"/>
      <c r="W36" s="2"/>
      <c r="X36" s="2"/>
      <c r="Y36" s="2"/>
      <c r="Z36" s="2"/>
    </row>
    <row r="37" customFormat="false" ht="14.25" hidden="false" customHeight="true" outlineLevel="0" collapsed="false">
      <c r="A37" s="2"/>
      <c r="B37" s="2"/>
      <c r="C37" s="2"/>
      <c r="D37" s="2"/>
      <c r="E37" s="2"/>
      <c r="F37" s="2"/>
      <c r="G37" s="2"/>
      <c r="H37" s="2"/>
      <c r="I37" s="2"/>
      <c r="J37" s="631"/>
      <c r="K37" s="2"/>
      <c r="L37" s="2"/>
      <c r="M37" s="2"/>
      <c r="N37" s="2"/>
      <c r="O37" s="2"/>
      <c r="P37" s="2"/>
      <c r="Q37" s="2"/>
      <c r="R37" s="2"/>
      <c r="S37" s="2"/>
      <c r="T37" s="2"/>
      <c r="U37" s="2"/>
      <c r="V37" s="2"/>
      <c r="W37" s="2"/>
      <c r="X37" s="2"/>
      <c r="Y37" s="2"/>
      <c r="Z37" s="2"/>
    </row>
    <row r="38" customFormat="false" ht="14.25" hidden="false" customHeight="true" outlineLevel="0" collapsed="false">
      <c r="A38" s="2"/>
      <c r="B38" s="2"/>
      <c r="C38" s="2"/>
      <c r="D38" s="2"/>
      <c r="E38" s="2"/>
      <c r="F38" s="2"/>
      <c r="G38" s="2"/>
      <c r="H38" s="2"/>
      <c r="I38" s="637"/>
      <c r="J38" s="2"/>
      <c r="K38" s="2"/>
      <c r="L38" s="2"/>
      <c r="M38" s="2"/>
      <c r="N38" s="2"/>
      <c r="O38" s="2"/>
      <c r="P38" s="2"/>
      <c r="Q38" s="2"/>
      <c r="R38" s="2"/>
      <c r="S38" s="2"/>
      <c r="T38" s="2"/>
      <c r="U38" s="2"/>
      <c r="V38" s="2"/>
      <c r="W38" s="2"/>
      <c r="X38" s="2"/>
      <c r="Y38" s="2"/>
      <c r="Z38" s="2"/>
    </row>
    <row r="39" customFormat="false" ht="14.25" hidden="false" customHeight="true" outlineLevel="0" collapsed="false">
      <c r="A39" s="2"/>
      <c r="B39" s="2"/>
      <c r="C39" s="2"/>
      <c r="D39" s="2"/>
      <c r="E39" s="2"/>
      <c r="F39" s="2"/>
      <c r="G39" s="634"/>
      <c r="H39" s="2"/>
      <c r="I39" s="637"/>
      <c r="J39" s="2"/>
      <c r="K39" s="2"/>
      <c r="L39" s="2"/>
      <c r="M39" s="2"/>
      <c r="N39" s="2"/>
      <c r="O39" s="2"/>
      <c r="P39" s="2"/>
      <c r="Q39" s="2"/>
      <c r="R39" s="2"/>
      <c r="S39" s="2"/>
      <c r="T39" s="2"/>
      <c r="U39" s="2"/>
      <c r="V39" s="2"/>
      <c r="W39" s="2"/>
      <c r="X39" s="2"/>
      <c r="Y39" s="2"/>
      <c r="Z39" s="2"/>
    </row>
    <row r="40" customFormat="false" ht="14.25" hidden="false" customHeight="true" outlineLevel="0" collapsed="false">
      <c r="A40" s="2"/>
      <c r="B40" s="2"/>
      <c r="C40" s="2"/>
      <c r="D40" s="2"/>
      <c r="E40" s="2"/>
      <c r="F40" s="2"/>
      <c r="G40" s="631"/>
      <c r="H40" s="2"/>
      <c r="I40" s="2"/>
      <c r="J40" s="2"/>
      <c r="K40" s="2"/>
      <c r="L40" s="2"/>
      <c r="M40" s="2"/>
      <c r="N40" s="2"/>
      <c r="O40" s="2"/>
      <c r="P40" s="2"/>
      <c r="Q40" s="2"/>
      <c r="R40" s="2"/>
      <c r="S40" s="2"/>
      <c r="T40" s="2"/>
      <c r="U40" s="2"/>
      <c r="V40" s="2"/>
      <c r="W40" s="2"/>
      <c r="X40" s="2"/>
      <c r="Y40" s="2"/>
      <c r="Z40" s="2"/>
    </row>
    <row r="41" customFormat="false" ht="14.2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4.2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4.25" hidden="false" customHeight="true" outlineLevel="0" collapsed="false">
      <c r="A43" s="2"/>
      <c r="B43" s="2"/>
      <c r="C43" s="2"/>
      <c r="D43" s="184"/>
      <c r="E43" s="184"/>
      <c r="F43" s="184"/>
      <c r="G43" s="184"/>
      <c r="H43" s="2"/>
      <c r="I43" s="151"/>
      <c r="J43" s="2"/>
      <c r="K43" s="2"/>
      <c r="L43" s="2"/>
      <c r="M43" s="2"/>
      <c r="N43" s="2"/>
      <c r="O43" s="2"/>
      <c r="P43" s="2"/>
      <c r="Q43" s="2"/>
      <c r="R43" s="2"/>
      <c r="S43" s="2"/>
      <c r="T43" s="2"/>
      <c r="U43" s="2"/>
      <c r="V43" s="2"/>
      <c r="W43" s="2"/>
      <c r="X43" s="2"/>
      <c r="Y43" s="2"/>
      <c r="Z43" s="2"/>
    </row>
    <row r="44" customFormat="false" ht="14.25" hidden="false" customHeight="true" outlineLevel="0" collapsed="false">
      <c r="A44" s="2"/>
      <c r="B44" s="2"/>
      <c r="D44" s="2"/>
      <c r="E44" s="2"/>
      <c r="F44" s="2"/>
      <c r="G44" s="2"/>
      <c r="H44" s="2"/>
      <c r="I44" s="151"/>
      <c r="J44" s="2"/>
      <c r="K44" s="2"/>
      <c r="L44" s="2"/>
      <c r="M44" s="2"/>
      <c r="N44" s="2"/>
      <c r="O44" s="2"/>
      <c r="P44" s="2"/>
      <c r="Q44" s="2"/>
      <c r="R44" s="2"/>
      <c r="S44" s="2"/>
      <c r="T44" s="2"/>
      <c r="U44" s="2"/>
      <c r="V44" s="2"/>
      <c r="W44" s="2"/>
      <c r="X44" s="2"/>
      <c r="Y44" s="2"/>
      <c r="Z44" s="2"/>
    </row>
    <row r="45" customFormat="false" ht="14.25" hidden="false" customHeight="true" outlineLevel="0" collapsed="false">
      <c r="A45" s="2"/>
      <c r="B45" s="2"/>
      <c r="C45" s="2"/>
      <c r="D45" s="2"/>
      <c r="E45" s="2"/>
      <c r="F45" s="2"/>
      <c r="G45" s="2"/>
      <c r="H45" s="634"/>
      <c r="I45" s="2"/>
      <c r="J45" s="2"/>
      <c r="K45" s="2"/>
      <c r="L45" s="2"/>
      <c r="M45" s="2"/>
      <c r="N45" s="2"/>
      <c r="O45" s="2"/>
      <c r="P45" s="2"/>
      <c r="Q45" s="2"/>
      <c r="R45" s="2"/>
      <c r="S45" s="2"/>
      <c r="T45" s="2"/>
      <c r="U45" s="2"/>
      <c r="V45" s="2"/>
      <c r="W45" s="2"/>
      <c r="X45" s="2"/>
      <c r="Y45" s="2"/>
      <c r="Z45" s="2"/>
    </row>
    <row r="46" customFormat="false" ht="14.2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4.2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4.2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4.2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4.2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4.2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4.2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4.2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4.2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4.2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4.2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4.2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4.2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4.2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4.2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4.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4.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4.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4.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4.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4.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4.2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4.2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4.2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4.2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4.2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4.2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4.2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4.2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4.2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4.2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4.2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4.2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4.2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4.2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sheetData>
  <mergeCells count="11">
    <mergeCell ref="K3:M3"/>
    <mergeCell ref="K8:M8"/>
    <mergeCell ref="B10:G10"/>
    <mergeCell ref="B11:C11"/>
    <mergeCell ref="B12:C12"/>
    <mergeCell ref="B13:B15"/>
    <mergeCell ref="K14:M14"/>
    <mergeCell ref="B16:C16"/>
    <mergeCell ref="B17:C17"/>
    <mergeCell ref="J18:M18"/>
    <mergeCell ref="I23:J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customHeight="true" zeroHeight="false" outlineLevelRow="0" outlineLevelCol="0"/>
  <cols>
    <col collapsed="false" customWidth="true" hidden="false" outlineLevel="0" max="1" min="1" style="1" width="7.7"/>
    <col collapsed="false" customWidth="true" hidden="false" outlineLevel="0" max="2" min="2" style="1" width="86.4"/>
    <col collapsed="false" customWidth="true" hidden="false" outlineLevel="0" max="3" min="3" style="1" width="4.6"/>
    <col collapsed="false" customWidth="true" hidden="false" outlineLevel="0" max="4" min="4" style="1" width="5"/>
    <col collapsed="false" customWidth="true" hidden="false" outlineLevel="0" max="5" min="5" style="1" width="12.6"/>
    <col collapsed="false" customWidth="true" hidden="false" outlineLevel="0" max="6" min="6" style="1" width="12.5"/>
    <col collapsed="false" customWidth="true" hidden="false" outlineLevel="0" max="7" min="7" style="1" width="11.6"/>
    <col collapsed="false" customWidth="true" hidden="false" outlineLevel="0" max="8" min="8" style="1" width="10.2"/>
    <col collapsed="false" customWidth="true" hidden="false" outlineLevel="0" max="9" min="9" style="1" width="9.1"/>
    <col collapsed="false" customWidth="true" hidden="false" outlineLevel="0" max="10" min="10" style="1" width="10.5"/>
    <col collapsed="false" customWidth="true" hidden="false" outlineLevel="0" max="26" min="11" style="1" width="7.7"/>
  </cols>
  <sheetData>
    <row r="1" customFormat="false" ht="14.25" hidden="false" customHeight="true" outlineLevel="0" collapsed="false"/>
    <row r="2" customFormat="false" ht="33" hidden="false" customHeight="true" outlineLevel="0" collapsed="false">
      <c r="B2" s="638" t="s">
        <v>407</v>
      </c>
      <c r="C2" s="638"/>
    </row>
    <row r="3" customFormat="false" ht="14.25" hidden="false" customHeight="true" outlineLevel="0" collapsed="false">
      <c r="B3" s="639"/>
    </row>
    <row r="4" customFormat="false" ht="14.25" hidden="false" customHeight="true" outlineLevel="0" collapsed="false">
      <c r="B4" s="640" t="s">
        <v>408</v>
      </c>
    </row>
    <row r="5" customFormat="false" ht="14.25" hidden="false" customHeight="true" outlineLevel="0" collapsed="false">
      <c r="B5" s="641" t="s">
        <v>409</v>
      </c>
    </row>
    <row r="6" customFormat="false" ht="14.25" hidden="false" customHeight="true" outlineLevel="0" collapsed="false">
      <c r="B6" s="641" t="s">
        <v>410</v>
      </c>
    </row>
    <row r="7" customFormat="false" ht="14.25" hidden="false" customHeight="true" outlineLevel="0" collapsed="false">
      <c r="B7" s="641" t="s">
        <v>411</v>
      </c>
    </row>
    <row r="8" customFormat="false" ht="14.25" hidden="false" customHeight="true" outlineLevel="0" collapsed="false">
      <c r="B8" s="641" t="s">
        <v>412</v>
      </c>
    </row>
    <row r="9" customFormat="false" ht="14.25" hidden="false" customHeight="true" outlineLevel="0" collapsed="false">
      <c r="B9" s="641" t="s">
        <v>413</v>
      </c>
    </row>
    <row r="10" customFormat="false" ht="14.25" hidden="false" customHeight="true" outlineLevel="0" collapsed="false">
      <c r="B10" s="640" t="s">
        <v>414</v>
      </c>
    </row>
    <row r="11" customFormat="false" ht="14.25" hidden="false" customHeight="true" outlineLevel="0" collapsed="false">
      <c r="B11" s="641" t="s">
        <v>415</v>
      </c>
    </row>
    <row r="12" customFormat="false" ht="14.25" hidden="false" customHeight="true" outlineLevel="0" collapsed="false">
      <c r="B12" s="641" t="s">
        <v>416</v>
      </c>
    </row>
    <row r="13" customFormat="false" ht="14.25" hidden="false" customHeight="true" outlineLevel="0" collapsed="false">
      <c r="B13" s="641" t="s">
        <v>417</v>
      </c>
    </row>
    <row r="14" customFormat="false" ht="14.25" hidden="false" customHeight="true" outlineLevel="0" collapsed="false">
      <c r="B14" s="641" t="s">
        <v>418</v>
      </c>
    </row>
    <row r="15" customFormat="false" ht="14.25" hidden="false" customHeight="true" outlineLevel="0" collapsed="false">
      <c r="B15" s="641" t="s">
        <v>419</v>
      </c>
    </row>
    <row r="16" customFormat="false" ht="14.25" hidden="false" customHeight="true" outlineLevel="0" collapsed="false"/>
    <row r="17" customFormat="false" ht="30" hidden="false" customHeight="true" outlineLevel="0" collapsed="false">
      <c r="B17" s="642" t="s">
        <v>420</v>
      </c>
      <c r="C17" s="642"/>
    </row>
    <row r="18" customFormat="false" ht="14.25" hidden="false" customHeight="true" outlineLevel="0" collapsed="false">
      <c r="B18" s="643"/>
    </row>
    <row r="19" customFormat="false" ht="14.25" hidden="false" customHeight="true" outlineLevel="0" collapsed="false">
      <c r="B19" s="644" t="s">
        <v>421</v>
      </c>
    </row>
    <row r="20" customFormat="false" ht="14.25" hidden="false" customHeight="true" outlineLevel="0" collapsed="false">
      <c r="B20" s="645" t="s">
        <v>422</v>
      </c>
    </row>
    <row r="21" customFormat="false" ht="14.25" hidden="false" customHeight="true" outlineLevel="0" collapsed="false">
      <c r="B21" s="644" t="s">
        <v>423</v>
      </c>
    </row>
    <row r="22" customFormat="false" ht="14.25" hidden="false" customHeight="true" outlineLevel="0" collapsed="false">
      <c r="B22" s="643"/>
    </row>
    <row r="23" customFormat="false" ht="27.75" hidden="false" customHeight="true" outlineLevel="0" collapsed="false">
      <c r="B23" s="638" t="s">
        <v>424</v>
      </c>
      <c r="C23" s="638"/>
      <c r="E23" s="646" t="s">
        <v>425</v>
      </c>
      <c r="F23" s="647" t="s">
        <v>426</v>
      </c>
      <c r="G23" s="648" t="s">
        <v>427</v>
      </c>
      <c r="H23" s="649" t="s">
        <v>428</v>
      </c>
      <c r="I23" s="650" t="s">
        <v>429</v>
      </c>
      <c r="J23" s="647" t="s">
        <v>430</v>
      </c>
    </row>
    <row r="24" customFormat="false" ht="19.5" hidden="false" customHeight="true" outlineLevel="0" collapsed="false">
      <c r="B24" s="639"/>
      <c r="E24" s="651" t="s">
        <v>431</v>
      </c>
      <c r="F24" s="652"/>
      <c r="G24" s="653"/>
      <c r="H24" s="654"/>
      <c r="I24" s="655"/>
      <c r="J24" s="656"/>
    </row>
    <row r="25" customFormat="false" ht="14.25" hidden="false" customHeight="true" outlineLevel="0" collapsed="false">
      <c r="B25" s="657" t="s">
        <v>432</v>
      </c>
      <c r="C25" s="658"/>
      <c r="E25" s="651" t="s">
        <v>433</v>
      </c>
      <c r="F25" s="659"/>
      <c r="G25" s="653"/>
      <c r="H25" s="653"/>
      <c r="I25" s="655"/>
      <c r="J25" s="655"/>
    </row>
    <row r="26" customFormat="false" ht="14.25" hidden="false" customHeight="true" outlineLevel="0" collapsed="false">
      <c r="B26" s="657" t="s">
        <v>434</v>
      </c>
      <c r="C26" s="660"/>
      <c r="E26" s="651" t="s">
        <v>435</v>
      </c>
      <c r="F26" s="659"/>
      <c r="G26" s="659"/>
      <c r="H26" s="653"/>
      <c r="I26" s="653"/>
      <c r="J26" s="655"/>
    </row>
    <row r="27" customFormat="false" ht="20.25" hidden="false" customHeight="true" outlineLevel="0" collapsed="false">
      <c r="B27" s="657" t="s">
        <v>436</v>
      </c>
      <c r="C27" s="661"/>
      <c r="E27" s="651" t="s">
        <v>437</v>
      </c>
      <c r="F27" s="659"/>
      <c r="G27" s="659"/>
      <c r="H27" s="659"/>
      <c r="I27" s="653"/>
      <c r="J27" s="653"/>
    </row>
    <row r="28" customFormat="false" ht="37.5" hidden="false" customHeight="true" outlineLevel="0" collapsed="false">
      <c r="B28" s="657" t="s">
        <v>438</v>
      </c>
      <c r="C28" s="662"/>
      <c r="E28" s="651" t="s">
        <v>439</v>
      </c>
      <c r="F28" s="659"/>
      <c r="G28" s="659"/>
      <c r="H28" s="659"/>
      <c r="I28" s="659"/>
      <c r="J28" s="659"/>
    </row>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mergeCells count="3">
    <mergeCell ref="B2:C2"/>
    <mergeCell ref="B17:C17"/>
    <mergeCell ref="B23:C2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99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2.66796875" defaultRowHeight="15" customHeight="true" zeroHeight="false" outlineLevelRow="0" outlineLevelCol="0"/>
  <cols>
    <col collapsed="false" customWidth="true" hidden="false" outlineLevel="0" max="1" min="1" style="1" width="9.34"/>
    <col collapsed="false" customWidth="true" hidden="false" outlineLevel="0" max="2" min="2" style="1" width="60"/>
    <col collapsed="false" customWidth="true" hidden="false" outlineLevel="0" max="26" min="3" style="1" width="9.34"/>
  </cols>
  <sheetData>
    <row r="1" customFormat="false" ht="57.75" hidden="false" customHeight="true" outlineLevel="0" collapsed="false">
      <c r="B1" s="422" t="s">
        <v>440</v>
      </c>
    </row>
    <row r="2" customFormat="false" ht="30.75" hidden="false" customHeight="true" outlineLevel="0" collapsed="false">
      <c r="B2" s="663"/>
    </row>
    <row r="3" customFormat="false" ht="31.5" hidden="false" customHeight="true" outlineLevel="0" collapsed="false">
      <c r="B3" s="664" t="s">
        <v>441</v>
      </c>
    </row>
    <row r="4" customFormat="false" ht="29.25" hidden="false" customHeight="true" outlineLevel="0" collapsed="false">
      <c r="B4" s="665"/>
    </row>
    <row r="5" customFormat="false" ht="30" hidden="false" customHeight="true" outlineLevel="0" collapsed="false">
      <c r="B5" s="666" t="s">
        <v>442</v>
      </c>
    </row>
    <row r="6" customFormat="false" ht="30" hidden="false" customHeight="true" outlineLevel="0" collapsed="false">
      <c r="B6" s="666" t="s">
        <v>443</v>
      </c>
    </row>
    <row r="7" customFormat="false" ht="30" hidden="false" customHeight="true" outlineLevel="0" collapsed="false">
      <c r="B7" s="666" t="s">
        <v>444</v>
      </c>
    </row>
    <row r="8" customFormat="false" ht="30" hidden="false" customHeight="true" outlineLevel="0" collapsed="false">
      <c r="B8" s="666" t="s">
        <v>445</v>
      </c>
    </row>
    <row r="9" customFormat="false" ht="30" hidden="false" customHeight="true" outlineLevel="0" collapsed="false">
      <c r="B9" s="666" t="s">
        <v>446</v>
      </c>
    </row>
    <row r="10" customFormat="false" ht="30" hidden="false" customHeight="true" outlineLevel="0" collapsed="false">
      <c r="B10" s="666" t="s">
        <v>447</v>
      </c>
    </row>
    <row r="11" customFormat="false" ht="30" hidden="false" customHeight="true" outlineLevel="0" collapsed="false">
      <c r="B11" s="666" t="s">
        <v>448</v>
      </c>
    </row>
    <row r="12" customFormat="false" ht="30" hidden="false" customHeight="true" outlineLevel="0" collapsed="false">
      <c r="B12" s="666" t="s">
        <v>449</v>
      </c>
    </row>
    <row r="13" customFormat="false" ht="30" hidden="false" customHeight="true" outlineLevel="0" collapsed="false">
      <c r="B13" s="666" t="s">
        <v>450</v>
      </c>
    </row>
    <row r="14" customFormat="false" ht="30" hidden="false" customHeight="true" outlineLevel="0" collapsed="false">
      <c r="B14" s="666" t="s">
        <v>451</v>
      </c>
    </row>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2.66796875" defaultRowHeight="15" customHeight="true" zeroHeight="false" outlineLevelRow="0" outlineLevelCol="0"/>
  <cols>
    <col collapsed="false" customWidth="true" hidden="false" outlineLevel="0" max="1" min="1" style="1" width="6.4"/>
    <col collapsed="false" customWidth="true" hidden="false" outlineLevel="0" max="2" min="2" style="1" width="9.1"/>
    <col collapsed="false" customWidth="true" hidden="false" outlineLevel="0" max="3" min="3" style="1" width="29.7"/>
    <col collapsed="false" customWidth="true" hidden="false" outlineLevel="0" max="4" min="4" style="1" width="24.1"/>
    <col collapsed="false" customWidth="true" hidden="false" outlineLevel="0" max="6" min="5" style="1" width="26.9"/>
    <col collapsed="false" customWidth="true" hidden="false" outlineLevel="0" max="7" min="7" style="1" width="16.4"/>
    <col collapsed="false" customWidth="true" hidden="false" outlineLevel="0" max="8" min="8" style="1" width="14.4"/>
    <col collapsed="false" customWidth="true" hidden="false" outlineLevel="0" max="9" min="9" style="1" width="20.2"/>
    <col collapsed="false" customWidth="true" hidden="false" outlineLevel="0" max="11" min="10" style="1" width="9.4"/>
    <col collapsed="false" customWidth="true" hidden="false" outlineLevel="0" max="12" min="12" style="1" width="21.7"/>
    <col collapsed="false" customWidth="true" hidden="false" outlineLevel="0" max="13" min="13" style="1" width="25.1"/>
    <col collapsed="false" customWidth="true" hidden="false" outlineLevel="0" max="26" min="14" style="1" width="9.4"/>
  </cols>
  <sheetData>
    <row r="1" customFormat="false" ht="14.25" hidden="false" customHeight="true" outlineLevel="0" collapsed="false">
      <c r="A1" s="667"/>
      <c r="B1" s="667"/>
      <c r="C1" s="667"/>
      <c r="D1" s="667"/>
      <c r="E1" s="667"/>
      <c r="F1" s="667"/>
      <c r="G1" s="667"/>
      <c r="H1" s="667"/>
      <c r="I1" s="667"/>
      <c r="J1" s="667"/>
      <c r="T1" s="667"/>
    </row>
    <row r="2" customFormat="false" ht="14.25" hidden="false" customHeight="true" outlineLevel="0" collapsed="false">
      <c r="A2" s="667"/>
      <c r="B2" s="668" t="s">
        <v>452</v>
      </c>
      <c r="C2" s="669" t="s">
        <v>172</v>
      </c>
      <c r="D2" s="669" t="s">
        <v>453</v>
      </c>
      <c r="E2" s="669" t="s">
        <v>454</v>
      </c>
      <c r="F2" s="669" t="s">
        <v>455</v>
      </c>
      <c r="G2" s="669" t="s">
        <v>456</v>
      </c>
      <c r="H2" s="669" t="s">
        <v>457</v>
      </c>
      <c r="I2" s="670" t="s">
        <v>458</v>
      </c>
      <c r="J2" s="667"/>
      <c r="K2" s="671"/>
      <c r="L2" s="671"/>
      <c r="M2" s="671"/>
      <c r="N2" s="671"/>
      <c r="O2" s="671"/>
      <c r="P2" s="671"/>
      <c r="Q2" s="671"/>
      <c r="R2" s="671"/>
      <c r="S2" s="671"/>
      <c r="T2" s="667"/>
      <c r="U2" s="672"/>
      <c r="V2" s="672"/>
      <c r="W2" s="672"/>
      <c r="X2" s="672"/>
      <c r="Y2" s="672"/>
      <c r="Z2" s="672"/>
    </row>
    <row r="3" customFormat="false" ht="126" hidden="false" customHeight="true" outlineLevel="0" collapsed="false">
      <c r="A3" s="667"/>
      <c r="B3" s="673" t="s">
        <v>459</v>
      </c>
      <c r="C3" s="674" t="s">
        <v>460</v>
      </c>
      <c r="D3" s="674" t="s">
        <v>461</v>
      </c>
      <c r="E3" s="675" t="s">
        <v>462</v>
      </c>
      <c r="F3" s="676" t="s">
        <v>463</v>
      </c>
      <c r="G3" s="677" t="n">
        <v>3</v>
      </c>
      <c r="H3" s="673" t="n">
        <v>5</v>
      </c>
      <c r="I3" s="678" t="n">
        <f aca="false">+G3*H3</f>
        <v>15</v>
      </c>
      <c r="J3" s="667"/>
      <c r="L3" s="640" t="s">
        <v>408</v>
      </c>
      <c r="M3" s="640" t="s">
        <v>414</v>
      </c>
      <c r="N3" s="646" t="s">
        <v>425</v>
      </c>
      <c r="O3" s="647" t="s">
        <v>426</v>
      </c>
      <c r="P3" s="648" t="s">
        <v>427</v>
      </c>
      <c r="Q3" s="649" t="s">
        <v>428</v>
      </c>
      <c r="R3" s="650" t="s">
        <v>429</v>
      </c>
      <c r="S3" s="647" t="s">
        <v>430</v>
      </c>
      <c r="T3" s="667"/>
    </row>
    <row r="4" customFormat="false" ht="41.25" hidden="false" customHeight="true" outlineLevel="0" collapsed="false">
      <c r="A4" s="667"/>
      <c r="B4" s="673"/>
      <c r="C4" s="674"/>
      <c r="D4" s="674" t="s">
        <v>464</v>
      </c>
      <c r="E4" s="675"/>
      <c r="F4" s="676"/>
      <c r="G4" s="677" t="n">
        <v>3</v>
      </c>
      <c r="H4" s="673" t="n">
        <v>5</v>
      </c>
      <c r="I4" s="678" t="n">
        <f aca="false">+G4*H4</f>
        <v>15</v>
      </c>
      <c r="J4" s="667"/>
      <c r="L4" s="641" t="s">
        <v>409</v>
      </c>
      <c r="M4" s="641" t="s">
        <v>415</v>
      </c>
      <c r="N4" s="651" t="s">
        <v>431</v>
      </c>
      <c r="O4" s="652"/>
      <c r="P4" s="653" t="s">
        <v>465</v>
      </c>
      <c r="Q4" s="654" t="s">
        <v>459</v>
      </c>
      <c r="R4" s="655"/>
      <c r="S4" s="656"/>
      <c r="T4" s="667"/>
    </row>
    <row r="5" customFormat="false" ht="42" hidden="false" customHeight="true" outlineLevel="0" collapsed="false">
      <c r="A5" s="667"/>
      <c r="B5" s="673"/>
      <c r="C5" s="674"/>
      <c r="D5" s="674" t="s">
        <v>466</v>
      </c>
      <c r="E5" s="675"/>
      <c r="F5" s="676"/>
      <c r="G5" s="677" t="n">
        <v>3</v>
      </c>
      <c r="H5" s="673" t="n">
        <v>5</v>
      </c>
      <c r="I5" s="678" t="n">
        <f aca="false">+G5*H5</f>
        <v>15</v>
      </c>
      <c r="J5" s="667"/>
      <c r="L5" s="641" t="s">
        <v>410</v>
      </c>
      <c r="M5" s="641" t="s">
        <v>416</v>
      </c>
      <c r="N5" s="651" t="s">
        <v>433</v>
      </c>
      <c r="O5" s="659"/>
      <c r="P5" s="653" t="s">
        <v>467</v>
      </c>
      <c r="Q5" s="653" t="s">
        <v>468</v>
      </c>
      <c r="R5" s="655" t="s">
        <v>469</v>
      </c>
      <c r="S5" s="655"/>
      <c r="T5" s="667"/>
    </row>
    <row r="6" customFormat="false" ht="102" hidden="false" customHeight="true" outlineLevel="0" collapsed="false">
      <c r="A6" s="667"/>
      <c r="B6" s="673" t="s">
        <v>470</v>
      </c>
      <c r="C6" s="674" t="s">
        <v>471</v>
      </c>
      <c r="D6" s="674" t="s">
        <v>472</v>
      </c>
      <c r="E6" s="675" t="s">
        <v>473</v>
      </c>
      <c r="F6" s="676" t="s">
        <v>474</v>
      </c>
      <c r="G6" s="677" t="n">
        <v>4</v>
      </c>
      <c r="H6" s="673" t="n">
        <v>4</v>
      </c>
      <c r="I6" s="678" t="n">
        <f aca="false">+G6*H6</f>
        <v>16</v>
      </c>
      <c r="J6" s="667"/>
      <c r="L6" s="641" t="s">
        <v>411</v>
      </c>
      <c r="M6" s="641" t="s">
        <v>417</v>
      </c>
      <c r="N6" s="651" t="s">
        <v>435</v>
      </c>
      <c r="O6" s="659"/>
      <c r="P6" s="659"/>
      <c r="Q6" s="653" t="s">
        <v>475</v>
      </c>
      <c r="R6" s="653"/>
      <c r="S6" s="655"/>
      <c r="T6" s="667"/>
    </row>
    <row r="7" customFormat="false" ht="41.25" hidden="false" customHeight="true" outlineLevel="0" collapsed="false">
      <c r="A7" s="667"/>
      <c r="B7" s="673"/>
      <c r="C7" s="674"/>
      <c r="D7" s="674" t="s">
        <v>476</v>
      </c>
      <c r="E7" s="675"/>
      <c r="F7" s="676"/>
      <c r="G7" s="677" t="n">
        <v>4</v>
      </c>
      <c r="H7" s="673" t="n">
        <v>4</v>
      </c>
      <c r="I7" s="678" t="n">
        <f aca="false">+G7*H7</f>
        <v>16</v>
      </c>
      <c r="J7" s="667"/>
      <c r="L7" s="641" t="s">
        <v>412</v>
      </c>
      <c r="M7" s="641" t="s">
        <v>418</v>
      </c>
      <c r="N7" s="651" t="s">
        <v>437</v>
      </c>
      <c r="O7" s="659"/>
      <c r="P7" s="659"/>
      <c r="Q7" s="659"/>
      <c r="R7" s="653"/>
      <c r="S7" s="653"/>
      <c r="T7" s="667"/>
    </row>
    <row r="8" customFormat="false" ht="41.25" hidden="false" customHeight="true" outlineLevel="0" collapsed="false">
      <c r="A8" s="667"/>
      <c r="B8" s="673"/>
      <c r="C8" s="674"/>
      <c r="D8" s="674" t="s">
        <v>477</v>
      </c>
      <c r="E8" s="675"/>
      <c r="F8" s="676"/>
      <c r="G8" s="677" t="n">
        <v>4</v>
      </c>
      <c r="H8" s="673" t="n">
        <v>4</v>
      </c>
      <c r="I8" s="678" t="n">
        <f aca="false">+G8*H8</f>
        <v>16</v>
      </c>
      <c r="J8" s="667"/>
      <c r="L8" s="641" t="s">
        <v>413</v>
      </c>
      <c r="M8" s="641" t="s">
        <v>419</v>
      </c>
      <c r="T8" s="667"/>
    </row>
    <row r="9" customFormat="false" ht="66" hidden="false" customHeight="true" outlineLevel="0" collapsed="false">
      <c r="A9" s="667"/>
      <c r="B9" s="673" t="s">
        <v>478</v>
      </c>
      <c r="C9" s="674" t="s">
        <v>479</v>
      </c>
      <c r="D9" s="674" t="s">
        <v>480</v>
      </c>
      <c r="E9" s="675" t="s">
        <v>481</v>
      </c>
      <c r="F9" s="676" t="s">
        <v>482</v>
      </c>
      <c r="G9" s="677" t="n">
        <v>4</v>
      </c>
      <c r="H9" s="673" t="n">
        <v>4</v>
      </c>
      <c r="I9" s="678" t="n">
        <f aca="false">+G9*H9</f>
        <v>16</v>
      </c>
      <c r="J9" s="667"/>
      <c r="L9" s="641"/>
      <c r="M9" s="641"/>
      <c r="N9" s="658"/>
      <c r="O9" s="679" t="s">
        <v>432</v>
      </c>
      <c r="P9" s="679"/>
      <c r="Q9" s="679"/>
      <c r="R9" s="679"/>
      <c r="S9" s="679"/>
      <c r="T9" s="667"/>
    </row>
    <row r="10" customFormat="false" ht="41.25" hidden="false" customHeight="true" outlineLevel="0" collapsed="false">
      <c r="A10" s="667"/>
      <c r="B10" s="673"/>
      <c r="C10" s="674"/>
      <c r="D10" s="674" t="s">
        <v>483</v>
      </c>
      <c r="E10" s="675"/>
      <c r="F10" s="676"/>
      <c r="G10" s="677" t="n">
        <v>4</v>
      </c>
      <c r="H10" s="673" t="n">
        <v>4</v>
      </c>
      <c r="I10" s="678" t="n">
        <f aca="false">+G10*H10</f>
        <v>16</v>
      </c>
      <c r="J10" s="667"/>
      <c r="N10" s="660"/>
      <c r="O10" s="679" t="s">
        <v>434</v>
      </c>
      <c r="P10" s="679"/>
      <c r="Q10" s="679"/>
      <c r="R10" s="679"/>
      <c r="S10" s="679"/>
      <c r="T10" s="667"/>
    </row>
    <row r="11" customFormat="false" ht="41.25" hidden="false" customHeight="true" outlineLevel="0" collapsed="false">
      <c r="A11" s="667"/>
      <c r="B11" s="673"/>
      <c r="C11" s="674"/>
      <c r="D11" s="674" t="s">
        <v>484</v>
      </c>
      <c r="E11" s="675"/>
      <c r="F11" s="676"/>
      <c r="G11" s="677" t="n">
        <v>4</v>
      </c>
      <c r="H11" s="673" t="n">
        <v>4</v>
      </c>
      <c r="I11" s="678" t="n">
        <f aca="false">+G11*H11</f>
        <v>16</v>
      </c>
      <c r="J11" s="667"/>
      <c r="L11" s="641"/>
      <c r="M11" s="641"/>
      <c r="N11" s="661"/>
      <c r="O11" s="679" t="s">
        <v>436</v>
      </c>
      <c r="P11" s="679"/>
      <c r="Q11" s="679"/>
      <c r="R11" s="679"/>
      <c r="S11" s="679"/>
      <c r="T11" s="667"/>
    </row>
    <row r="12" customFormat="false" ht="138" hidden="false" customHeight="true" outlineLevel="0" collapsed="false">
      <c r="A12" s="667"/>
      <c r="B12" s="673" t="s">
        <v>485</v>
      </c>
      <c r="C12" s="674" t="s">
        <v>486</v>
      </c>
      <c r="D12" s="674" t="s">
        <v>487</v>
      </c>
      <c r="E12" s="675" t="s">
        <v>488</v>
      </c>
      <c r="F12" s="676" t="s">
        <v>489</v>
      </c>
      <c r="G12" s="677" t="n">
        <v>4</v>
      </c>
      <c r="H12" s="673" t="n">
        <v>4</v>
      </c>
      <c r="I12" s="678" t="n">
        <f aca="false">+G12*H12</f>
        <v>16</v>
      </c>
      <c r="J12" s="667"/>
      <c r="L12" s="641"/>
      <c r="M12" s="641"/>
      <c r="N12" s="662"/>
      <c r="O12" s="679" t="s">
        <v>438</v>
      </c>
      <c r="P12" s="679"/>
      <c r="Q12" s="679"/>
      <c r="R12" s="679"/>
      <c r="S12" s="679"/>
      <c r="T12" s="667"/>
    </row>
    <row r="13" customFormat="false" ht="42" hidden="false" customHeight="true" outlineLevel="0" collapsed="false">
      <c r="A13" s="667"/>
      <c r="B13" s="673"/>
      <c r="C13" s="674"/>
      <c r="D13" s="674" t="s">
        <v>490</v>
      </c>
      <c r="E13" s="675"/>
      <c r="F13" s="676"/>
      <c r="G13" s="677" t="n">
        <v>4</v>
      </c>
      <c r="H13" s="673" t="n">
        <v>4</v>
      </c>
      <c r="I13" s="678" t="n">
        <f aca="false">+G13*H13</f>
        <v>16</v>
      </c>
      <c r="J13" s="667"/>
      <c r="L13" s="641" t="s">
        <v>413</v>
      </c>
      <c r="M13" s="641" t="s">
        <v>419</v>
      </c>
      <c r="N13" s="651" t="s">
        <v>439</v>
      </c>
      <c r="O13" s="659"/>
      <c r="P13" s="659"/>
      <c r="Q13" s="659"/>
      <c r="R13" s="659"/>
      <c r="S13" s="659"/>
      <c r="T13" s="667"/>
    </row>
    <row r="14" customFormat="false" ht="41.25" hidden="false" customHeight="true" outlineLevel="0" collapsed="false">
      <c r="A14" s="667"/>
      <c r="B14" s="673"/>
      <c r="C14" s="674"/>
      <c r="D14" s="674" t="s">
        <v>491</v>
      </c>
      <c r="E14" s="675"/>
      <c r="F14" s="676"/>
      <c r="G14" s="677" t="n">
        <v>4</v>
      </c>
      <c r="H14" s="673" t="n">
        <v>4</v>
      </c>
      <c r="I14" s="678" t="n">
        <f aca="false">+G14*H14</f>
        <v>16</v>
      </c>
      <c r="J14" s="667"/>
      <c r="K14" s="667"/>
      <c r="L14" s="667"/>
      <c r="M14" s="667"/>
      <c r="N14" s="667"/>
      <c r="O14" s="667"/>
      <c r="P14" s="667"/>
      <c r="Q14" s="667"/>
      <c r="R14" s="667"/>
      <c r="S14" s="667"/>
      <c r="T14" s="667"/>
    </row>
    <row r="15" customFormat="false" ht="78" hidden="false" customHeight="true" outlineLevel="0" collapsed="false">
      <c r="A15" s="667"/>
      <c r="B15" s="673" t="s">
        <v>492</v>
      </c>
      <c r="C15" s="674" t="s">
        <v>493</v>
      </c>
      <c r="D15" s="674" t="s">
        <v>494</v>
      </c>
      <c r="E15" s="675" t="s">
        <v>495</v>
      </c>
      <c r="F15" s="676" t="s">
        <v>496</v>
      </c>
      <c r="G15" s="677" t="n">
        <v>3</v>
      </c>
      <c r="H15" s="673" t="n">
        <v>4</v>
      </c>
      <c r="I15" s="680" t="n">
        <f aca="false">+G15*H15</f>
        <v>12</v>
      </c>
      <c r="J15" s="667"/>
      <c r="K15" s="667"/>
      <c r="L15" s="667"/>
      <c r="M15" s="667"/>
      <c r="N15" s="667"/>
      <c r="O15" s="667"/>
      <c r="P15" s="667"/>
      <c r="Q15" s="667"/>
      <c r="R15" s="667"/>
      <c r="S15" s="667"/>
      <c r="T15" s="667"/>
    </row>
    <row r="16" customFormat="false" ht="41.25" hidden="false" customHeight="true" outlineLevel="0" collapsed="false">
      <c r="A16" s="667"/>
      <c r="B16" s="673"/>
      <c r="C16" s="674"/>
      <c r="D16" s="674" t="s">
        <v>497</v>
      </c>
      <c r="E16" s="675"/>
      <c r="F16" s="676"/>
      <c r="G16" s="677" t="n">
        <v>3</v>
      </c>
      <c r="H16" s="673" t="n">
        <v>4</v>
      </c>
      <c r="I16" s="680" t="n">
        <f aca="false">+G16*H16</f>
        <v>12</v>
      </c>
      <c r="J16" s="667"/>
      <c r="K16" s="667"/>
      <c r="L16" s="667"/>
      <c r="M16" s="667"/>
      <c r="N16" s="667"/>
      <c r="O16" s="667"/>
      <c r="P16" s="667"/>
      <c r="Q16" s="667"/>
      <c r="R16" s="667"/>
      <c r="S16" s="667"/>
      <c r="T16" s="667"/>
    </row>
    <row r="17" customFormat="false" ht="41.25" hidden="false" customHeight="true" outlineLevel="0" collapsed="false">
      <c r="A17" s="667"/>
      <c r="B17" s="673"/>
      <c r="C17" s="674"/>
      <c r="D17" s="674" t="s">
        <v>498</v>
      </c>
      <c r="E17" s="675"/>
      <c r="F17" s="676"/>
      <c r="G17" s="677" t="n">
        <v>3</v>
      </c>
      <c r="H17" s="673" t="n">
        <v>4</v>
      </c>
      <c r="I17" s="680" t="n">
        <f aca="false">+G17*H17</f>
        <v>12</v>
      </c>
      <c r="J17" s="667"/>
      <c r="K17" s="667"/>
      <c r="L17" s="667"/>
      <c r="M17" s="667"/>
      <c r="N17" s="667"/>
      <c r="O17" s="667"/>
      <c r="P17" s="667"/>
      <c r="Q17" s="667"/>
      <c r="R17" s="667"/>
      <c r="S17" s="667"/>
      <c r="T17" s="667"/>
    </row>
    <row r="18" customFormat="false" ht="78" hidden="false" customHeight="true" outlineLevel="0" collapsed="false">
      <c r="A18" s="667"/>
      <c r="B18" s="673" t="s">
        <v>499</v>
      </c>
      <c r="C18" s="674" t="s">
        <v>500</v>
      </c>
      <c r="D18" s="674" t="s">
        <v>501</v>
      </c>
      <c r="E18" s="675" t="s">
        <v>502</v>
      </c>
      <c r="F18" s="676" t="s">
        <v>503</v>
      </c>
      <c r="G18" s="677" t="n">
        <v>3</v>
      </c>
      <c r="H18" s="673" t="n">
        <v>4</v>
      </c>
      <c r="I18" s="680" t="n">
        <f aca="false">+G18*H18</f>
        <v>12</v>
      </c>
      <c r="J18" s="667"/>
      <c r="K18" s="667"/>
      <c r="L18" s="667"/>
      <c r="M18" s="667"/>
      <c r="N18" s="667"/>
      <c r="O18" s="667"/>
      <c r="P18" s="667"/>
      <c r="Q18" s="667"/>
      <c r="R18" s="667"/>
      <c r="S18" s="667"/>
      <c r="T18" s="667"/>
    </row>
    <row r="19" customFormat="false" ht="41.25" hidden="false" customHeight="true" outlineLevel="0" collapsed="false">
      <c r="A19" s="667"/>
      <c r="B19" s="673"/>
      <c r="C19" s="674"/>
      <c r="D19" s="674" t="s">
        <v>504</v>
      </c>
      <c r="E19" s="675"/>
      <c r="F19" s="676"/>
      <c r="G19" s="677" t="n">
        <v>3</v>
      </c>
      <c r="H19" s="673" t="n">
        <v>4</v>
      </c>
      <c r="I19" s="680" t="n">
        <f aca="false">+G19*H19</f>
        <v>12</v>
      </c>
      <c r="J19" s="667"/>
      <c r="K19" s="667"/>
      <c r="L19" s="667"/>
      <c r="M19" s="667"/>
      <c r="N19" s="667"/>
      <c r="O19" s="667"/>
      <c r="P19" s="667"/>
      <c r="Q19" s="667"/>
      <c r="R19" s="667"/>
      <c r="S19" s="667"/>
      <c r="T19" s="667"/>
    </row>
    <row r="20" customFormat="false" ht="42" hidden="false" customHeight="true" outlineLevel="0" collapsed="false">
      <c r="A20" s="667"/>
      <c r="B20" s="673"/>
      <c r="C20" s="674"/>
      <c r="D20" s="674" t="s">
        <v>505</v>
      </c>
      <c r="E20" s="675"/>
      <c r="F20" s="676"/>
      <c r="G20" s="677" t="n">
        <v>3</v>
      </c>
      <c r="H20" s="673" t="n">
        <v>4</v>
      </c>
      <c r="I20" s="680" t="n">
        <f aca="false">+G20*H20</f>
        <v>12</v>
      </c>
      <c r="J20" s="667"/>
      <c r="K20" s="667"/>
      <c r="L20" s="667"/>
      <c r="M20" s="667"/>
      <c r="N20" s="667"/>
      <c r="O20" s="667"/>
      <c r="P20" s="667"/>
      <c r="Q20" s="667"/>
      <c r="R20" s="667"/>
      <c r="S20" s="667"/>
      <c r="T20" s="667"/>
    </row>
    <row r="21" customFormat="false" ht="78" hidden="false" customHeight="true" outlineLevel="0" collapsed="false">
      <c r="A21" s="667"/>
      <c r="B21" s="673" t="s">
        <v>465</v>
      </c>
      <c r="C21" s="674" t="s">
        <v>506</v>
      </c>
      <c r="D21" s="674" t="s">
        <v>507</v>
      </c>
      <c r="E21" s="675" t="s">
        <v>508</v>
      </c>
      <c r="F21" s="676" t="s">
        <v>509</v>
      </c>
      <c r="G21" s="677" t="n">
        <v>2</v>
      </c>
      <c r="H21" s="673" t="n">
        <v>5</v>
      </c>
      <c r="I21" s="680" t="n">
        <f aca="false">+G21*H21</f>
        <v>10</v>
      </c>
      <c r="J21" s="667"/>
      <c r="K21" s="667"/>
      <c r="L21" s="667"/>
      <c r="M21" s="667"/>
      <c r="N21" s="667"/>
      <c r="O21" s="667"/>
      <c r="P21" s="667"/>
      <c r="Q21" s="667"/>
      <c r="R21" s="667"/>
      <c r="S21" s="667"/>
      <c r="T21" s="667"/>
    </row>
    <row r="22" customFormat="false" ht="41.25" hidden="false" customHeight="true" outlineLevel="0" collapsed="false">
      <c r="A22" s="667"/>
      <c r="B22" s="673"/>
      <c r="C22" s="674"/>
      <c r="D22" s="674" t="s">
        <v>510</v>
      </c>
      <c r="E22" s="675"/>
      <c r="F22" s="676"/>
      <c r="G22" s="677" t="n">
        <v>2</v>
      </c>
      <c r="H22" s="673" t="n">
        <v>5</v>
      </c>
      <c r="I22" s="680" t="n">
        <f aca="false">+G22*H22</f>
        <v>10</v>
      </c>
      <c r="J22" s="667"/>
      <c r="K22" s="667"/>
      <c r="L22" s="667"/>
      <c r="M22" s="667"/>
      <c r="N22" s="667"/>
      <c r="O22" s="667"/>
      <c r="P22" s="667"/>
      <c r="Q22" s="667"/>
      <c r="R22" s="667"/>
      <c r="S22" s="667"/>
      <c r="T22" s="667"/>
    </row>
    <row r="23" customFormat="false" ht="41.25" hidden="false" customHeight="true" outlineLevel="0" collapsed="false">
      <c r="A23" s="667"/>
      <c r="B23" s="673"/>
      <c r="C23" s="674"/>
      <c r="D23" s="674" t="s">
        <v>511</v>
      </c>
      <c r="E23" s="675"/>
      <c r="F23" s="676"/>
      <c r="G23" s="677" t="n">
        <v>2</v>
      </c>
      <c r="H23" s="673" t="n">
        <v>5</v>
      </c>
      <c r="I23" s="680" t="n">
        <f aca="false">+G23*H23</f>
        <v>10</v>
      </c>
      <c r="J23" s="667"/>
      <c r="K23" s="667"/>
      <c r="L23" s="667"/>
      <c r="M23" s="667"/>
      <c r="N23" s="667"/>
      <c r="O23" s="667"/>
      <c r="P23" s="667"/>
      <c r="Q23" s="667"/>
      <c r="R23" s="667"/>
      <c r="S23" s="667"/>
      <c r="T23" s="667"/>
    </row>
    <row r="24" customFormat="false" ht="78" hidden="false" customHeight="true" outlineLevel="0" collapsed="false">
      <c r="A24" s="667"/>
      <c r="B24" s="673" t="s">
        <v>475</v>
      </c>
      <c r="C24" s="674" t="s">
        <v>512</v>
      </c>
      <c r="D24" s="674" t="s">
        <v>513</v>
      </c>
      <c r="E24" s="675" t="s">
        <v>514</v>
      </c>
      <c r="F24" s="676" t="s">
        <v>515</v>
      </c>
      <c r="G24" s="677" t="n">
        <v>3</v>
      </c>
      <c r="H24" s="673" t="n">
        <v>3</v>
      </c>
      <c r="I24" s="680" t="n">
        <f aca="false">+G24*H24</f>
        <v>9</v>
      </c>
      <c r="J24" s="667"/>
      <c r="K24" s="667"/>
      <c r="L24" s="667"/>
      <c r="M24" s="667"/>
      <c r="N24" s="667"/>
      <c r="O24" s="667"/>
      <c r="P24" s="667"/>
      <c r="Q24" s="667"/>
      <c r="R24" s="667"/>
      <c r="S24" s="667"/>
      <c r="T24" s="667"/>
    </row>
    <row r="25" customFormat="false" ht="41.25" hidden="false" customHeight="true" outlineLevel="0" collapsed="false">
      <c r="A25" s="667"/>
      <c r="B25" s="673"/>
      <c r="C25" s="674"/>
      <c r="D25" s="674" t="s">
        <v>516</v>
      </c>
      <c r="E25" s="675"/>
      <c r="F25" s="676"/>
      <c r="G25" s="677" t="n">
        <v>3</v>
      </c>
      <c r="H25" s="673" t="n">
        <v>3</v>
      </c>
      <c r="I25" s="680" t="n">
        <f aca="false">+G25*H25</f>
        <v>9</v>
      </c>
      <c r="J25" s="667"/>
      <c r="K25" s="667"/>
      <c r="L25" s="667"/>
      <c r="M25" s="667"/>
      <c r="N25" s="667"/>
      <c r="O25" s="667"/>
      <c r="P25" s="667"/>
      <c r="Q25" s="667"/>
      <c r="R25" s="667"/>
      <c r="S25" s="667"/>
      <c r="T25" s="667"/>
    </row>
    <row r="26" customFormat="false" ht="41.25" hidden="false" customHeight="true" outlineLevel="0" collapsed="false">
      <c r="A26" s="667"/>
      <c r="B26" s="673"/>
      <c r="C26" s="674"/>
      <c r="D26" s="674" t="s">
        <v>517</v>
      </c>
      <c r="E26" s="675"/>
      <c r="F26" s="676"/>
      <c r="G26" s="677" t="n">
        <v>3</v>
      </c>
      <c r="H26" s="673" t="n">
        <v>3</v>
      </c>
      <c r="I26" s="680" t="n">
        <f aca="false">+G26*H26</f>
        <v>9</v>
      </c>
      <c r="J26" s="667"/>
      <c r="K26" s="667"/>
      <c r="L26" s="667"/>
      <c r="M26" s="667"/>
      <c r="N26" s="667"/>
      <c r="O26" s="667"/>
      <c r="P26" s="667"/>
      <c r="Q26" s="667"/>
      <c r="R26" s="667"/>
      <c r="S26" s="667"/>
      <c r="T26" s="667"/>
    </row>
    <row r="27" customFormat="false" ht="66" hidden="false" customHeight="true" outlineLevel="0" collapsed="false">
      <c r="A27" s="667"/>
      <c r="B27" s="673" t="s">
        <v>518</v>
      </c>
      <c r="C27" s="674" t="s">
        <v>519</v>
      </c>
      <c r="D27" s="674" t="s">
        <v>520</v>
      </c>
      <c r="E27" s="675" t="s">
        <v>521</v>
      </c>
      <c r="F27" s="676" t="s">
        <v>522</v>
      </c>
      <c r="G27" s="677" t="n">
        <v>3</v>
      </c>
      <c r="H27" s="673" t="n">
        <v>4</v>
      </c>
      <c r="I27" s="680" t="n">
        <f aca="false">+G27*H27</f>
        <v>12</v>
      </c>
      <c r="J27" s="667"/>
      <c r="K27" s="667"/>
      <c r="L27" s="667"/>
      <c r="M27" s="667"/>
      <c r="N27" s="667"/>
      <c r="O27" s="667"/>
      <c r="P27" s="667"/>
      <c r="Q27" s="667"/>
      <c r="R27" s="667"/>
      <c r="S27" s="667"/>
      <c r="T27" s="667"/>
    </row>
    <row r="28" customFormat="false" ht="42" hidden="false" customHeight="true" outlineLevel="0" collapsed="false">
      <c r="A28" s="667"/>
      <c r="B28" s="673"/>
      <c r="C28" s="674"/>
      <c r="D28" s="674" t="s">
        <v>523</v>
      </c>
      <c r="E28" s="675"/>
      <c r="F28" s="676"/>
      <c r="G28" s="677" t="n">
        <v>3</v>
      </c>
      <c r="H28" s="673" t="n">
        <v>4</v>
      </c>
      <c r="I28" s="680" t="n">
        <f aca="false">+G28*H28</f>
        <v>12</v>
      </c>
      <c r="J28" s="667"/>
      <c r="K28" s="667"/>
      <c r="L28" s="667"/>
      <c r="M28" s="667"/>
      <c r="N28" s="667"/>
      <c r="O28" s="667"/>
      <c r="P28" s="667"/>
      <c r="Q28" s="667"/>
      <c r="R28" s="667"/>
      <c r="S28" s="667"/>
      <c r="T28" s="667"/>
    </row>
    <row r="29" customFormat="false" ht="41.25" hidden="false" customHeight="true" outlineLevel="0" collapsed="false">
      <c r="A29" s="667"/>
      <c r="B29" s="673"/>
      <c r="C29" s="674"/>
      <c r="D29" s="674" t="s">
        <v>524</v>
      </c>
      <c r="E29" s="675"/>
      <c r="F29" s="676"/>
      <c r="G29" s="677" t="n">
        <v>3</v>
      </c>
      <c r="H29" s="673" t="n">
        <v>4</v>
      </c>
      <c r="I29" s="680" t="n">
        <f aca="false">+G29*H29</f>
        <v>12</v>
      </c>
      <c r="J29" s="667"/>
      <c r="K29" s="667"/>
      <c r="L29" s="667"/>
      <c r="M29" s="667"/>
      <c r="N29" s="667"/>
      <c r="O29" s="667"/>
      <c r="P29" s="667"/>
      <c r="Q29" s="667"/>
      <c r="R29" s="667"/>
      <c r="S29" s="667"/>
      <c r="T29" s="667"/>
    </row>
    <row r="30" customFormat="false" ht="78" hidden="false" customHeight="true" outlineLevel="0" collapsed="false">
      <c r="A30" s="667"/>
      <c r="B30" s="673" t="s">
        <v>467</v>
      </c>
      <c r="C30" s="674" t="s">
        <v>525</v>
      </c>
      <c r="D30" s="674" t="s">
        <v>526</v>
      </c>
      <c r="E30" s="675" t="s">
        <v>527</v>
      </c>
      <c r="F30" s="676" t="s">
        <v>528</v>
      </c>
      <c r="G30" s="677" t="n">
        <v>2</v>
      </c>
      <c r="H30" s="673" t="n">
        <v>4</v>
      </c>
      <c r="I30" s="680" t="n">
        <f aca="false">+G30*H30</f>
        <v>8</v>
      </c>
      <c r="J30" s="667"/>
      <c r="K30" s="667"/>
      <c r="L30" s="667"/>
      <c r="M30" s="667"/>
      <c r="N30" s="667"/>
      <c r="O30" s="667"/>
      <c r="P30" s="667"/>
      <c r="Q30" s="667"/>
      <c r="R30" s="667"/>
      <c r="S30" s="667"/>
      <c r="T30" s="667"/>
    </row>
    <row r="31" customFormat="false" ht="41.25" hidden="false" customHeight="true" outlineLevel="0" collapsed="false">
      <c r="A31" s="667"/>
      <c r="B31" s="673"/>
      <c r="C31" s="674"/>
      <c r="D31" s="674" t="s">
        <v>529</v>
      </c>
      <c r="E31" s="675"/>
      <c r="F31" s="676"/>
      <c r="G31" s="677" t="n">
        <v>2</v>
      </c>
      <c r="H31" s="673" t="n">
        <v>4</v>
      </c>
      <c r="I31" s="680" t="n">
        <f aca="false">+G31*H31</f>
        <v>8</v>
      </c>
      <c r="J31" s="667"/>
      <c r="K31" s="667"/>
      <c r="L31" s="667"/>
      <c r="M31" s="667"/>
      <c r="N31" s="667"/>
      <c r="O31" s="667"/>
      <c r="P31" s="667"/>
      <c r="Q31" s="667"/>
      <c r="R31" s="667"/>
      <c r="S31" s="667"/>
      <c r="T31" s="667"/>
    </row>
    <row r="32" customFormat="false" ht="42" hidden="false" customHeight="true" outlineLevel="0" collapsed="false">
      <c r="A32" s="667"/>
      <c r="B32" s="673"/>
      <c r="C32" s="674"/>
      <c r="D32" s="674" t="s">
        <v>530</v>
      </c>
      <c r="E32" s="675"/>
      <c r="F32" s="676"/>
      <c r="G32" s="677" t="n">
        <v>2</v>
      </c>
      <c r="H32" s="673" t="n">
        <v>4</v>
      </c>
      <c r="I32" s="680" t="n">
        <f aca="false">+G32*H32</f>
        <v>8</v>
      </c>
      <c r="J32" s="667"/>
      <c r="K32" s="667"/>
      <c r="L32" s="667"/>
      <c r="M32" s="667"/>
      <c r="N32" s="667"/>
      <c r="O32" s="667"/>
      <c r="P32" s="667"/>
      <c r="Q32" s="667"/>
      <c r="R32" s="667"/>
      <c r="S32" s="667"/>
      <c r="T32" s="667"/>
    </row>
    <row r="33" customFormat="false" ht="14.25" hidden="false" customHeight="true" outlineLevel="0" collapsed="false">
      <c r="A33" s="667"/>
      <c r="B33" s="667"/>
      <c r="C33" s="667"/>
      <c r="D33" s="667"/>
      <c r="E33" s="667"/>
      <c r="F33" s="667"/>
      <c r="G33" s="667"/>
      <c r="H33" s="667"/>
      <c r="I33" s="667"/>
      <c r="J33" s="667"/>
      <c r="K33" s="667"/>
      <c r="L33" s="667"/>
      <c r="M33" s="667"/>
      <c r="N33" s="667"/>
      <c r="O33" s="667"/>
      <c r="P33" s="667"/>
      <c r="Q33" s="667"/>
      <c r="R33" s="667"/>
      <c r="S33" s="667"/>
      <c r="T33" s="667"/>
    </row>
    <row r="34" customFormat="false" ht="14.25" hidden="false" customHeight="true" outlineLevel="0" collapsed="false">
      <c r="A34" s="667"/>
      <c r="B34" s="667"/>
      <c r="C34" s="667"/>
      <c r="D34" s="667"/>
      <c r="E34" s="667"/>
      <c r="F34" s="667"/>
      <c r="G34" s="667"/>
      <c r="H34" s="667"/>
      <c r="I34" s="667"/>
      <c r="J34" s="667"/>
      <c r="K34" s="667"/>
      <c r="L34" s="667"/>
      <c r="M34" s="667"/>
      <c r="N34" s="667"/>
      <c r="O34" s="667"/>
      <c r="P34" s="667"/>
      <c r="Q34" s="667"/>
      <c r="R34" s="667"/>
      <c r="S34" s="667"/>
      <c r="T34" s="667"/>
    </row>
    <row r="35" customFormat="false" ht="14.25" hidden="false" customHeight="true" outlineLevel="0" collapsed="false">
      <c r="A35" s="667"/>
      <c r="B35" s="667"/>
      <c r="C35" s="667"/>
      <c r="D35" s="667"/>
      <c r="E35" s="667"/>
      <c r="F35" s="667"/>
      <c r="G35" s="667"/>
      <c r="H35" s="667"/>
      <c r="I35" s="667"/>
      <c r="J35" s="667"/>
      <c r="K35" s="667"/>
      <c r="L35" s="667"/>
      <c r="M35" s="667"/>
      <c r="N35" s="667"/>
      <c r="O35" s="667"/>
      <c r="P35" s="667"/>
      <c r="Q35" s="667"/>
      <c r="R35" s="667"/>
      <c r="S35" s="667"/>
      <c r="T35" s="667"/>
    </row>
    <row r="36" customFormat="false" ht="14.25" hidden="false" customHeight="true" outlineLevel="0" collapsed="false">
      <c r="A36" s="667"/>
      <c r="B36" s="667"/>
      <c r="C36" s="667"/>
      <c r="D36" s="667"/>
      <c r="E36" s="667"/>
      <c r="F36" s="667"/>
      <c r="G36" s="667"/>
      <c r="H36" s="667"/>
      <c r="I36" s="667"/>
      <c r="J36" s="667"/>
      <c r="K36" s="667"/>
      <c r="L36" s="667"/>
      <c r="M36" s="667"/>
      <c r="N36" s="667"/>
      <c r="O36" s="667"/>
      <c r="P36" s="667"/>
      <c r="Q36" s="667"/>
      <c r="R36" s="667"/>
      <c r="S36" s="667"/>
      <c r="T36" s="667"/>
    </row>
    <row r="37" customFormat="false" ht="14.25" hidden="false" customHeight="true" outlineLevel="0" collapsed="false">
      <c r="A37" s="667"/>
      <c r="B37" s="667"/>
      <c r="C37" s="667"/>
      <c r="D37" s="667"/>
      <c r="E37" s="667"/>
      <c r="F37" s="667"/>
      <c r="G37" s="667"/>
      <c r="H37" s="667"/>
      <c r="I37" s="667"/>
      <c r="J37" s="667"/>
      <c r="K37" s="667"/>
      <c r="L37" s="667"/>
      <c r="M37" s="667"/>
      <c r="N37" s="667"/>
      <c r="O37" s="667"/>
      <c r="P37" s="667"/>
      <c r="Q37" s="667"/>
      <c r="R37" s="667"/>
      <c r="S37" s="667"/>
      <c r="T37" s="667"/>
    </row>
    <row r="38" customFormat="false" ht="14.25" hidden="false" customHeight="true" outlineLevel="0" collapsed="false">
      <c r="A38" s="667"/>
      <c r="B38" s="667"/>
      <c r="C38" s="667"/>
      <c r="D38" s="667"/>
      <c r="E38" s="667"/>
      <c r="F38" s="667"/>
      <c r="G38" s="667"/>
      <c r="H38" s="667"/>
      <c r="I38" s="667"/>
      <c r="J38" s="667"/>
      <c r="K38" s="667"/>
      <c r="L38" s="667"/>
      <c r="M38" s="667"/>
      <c r="N38" s="667"/>
      <c r="O38" s="667"/>
      <c r="P38" s="667"/>
      <c r="Q38" s="667"/>
      <c r="R38" s="667"/>
      <c r="S38" s="667"/>
      <c r="T38" s="667"/>
    </row>
    <row r="39" customFormat="false" ht="14.25" hidden="false" customHeight="true" outlineLevel="0" collapsed="false">
      <c r="A39" s="667"/>
      <c r="B39" s="667"/>
      <c r="C39" s="667"/>
      <c r="D39" s="667"/>
      <c r="E39" s="667"/>
      <c r="F39" s="667"/>
      <c r="G39" s="667"/>
      <c r="H39" s="667"/>
      <c r="I39" s="667"/>
      <c r="J39" s="667"/>
      <c r="K39" s="667"/>
      <c r="L39" s="667"/>
      <c r="M39" s="667"/>
      <c r="N39" s="667"/>
      <c r="O39" s="667"/>
      <c r="P39" s="667"/>
      <c r="Q39" s="667"/>
      <c r="R39" s="667"/>
      <c r="S39" s="667"/>
      <c r="T39" s="667"/>
    </row>
    <row r="40" customFormat="false" ht="14.25" hidden="false" customHeight="true" outlineLevel="0" collapsed="false">
      <c r="A40" s="667"/>
      <c r="B40" s="667"/>
      <c r="C40" s="667"/>
      <c r="D40" s="667"/>
      <c r="E40" s="667"/>
      <c r="F40" s="667"/>
      <c r="G40" s="667"/>
      <c r="H40" s="667"/>
      <c r="I40" s="667"/>
      <c r="J40" s="667"/>
      <c r="K40" s="667"/>
      <c r="L40" s="667"/>
      <c r="M40" s="667"/>
      <c r="N40" s="667"/>
      <c r="O40" s="667"/>
      <c r="P40" s="667"/>
      <c r="Q40" s="667"/>
      <c r="R40" s="667"/>
      <c r="S40" s="667"/>
      <c r="T40" s="667"/>
    </row>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row r="1003" customFormat="false" ht="14.25" hidden="false" customHeight="true" outlineLevel="0" collapsed="false"/>
    <row r="1004" customFormat="false" ht="14.25" hidden="false" customHeight="true" outlineLevel="0" collapsed="false"/>
    <row r="1005" customFormat="false" ht="14.25" hidden="false" customHeight="true" outlineLevel="0" collapsed="false"/>
    <row r="1006" customFormat="false" ht="14.25" hidden="false" customHeight="true" outlineLevel="0" collapsed="false"/>
    <row r="1007" customFormat="false" ht="14.25" hidden="false" customHeight="true" outlineLevel="0" collapsed="false"/>
  </sheetData>
  <mergeCells count="4">
    <mergeCell ref="O9:S9"/>
    <mergeCell ref="O10:S10"/>
    <mergeCell ref="O11:S11"/>
    <mergeCell ref="O12:S1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1:K100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2.66796875" defaultRowHeight="15" customHeight="true" zeroHeight="false" outlineLevelRow="0" outlineLevelCol="0"/>
  <cols>
    <col collapsed="false" customWidth="true" hidden="false" outlineLevel="0" max="1" min="1" style="1" width="9.4"/>
    <col collapsed="false" customWidth="true" hidden="false" outlineLevel="0" max="2" min="2" style="1" width="3.1"/>
    <col collapsed="false" customWidth="true" hidden="false" outlineLevel="0" max="3" min="3" style="1" width="16.4"/>
    <col collapsed="false" customWidth="true" hidden="false" outlineLevel="0" max="4" min="4" style="1" width="15.1"/>
    <col collapsed="false" customWidth="true" hidden="false" outlineLevel="0" max="5" min="5" style="1" width="16"/>
    <col collapsed="false" customWidth="true" hidden="false" outlineLevel="0" max="6" min="6" style="1" width="15.4"/>
    <col collapsed="false" customWidth="true" hidden="false" outlineLevel="0" max="7" min="7" style="1" width="16.7"/>
    <col collapsed="false" customWidth="true" hidden="false" outlineLevel="0" max="8" min="8" style="1" width="16.9"/>
    <col collapsed="false" customWidth="true" hidden="false" outlineLevel="0" max="9" min="9" style="1" width="5.4"/>
    <col collapsed="false" customWidth="true" hidden="false" outlineLevel="0" max="10" min="10" style="1" width="3.9"/>
    <col collapsed="false" customWidth="true" hidden="false" outlineLevel="0" max="11" min="11" style="1" width="49.5"/>
    <col collapsed="false" customWidth="true" hidden="false" outlineLevel="0" max="26" min="12" style="1" width="9.4"/>
  </cols>
  <sheetData>
    <row r="1" customFormat="false" ht="14.25" hidden="false" customHeight="true" outlineLevel="0" collapsed="false">
      <c r="C1" s="422"/>
    </row>
    <row r="2" customFormat="false" ht="14.25" hidden="false" customHeight="true" outlineLevel="0" collapsed="false"/>
    <row r="3" customFormat="false" ht="14.25" hidden="false" customHeight="true" outlineLevel="0" collapsed="false">
      <c r="C3" s="681" t="s">
        <v>425</v>
      </c>
      <c r="D3" s="682" t="s">
        <v>426</v>
      </c>
      <c r="E3" s="682" t="s">
        <v>427</v>
      </c>
      <c r="F3" s="682" t="s">
        <v>428</v>
      </c>
      <c r="G3" s="682" t="s">
        <v>429</v>
      </c>
      <c r="H3" s="683" t="s">
        <v>430</v>
      </c>
    </row>
    <row r="4" customFormat="false" ht="14.25" hidden="false" customHeight="true" outlineLevel="0" collapsed="false">
      <c r="C4" s="651" t="s">
        <v>431</v>
      </c>
      <c r="D4" s="659"/>
      <c r="E4" s="653" t="s">
        <v>465</v>
      </c>
      <c r="F4" s="655" t="s">
        <v>459</v>
      </c>
      <c r="G4" s="655"/>
      <c r="H4" s="684"/>
      <c r="J4" s="685"/>
      <c r="K4" s="657" t="s">
        <v>432</v>
      </c>
    </row>
    <row r="5" customFormat="false" ht="14.25" hidden="false" customHeight="true" outlineLevel="0" collapsed="false">
      <c r="C5" s="651" t="s">
        <v>433</v>
      </c>
      <c r="D5" s="659"/>
      <c r="E5" s="653" t="s">
        <v>467</v>
      </c>
      <c r="F5" s="653" t="s">
        <v>468</v>
      </c>
      <c r="G5" s="655" t="s">
        <v>469</v>
      </c>
      <c r="H5" s="655"/>
      <c r="J5" s="686"/>
      <c r="K5" s="657" t="s">
        <v>434</v>
      </c>
    </row>
    <row r="6" customFormat="false" ht="14.25" hidden="false" customHeight="true" outlineLevel="0" collapsed="false">
      <c r="C6" s="651" t="s">
        <v>435</v>
      </c>
      <c r="D6" s="659"/>
      <c r="E6" s="659"/>
      <c r="F6" s="653" t="s">
        <v>475</v>
      </c>
      <c r="G6" s="653"/>
      <c r="H6" s="655"/>
      <c r="J6" s="687"/>
      <c r="K6" s="657" t="s">
        <v>436</v>
      </c>
    </row>
    <row r="7" customFormat="false" ht="14.25" hidden="false" customHeight="true" outlineLevel="0" collapsed="false">
      <c r="C7" s="651" t="s">
        <v>437</v>
      </c>
      <c r="D7" s="659"/>
      <c r="E7" s="659"/>
      <c r="F7" s="659"/>
      <c r="G7" s="653"/>
      <c r="H7" s="653"/>
      <c r="J7" s="688"/>
      <c r="K7" s="657" t="s">
        <v>438</v>
      </c>
    </row>
    <row r="8" customFormat="false" ht="30" hidden="false" customHeight="true" outlineLevel="0" collapsed="false">
      <c r="C8" s="651" t="s">
        <v>439</v>
      </c>
      <c r="D8" s="659"/>
      <c r="E8" s="659"/>
      <c r="F8" s="659"/>
      <c r="G8" s="659"/>
      <c r="H8" s="659"/>
    </row>
    <row r="9" customFormat="false" ht="14.25" hidden="false" customHeight="true" outlineLevel="0" collapsed="false">
      <c r="C9" s="643"/>
    </row>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customHeight="true" zeroHeight="false" outlineLevelRow="0" outlineLevelCol="0"/>
  <cols>
    <col collapsed="false" customWidth="true" hidden="false" outlineLevel="0" max="1" min="1" style="1" width="9.4"/>
    <col collapsed="false" customWidth="true" hidden="false" outlineLevel="0" max="2" min="2" style="1" width="33"/>
    <col collapsed="false" customWidth="true" hidden="false" outlineLevel="0" max="3" min="3" style="1" width="13.1"/>
    <col collapsed="false" customWidth="true" hidden="false" outlineLevel="0" max="4" min="4" style="1" width="13.6"/>
    <col collapsed="false" customWidth="true" hidden="false" outlineLevel="0" max="7" min="5" style="1" width="13.9"/>
    <col collapsed="false" customWidth="true" hidden="false" outlineLevel="0" max="8" min="8" style="1" width="4.1"/>
    <col collapsed="false" customWidth="true" hidden="false" outlineLevel="0" max="9" min="9" style="1" width="36.1"/>
    <col collapsed="false" customWidth="true" hidden="false" outlineLevel="0" max="10" min="10" style="1" width="13.9"/>
    <col collapsed="false" customWidth="true" hidden="false" outlineLevel="0" max="11" min="11" style="1" width="14.1"/>
    <col collapsed="false" customWidth="true" hidden="false" outlineLevel="0" max="12" min="12" style="1" width="16"/>
    <col collapsed="false" customWidth="true" hidden="false" outlineLevel="0" max="26" min="13" style="1" width="9.4"/>
  </cols>
  <sheetData>
    <row r="1" customFormat="false" ht="14.25" hidden="false" customHeight="true" outlineLevel="0" collapsed="false">
      <c r="A1" s="689"/>
      <c r="B1" s="689"/>
      <c r="C1" s="689"/>
      <c r="D1" s="689"/>
      <c r="E1" s="689"/>
      <c r="F1" s="689"/>
      <c r="G1" s="689"/>
      <c r="H1" s="689"/>
      <c r="I1" s="689"/>
      <c r="J1" s="689"/>
      <c r="K1" s="689"/>
      <c r="L1" s="689"/>
      <c r="M1" s="689"/>
      <c r="N1" s="689"/>
      <c r="O1" s="689"/>
      <c r="P1" s="689"/>
      <c r="Q1" s="2"/>
      <c r="R1" s="2"/>
      <c r="S1" s="2"/>
      <c r="T1" s="2"/>
      <c r="U1" s="2"/>
      <c r="V1" s="2"/>
      <c r="W1" s="2"/>
      <c r="X1" s="2"/>
      <c r="Y1" s="2"/>
      <c r="Z1" s="2"/>
    </row>
    <row r="2" customFormat="false" ht="14.25" hidden="false" customHeight="true" outlineLevel="0" collapsed="false">
      <c r="A2" s="689"/>
      <c r="B2" s="690" t="s">
        <v>18</v>
      </c>
      <c r="C2" s="690"/>
      <c r="D2" s="690"/>
      <c r="E2" s="690"/>
      <c r="F2" s="690"/>
      <c r="G2" s="690"/>
      <c r="H2" s="689"/>
      <c r="I2" s="689"/>
      <c r="J2" s="689"/>
      <c r="K2" s="689"/>
      <c r="L2" s="689"/>
      <c r="M2" s="689"/>
      <c r="N2" s="689"/>
      <c r="O2" s="689"/>
      <c r="P2" s="689"/>
      <c r="Q2" s="2"/>
      <c r="R2" s="2"/>
      <c r="S2" s="2"/>
      <c r="T2" s="2"/>
      <c r="U2" s="2"/>
      <c r="V2" s="2"/>
      <c r="W2" s="2"/>
      <c r="X2" s="2"/>
      <c r="Y2" s="2"/>
      <c r="Z2" s="2"/>
    </row>
    <row r="3" customFormat="false" ht="14.25" hidden="false" customHeight="true" outlineLevel="0" collapsed="false">
      <c r="A3" s="689"/>
      <c r="B3" s="691" t="s">
        <v>388</v>
      </c>
      <c r="C3" s="691"/>
      <c r="D3" s="692" t="s">
        <v>531</v>
      </c>
      <c r="E3" s="693" t="n">
        <v>2026</v>
      </c>
      <c r="F3" s="693" t="n">
        <v>2027</v>
      </c>
      <c r="G3" s="694" t="n">
        <v>2028</v>
      </c>
      <c r="H3" s="689"/>
      <c r="I3" s="695" t="s">
        <v>532</v>
      </c>
      <c r="J3" s="695"/>
      <c r="K3" s="695"/>
      <c r="L3" s="695"/>
      <c r="M3" s="689"/>
      <c r="N3" s="689"/>
      <c r="O3" s="689"/>
      <c r="P3" s="689"/>
      <c r="Q3" s="2"/>
      <c r="R3" s="2"/>
      <c r="S3" s="2"/>
      <c r="T3" s="2"/>
      <c r="U3" s="2"/>
      <c r="V3" s="2"/>
      <c r="W3" s="2"/>
      <c r="X3" s="2"/>
      <c r="Y3" s="2"/>
      <c r="Z3" s="2"/>
    </row>
    <row r="4" customFormat="false" ht="43.5" hidden="false" customHeight="true" outlineLevel="0" collapsed="false">
      <c r="A4" s="689"/>
      <c r="B4" s="696" t="s">
        <v>93</v>
      </c>
      <c r="C4" s="696"/>
      <c r="D4" s="697" t="s">
        <v>389</v>
      </c>
      <c r="E4" s="698" t="n">
        <f aca="false">+'Presupuesto financiero'!E12</f>
        <v>105865</v>
      </c>
      <c r="F4" s="698" t="n">
        <f aca="false">+'Presupuesto financiero'!F12*0.9</f>
        <v>348207.3</v>
      </c>
      <c r="G4" s="699" t="n">
        <f aca="false">+'Presupuesto financiero'!G12*0.9</f>
        <v>634955.4</v>
      </c>
      <c r="H4" s="689"/>
      <c r="I4" s="700" t="s">
        <v>533</v>
      </c>
      <c r="J4" s="701" t="s">
        <v>534</v>
      </c>
      <c r="K4" s="701" t="s">
        <v>535</v>
      </c>
      <c r="L4" s="701" t="s">
        <v>536</v>
      </c>
      <c r="M4" s="689"/>
      <c r="N4" s="689"/>
      <c r="O4" s="689"/>
      <c r="P4" s="689"/>
      <c r="Q4" s="2"/>
      <c r="R4" s="2"/>
      <c r="S4" s="2"/>
      <c r="T4" s="2"/>
      <c r="U4" s="2"/>
      <c r="V4" s="2"/>
      <c r="W4" s="2"/>
      <c r="X4" s="2"/>
      <c r="Y4" s="2"/>
      <c r="Z4" s="2"/>
    </row>
    <row r="5" customFormat="false" ht="14.25" hidden="false" customHeight="true" outlineLevel="0" collapsed="false">
      <c r="A5" s="689"/>
      <c r="B5" s="702" t="s">
        <v>390</v>
      </c>
      <c r="C5" s="703" t="s">
        <v>348</v>
      </c>
      <c r="D5" s="704" t="s">
        <v>389</v>
      </c>
      <c r="E5" s="698" t="n">
        <f aca="false">+'Presupuesto financiero'!E13</f>
        <v>32640</v>
      </c>
      <c r="F5" s="698" t="n">
        <f aca="false">+'Presupuesto financiero'!F13</f>
        <v>77700</v>
      </c>
      <c r="G5" s="698" t="n">
        <f aca="false">+'Presupuesto financiero'!G13</f>
        <v>106860</v>
      </c>
      <c r="H5" s="689"/>
      <c r="I5" s="700"/>
      <c r="J5" s="700"/>
      <c r="K5" s="700"/>
      <c r="L5" s="700"/>
      <c r="M5" s="689"/>
      <c r="N5" s="689"/>
      <c r="O5" s="689"/>
      <c r="P5" s="689"/>
      <c r="Q5" s="2"/>
      <c r="R5" s="2"/>
      <c r="S5" s="2"/>
      <c r="T5" s="2"/>
      <c r="U5" s="2"/>
      <c r="V5" s="2"/>
      <c r="W5" s="2"/>
      <c r="X5" s="2"/>
      <c r="Y5" s="2"/>
      <c r="Z5" s="2"/>
    </row>
    <row r="6" customFormat="false" ht="14.25" hidden="false" customHeight="true" outlineLevel="0" collapsed="false">
      <c r="A6" s="689"/>
      <c r="B6" s="702"/>
      <c r="C6" s="703" t="s">
        <v>349</v>
      </c>
      <c r="D6" s="704" t="s">
        <v>389</v>
      </c>
      <c r="E6" s="698" t="n">
        <f aca="false">+'Presupuesto financiero'!E14</f>
        <v>40479.8</v>
      </c>
      <c r="F6" s="699" t="n">
        <f aca="false">+'Presupuesto financiero'!F14*0.9 + 3000</f>
        <v>56527.14</v>
      </c>
      <c r="G6" s="698" t="n">
        <f aca="false">+'Presupuesto financiero'!G14*0.9 + 3000</f>
        <v>79811.4</v>
      </c>
      <c r="H6" s="689"/>
      <c r="I6" s="700"/>
      <c r="J6" s="700"/>
      <c r="K6" s="700"/>
      <c r="L6" s="700"/>
      <c r="M6" s="689"/>
      <c r="N6" s="689"/>
      <c r="O6" s="689"/>
      <c r="P6" s="689"/>
      <c r="Q6" s="2"/>
      <c r="R6" s="2"/>
      <c r="S6" s="2"/>
      <c r="T6" s="2"/>
      <c r="U6" s="2"/>
      <c r="V6" s="2"/>
      <c r="W6" s="2"/>
      <c r="X6" s="2"/>
      <c r="Y6" s="2"/>
      <c r="Z6" s="2"/>
    </row>
    <row r="7" customFormat="false" ht="14.25" hidden="false" customHeight="true" outlineLevel="0" collapsed="false">
      <c r="A7" s="689"/>
      <c r="B7" s="702"/>
      <c r="C7" s="705" t="s">
        <v>350</v>
      </c>
      <c r="D7" s="706" t="s">
        <v>389</v>
      </c>
      <c r="E7" s="698" t="n">
        <f aca="false">+'Presupuesto financiero'!E15</f>
        <v>67319.2</v>
      </c>
      <c r="F7" s="698" t="n">
        <f aca="false">+'Presupuesto financiero'!F15</f>
        <v>67319.2</v>
      </c>
      <c r="G7" s="698" t="n">
        <f aca="false">+'Presupuesto financiero'!G15</f>
        <v>67319.2</v>
      </c>
      <c r="H7" s="689"/>
      <c r="I7" s="707"/>
      <c r="K7" s="708" t="s">
        <v>537</v>
      </c>
      <c r="L7" s="708" t="s">
        <v>538</v>
      </c>
      <c r="M7" s="689"/>
      <c r="N7" s="689"/>
      <c r="O7" s="689"/>
      <c r="P7" s="689"/>
      <c r="Q7" s="2"/>
      <c r="R7" s="2"/>
      <c r="S7" s="2"/>
      <c r="T7" s="2"/>
      <c r="U7" s="2"/>
      <c r="V7" s="2"/>
      <c r="W7" s="2"/>
      <c r="X7" s="2"/>
      <c r="Y7" s="2"/>
      <c r="Z7" s="2"/>
    </row>
    <row r="8" customFormat="false" ht="14.25" hidden="false" customHeight="true" outlineLevel="0" collapsed="false">
      <c r="A8" s="689"/>
      <c r="B8" s="709" t="s">
        <v>391</v>
      </c>
      <c r="C8" s="709"/>
      <c r="D8" s="710" t="s">
        <v>389</v>
      </c>
      <c r="E8" s="711" t="n">
        <f aca="false">+E4-E5-E6-E7</f>
        <v>-34574</v>
      </c>
      <c r="F8" s="711" t="n">
        <f aca="false">+F4-F5-F6-F7</f>
        <v>146660.96</v>
      </c>
      <c r="G8" s="711" t="n">
        <f aca="false">+G4-G5-G6-G7</f>
        <v>380964.8</v>
      </c>
      <c r="H8" s="689"/>
      <c r="I8" s="689"/>
      <c r="J8" s="689"/>
      <c r="K8" s="689"/>
      <c r="L8" s="689"/>
      <c r="M8" s="689"/>
      <c r="N8" s="689"/>
      <c r="O8" s="689"/>
      <c r="P8" s="689"/>
      <c r="Q8" s="2"/>
      <c r="R8" s="2"/>
      <c r="S8" s="2"/>
      <c r="T8" s="2"/>
      <c r="U8" s="2"/>
      <c r="V8" s="2"/>
      <c r="W8" s="2"/>
      <c r="X8" s="2"/>
      <c r="Y8" s="2"/>
      <c r="Z8" s="2"/>
    </row>
    <row r="9" customFormat="false" ht="14.25" hidden="false" customHeight="true" outlineLevel="0" collapsed="false">
      <c r="A9" s="689"/>
      <c r="B9" s="712" t="s">
        <v>539</v>
      </c>
      <c r="C9" s="713" t="n">
        <v>0.03</v>
      </c>
      <c r="D9" s="697" t="s">
        <v>389</v>
      </c>
      <c r="E9" s="714" t="n">
        <f aca="false">+E4*$C$9</f>
        <v>3175.95</v>
      </c>
      <c r="F9" s="714" t="n">
        <f aca="false">+F4*$C$9</f>
        <v>10446.219</v>
      </c>
      <c r="G9" s="715" t="n">
        <f aca="false">+G4*$C$9</f>
        <v>19048.662</v>
      </c>
      <c r="H9" s="689"/>
      <c r="I9" s="689"/>
      <c r="J9" s="689"/>
      <c r="K9" s="689"/>
      <c r="L9" s="689"/>
      <c r="M9" s="689"/>
      <c r="N9" s="689"/>
      <c r="O9" s="689"/>
      <c r="P9" s="689"/>
      <c r="Q9" s="2"/>
      <c r="R9" s="2"/>
      <c r="S9" s="2"/>
      <c r="T9" s="2"/>
      <c r="U9" s="2"/>
      <c r="V9" s="2"/>
      <c r="W9" s="2"/>
      <c r="X9" s="2"/>
      <c r="Y9" s="2"/>
      <c r="Z9" s="2"/>
    </row>
    <row r="10" customFormat="false" ht="14.25" hidden="false" customHeight="true" outlineLevel="0" collapsed="false">
      <c r="A10" s="689"/>
      <c r="B10" s="716" t="s">
        <v>540</v>
      </c>
      <c r="C10" s="716"/>
      <c r="D10" s="704"/>
      <c r="E10" s="717" t="n">
        <v>0</v>
      </c>
      <c r="F10" s="717" t="n">
        <f aca="false">MAX(0,$E$22)*0.35</f>
        <v>0</v>
      </c>
      <c r="G10" s="717" t="n">
        <f aca="false">MAX(0,$F$22)*0.35</f>
        <v>46367.7926833333</v>
      </c>
      <c r="H10" s="689"/>
      <c r="I10" s="689"/>
      <c r="J10" s="689"/>
      <c r="K10" s="689"/>
      <c r="L10" s="689"/>
      <c r="M10" s="689"/>
      <c r="N10" s="689"/>
      <c r="O10" s="689"/>
      <c r="P10" s="689"/>
      <c r="Q10" s="2"/>
      <c r="R10" s="2"/>
      <c r="S10" s="2"/>
      <c r="T10" s="2"/>
      <c r="U10" s="2"/>
      <c r="V10" s="2"/>
      <c r="W10" s="2"/>
      <c r="X10" s="2"/>
      <c r="Y10" s="2"/>
      <c r="Z10" s="2"/>
    </row>
    <row r="11" customFormat="false" ht="14.25" hidden="false" customHeight="true" outlineLevel="0" collapsed="false">
      <c r="A11" s="689"/>
      <c r="B11" s="718"/>
      <c r="C11" s="718"/>
      <c r="D11" s="706"/>
      <c r="E11" s="719"/>
      <c r="F11" s="719"/>
      <c r="G11" s="720"/>
      <c r="H11" s="689"/>
      <c r="I11" s="689"/>
      <c r="J11" s="689"/>
      <c r="K11" s="689"/>
      <c r="L11" s="689"/>
      <c r="M11" s="689"/>
      <c r="N11" s="689"/>
      <c r="O11" s="689"/>
      <c r="P11" s="689"/>
      <c r="Q11" s="2"/>
      <c r="R11" s="2"/>
      <c r="S11" s="2"/>
      <c r="T11" s="2"/>
      <c r="U11" s="2"/>
      <c r="V11" s="2"/>
      <c r="W11" s="2"/>
      <c r="X11" s="2"/>
      <c r="Y11" s="2"/>
      <c r="Z11" s="2"/>
    </row>
    <row r="12" customFormat="false" ht="14.25" hidden="false" customHeight="true" outlineLevel="0" collapsed="false">
      <c r="A12" s="689"/>
      <c r="B12" s="709" t="s">
        <v>394</v>
      </c>
      <c r="C12" s="709"/>
      <c r="D12" s="710" t="s">
        <v>389</v>
      </c>
      <c r="E12" s="711" t="n">
        <f aca="false">+E8-E9-E10</f>
        <v>-37749.95</v>
      </c>
      <c r="F12" s="711" t="n">
        <f aca="false">+F8-F9-F10</f>
        <v>136214.741</v>
      </c>
      <c r="G12" s="711" t="n">
        <f aca="false">+G8-G9-G10</f>
        <v>315548.345316667</v>
      </c>
      <c r="H12" s="689"/>
      <c r="I12" s="689"/>
      <c r="J12" s="689"/>
      <c r="K12" s="689"/>
      <c r="L12" s="689"/>
      <c r="M12" s="689"/>
      <c r="N12" s="689"/>
      <c r="O12" s="689"/>
      <c r="P12" s="689"/>
      <c r="Q12" s="2"/>
      <c r="R12" s="2"/>
      <c r="S12" s="2"/>
      <c r="T12" s="2"/>
      <c r="U12" s="2"/>
      <c r="V12" s="2"/>
      <c r="W12" s="2"/>
      <c r="X12" s="2"/>
      <c r="Y12" s="2"/>
      <c r="Z12" s="2"/>
    </row>
    <row r="13" customFormat="false" ht="14.25" hidden="false" customHeight="true" outlineLevel="0" collapsed="false">
      <c r="A13" s="689"/>
      <c r="B13" s="721" t="s">
        <v>395</v>
      </c>
      <c r="C13" s="721"/>
      <c r="D13" s="722" t="n">
        <f aca="false">+'Presupuesto financiero'!D21</f>
        <v>-67705</v>
      </c>
      <c r="E13" s="723" t="n">
        <f aca="false">+'Presupuesto financiero'!E21</f>
        <v>-10098</v>
      </c>
      <c r="F13" s="724" t="n">
        <f aca="false">+'Presupuesto financiero'!F21</f>
        <v>-11900</v>
      </c>
      <c r="G13" s="725" t="n">
        <f aca="false">+'Presupuesto financiero'!G21</f>
        <v>-18132</v>
      </c>
      <c r="H13" s="689"/>
      <c r="I13" s="689"/>
      <c r="J13" s="689"/>
      <c r="K13" s="689"/>
      <c r="L13" s="689"/>
      <c r="M13" s="689"/>
      <c r="N13" s="689"/>
      <c r="O13" s="689"/>
      <c r="P13" s="689"/>
      <c r="Q13" s="2"/>
      <c r="R13" s="2"/>
      <c r="S13" s="2"/>
      <c r="T13" s="2"/>
      <c r="U13" s="2"/>
      <c r="V13" s="2"/>
      <c r="W13" s="2"/>
      <c r="X13" s="2"/>
      <c r="Y13" s="2"/>
      <c r="Z13" s="2"/>
    </row>
    <row r="14" customFormat="false" ht="14.25" hidden="false" customHeight="true" outlineLevel="0" collapsed="false">
      <c r="A14" s="689"/>
      <c r="B14" s="726" t="s">
        <v>396</v>
      </c>
      <c r="C14" s="726"/>
      <c r="D14" s="727" t="n">
        <f aca="false">+D13</f>
        <v>-67705</v>
      </c>
      <c r="E14" s="728" t="n">
        <f aca="false">+E12+E13</f>
        <v>-47847.95</v>
      </c>
      <c r="F14" s="728" t="n">
        <f aca="false">+F12+F13</f>
        <v>124314.741</v>
      </c>
      <c r="G14" s="728" t="n">
        <f aca="false">+G12+G13</f>
        <v>297416.345316667</v>
      </c>
      <c r="H14" s="689"/>
      <c r="I14" s="689"/>
      <c r="J14" s="689"/>
      <c r="K14" s="689"/>
      <c r="L14" s="689"/>
      <c r="M14" s="689"/>
      <c r="N14" s="689"/>
      <c r="O14" s="689"/>
      <c r="P14" s="689"/>
      <c r="Q14" s="2"/>
      <c r="R14" s="2"/>
      <c r="S14" s="2"/>
      <c r="T14" s="2"/>
      <c r="U14" s="2"/>
      <c r="V14" s="2"/>
      <c r="W14" s="2"/>
      <c r="X14" s="2"/>
      <c r="Y14" s="2"/>
      <c r="Z14" s="2"/>
    </row>
    <row r="15" customFormat="false" ht="14.25" hidden="false" customHeight="true" outlineLevel="0" collapsed="false">
      <c r="A15" s="689"/>
      <c r="B15" s="689"/>
      <c r="C15" s="689"/>
      <c r="D15" s="689"/>
      <c r="E15" s="689"/>
      <c r="F15" s="689"/>
      <c r="G15" s="689"/>
      <c r="H15" s="689"/>
      <c r="I15" s="689"/>
      <c r="J15" s="689"/>
      <c r="K15" s="689"/>
      <c r="L15" s="689"/>
      <c r="M15" s="689"/>
      <c r="N15" s="689"/>
      <c r="O15" s="689"/>
      <c r="P15" s="689"/>
      <c r="Q15" s="2"/>
      <c r="R15" s="2"/>
      <c r="S15" s="2"/>
      <c r="T15" s="2"/>
      <c r="U15" s="2"/>
      <c r="V15" s="2"/>
      <c r="W15" s="2"/>
      <c r="X15" s="2"/>
      <c r="Y15" s="2"/>
      <c r="Z15" s="2"/>
    </row>
    <row r="16" customFormat="false" ht="14.25" hidden="false" customHeight="true" outlineLevel="0" collapsed="false">
      <c r="A16" s="689"/>
      <c r="B16" s="689"/>
      <c r="C16" s="689"/>
      <c r="D16" s="689"/>
      <c r="E16" s="689"/>
      <c r="F16" s="689"/>
      <c r="G16" s="689"/>
      <c r="H16" s="689"/>
      <c r="I16" s="689"/>
      <c r="J16" s="689"/>
      <c r="K16" s="689"/>
      <c r="L16" s="689"/>
      <c r="M16" s="689"/>
      <c r="N16" s="689"/>
      <c r="O16" s="689"/>
      <c r="P16" s="689"/>
      <c r="Q16" s="2"/>
      <c r="R16" s="2"/>
      <c r="S16" s="2"/>
      <c r="T16" s="2"/>
      <c r="U16" s="2"/>
      <c r="V16" s="2"/>
      <c r="W16" s="2"/>
      <c r="X16" s="2"/>
      <c r="Y16" s="2"/>
      <c r="Z16" s="2"/>
    </row>
    <row r="17" customFormat="false" ht="14.25" hidden="false" customHeight="true" outlineLevel="0" collapsed="false">
      <c r="A17" s="689"/>
      <c r="B17" s="689"/>
      <c r="C17" s="689"/>
      <c r="D17" s="689"/>
      <c r="E17" s="689"/>
      <c r="F17" s="689"/>
      <c r="G17" s="689"/>
      <c r="H17" s="689"/>
      <c r="I17" s="689"/>
      <c r="J17" s="689"/>
      <c r="K17" s="689"/>
      <c r="L17" s="689"/>
      <c r="M17" s="689"/>
      <c r="N17" s="689"/>
      <c r="O17" s="689"/>
      <c r="P17" s="689"/>
      <c r="Q17" s="2"/>
      <c r="R17" s="2"/>
      <c r="S17" s="2"/>
      <c r="T17" s="2"/>
      <c r="U17" s="2"/>
      <c r="V17" s="2"/>
      <c r="W17" s="2"/>
      <c r="X17" s="2"/>
      <c r="Y17" s="2"/>
      <c r="Z17" s="2"/>
    </row>
    <row r="18" customFormat="false" ht="14.25" hidden="false" customHeight="true" outlineLevel="0" collapsed="false">
      <c r="A18" s="689"/>
      <c r="B18" s="689"/>
      <c r="C18" s="689"/>
      <c r="D18" s="689"/>
      <c r="E18" s="729" t="s">
        <v>403</v>
      </c>
      <c r="F18" s="730" t="n">
        <f aca="false">+'Presupuesto financiero'!$G$33</f>
        <v>0.3</v>
      </c>
      <c r="G18" s="689"/>
      <c r="H18" s="689"/>
      <c r="I18" s="689"/>
      <c r="J18" s="689"/>
      <c r="K18" s="689"/>
      <c r="L18" s="689"/>
      <c r="M18" s="689"/>
      <c r="N18" s="689"/>
      <c r="O18" s="689"/>
      <c r="P18" s="689"/>
      <c r="Q18" s="2"/>
      <c r="R18" s="2"/>
      <c r="S18" s="2"/>
      <c r="T18" s="2"/>
      <c r="U18" s="2"/>
      <c r="V18" s="2"/>
      <c r="W18" s="2"/>
      <c r="X18" s="2"/>
      <c r="Y18" s="2"/>
      <c r="Z18" s="2"/>
    </row>
    <row r="19" customFormat="false" ht="14.25" hidden="false" customHeight="true" outlineLevel="0" collapsed="false">
      <c r="A19" s="689"/>
      <c r="B19" s="689"/>
      <c r="C19" s="689"/>
      <c r="D19" s="689"/>
      <c r="E19" s="731" t="s">
        <v>404</v>
      </c>
      <c r="F19" s="732" t="n">
        <f aca="false">NPV($F$18,E14:G14)+D14</f>
        <v>104421.751532393</v>
      </c>
      <c r="G19" s="689"/>
      <c r="H19" s="689"/>
      <c r="I19" s="689"/>
      <c r="J19" s="689"/>
      <c r="K19" s="689"/>
      <c r="L19" s="689"/>
      <c r="M19" s="689"/>
      <c r="N19" s="689"/>
      <c r="O19" s="689"/>
      <c r="P19" s="689"/>
      <c r="Q19" s="2"/>
      <c r="R19" s="2"/>
      <c r="S19" s="2"/>
      <c r="T19" s="2"/>
      <c r="U19" s="2"/>
      <c r="V19" s="2"/>
      <c r="W19" s="2"/>
      <c r="X19" s="2"/>
      <c r="Y19" s="2"/>
      <c r="Z19" s="2"/>
    </row>
    <row r="20" customFormat="false" ht="14.25" hidden="false" customHeight="true" outlineLevel="0" collapsed="false">
      <c r="A20" s="689"/>
      <c r="B20" s="689"/>
      <c r="C20" s="689"/>
      <c r="D20" s="689"/>
      <c r="E20" s="733" t="s">
        <v>406</v>
      </c>
      <c r="F20" s="734" t="n">
        <f aca="false">IRR(D14:G14,$F$18)</f>
        <v>0.758340762141959</v>
      </c>
      <c r="G20" s="689"/>
      <c r="H20" s="689"/>
      <c r="I20" s="689"/>
      <c r="J20" s="689"/>
      <c r="K20" s="689"/>
      <c r="L20" s="689"/>
      <c r="M20" s="689"/>
      <c r="N20" s="689"/>
      <c r="O20" s="689"/>
      <c r="P20" s="689"/>
      <c r="Q20" s="2"/>
      <c r="R20" s="2"/>
      <c r="S20" s="2"/>
      <c r="T20" s="2"/>
      <c r="U20" s="2"/>
      <c r="V20" s="2"/>
      <c r="W20" s="2"/>
      <c r="X20" s="2"/>
      <c r="Y20" s="2"/>
      <c r="Z20" s="2"/>
    </row>
    <row r="21" customFormat="false" ht="14.25" hidden="false" customHeight="true" outlineLevel="0" collapsed="false">
      <c r="A21" s="689"/>
      <c r="B21" s="689"/>
      <c r="C21" s="689"/>
      <c r="D21" s="689"/>
      <c r="E21" s="689"/>
      <c r="F21" s="689"/>
      <c r="G21" s="689"/>
      <c r="H21" s="689"/>
      <c r="I21" s="689"/>
      <c r="J21" s="689"/>
      <c r="K21" s="689"/>
      <c r="L21" s="689"/>
      <c r="M21" s="689"/>
      <c r="N21" s="689"/>
      <c r="O21" s="689"/>
      <c r="P21" s="689"/>
      <c r="Q21" s="2"/>
      <c r="R21" s="2"/>
      <c r="S21" s="2"/>
      <c r="T21" s="2"/>
      <c r="U21" s="2"/>
      <c r="V21" s="2"/>
      <c r="W21" s="2"/>
      <c r="X21" s="2"/>
      <c r="Y21" s="2"/>
      <c r="Z21" s="2"/>
    </row>
    <row r="22" customFormat="false" ht="14.25" hidden="false" customHeight="true" outlineLevel="0" collapsed="false">
      <c r="A22" s="689"/>
      <c r="B22" s="689" t="s">
        <v>541</v>
      </c>
      <c r="C22" s="689"/>
      <c r="D22" s="689"/>
      <c r="E22" s="689" t="n">
        <f aca="false">+E8-E9-Amortizaciones!$I$5</f>
        <v>-39898.6166666667</v>
      </c>
      <c r="F22" s="689" t="n">
        <f aca="false">+F8-F9-Amortizaciones!$J$5</f>
        <v>132479.407666667</v>
      </c>
      <c r="G22" s="689" t="n">
        <f aca="false">+G8-G9-Amortizaciones!$K$5</f>
        <v>356623.938</v>
      </c>
      <c r="H22" s="689"/>
      <c r="I22" s="689"/>
      <c r="J22" s="689"/>
      <c r="K22" s="689"/>
      <c r="L22" s="689"/>
      <c r="M22" s="689"/>
      <c r="N22" s="689"/>
      <c r="O22" s="689"/>
      <c r="P22" s="689"/>
      <c r="Q22" s="2"/>
      <c r="R22" s="2"/>
      <c r="S22" s="2"/>
      <c r="T22" s="2"/>
      <c r="U22" s="2"/>
      <c r="V22" s="2"/>
      <c r="W22" s="2"/>
      <c r="X22" s="2"/>
      <c r="Y22" s="2"/>
      <c r="Z22" s="2"/>
    </row>
    <row r="23" customFormat="false" ht="14.25" hidden="false" customHeight="true" outlineLevel="0" collapsed="false">
      <c r="A23" s="689"/>
      <c r="B23" s="689"/>
      <c r="C23" s="689"/>
      <c r="D23" s="689"/>
      <c r="E23" s="689"/>
      <c r="F23" s="689"/>
      <c r="G23" s="689"/>
      <c r="H23" s="689"/>
      <c r="I23" s="689"/>
      <c r="J23" s="689"/>
      <c r="K23" s="689"/>
      <c r="L23" s="689"/>
      <c r="M23" s="689"/>
      <c r="N23" s="689"/>
      <c r="O23" s="689"/>
      <c r="P23" s="689"/>
      <c r="Q23" s="2"/>
      <c r="R23" s="2"/>
      <c r="S23" s="2"/>
      <c r="T23" s="2"/>
      <c r="U23" s="2"/>
      <c r="V23" s="2"/>
      <c r="W23" s="2"/>
      <c r="X23" s="2"/>
      <c r="Y23" s="2"/>
      <c r="Z23" s="2"/>
    </row>
    <row r="24" customFormat="false" ht="14.25" hidden="false" customHeight="true" outlineLevel="0" collapsed="false">
      <c r="A24" s="689"/>
      <c r="B24" s="689"/>
      <c r="C24" s="689"/>
      <c r="D24" s="689"/>
      <c r="E24" s="689"/>
      <c r="F24" s="689"/>
      <c r="G24" s="689"/>
      <c r="H24" s="689"/>
      <c r="I24" s="689"/>
      <c r="J24" s="689"/>
      <c r="K24" s="689"/>
      <c r="L24" s="689"/>
      <c r="M24" s="689"/>
      <c r="N24" s="689"/>
      <c r="O24" s="689"/>
      <c r="P24" s="689"/>
      <c r="Q24" s="2"/>
      <c r="R24" s="2"/>
      <c r="S24" s="2"/>
      <c r="T24" s="2"/>
      <c r="U24" s="2"/>
      <c r="V24" s="2"/>
      <c r="W24" s="2"/>
      <c r="X24" s="2"/>
      <c r="Y24" s="2"/>
      <c r="Z24" s="2"/>
    </row>
    <row r="25" customFormat="false" ht="14.25" hidden="false" customHeight="true" outlineLevel="0" collapsed="false">
      <c r="A25" s="689"/>
      <c r="B25" s="689"/>
      <c r="C25" s="689"/>
      <c r="D25" s="689"/>
      <c r="E25" s="689"/>
      <c r="F25" s="689"/>
      <c r="G25" s="689"/>
      <c r="H25" s="689"/>
      <c r="I25" s="689"/>
      <c r="J25" s="689"/>
      <c r="K25" s="689"/>
      <c r="L25" s="689"/>
      <c r="M25" s="689"/>
      <c r="N25" s="689"/>
      <c r="O25" s="2"/>
      <c r="P25" s="2"/>
      <c r="Q25" s="2"/>
      <c r="R25" s="2"/>
      <c r="S25" s="2"/>
      <c r="T25" s="2"/>
      <c r="U25" s="2"/>
      <c r="V25" s="2"/>
      <c r="W25" s="2"/>
      <c r="X25" s="2"/>
      <c r="Y25" s="2"/>
      <c r="Z25" s="2"/>
    </row>
    <row r="26" customFormat="false" ht="14.25" hidden="false" customHeight="true" outlineLevel="0" collapsed="false">
      <c r="A26" s="689"/>
      <c r="B26" s="689"/>
      <c r="C26" s="689"/>
      <c r="D26" s="689"/>
      <c r="E26" s="689"/>
      <c r="F26" s="689"/>
      <c r="G26" s="689"/>
      <c r="H26" s="689"/>
      <c r="I26" s="689"/>
      <c r="J26" s="689"/>
      <c r="K26" s="689"/>
      <c r="L26" s="689"/>
      <c r="M26" s="689"/>
      <c r="N26" s="689"/>
      <c r="O26" s="2"/>
      <c r="P26" s="2"/>
      <c r="Q26" s="2"/>
      <c r="R26" s="2"/>
      <c r="S26" s="2"/>
      <c r="T26" s="2"/>
      <c r="U26" s="2"/>
      <c r="V26" s="2"/>
      <c r="W26" s="2"/>
      <c r="X26" s="2"/>
      <c r="Y26" s="2"/>
      <c r="Z26" s="2"/>
    </row>
    <row r="27" customFormat="false" ht="14.25" hidden="false" customHeight="true" outlineLevel="0" collapsed="false">
      <c r="A27" s="689"/>
      <c r="B27" s="689"/>
      <c r="C27" s="689"/>
      <c r="D27" s="689"/>
      <c r="E27" s="689"/>
      <c r="F27" s="689"/>
      <c r="G27" s="689"/>
      <c r="H27" s="689"/>
      <c r="I27" s="689"/>
      <c r="J27" s="689"/>
      <c r="K27" s="689"/>
      <c r="L27" s="689"/>
      <c r="M27" s="689"/>
      <c r="N27" s="689"/>
      <c r="O27" s="2"/>
      <c r="P27" s="2"/>
      <c r="Q27" s="2"/>
      <c r="R27" s="2"/>
      <c r="S27" s="2"/>
      <c r="T27" s="2"/>
      <c r="U27" s="2"/>
      <c r="V27" s="2"/>
      <c r="W27" s="2"/>
      <c r="X27" s="2"/>
      <c r="Y27" s="2"/>
      <c r="Z27" s="2"/>
    </row>
    <row r="28" customFormat="false" ht="14.25" hidden="false" customHeight="true" outlineLevel="0" collapsed="false">
      <c r="A28" s="689"/>
      <c r="B28" s="689"/>
      <c r="C28" s="689"/>
      <c r="D28" s="689"/>
      <c r="E28" s="689"/>
      <c r="F28" s="689"/>
      <c r="G28" s="689"/>
      <c r="H28" s="689"/>
      <c r="I28" s="689"/>
      <c r="J28" s="689"/>
      <c r="K28" s="689"/>
      <c r="L28" s="689"/>
      <c r="M28" s="689"/>
      <c r="N28" s="689"/>
      <c r="O28" s="2"/>
      <c r="P28" s="2"/>
      <c r="Q28" s="2"/>
      <c r="R28" s="2"/>
      <c r="S28" s="2"/>
      <c r="T28" s="2"/>
      <c r="U28" s="2"/>
      <c r="V28" s="2"/>
      <c r="W28" s="2"/>
      <c r="X28" s="2"/>
      <c r="Y28" s="2"/>
      <c r="Z28" s="2"/>
    </row>
    <row r="29" customFormat="false" ht="14.25" hidden="false" customHeight="true" outlineLevel="0" collapsed="false">
      <c r="A29" s="689"/>
      <c r="B29" s="689"/>
      <c r="C29" s="689"/>
      <c r="D29" s="689"/>
      <c r="E29" s="689"/>
      <c r="F29" s="689"/>
      <c r="G29" s="689"/>
      <c r="H29" s="689"/>
      <c r="I29" s="689"/>
      <c r="J29" s="689"/>
      <c r="K29" s="689"/>
      <c r="L29" s="689"/>
      <c r="M29" s="689"/>
      <c r="N29" s="689"/>
      <c r="O29" s="2"/>
      <c r="P29" s="2"/>
      <c r="Q29" s="2"/>
      <c r="R29" s="2"/>
      <c r="S29" s="2"/>
      <c r="T29" s="2"/>
      <c r="U29" s="2"/>
      <c r="V29" s="2"/>
      <c r="W29" s="2"/>
      <c r="X29" s="2"/>
      <c r="Y29" s="2"/>
      <c r="Z29" s="2"/>
    </row>
    <row r="30" customFormat="false" ht="14.25" hidden="false" customHeight="true" outlineLevel="0" collapsed="false">
      <c r="A30" s="689"/>
      <c r="B30" s="689"/>
      <c r="C30" s="689"/>
      <c r="D30" s="689"/>
      <c r="E30" s="689"/>
      <c r="F30" s="689"/>
      <c r="G30" s="689"/>
      <c r="H30" s="689"/>
      <c r="I30" s="689"/>
      <c r="J30" s="689"/>
      <c r="K30" s="689"/>
      <c r="L30" s="689"/>
      <c r="M30" s="689"/>
      <c r="N30" s="689"/>
      <c r="O30" s="2"/>
      <c r="P30" s="2"/>
      <c r="Q30" s="2"/>
      <c r="R30" s="2"/>
      <c r="S30" s="2"/>
      <c r="T30" s="2"/>
      <c r="U30" s="2"/>
      <c r="V30" s="2"/>
      <c r="W30" s="2"/>
      <c r="X30" s="2"/>
      <c r="Y30" s="2"/>
      <c r="Z30" s="2"/>
    </row>
    <row r="31" customFormat="false" ht="14.2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4.2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4.2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4.2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4.2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4.2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4.2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4.2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4.2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4.2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4.2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4.2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4.2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4.2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4.2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4.2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4.2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4.2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4.2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4.2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4.2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4.2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4.2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4.2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4.2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4.2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4.2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4.2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4.2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4.2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4.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4.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4.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4.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4.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4.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4.2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4.2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4.2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4.2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4.2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4.2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4.2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4.2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4.2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4.2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4.2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4.2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4.2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4.2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4.2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4.2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4.2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4.2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4.2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4.2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4.2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4.2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4.2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4.2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4.2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4.2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4.2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4.2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4.2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4.2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4.2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4.2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4.2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4.2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4.2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4.2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4.2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4.2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4.2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4.2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4.2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4.2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4.2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4.2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4.2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4.2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4.2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4.2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4.2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4.2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4.2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4.2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4.2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4.2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4.2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4.2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4.2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4.2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4.2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4.2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4.2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4.2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4.2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4.2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4.2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4.2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4.2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4.2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4.2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4.2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4.2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4.2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4.2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4.2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4.2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4.2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4.2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4.2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4.2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4.2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4.2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4.2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4.2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4.2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4.2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4.2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4.2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4.2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4.2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4.2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4.2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4.2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4.2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4.2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4.2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4.2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4.2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4.2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4.2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4.2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4.2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4.2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4.2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4.2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4.2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4.2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4.2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4.2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4.2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4.2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4.2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4.2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4.2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4.2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4.2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4.2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4.2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4.2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4.2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4.2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4.2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4.2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4.2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4.2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4.2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4.2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4.2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4.2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4.2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4.2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4.2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4.2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4.2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4.2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4.2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4.2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4.2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4.2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4.2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4.2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4.2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4.2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4.2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4.2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4.2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4.2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4.2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4.2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4.2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4.2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4.2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4.2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4.2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4.2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4.2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4.2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4.2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4.2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4.2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4.2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4.2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4.2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4.2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4.2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4.2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4.2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4.2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4.2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4.2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4.2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4.2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4.2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4.2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4.2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4.2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4.2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4.2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4.2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4.2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4.2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4.2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4.2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4.2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4.2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4.2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4.2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4.2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4.2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4.2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4.2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4.2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4.2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4.2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4.2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4.2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4.2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4.2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4.2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4.2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4.2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4.2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4.2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4.2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4.2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4.2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4.2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4.2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4.2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4.2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4.2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4.2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4.2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4.2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4.2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4.2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4.2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4.2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4.2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4.2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4.2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4.2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4.2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4.2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4.2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4.2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4.2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4.2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4.2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4.2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4.2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4.2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4.2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4.2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4.2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4.2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4.2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4.2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4.2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4.2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4.2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4.2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4.2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4.2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4.2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4.2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4.2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4.2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4.2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4.2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4.2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4.2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4.2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4.2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4.2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4.2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4.2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4.2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4.2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4.2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4.2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4.2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4.2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4.2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4.2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4.2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4.2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4.2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4.2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4.2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4.2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4.2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4.2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4.2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4.2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4.2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4.2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4.2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4.2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4.2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4.2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4.2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4.2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4.2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4.2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4.2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4.2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4.2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4.2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4.2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4.2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4.2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4.2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4.2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4.2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4.2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4.2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4.2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4.2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4.2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4.2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4.2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4.2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4.2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4.2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4.2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4.2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4.2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4.2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4.2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4.2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4.2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4.2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4.2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4.2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4.2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4.2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4.2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4.2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4.2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4.2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4.2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4.2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4.2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4.2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4.2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4.2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4.2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4.2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4.2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4.2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4.2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4.2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4.2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4.2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4.2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4.2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4.2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4.2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4.2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4.2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4.2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4.2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4.2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4.2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4.2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4.2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4.2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4.2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4.2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4.2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4.2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4.2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4.2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4.2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4.2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4.2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4.2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4.2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4.2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4.2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4.2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4.2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4.2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4.2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4.2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4.2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4.2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4.2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4.2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4.2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4.2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4.2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4.2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4.2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4.2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4.2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4.2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4.2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4.2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4.2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4.2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4.2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4.2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4.2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4.2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4.2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4.2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4.2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4.2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4.2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4.2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4.2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4.2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4.2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4.2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4.2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4.2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4.2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4.2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4.2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4.2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4.2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4.2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4.2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4.2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4.2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4.2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4.2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4.2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4.2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4.2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4.2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4.2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4.2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4.2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4.2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4.2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4.2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4.2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4.2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4.2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4.2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4.2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4.2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4.2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4.2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4.2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4.2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4.2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4.2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4.2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4.2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4.2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4.2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4.2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4.2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4.2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4.2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4.2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4.2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4.2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4.2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4.2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4.2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4.2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4.2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4.2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4.2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4.2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4.2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4.2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4.2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4.2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4.2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4.2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4.2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4.2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4.2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4.2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4.2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4.2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4.2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4.2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4.2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4.2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4.2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4.2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4.2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4.2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4.2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4.2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4.2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4.2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4.2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4.2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4.2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4.2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4.2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4.2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4.2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4.2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4.2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4.2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4.2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4.2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4.2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4.2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4.2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4.2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4.2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4.2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4.2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4.2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4.2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4.2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4.2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4.2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4.2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4.2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4.2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4.2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4.2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4.2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4.2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4.2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4.2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4.2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4.2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4.2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4.2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4.2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4.2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4.2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4.2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4.2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4.2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4.2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4.2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4.2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4.2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4.2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4.2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4.2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4.2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4.2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4.2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4.2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4.2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4.2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4.2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4.2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4.2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4.2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4.2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4.2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4.2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4.2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4.2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4.2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4.2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4.2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4.2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4.2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4.2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4.2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4.2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4.2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4.2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4.2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4.2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4.2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4.2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4.2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4.2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4.2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4.2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4.2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4.2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4.2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4.2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4.2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4.2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4.2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4.2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4.2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4.2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4.2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4.2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4.2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4.2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4.2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4.2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4.2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4.2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4.2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4.2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4.2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4.2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4.2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4.2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4.2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4.2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4.2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4.2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4.2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4.2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4.2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4.2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4.2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4.2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4.2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4.2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4.2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4.2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4.2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4.2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4.2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4.2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4.2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4.2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4.2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4.2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4.2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4.2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4.2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4.2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4.2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4.2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4.2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4.2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4.2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4.2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4.2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4.2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4.2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4.2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4.2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4.2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4.2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4.2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4.2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4.2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4.2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4.2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4.2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4.2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4.2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4.2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4.2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4.2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4.2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4.2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4.2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4.2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4.2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4.2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4.2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4.2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4.2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4.2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4.2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4.2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4.2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4.2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4.2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4.2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4.2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4.2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4.2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4.2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4.2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4.2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4.2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4.2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4.2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4.2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4.2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4.2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4.2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4.2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4.2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4.2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4.2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4.2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4.2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4.2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4.2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4.2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4.2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4.2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4.2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4.2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4.2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4.2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4.2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4.2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4.2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4.2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4.2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4.2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4.2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4.2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4.2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4.2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4.2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4.2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4.2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4.2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4.2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4.2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4.2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4.2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4.2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4.2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4.2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4.2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4.2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4.2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4.2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4.2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4.2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4.2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4.2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4.2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4.2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4.2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4.2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4.2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4.2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4.2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4.2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4.2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4.2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4.2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4.2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4.2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4.2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4.2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4.2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4.2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4.2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4.2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4.2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4.2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4.2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4.2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4.2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4.2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4.2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4.2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4.2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4.2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4.2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4.2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4.2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4.2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4.2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4.2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4.2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4.2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4.2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4.2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4.2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4.2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4.2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4.2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4.2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4.2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4.2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4.2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4.2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4.2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4.2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4.2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4.2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4.2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4.2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4.2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4.2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4.2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4.2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4.2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4.2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4.2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4.2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4.2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4.2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4.2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4.2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4.2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4.2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4.2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4.2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4.2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5">
    <mergeCell ref="B2:G2"/>
    <mergeCell ref="B3:C3"/>
    <mergeCell ref="I3:L3"/>
    <mergeCell ref="B4:C4"/>
    <mergeCell ref="I4:I6"/>
    <mergeCell ref="J4:J6"/>
    <mergeCell ref="K4:K6"/>
    <mergeCell ref="L4:L6"/>
    <mergeCell ref="B5:B7"/>
    <mergeCell ref="B8:C8"/>
    <mergeCell ref="B10:C10"/>
    <mergeCell ref="B11:C11"/>
    <mergeCell ref="B12:C12"/>
    <mergeCell ref="B13:C13"/>
    <mergeCell ref="B14:C1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customHeight="true" zeroHeight="false" outlineLevelRow="0" outlineLevelCol="0"/>
  <cols>
    <col collapsed="false" customWidth="true" hidden="false" outlineLevel="0" max="1" min="1" style="1" width="9.4"/>
    <col collapsed="false" customWidth="true" hidden="false" outlineLevel="0" max="2" min="2" style="1" width="33"/>
    <col collapsed="false" customWidth="true" hidden="false" outlineLevel="0" max="3" min="3" style="1" width="13.1"/>
    <col collapsed="false" customWidth="true" hidden="false" outlineLevel="0" max="4" min="4" style="1" width="13.6"/>
    <col collapsed="false" customWidth="true" hidden="false" outlineLevel="0" max="7" min="5" style="1" width="13.9"/>
    <col collapsed="false" customWidth="true" hidden="false" outlineLevel="0" max="8" min="8" style="1" width="4.1"/>
    <col collapsed="false" customWidth="true" hidden="false" outlineLevel="0" max="9" min="9" style="1" width="36.1"/>
    <col collapsed="false" customWidth="true" hidden="false" outlineLevel="0" max="10" min="10" style="1" width="13.9"/>
    <col collapsed="false" customWidth="true" hidden="false" outlineLevel="0" max="11" min="11" style="1" width="14.1"/>
    <col collapsed="false" customWidth="true" hidden="false" outlineLevel="0" max="12" min="12" style="1" width="16"/>
    <col collapsed="false" customWidth="true" hidden="false" outlineLevel="0" max="26" min="13" style="1" width="9.4"/>
  </cols>
  <sheetData>
    <row r="1" customFormat="false" ht="14.25" hidden="false" customHeight="true" outlineLevel="0" collapsed="false">
      <c r="A1" s="689"/>
      <c r="B1" s="689"/>
      <c r="C1" s="689"/>
      <c r="D1" s="689"/>
      <c r="E1" s="689"/>
      <c r="F1" s="689"/>
      <c r="G1" s="689"/>
      <c r="H1" s="689"/>
      <c r="I1" s="689"/>
      <c r="J1" s="689"/>
      <c r="K1" s="689"/>
      <c r="L1" s="689"/>
      <c r="M1" s="689"/>
      <c r="N1" s="689"/>
      <c r="O1" s="689"/>
      <c r="P1" s="689"/>
      <c r="Q1" s="2"/>
      <c r="R1" s="2"/>
      <c r="S1" s="2"/>
      <c r="T1" s="2"/>
      <c r="U1" s="2"/>
      <c r="V1" s="2"/>
      <c r="W1" s="2"/>
      <c r="X1" s="2"/>
      <c r="Y1" s="2"/>
      <c r="Z1" s="2"/>
    </row>
    <row r="2" customFormat="false" ht="14.25" hidden="false" customHeight="true" outlineLevel="0" collapsed="false">
      <c r="A2" s="689"/>
      <c r="B2" s="690" t="s">
        <v>18</v>
      </c>
      <c r="C2" s="690"/>
      <c r="D2" s="690"/>
      <c r="E2" s="690"/>
      <c r="F2" s="690"/>
      <c r="G2" s="690"/>
      <c r="H2" s="689"/>
      <c r="I2" s="689"/>
      <c r="J2" s="689"/>
      <c r="K2" s="689"/>
      <c r="L2" s="689"/>
      <c r="M2" s="689"/>
      <c r="N2" s="689"/>
      <c r="O2" s="689"/>
      <c r="P2" s="689"/>
      <c r="Q2" s="2"/>
      <c r="R2" s="2"/>
      <c r="S2" s="2"/>
      <c r="T2" s="2"/>
      <c r="U2" s="2"/>
      <c r="V2" s="2"/>
      <c r="W2" s="2"/>
      <c r="X2" s="2"/>
      <c r="Y2" s="2"/>
      <c r="Z2" s="2"/>
    </row>
    <row r="3" customFormat="false" ht="14.25" hidden="false" customHeight="true" outlineLevel="0" collapsed="false">
      <c r="A3" s="689"/>
      <c r="B3" s="691" t="s">
        <v>388</v>
      </c>
      <c r="C3" s="691"/>
      <c r="D3" s="692" t="s">
        <v>531</v>
      </c>
      <c r="E3" s="693" t="n">
        <v>2026</v>
      </c>
      <c r="F3" s="693" t="n">
        <v>2027</v>
      </c>
      <c r="G3" s="694" t="n">
        <v>2028</v>
      </c>
      <c r="H3" s="689"/>
      <c r="I3" s="695" t="s">
        <v>542</v>
      </c>
      <c r="J3" s="695"/>
      <c r="K3" s="695"/>
      <c r="L3" s="695"/>
      <c r="M3" s="689"/>
      <c r="N3" s="689"/>
      <c r="O3" s="689"/>
      <c r="P3" s="689"/>
      <c r="Q3" s="2"/>
      <c r="R3" s="2"/>
      <c r="S3" s="2"/>
      <c r="T3" s="2"/>
      <c r="U3" s="2"/>
      <c r="V3" s="2"/>
      <c r="W3" s="2"/>
      <c r="X3" s="2"/>
      <c r="Y3" s="2"/>
      <c r="Z3" s="2"/>
    </row>
    <row r="4" customFormat="false" ht="43.5" hidden="false" customHeight="true" outlineLevel="0" collapsed="false">
      <c r="A4" s="689"/>
      <c r="B4" s="696" t="s">
        <v>93</v>
      </c>
      <c r="C4" s="696"/>
      <c r="D4" s="697" t="s">
        <v>389</v>
      </c>
      <c r="E4" s="698" t="n">
        <f aca="false">+'Presupuesto financiero'!E12</f>
        <v>105865</v>
      </c>
      <c r="F4" s="698" t="n">
        <f aca="false">+'Presupuesto financiero'!F12*0.85</f>
        <v>328862.45</v>
      </c>
      <c r="G4" s="699" t="n">
        <f aca="false">+'Presupuesto financiero'!G12*0.85</f>
        <v>599680.1</v>
      </c>
      <c r="H4" s="689"/>
      <c r="I4" s="700" t="s">
        <v>543</v>
      </c>
      <c r="J4" s="701" t="s">
        <v>544</v>
      </c>
      <c r="K4" s="701" t="s">
        <v>545</v>
      </c>
      <c r="L4" s="701" t="s">
        <v>546</v>
      </c>
      <c r="M4" s="689"/>
      <c r="N4" s="689"/>
      <c r="O4" s="689"/>
      <c r="P4" s="689"/>
      <c r="Q4" s="2"/>
      <c r="R4" s="2"/>
      <c r="S4" s="2"/>
      <c r="T4" s="2"/>
      <c r="U4" s="2"/>
      <c r="V4" s="2"/>
      <c r="W4" s="2"/>
      <c r="X4" s="2"/>
      <c r="Y4" s="2"/>
      <c r="Z4" s="2"/>
    </row>
    <row r="5" customFormat="false" ht="14.25" hidden="false" customHeight="true" outlineLevel="0" collapsed="false">
      <c r="A5" s="689"/>
      <c r="B5" s="702" t="s">
        <v>390</v>
      </c>
      <c r="C5" s="703" t="s">
        <v>348</v>
      </c>
      <c r="D5" s="704" t="s">
        <v>389</v>
      </c>
      <c r="E5" s="698" t="n">
        <f aca="false">+'Presupuesto financiero'!E13</f>
        <v>32640</v>
      </c>
      <c r="F5" s="698" t="n">
        <f aca="false">+'Presupuesto financiero'!F13</f>
        <v>77700</v>
      </c>
      <c r="G5" s="698" t="n">
        <f aca="false">+'Presupuesto financiero'!G13</f>
        <v>106860</v>
      </c>
      <c r="H5" s="689"/>
      <c r="I5" s="700"/>
      <c r="J5" s="700"/>
      <c r="K5" s="700"/>
      <c r="L5" s="700"/>
      <c r="M5" s="689"/>
      <c r="N5" s="689"/>
      <c r="O5" s="689"/>
      <c r="P5" s="689"/>
      <c r="Q5" s="2"/>
      <c r="R5" s="2"/>
      <c r="S5" s="2"/>
      <c r="T5" s="2"/>
      <c r="U5" s="2"/>
      <c r="V5" s="2"/>
      <c r="W5" s="2"/>
      <c r="X5" s="2"/>
      <c r="Y5" s="2"/>
      <c r="Z5" s="2"/>
    </row>
    <row r="6" customFormat="false" ht="14.25" hidden="false" customHeight="true" outlineLevel="0" collapsed="false">
      <c r="A6" s="689"/>
      <c r="B6" s="702"/>
      <c r="C6" s="703" t="s">
        <v>349</v>
      </c>
      <c r="D6" s="704" t="s">
        <v>389</v>
      </c>
      <c r="E6" s="698" t="n">
        <f aca="false">+'Presupuesto financiero'!E14</f>
        <v>40479.8</v>
      </c>
      <c r="F6" s="699" t="n">
        <f aca="false">+'Presupuesto financiero'!F14*0.85 + 12000</f>
        <v>62553.41</v>
      </c>
      <c r="G6" s="698" t="n">
        <f aca="false">+'Presupuesto financiero'!G14*0.85 + 12000</f>
        <v>84544.1</v>
      </c>
      <c r="H6" s="689"/>
      <c r="I6" s="700"/>
      <c r="J6" s="700"/>
      <c r="K6" s="700"/>
      <c r="L6" s="700"/>
      <c r="M6" s="689"/>
      <c r="N6" s="689"/>
      <c r="O6" s="689"/>
      <c r="P6" s="689"/>
      <c r="Q6" s="2"/>
      <c r="R6" s="2"/>
      <c r="S6" s="2"/>
      <c r="T6" s="2"/>
      <c r="U6" s="2"/>
      <c r="V6" s="2"/>
      <c r="W6" s="2"/>
      <c r="X6" s="2"/>
      <c r="Y6" s="2"/>
      <c r="Z6" s="2"/>
    </row>
    <row r="7" customFormat="false" ht="14.25" hidden="false" customHeight="true" outlineLevel="0" collapsed="false">
      <c r="A7" s="689"/>
      <c r="B7" s="702"/>
      <c r="C7" s="705" t="s">
        <v>350</v>
      </c>
      <c r="D7" s="706" t="s">
        <v>389</v>
      </c>
      <c r="E7" s="698" t="n">
        <f aca="false">+'Presupuesto financiero'!E15</f>
        <v>67319.2</v>
      </c>
      <c r="F7" s="698" t="n">
        <f aca="false">+'Presupuesto financiero'!F15</f>
        <v>67319.2</v>
      </c>
      <c r="G7" s="698" t="n">
        <f aca="false">+'Presupuesto financiero'!G15</f>
        <v>67319.2</v>
      </c>
      <c r="H7" s="689"/>
      <c r="I7" s="707"/>
      <c r="J7" s="2"/>
      <c r="K7" s="708" t="s">
        <v>537</v>
      </c>
      <c r="L7" s="708" t="s">
        <v>538</v>
      </c>
      <c r="M7" s="689"/>
      <c r="N7" s="689"/>
      <c r="O7" s="689"/>
      <c r="P7" s="689"/>
      <c r="Q7" s="2"/>
      <c r="R7" s="2"/>
      <c r="S7" s="2"/>
      <c r="T7" s="2"/>
      <c r="U7" s="2"/>
      <c r="V7" s="2"/>
      <c r="W7" s="2"/>
      <c r="X7" s="2"/>
      <c r="Y7" s="2"/>
      <c r="Z7" s="2"/>
    </row>
    <row r="8" customFormat="false" ht="14.25" hidden="false" customHeight="true" outlineLevel="0" collapsed="false">
      <c r="A8" s="689"/>
      <c r="B8" s="709" t="s">
        <v>391</v>
      </c>
      <c r="C8" s="709"/>
      <c r="D8" s="710" t="s">
        <v>389</v>
      </c>
      <c r="E8" s="711" t="n">
        <f aca="false">+E4-E5-E6-E7</f>
        <v>-34574</v>
      </c>
      <c r="F8" s="711" t="n">
        <f aca="false">+F4-F5-F6-F7</f>
        <v>121289.84</v>
      </c>
      <c r="G8" s="711" t="n">
        <f aca="false">+G4-G5-G6-G7</f>
        <v>340956.8</v>
      </c>
      <c r="H8" s="689"/>
      <c r="I8" s="689"/>
      <c r="J8" s="689"/>
      <c r="K8" s="689"/>
      <c r="L8" s="689"/>
      <c r="M8" s="689"/>
      <c r="N8" s="689"/>
      <c r="O8" s="689"/>
      <c r="P8" s="689"/>
      <c r="Q8" s="2"/>
      <c r="R8" s="2"/>
      <c r="S8" s="2"/>
      <c r="T8" s="2"/>
      <c r="U8" s="2"/>
      <c r="V8" s="2"/>
      <c r="W8" s="2"/>
      <c r="X8" s="2"/>
      <c r="Y8" s="2"/>
      <c r="Z8" s="2"/>
    </row>
    <row r="9" customFormat="false" ht="14.25" hidden="false" customHeight="true" outlineLevel="0" collapsed="false">
      <c r="A9" s="689"/>
      <c r="B9" s="712" t="s">
        <v>539</v>
      </c>
      <c r="C9" s="713" t="n">
        <v>0.03</v>
      </c>
      <c r="D9" s="697" t="s">
        <v>389</v>
      </c>
      <c r="E9" s="714" t="n">
        <f aca="false">+E4*$C$9</f>
        <v>3175.95</v>
      </c>
      <c r="F9" s="714" t="n">
        <f aca="false">+F4*$C$9</f>
        <v>9865.8735</v>
      </c>
      <c r="G9" s="715" t="n">
        <f aca="false">+G4*$C$9</f>
        <v>17990.403</v>
      </c>
      <c r="H9" s="689"/>
      <c r="I9" s="689"/>
      <c r="J9" s="689"/>
      <c r="K9" s="689"/>
      <c r="L9" s="689"/>
      <c r="M9" s="689"/>
      <c r="N9" s="689"/>
      <c r="O9" s="689"/>
      <c r="P9" s="689"/>
      <c r="Q9" s="2"/>
      <c r="R9" s="2"/>
      <c r="S9" s="2"/>
      <c r="T9" s="2"/>
      <c r="U9" s="2"/>
      <c r="V9" s="2"/>
      <c r="W9" s="2"/>
      <c r="X9" s="2"/>
      <c r="Y9" s="2"/>
      <c r="Z9" s="2"/>
    </row>
    <row r="10" customFormat="false" ht="14.25" hidden="false" customHeight="true" outlineLevel="0" collapsed="false">
      <c r="A10" s="689"/>
      <c r="B10" s="716" t="s">
        <v>540</v>
      </c>
      <c r="C10" s="716"/>
      <c r="D10" s="704"/>
      <c r="E10" s="717" t="n">
        <v>0</v>
      </c>
      <c r="F10" s="717" t="n">
        <f aca="false">MAX(0,$E$22)*0.35</f>
        <v>0</v>
      </c>
      <c r="G10" s="717" t="n">
        <f aca="false">MAX(0,$F$22)*0.35</f>
        <v>37691.0216083333</v>
      </c>
      <c r="H10" s="689"/>
      <c r="I10" s="689"/>
      <c r="J10" s="689"/>
      <c r="K10" s="689"/>
      <c r="L10" s="689"/>
      <c r="M10" s="689"/>
      <c r="N10" s="689"/>
      <c r="O10" s="689"/>
      <c r="P10" s="689"/>
      <c r="Q10" s="2"/>
      <c r="R10" s="2"/>
      <c r="S10" s="2"/>
      <c r="T10" s="2"/>
      <c r="U10" s="2"/>
      <c r="V10" s="2"/>
      <c r="W10" s="2"/>
      <c r="X10" s="2"/>
      <c r="Y10" s="2"/>
      <c r="Z10" s="2"/>
    </row>
    <row r="11" customFormat="false" ht="14.25" hidden="false" customHeight="true" outlineLevel="0" collapsed="false">
      <c r="A11" s="689"/>
      <c r="B11" s="718"/>
      <c r="C11" s="718"/>
      <c r="D11" s="706"/>
      <c r="E11" s="719"/>
      <c r="F11" s="719"/>
      <c r="G11" s="720"/>
      <c r="H11" s="689"/>
      <c r="I11" s="689"/>
      <c r="J11" s="689"/>
      <c r="K11" s="689"/>
      <c r="L11" s="689"/>
      <c r="M11" s="689"/>
      <c r="N11" s="689"/>
      <c r="O11" s="689"/>
      <c r="P11" s="689"/>
      <c r="Q11" s="2"/>
      <c r="R11" s="2"/>
      <c r="S11" s="2"/>
      <c r="T11" s="2"/>
      <c r="U11" s="2"/>
      <c r="V11" s="2"/>
      <c r="W11" s="2"/>
      <c r="X11" s="2"/>
      <c r="Y11" s="2"/>
      <c r="Z11" s="2"/>
    </row>
    <row r="12" customFormat="false" ht="14.25" hidden="false" customHeight="true" outlineLevel="0" collapsed="false">
      <c r="A12" s="689"/>
      <c r="B12" s="709" t="s">
        <v>394</v>
      </c>
      <c r="C12" s="709"/>
      <c r="D12" s="710" t="s">
        <v>389</v>
      </c>
      <c r="E12" s="711" t="n">
        <f aca="false">+E8-E9-E10</f>
        <v>-37749.95</v>
      </c>
      <c r="F12" s="711" t="n">
        <f aca="false">+F8-F9-F10</f>
        <v>111423.9665</v>
      </c>
      <c r="G12" s="711" t="n">
        <f aca="false">+G8-G9-G10</f>
        <v>285275.375391667</v>
      </c>
      <c r="H12" s="689"/>
      <c r="I12" s="689"/>
      <c r="J12" s="689"/>
      <c r="K12" s="689"/>
      <c r="L12" s="689"/>
      <c r="M12" s="689"/>
      <c r="N12" s="689"/>
      <c r="O12" s="689"/>
      <c r="P12" s="689"/>
      <c r="Q12" s="2"/>
      <c r="R12" s="2"/>
      <c r="S12" s="2"/>
      <c r="T12" s="2"/>
      <c r="U12" s="2"/>
      <c r="V12" s="2"/>
      <c r="W12" s="2"/>
      <c r="X12" s="2"/>
      <c r="Y12" s="2"/>
      <c r="Z12" s="2"/>
    </row>
    <row r="13" customFormat="false" ht="14.25" hidden="false" customHeight="true" outlineLevel="0" collapsed="false">
      <c r="A13" s="689"/>
      <c r="B13" s="721" t="s">
        <v>395</v>
      </c>
      <c r="C13" s="721"/>
      <c r="D13" s="722" t="n">
        <f aca="false">+'Presupuesto financiero'!D21</f>
        <v>-67705</v>
      </c>
      <c r="E13" s="723" t="n">
        <f aca="false">+'Presupuesto financiero'!E21</f>
        <v>-10098</v>
      </c>
      <c r="F13" s="724" t="n">
        <f aca="false">+'Presupuesto financiero'!F21</f>
        <v>-11900</v>
      </c>
      <c r="G13" s="725" t="n">
        <f aca="false">+'Presupuesto financiero'!G21</f>
        <v>-18132</v>
      </c>
      <c r="H13" s="689"/>
      <c r="I13" s="689"/>
      <c r="J13" s="689"/>
      <c r="K13" s="689"/>
      <c r="L13" s="689"/>
      <c r="M13" s="689"/>
      <c r="N13" s="689"/>
      <c r="O13" s="689"/>
      <c r="P13" s="689"/>
      <c r="Q13" s="2"/>
      <c r="R13" s="2"/>
      <c r="S13" s="2"/>
      <c r="T13" s="2"/>
      <c r="U13" s="2"/>
      <c r="V13" s="2"/>
      <c r="W13" s="2"/>
      <c r="X13" s="2"/>
      <c r="Y13" s="2"/>
      <c r="Z13" s="2"/>
    </row>
    <row r="14" customFormat="false" ht="14.25" hidden="false" customHeight="true" outlineLevel="0" collapsed="false">
      <c r="A14" s="689"/>
      <c r="B14" s="726" t="s">
        <v>396</v>
      </c>
      <c r="C14" s="726"/>
      <c r="D14" s="727" t="n">
        <f aca="false">+D13</f>
        <v>-67705</v>
      </c>
      <c r="E14" s="728" t="n">
        <f aca="false">+E12+E13</f>
        <v>-47847.95</v>
      </c>
      <c r="F14" s="728" t="n">
        <f aca="false">+F12+F13</f>
        <v>99523.9665</v>
      </c>
      <c r="G14" s="728" t="n">
        <f aca="false">+G12+G13</f>
        <v>267143.375391667</v>
      </c>
      <c r="H14" s="689"/>
      <c r="I14" s="689"/>
      <c r="J14" s="689"/>
      <c r="K14" s="689"/>
      <c r="L14" s="689"/>
      <c r="M14" s="689"/>
      <c r="N14" s="689"/>
      <c r="O14" s="689"/>
      <c r="P14" s="689"/>
      <c r="Q14" s="2"/>
      <c r="R14" s="2"/>
      <c r="S14" s="2"/>
      <c r="T14" s="2"/>
      <c r="U14" s="2"/>
      <c r="V14" s="2"/>
      <c r="W14" s="2"/>
      <c r="X14" s="2"/>
      <c r="Y14" s="2"/>
      <c r="Z14" s="2"/>
    </row>
    <row r="15" customFormat="false" ht="14.25" hidden="false" customHeight="true" outlineLevel="0" collapsed="false">
      <c r="A15" s="689"/>
      <c r="B15" s="689"/>
      <c r="C15" s="689"/>
      <c r="D15" s="689"/>
      <c r="E15" s="689"/>
      <c r="F15" s="689"/>
      <c r="G15" s="689"/>
      <c r="H15" s="689"/>
      <c r="I15" s="689"/>
      <c r="J15" s="689"/>
      <c r="K15" s="689"/>
      <c r="L15" s="689"/>
      <c r="M15" s="689"/>
      <c r="N15" s="689"/>
      <c r="O15" s="689"/>
      <c r="P15" s="689"/>
      <c r="Q15" s="2"/>
      <c r="R15" s="2"/>
      <c r="S15" s="2"/>
      <c r="T15" s="2"/>
      <c r="U15" s="2"/>
      <c r="V15" s="2"/>
      <c r="W15" s="2"/>
      <c r="X15" s="2"/>
      <c r="Y15" s="2"/>
      <c r="Z15" s="2"/>
    </row>
    <row r="16" customFormat="false" ht="14.25" hidden="false" customHeight="true" outlineLevel="0" collapsed="false">
      <c r="A16" s="689"/>
      <c r="B16" s="689"/>
      <c r="C16" s="689"/>
      <c r="D16" s="689"/>
      <c r="E16" s="689"/>
      <c r="F16" s="689"/>
      <c r="G16" s="689"/>
      <c r="H16" s="689"/>
      <c r="I16" s="689"/>
      <c r="J16" s="689"/>
      <c r="K16" s="689"/>
      <c r="L16" s="689"/>
      <c r="M16" s="689"/>
      <c r="N16" s="689"/>
      <c r="O16" s="689"/>
      <c r="P16" s="689"/>
      <c r="Q16" s="2"/>
      <c r="R16" s="2"/>
      <c r="S16" s="2"/>
      <c r="T16" s="2"/>
      <c r="U16" s="2"/>
      <c r="V16" s="2"/>
      <c r="W16" s="2"/>
      <c r="X16" s="2"/>
      <c r="Y16" s="2"/>
      <c r="Z16" s="2"/>
    </row>
    <row r="17" customFormat="false" ht="14.25" hidden="false" customHeight="true" outlineLevel="0" collapsed="false">
      <c r="A17" s="689"/>
      <c r="B17" s="689"/>
      <c r="C17" s="689"/>
      <c r="D17" s="689"/>
      <c r="E17" s="689"/>
      <c r="F17" s="689"/>
      <c r="G17" s="689"/>
      <c r="H17" s="689"/>
      <c r="I17" s="689"/>
      <c r="J17" s="689"/>
      <c r="K17" s="689"/>
      <c r="L17" s="689"/>
      <c r="M17" s="689"/>
      <c r="N17" s="689"/>
      <c r="O17" s="689"/>
      <c r="P17" s="689"/>
      <c r="Q17" s="2"/>
      <c r="R17" s="2"/>
      <c r="S17" s="2"/>
      <c r="T17" s="2"/>
      <c r="U17" s="2"/>
      <c r="V17" s="2"/>
      <c r="W17" s="2"/>
      <c r="X17" s="2"/>
      <c r="Y17" s="2"/>
      <c r="Z17" s="2"/>
    </row>
    <row r="18" customFormat="false" ht="14.25" hidden="false" customHeight="true" outlineLevel="0" collapsed="false">
      <c r="A18" s="689"/>
      <c r="B18" s="689"/>
      <c r="C18" s="689"/>
      <c r="D18" s="689"/>
      <c r="E18" s="729" t="s">
        <v>403</v>
      </c>
      <c r="F18" s="730" t="n">
        <f aca="false">+'Presupuesto financiero'!$G$33</f>
        <v>0.3</v>
      </c>
      <c r="G18" s="689"/>
      <c r="H18" s="689"/>
      <c r="I18" s="689"/>
      <c r="J18" s="689"/>
      <c r="K18" s="689"/>
      <c r="L18" s="689"/>
      <c r="M18" s="689"/>
      <c r="N18" s="689"/>
      <c r="O18" s="689"/>
      <c r="P18" s="689"/>
      <c r="Q18" s="2"/>
      <c r="R18" s="2"/>
      <c r="S18" s="2"/>
      <c r="T18" s="2"/>
      <c r="U18" s="2"/>
      <c r="V18" s="2"/>
      <c r="W18" s="2"/>
      <c r="X18" s="2"/>
      <c r="Y18" s="2"/>
      <c r="Z18" s="2"/>
    </row>
    <row r="19" customFormat="false" ht="14.25" hidden="false" customHeight="true" outlineLevel="0" collapsed="false">
      <c r="A19" s="689"/>
      <c r="B19" s="689"/>
      <c r="C19" s="689"/>
      <c r="D19" s="689"/>
      <c r="E19" s="731" t="s">
        <v>404</v>
      </c>
      <c r="F19" s="732" t="n">
        <f aca="false">NPV($F$18,E14:G14)+D14</f>
        <v>75973.4234600212</v>
      </c>
      <c r="G19" s="689"/>
      <c r="H19" s="689"/>
      <c r="I19" s="689"/>
      <c r="J19" s="689"/>
      <c r="K19" s="689"/>
      <c r="L19" s="689"/>
      <c r="M19" s="689"/>
      <c r="N19" s="689"/>
      <c r="O19" s="689"/>
      <c r="P19" s="689"/>
      <c r="Q19" s="2"/>
      <c r="R19" s="2"/>
      <c r="S19" s="2"/>
      <c r="T19" s="2"/>
      <c r="U19" s="2"/>
      <c r="V19" s="2"/>
      <c r="W19" s="2"/>
      <c r="X19" s="2"/>
      <c r="Y19" s="2"/>
      <c r="Z19" s="2"/>
    </row>
    <row r="20" customFormat="false" ht="14.25" hidden="false" customHeight="true" outlineLevel="0" collapsed="false">
      <c r="A20" s="689"/>
      <c r="B20" s="689"/>
      <c r="C20" s="689"/>
      <c r="D20" s="689"/>
      <c r="E20" s="733" t="s">
        <v>406</v>
      </c>
      <c r="F20" s="734" t="n">
        <f aca="false">IRR(D14:G14,$F$18)</f>
        <v>0.644999606879092</v>
      </c>
      <c r="G20" s="689"/>
      <c r="H20" s="689"/>
      <c r="I20" s="689"/>
      <c r="J20" s="689"/>
      <c r="K20" s="689"/>
      <c r="L20" s="689"/>
      <c r="M20" s="689"/>
      <c r="N20" s="689"/>
      <c r="O20" s="689"/>
      <c r="P20" s="689"/>
      <c r="Q20" s="2"/>
      <c r="R20" s="2"/>
      <c r="S20" s="2"/>
      <c r="T20" s="2"/>
      <c r="U20" s="2"/>
      <c r="V20" s="2"/>
      <c r="W20" s="2"/>
      <c r="X20" s="2"/>
      <c r="Y20" s="2"/>
      <c r="Z20" s="2"/>
    </row>
    <row r="21" customFormat="false" ht="14.25" hidden="false" customHeight="true" outlineLevel="0" collapsed="false">
      <c r="A21" s="689"/>
      <c r="B21" s="689"/>
      <c r="C21" s="689"/>
      <c r="D21" s="689"/>
      <c r="E21" s="689"/>
      <c r="F21" s="689"/>
      <c r="G21" s="689"/>
      <c r="H21" s="689"/>
      <c r="I21" s="689"/>
      <c r="J21" s="689"/>
      <c r="K21" s="689"/>
      <c r="L21" s="689"/>
      <c r="M21" s="689"/>
      <c r="N21" s="689"/>
      <c r="O21" s="689"/>
      <c r="P21" s="689"/>
      <c r="Q21" s="2"/>
      <c r="R21" s="2"/>
      <c r="S21" s="2"/>
      <c r="T21" s="2"/>
      <c r="U21" s="2"/>
      <c r="V21" s="2"/>
      <c r="W21" s="2"/>
      <c r="X21" s="2"/>
      <c r="Y21" s="2"/>
      <c r="Z21" s="2"/>
    </row>
    <row r="22" customFormat="false" ht="14.25" hidden="false" customHeight="true" outlineLevel="0" collapsed="false">
      <c r="A22" s="689"/>
      <c r="B22" s="689" t="s">
        <v>541</v>
      </c>
      <c r="C22" s="689"/>
      <c r="D22" s="689"/>
      <c r="E22" s="689" t="n">
        <f aca="false">+E8-E9-Amortizaciones!$I$5</f>
        <v>-39898.6166666667</v>
      </c>
      <c r="F22" s="689" t="n">
        <f aca="false">+F8-F9-Amortizaciones!$J$5</f>
        <v>107688.633166667</v>
      </c>
      <c r="G22" s="689" t="n">
        <f aca="false">+G8-G9-Amortizaciones!$K$5</f>
        <v>317674.197</v>
      </c>
      <c r="H22" s="689"/>
      <c r="I22" s="689"/>
      <c r="J22" s="689"/>
      <c r="K22" s="689"/>
      <c r="L22" s="689"/>
      <c r="M22" s="689"/>
      <c r="N22" s="689"/>
      <c r="O22" s="689"/>
      <c r="P22" s="689"/>
      <c r="Q22" s="2"/>
      <c r="R22" s="2"/>
      <c r="S22" s="2"/>
      <c r="T22" s="2"/>
      <c r="U22" s="2"/>
      <c r="V22" s="2"/>
      <c r="W22" s="2"/>
      <c r="X22" s="2"/>
      <c r="Y22" s="2"/>
      <c r="Z22" s="2"/>
    </row>
    <row r="23" customFormat="false" ht="14.25" hidden="false" customHeight="true" outlineLevel="0" collapsed="false">
      <c r="A23" s="689"/>
      <c r="B23" s="689"/>
      <c r="C23" s="689"/>
      <c r="D23" s="689"/>
      <c r="E23" s="689"/>
      <c r="F23" s="689"/>
      <c r="G23" s="689"/>
      <c r="H23" s="689"/>
      <c r="I23" s="689"/>
      <c r="J23" s="689"/>
      <c r="K23" s="689"/>
      <c r="L23" s="689"/>
      <c r="M23" s="689"/>
      <c r="N23" s="689"/>
      <c r="O23" s="689"/>
      <c r="P23" s="689"/>
      <c r="Q23" s="2"/>
      <c r="R23" s="2"/>
      <c r="S23" s="2"/>
      <c r="T23" s="2"/>
      <c r="U23" s="2"/>
      <c r="V23" s="2"/>
      <c r="W23" s="2"/>
      <c r="X23" s="2"/>
      <c r="Y23" s="2"/>
      <c r="Z23" s="2"/>
    </row>
    <row r="24" customFormat="false" ht="14.25" hidden="false" customHeight="true" outlineLevel="0" collapsed="false">
      <c r="A24" s="689"/>
      <c r="B24" s="689"/>
      <c r="C24" s="689"/>
      <c r="D24" s="689"/>
      <c r="E24" s="689"/>
      <c r="F24" s="689"/>
      <c r="G24" s="689"/>
      <c r="H24" s="689"/>
      <c r="I24" s="689"/>
      <c r="J24" s="689"/>
      <c r="K24" s="689"/>
      <c r="L24" s="689"/>
      <c r="M24" s="689"/>
      <c r="N24" s="689"/>
      <c r="O24" s="689"/>
      <c r="P24" s="689"/>
      <c r="Q24" s="2"/>
      <c r="R24" s="2"/>
      <c r="S24" s="2"/>
      <c r="T24" s="2"/>
      <c r="U24" s="2"/>
      <c r="V24" s="2"/>
      <c r="W24" s="2"/>
      <c r="X24" s="2"/>
      <c r="Y24" s="2"/>
      <c r="Z24" s="2"/>
    </row>
    <row r="25" customFormat="false" ht="14.25" hidden="false" customHeight="true" outlineLevel="0" collapsed="false">
      <c r="A25" s="689"/>
      <c r="B25" s="689"/>
      <c r="C25" s="689"/>
      <c r="D25" s="689"/>
      <c r="E25" s="689"/>
      <c r="F25" s="689"/>
      <c r="G25" s="689"/>
      <c r="H25" s="689"/>
      <c r="I25" s="689"/>
      <c r="J25" s="689"/>
      <c r="K25" s="689"/>
      <c r="L25" s="689"/>
      <c r="M25" s="689"/>
      <c r="N25" s="689"/>
      <c r="O25" s="2"/>
      <c r="P25" s="2"/>
      <c r="Q25" s="2"/>
      <c r="R25" s="2"/>
      <c r="S25" s="2"/>
      <c r="T25" s="2"/>
      <c r="U25" s="2"/>
      <c r="V25" s="2"/>
      <c r="W25" s="2"/>
      <c r="X25" s="2"/>
      <c r="Y25" s="2"/>
      <c r="Z25" s="2"/>
    </row>
    <row r="26" customFormat="false" ht="14.25" hidden="false" customHeight="true" outlineLevel="0" collapsed="false">
      <c r="A26" s="689"/>
      <c r="B26" s="689"/>
      <c r="C26" s="689"/>
      <c r="D26" s="689"/>
      <c r="E26" s="689"/>
      <c r="F26" s="689"/>
      <c r="G26" s="689"/>
      <c r="H26" s="689"/>
      <c r="I26" s="689"/>
      <c r="J26" s="689"/>
      <c r="K26" s="689"/>
      <c r="L26" s="689"/>
      <c r="M26" s="689"/>
      <c r="N26" s="689"/>
      <c r="O26" s="2"/>
      <c r="P26" s="2"/>
      <c r="Q26" s="2"/>
      <c r="R26" s="2"/>
      <c r="S26" s="2"/>
      <c r="T26" s="2"/>
      <c r="U26" s="2"/>
      <c r="V26" s="2"/>
      <c r="W26" s="2"/>
      <c r="X26" s="2"/>
      <c r="Y26" s="2"/>
      <c r="Z26" s="2"/>
    </row>
    <row r="27" customFormat="false" ht="14.25" hidden="false" customHeight="true" outlineLevel="0" collapsed="false">
      <c r="A27" s="689"/>
      <c r="B27" s="689"/>
      <c r="C27" s="689"/>
      <c r="D27" s="689"/>
      <c r="E27" s="689"/>
      <c r="F27" s="689"/>
      <c r="G27" s="689"/>
      <c r="H27" s="689"/>
      <c r="I27" s="689"/>
      <c r="J27" s="689"/>
      <c r="K27" s="689"/>
      <c r="L27" s="689"/>
      <c r="M27" s="689"/>
      <c r="N27" s="689"/>
      <c r="O27" s="2"/>
      <c r="P27" s="2"/>
      <c r="Q27" s="2"/>
      <c r="R27" s="2"/>
      <c r="S27" s="2"/>
      <c r="T27" s="2"/>
      <c r="U27" s="2"/>
      <c r="V27" s="2"/>
      <c r="W27" s="2"/>
      <c r="X27" s="2"/>
      <c r="Y27" s="2"/>
      <c r="Z27" s="2"/>
    </row>
    <row r="28" customFormat="false" ht="14.25" hidden="false" customHeight="true" outlineLevel="0" collapsed="false">
      <c r="A28" s="689"/>
      <c r="B28" s="689"/>
      <c r="C28" s="689"/>
      <c r="D28" s="689"/>
      <c r="E28" s="689"/>
      <c r="F28" s="689"/>
      <c r="G28" s="689"/>
      <c r="H28" s="689"/>
      <c r="I28" s="689"/>
      <c r="J28" s="689"/>
      <c r="K28" s="689"/>
      <c r="L28" s="689"/>
      <c r="M28" s="689"/>
      <c r="N28" s="689"/>
      <c r="O28" s="2"/>
      <c r="P28" s="2"/>
      <c r="Q28" s="2"/>
      <c r="R28" s="2"/>
      <c r="S28" s="2"/>
      <c r="T28" s="2"/>
      <c r="U28" s="2"/>
      <c r="V28" s="2"/>
      <c r="W28" s="2"/>
      <c r="X28" s="2"/>
      <c r="Y28" s="2"/>
      <c r="Z28" s="2"/>
    </row>
    <row r="29" customFormat="false" ht="14.25" hidden="false" customHeight="true" outlineLevel="0" collapsed="false">
      <c r="A29" s="689"/>
      <c r="B29" s="689"/>
      <c r="C29" s="689"/>
      <c r="D29" s="689"/>
      <c r="E29" s="689"/>
      <c r="F29" s="689"/>
      <c r="G29" s="689"/>
      <c r="H29" s="689"/>
      <c r="I29" s="689"/>
      <c r="J29" s="689"/>
      <c r="K29" s="689"/>
      <c r="L29" s="689"/>
      <c r="M29" s="689"/>
      <c r="N29" s="689"/>
      <c r="O29" s="2"/>
      <c r="P29" s="2"/>
      <c r="Q29" s="2"/>
      <c r="R29" s="2"/>
      <c r="S29" s="2"/>
      <c r="T29" s="2"/>
      <c r="U29" s="2"/>
      <c r="V29" s="2"/>
      <c r="W29" s="2"/>
      <c r="X29" s="2"/>
      <c r="Y29" s="2"/>
      <c r="Z29" s="2"/>
    </row>
    <row r="30" customFormat="false" ht="14.25" hidden="false" customHeight="true" outlineLevel="0" collapsed="false">
      <c r="A30" s="689"/>
      <c r="B30" s="689"/>
      <c r="C30" s="689"/>
      <c r="D30" s="689"/>
      <c r="E30" s="689"/>
      <c r="F30" s="689"/>
      <c r="G30" s="689"/>
      <c r="H30" s="689"/>
      <c r="I30" s="689"/>
      <c r="J30" s="689"/>
      <c r="K30" s="689"/>
      <c r="L30" s="689"/>
      <c r="M30" s="689"/>
      <c r="N30" s="689"/>
      <c r="O30" s="2"/>
      <c r="P30" s="2"/>
      <c r="Q30" s="2"/>
      <c r="R30" s="2"/>
      <c r="S30" s="2"/>
      <c r="T30" s="2"/>
      <c r="U30" s="2"/>
      <c r="V30" s="2"/>
      <c r="W30" s="2"/>
      <c r="X30" s="2"/>
      <c r="Y30" s="2"/>
      <c r="Z30" s="2"/>
    </row>
    <row r="31" customFormat="false" ht="14.2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4.2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4.2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4.2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4.2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4.2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4.2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4.2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4.2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4.2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4.2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4.2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4.2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4.2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4.2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4.2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4.2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4.2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4.2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4.2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4.2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4.2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4.2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4.2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4.2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4.2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4.2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4.2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4.2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4.2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4.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4.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4.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4.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4.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4.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4.2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4.2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4.2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4.2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4.2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4.2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4.2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4.2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4.2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4.2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4.2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4.2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4.2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4.2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4.2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4.2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4.2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4.2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4.2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4.2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4.2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4.2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4.2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4.2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4.2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4.2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4.2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4.2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4.2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4.2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4.2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4.2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4.2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4.2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4.2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4.2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4.2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4.2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4.2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4.2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4.2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4.2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4.2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4.2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4.2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4.2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4.2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4.2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4.2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4.2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4.2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4.2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4.2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4.2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4.2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4.2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4.2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4.2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4.2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4.2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4.2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4.2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4.2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4.2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4.2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4.2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4.2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4.2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4.2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4.2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4.2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4.2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4.2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4.2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4.2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4.2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4.2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4.2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4.2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4.2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4.2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4.2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4.2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4.2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4.2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4.2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4.2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4.2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4.2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4.2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4.2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4.2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4.2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4.2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4.2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4.2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4.2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4.2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4.2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4.2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4.2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4.2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4.2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4.2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4.2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4.2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4.2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4.2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4.2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4.2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4.2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4.2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4.2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4.2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4.2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4.2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4.2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4.2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4.2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4.2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4.2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4.2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4.2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4.2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4.2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4.2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4.2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4.2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4.2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4.2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4.2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4.2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4.2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4.2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4.2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4.2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4.2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4.2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4.2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4.2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4.2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4.2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4.2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4.2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4.2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4.2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4.2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4.2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4.2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4.2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4.2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4.2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4.2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4.2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4.2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4.2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4.2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4.2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4.2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4.2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4.2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4.2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4.2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4.2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4.2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4.2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4.2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4.2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4.2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4.2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4.2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4.2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4.2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4.2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4.2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4.2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4.2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4.2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4.2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4.2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4.2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4.2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4.2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4.2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4.2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4.2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4.2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4.2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4.2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4.2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4.2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4.2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4.2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4.2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4.2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4.2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4.2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4.2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4.2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4.2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4.2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4.2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4.2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4.2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4.2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4.2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4.2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4.2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4.2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4.2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4.2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4.2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4.2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4.2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4.2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4.2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4.2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4.2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4.2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4.2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4.2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4.2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4.2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4.2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4.2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4.2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4.2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4.2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4.2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4.2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4.2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4.2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4.2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4.2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4.2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4.2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4.2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4.2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4.2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4.2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4.2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4.2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4.2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4.2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4.2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4.2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4.2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4.2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4.2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4.2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4.2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4.2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4.2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4.2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4.2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4.2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4.2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4.2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4.2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4.2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4.2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4.2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4.2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4.2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4.2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4.2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4.2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4.2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4.2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4.2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4.2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4.2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4.2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4.2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4.2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4.2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4.2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4.2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4.2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4.2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4.2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4.2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4.2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4.2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4.2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4.2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4.2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4.2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4.2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4.2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4.2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4.2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4.2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4.2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4.2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4.2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4.2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4.2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4.2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4.2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4.2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4.2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4.2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4.2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4.2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4.2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4.2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4.2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4.2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4.2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4.2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4.2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4.2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4.2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4.2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4.2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4.2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4.2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4.2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4.2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4.2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4.2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4.2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4.2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4.2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4.2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4.2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4.2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4.2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4.2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4.2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4.2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4.2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4.2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4.2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4.2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4.2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4.2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4.2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4.2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4.2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4.2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4.2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4.2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4.2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4.2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4.2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4.2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4.2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4.2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4.2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4.2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4.2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4.2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4.2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4.2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4.2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4.2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4.2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4.2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4.2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4.2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4.2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4.2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4.2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4.2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4.2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4.2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4.2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4.2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4.2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4.2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4.2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4.2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4.2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4.2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4.2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4.2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4.2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4.2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4.2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4.2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4.2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4.2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4.2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4.2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4.2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4.2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4.2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4.2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4.2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4.2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4.2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4.2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4.2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4.2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4.2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4.2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4.2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4.2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4.2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4.2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4.2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4.2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4.2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4.2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4.2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4.2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4.2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4.2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4.2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4.2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4.2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4.2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4.2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4.2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4.2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4.2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4.2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4.2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4.2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4.2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4.2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4.2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4.2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4.2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4.2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4.2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4.2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4.2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4.2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4.2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4.2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4.2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4.2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4.2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4.2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4.2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4.2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4.2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4.2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4.2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4.2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4.2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4.2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4.2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4.2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4.2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4.2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4.2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4.2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4.2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4.2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4.2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4.2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4.2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4.2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4.2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4.2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4.2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4.2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4.2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4.2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4.2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4.2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4.2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4.2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4.2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4.2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4.2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4.2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4.2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4.2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4.2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4.2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4.2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4.2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4.2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4.2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4.2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4.2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4.2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4.2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4.2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4.2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4.2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4.2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4.2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4.2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4.2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4.2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4.2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4.2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4.2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4.2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4.2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4.2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4.2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4.2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4.2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4.2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4.2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4.2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4.2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4.2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4.2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4.2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4.2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4.2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4.2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4.2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4.2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4.2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4.2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4.2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4.2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4.2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4.2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4.2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4.2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4.2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4.2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4.2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4.2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4.2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4.2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4.2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4.2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4.2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4.2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4.2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4.2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4.2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4.2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4.2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4.2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4.2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4.2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4.2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4.2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4.2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4.2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4.2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4.2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4.2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4.2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4.2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4.2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4.2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4.2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4.2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4.2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4.2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4.2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4.2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4.2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4.2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4.2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4.2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4.2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4.2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4.2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4.2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4.2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4.2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4.2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4.2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4.2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4.2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4.2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4.2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4.2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4.2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4.2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4.2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4.2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4.2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4.2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4.2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4.2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4.2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4.2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4.2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4.2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4.2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4.2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4.2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4.2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4.2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4.2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4.2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4.2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4.2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4.2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4.2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4.2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4.2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4.2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4.2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4.2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4.2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4.2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4.2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4.2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4.2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4.2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4.2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4.2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4.2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4.2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4.2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4.2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4.2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4.2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4.2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4.2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4.2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4.2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4.2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4.2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4.2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4.2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4.2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4.2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4.2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4.2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4.2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4.2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4.2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4.2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4.2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4.2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4.2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4.2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4.2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4.2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4.2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4.2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4.2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4.2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4.2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4.2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4.2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4.2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4.2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4.2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4.2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4.2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4.2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4.2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4.2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4.2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4.2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4.2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4.2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4.2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4.2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4.2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4.2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4.2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4.2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4.2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4.2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4.2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4.2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4.2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4.2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4.2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4.2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4.2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4.2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4.2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4.2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4.2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4.2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4.2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4.2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4.2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4.2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4.2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4.2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4.2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4.2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4.2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4.2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4.2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4.2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4.2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4.2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4.2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4.2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4.2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4.2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4.2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4.2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4.2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4.2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4.2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4.2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4.2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4.2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4.2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4.2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4.2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4.2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4.2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4.2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4.2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4.2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4.2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4.2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4.2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4.2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4.2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4.2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4.2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4.2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4.2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4.2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4.2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4.2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4.2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4.2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4.2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4.2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4.2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4.2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4.2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4.2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4.2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4.2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4.2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4.2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4.2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4.2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4.2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4.2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4.2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4.2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4.2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4.2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4.2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4.2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4.2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4.2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4.2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4.2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4.2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4.2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4.2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4.2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4.2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4.2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4.2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4.2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4.2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4.2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4.2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4.2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4.2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4.2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4.2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4.2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4.2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4.2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4.2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4.2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4.2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4.2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4.2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4.2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4.2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4.2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4.2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5">
    <mergeCell ref="B2:G2"/>
    <mergeCell ref="B3:C3"/>
    <mergeCell ref="I3:L3"/>
    <mergeCell ref="B4:C4"/>
    <mergeCell ref="I4:I6"/>
    <mergeCell ref="J4:J6"/>
    <mergeCell ref="K4:K6"/>
    <mergeCell ref="L4:L6"/>
    <mergeCell ref="B5:B7"/>
    <mergeCell ref="B8:C8"/>
    <mergeCell ref="B10:C10"/>
    <mergeCell ref="B11:C11"/>
    <mergeCell ref="B12:C12"/>
    <mergeCell ref="B13:C13"/>
    <mergeCell ref="B14:C1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customHeight="true" zeroHeight="false" outlineLevelRow="0" outlineLevelCol="0"/>
  <cols>
    <col collapsed="false" customWidth="true" hidden="false" outlineLevel="0" max="1" min="1" style="1" width="9.4"/>
    <col collapsed="false" customWidth="true" hidden="false" outlineLevel="0" max="2" min="2" style="1" width="33"/>
    <col collapsed="false" customWidth="true" hidden="false" outlineLevel="0" max="3" min="3" style="1" width="13.1"/>
    <col collapsed="false" customWidth="true" hidden="false" outlineLevel="0" max="4" min="4" style="1" width="13.6"/>
    <col collapsed="false" customWidth="true" hidden="false" outlineLevel="0" max="7" min="5" style="1" width="13.9"/>
    <col collapsed="false" customWidth="true" hidden="false" outlineLevel="0" max="8" min="8" style="1" width="4.1"/>
    <col collapsed="false" customWidth="true" hidden="false" outlineLevel="0" max="9" min="9" style="1" width="36.1"/>
    <col collapsed="false" customWidth="true" hidden="false" outlineLevel="0" max="10" min="10" style="1" width="13.9"/>
    <col collapsed="false" customWidth="true" hidden="false" outlineLevel="0" max="11" min="11" style="1" width="14.1"/>
    <col collapsed="false" customWidth="true" hidden="false" outlineLevel="0" max="12" min="12" style="1" width="16"/>
    <col collapsed="false" customWidth="true" hidden="false" outlineLevel="0" max="26" min="13" style="1" width="9.4"/>
  </cols>
  <sheetData>
    <row r="1" customFormat="false" ht="14.25" hidden="false" customHeight="true" outlineLevel="0" collapsed="false">
      <c r="A1" s="689"/>
      <c r="B1" s="689"/>
      <c r="C1" s="689"/>
      <c r="D1" s="689"/>
      <c r="E1" s="689"/>
      <c r="F1" s="689"/>
      <c r="G1" s="689"/>
      <c r="H1" s="689"/>
      <c r="I1" s="689"/>
      <c r="J1" s="689"/>
      <c r="K1" s="689"/>
      <c r="L1" s="689"/>
      <c r="M1" s="689"/>
      <c r="N1" s="689"/>
      <c r="O1" s="689"/>
      <c r="P1" s="689"/>
      <c r="Q1" s="2"/>
      <c r="R1" s="2"/>
      <c r="S1" s="2"/>
      <c r="T1" s="2"/>
      <c r="U1" s="2"/>
      <c r="V1" s="2"/>
      <c r="W1" s="2"/>
      <c r="X1" s="2"/>
      <c r="Y1" s="2"/>
      <c r="Z1" s="2"/>
    </row>
    <row r="2" customFormat="false" ht="14.25" hidden="false" customHeight="true" outlineLevel="0" collapsed="false">
      <c r="A2" s="689"/>
      <c r="B2" s="690" t="s">
        <v>18</v>
      </c>
      <c r="C2" s="690"/>
      <c r="D2" s="690"/>
      <c r="E2" s="690"/>
      <c r="F2" s="690"/>
      <c r="G2" s="690"/>
      <c r="H2" s="689"/>
      <c r="I2" s="689"/>
      <c r="J2" s="689"/>
      <c r="K2" s="689"/>
      <c r="L2" s="689"/>
      <c r="M2" s="689"/>
      <c r="N2" s="689"/>
      <c r="O2" s="689"/>
      <c r="P2" s="689"/>
      <c r="Q2" s="2"/>
      <c r="R2" s="2"/>
      <c r="S2" s="2"/>
      <c r="T2" s="2"/>
      <c r="U2" s="2"/>
      <c r="V2" s="2"/>
      <c r="W2" s="2"/>
      <c r="X2" s="2"/>
      <c r="Y2" s="2"/>
      <c r="Z2" s="2"/>
    </row>
    <row r="3" customFormat="false" ht="14.25" hidden="false" customHeight="true" outlineLevel="0" collapsed="false">
      <c r="A3" s="689"/>
      <c r="B3" s="691" t="s">
        <v>388</v>
      </c>
      <c r="C3" s="691"/>
      <c r="D3" s="692" t="s">
        <v>531</v>
      </c>
      <c r="E3" s="693" t="n">
        <v>2026</v>
      </c>
      <c r="F3" s="693" t="n">
        <v>2027</v>
      </c>
      <c r="G3" s="694" t="n">
        <v>2028</v>
      </c>
      <c r="H3" s="689"/>
      <c r="I3" s="695" t="s">
        <v>547</v>
      </c>
      <c r="J3" s="695"/>
      <c r="K3" s="695"/>
      <c r="L3" s="695"/>
      <c r="M3" s="689"/>
      <c r="N3" s="689"/>
      <c r="O3" s="689"/>
      <c r="P3" s="689"/>
      <c r="Q3" s="2"/>
      <c r="R3" s="2"/>
      <c r="S3" s="2"/>
      <c r="T3" s="2"/>
      <c r="U3" s="2"/>
      <c r="V3" s="2"/>
      <c r="W3" s="2"/>
      <c r="X3" s="2"/>
      <c r="Y3" s="2"/>
      <c r="Z3" s="2"/>
    </row>
    <row r="4" customFormat="false" ht="43.5" hidden="false" customHeight="true" outlineLevel="0" collapsed="false">
      <c r="A4" s="689"/>
      <c r="B4" s="696" t="s">
        <v>93</v>
      </c>
      <c r="C4" s="696"/>
      <c r="D4" s="697" t="s">
        <v>389</v>
      </c>
      <c r="E4" s="698" t="n">
        <f aca="false">+'Presupuesto financiero'!E12</f>
        <v>105865</v>
      </c>
      <c r="F4" s="698" t="n">
        <f aca="false">+'Presupuesto financiero'!F12*0.6</f>
        <v>232138.2</v>
      </c>
      <c r="G4" s="699" t="n">
        <f aca="false">+'Presupuesto financiero'!G12*0.6</f>
        <v>423303.6</v>
      </c>
      <c r="H4" s="689"/>
      <c r="I4" s="700" t="s">
        <v>548</v>
      </c>
      <c r="J4" s="701" t="s">
        <v>549</v>
      </c>
      <c r="K4" s="701" t="s">
        <v>550</v>
      </c>
      <c r="L4" s="701" t="s">
        <v>551</v>
      </c>
      <c r="M4" s="689"/>
      <c r="N4" s="689"/>
      <c r="O4" s="689"/>
      <c r="P4" s="689"/>
      <c r="Q4" s="2"/>
      <c r="R4" s="2"/>
      <c r="S4" s="2"/>
      <c r="T4" s="2"/>
      <c r="U4" s="2"/>
      <c r="V4" s="2"/>
      <c r="W4" s="2"/>
      <c r="X4" s="2"/>
      <c r="Y4" s="2"/>
      <c r="Z4" s="2"/>
    </row>
    <row r="5" customFormat="false" ht="14.25" hidden="false" customHeight="true" outlineLevel="0" collapsed="false">
      <c r="A5" s="689"/>
      <c r="B5" s="702" t="s">
        <v>390</v>
      </c>
      <c r="C5" s="703" t="s">
        <v>348</v>
      </c>
      <c r="D5" s="704" t="s">
        <v>389</v>
      </c>
      <c r="E5" s="698" t="n">
        <f aca="false">+'Presupuesto financiero'!E13</f>
        <v>32640</v>
      </c>
      <c r="F5" s="698" t="n">
        <f aca="false">+'Presupuesto financiero'!F13</f>
        <v>77700</v>
      </c>
      <c r="G5" s="698" t="n">
        <f aca="false">+'Presupuesto financiero'!G13</f>
        <v>106860</v>
      </c>
      <c r="H5" s="689"/>
      <c r="I5" s="700"/>
      <c r="J5" s="700"/>
      <c r="K5" s="700"/>
      <c r="L5" s="700"/>
      <c r="M5" s="689"/>
      <c r="N5" s="689"/>
      <c r="O5" s="689"/>
      <c r="P5" s="689"/>
      <c r="Q5" s="2"/>
      <c r="R5" s="2"/>
      <c r="S5" s="2"/>
      <c r="T5" s="2"/>
      <c r="U5" s="2"/>
      <c r="V5" s="2"/>
      <c r="W5" s="2"/>
      <c r="X5" s="2"/>
      <c r="Y5" s="2"/>
      <c r="Z5" s="2"/>
    </row>
    <row r="6" customFormat="false" ht="14.25" hidden="false" customHeight="true" outlineLevel="0" collapsed="false">
      <c r="A6" s="689"/>
      <c r="B6" s="702"/>
      <c r="C6" s="703" t="s">
        <v>349</v>
      </c>
      <c r="D6" s="704" t="s">
        <v>389</v>
      </c>
      <c r="E6" s="698" t="n">
        <f aca="false">+'Presupuesto financiero'!E14</f>
        <v>40479.8</v>
      </c>
      <c r="F6" s="699" t="n">
        <f aca="false">+'Presupuesto financiero'!F14*0.6 + 15000</f>
        <v>50684.76</v>
      </c>
      <c r="G6" s="698" t="n">
        <f aca="false">+'Presupuesto financiero'!G14*0.6 + 15000</f>
        <v>66207.6</v>
      </c>
      <c r="H6" s="689"/>
      <c r="I6" s="700"/>
      <c r="J6" s="700"/>
      <c r="K6" s="700"/>
      <c r="L6" s="700"/>
      <c r="M6" s="689"/>
      <c r="N6" s="689"/>
      <c r="O6" s="689"/>
      <c r="P6" s="689"/>
      <c r="Q6" s="2"/>
      <c r="R6" s="2"/>
      <c r="S6" s="2"/>
      <c r="T6" s="2"/>
      <c r="U6" s="2"/>
      <c r="V6" s="2"/>
      <c r="W6" s="2"/>
      <c r="X6" s="2"/>
      <c r="Y6" s="2"/>
      <c r="Z6" s="2"/>
    </row>
    <row r="7" customFormat="false" ht="14.25" hidden="false" customHeight="true" outlineLevel="0" collapsed="false">
      <c r="A7" s="689"/>
      <c r="B7" s="702"/>
      <c r="C7" s="705" t="s">
        <v>350</v>
      </c>
      <c r="D7" s="706" t="s">
        <v>389</v>
      </c>
      <c r="E7" s="698" t="n">
        <f aca="false">+'Presupuesto financiero'!E15</f>
        <v>67319.2</v>
      </c>
      <c r="F7" s="698" t="n">
        <f aca="false">+'Presupuesto financiero'!F15 - 15534</f>
        <v>51785.2</v>
      </c>
      <c r="G7" s="698" t="n">
        <f aca="false">+'Presupuesto financiero'!G15 - 15534</f>
        <v>51785.2</v>
      </c>
      <c r="H7" s="689"/>
      <c r="I7" s="707"/>
      <c r="J7" s="2"/>
      <c r="K7" s="708" t="s">
        <v>537</v>
      </c>
      <c r="L7" s="708" t="s">
        <v>538</v>
      </c>
      <c r="M7" s="689"/>
      <c r="N7" s="689"/>
      <c r="O7" s="689"/>
      <c r="P7" s="689"/>
      <c r="Q7" s="2"/>
      <c r="R7" s="2"/>
      <c r="S7" s="2"/>
      <c r="T7" s="2"/>
      <c r="U7" s="2"/>
      <c r="V7" s="2"/>
      <c r="W7" s="2"/>
      <c r="X7" s="2"/>
      <c r="Y7" s="2"/>
      <c r="Z7" s="2"/>
    </row>
    <row r="8" customFormat="false" ht="14.25" hidden="false" customHeight="true" outlineLevel="0" collapsed="false">
      <c r="A8" s="689"/>
      <c r="B8" s="709" t="s">
        <v>391</v>
      </c>
      <c r="C8" s="709"/>
      <c r="D8" s="710" t="s">
        <v>389</v>
      </c>
      <c r="E8" s="711" t="n">
        <f aca="false">+E4-E5-E6-E7</f>
        <v>-34574</v>
      </c>
      <c r="F8" s="711" t="n">
        <f aca="false">+F4-F5-F6-F7</f>
        <v>51968.24</v>
      </c>
      <c r="G8" s="711" t="n">
        <f aca="false">+G4-G5-G6-G7</f>
        <v>198450.8</v>
      </c>
      <c r="H8" s="689"/>
      <c r="I8" s="689"/>
      <c r="J8" s="689"/>
      <c r="K8" s="689"/>
      <c r="L8" s="689"/>
      <c r="M8" s="689"/>
      <c r="N8" s="689"/>
      <c r="O8" s="689"/>
      <c r="P8" s="689"/>
      <c r="Q8" s="2"/>
      <c r="R8" s="2"/>
      <c r="S8" s="2"/>
      <c r="T8" s="2"/>
      <c r="U8" s="2"/>
      <c r="V8" s="2"/>
      <c r="W8" s="2"/>
      <c r="X8" s="2"/>
      <c r="Y8" s="2"/>
      <c r="Z8" s="2"/>
    </row>
    <row r="9" customFormat="false" ht="14.25" hidden="false" customHeight="true" outlineLevel="0" collapsed="false">
      <c r="A9" s="689"/>
      <c r="B9" s="712" t="s">
        <v>539</v>
      </c>
      <c r="C9" s="713" t="n">
        <v>0.03</v>
      </c>
      <c r="D9" s="697" t="s">
        <v>389</v>
      </c>
      <c r="E9" s="714" t="n">
        <f aca="false">+E4*$C$9</f>
        <v>3175.95</v>
      </c>
      <c r="F9" s="714" t="n">
        <f aca="false">+F4*$C$9</f>
        <v>6964.146</v>
      </c>
      <c r="G9" s="715" t="n">
        <f aca="false">+G4*$C$9</f>
        <v>12699.108</v>
      </c>
      <c r="H9" s="689"/>
      <c r="I9" s="689"/>
      <c r="J9" s="689"/>
      <c r="K9" s="689"/>
      <c r="L9" s="689"/>
      <c r="M9" s="689"/>
      <c r="N9" s="689"/>
      <c r="O9" s="689"/>
      <c r="P9" s="689"/>
      <c r="Q9" s="2"/>
      <c r="R9" s="2"/>
      <c r="S9" s="2"/>
      <c r="T9" s="2"/>
      <c r="U9" s="2"/>
      <c r="V9" s="2"/>
      <c r="W9" s="2"/>
      <c r="X9" s="2"/>
      <c r="Y9" s="2"/>
      <c r="Z9" s="2"/>
    </row>
    <row r="10" customFormat="false" ht="14.25" hidden="false" customHeight="true" outlineLevel="0" collapsed="false">
      <c r="A10" s="689"/>
      <c r="B10" s="716" t="s">
        <v>540</v>
      </c>
      <c r="C10" s="716"/>
      <c r="D10" s="704"/>
      <c r="E10" s="717" t="n">
        <v>0</v>
      </c>
      <c r="F10" s="717" t="n">
        <f aca="false">MAX(0,$E$22)*0.35</f>
        <v>0</v>
      </c>
      <c r="G10" s="717" t="n">
        <f aca="false">MAX(0,$F$22)*0.35</f>
        <v>14444.0662333333</v>
      </c>
      <c r="H10" s="689"/>
      <c r="I10" s="689"/>
      <c r="J10" s="689"/>
      <c r="K10" s="689"/>
      <c r="L10" s="689"/>
      <c r="M10" s="689"/>
      <c r="N10" s="689"/>
      <c r="O10" s="689"/>
      <c r="P10" s="689"/>
      <c r="Q10" s="2"/>
      <c r="R10" s="2"/>
      <c r="S10" s="2"/>
      <c r="T10" s="2"/>
      <c r="U10" s="2"/>
      <c r="V10" s="2"/>
      <c r="W10" s="2"/>
      <c r="X10" s="2"/>
      <c r="Y10" s="2"/>
      <c r="Z10" s="2"/>
    </row>
    <row r="11" customFormat="false" ht="14.25" hidden="false" customHeight="true" outlineLevel="0" collapsed="false">
      <c r="A11" s="689"/>
      <c r="B11" s="718"/>
      <c r="C11" s="718"/>
      <c r="D11" s="706"/>
      <c r="E11" s="719"/>
      <c r="F11" s="719"/>
      <c r="G11" s="720"/>
      <c r="H11" s="689"/>
      <c r="I11" s="689"/>
      <c r="J11" s="689"/>
      <c r="K11" s="689"/>
      <c r="L11" s="689"/>
      <c r="M11" s="689"/>
      <c r="N11" s="689"/>
      <c r="O11" s="689"/>
      <c r="P11" s="689"/>
      <c r="Q11" s="2"/>
      <c r="R11" s="2"/>
      <c r="S11" s="2"/>
      <c r="T11" s="2"/>
      <c r="U11" s="2"/>
      <c r="V11" s="2"/>
      <c r="W11" s="2"/>
      <c r="X11" s="2"/>
      <c r="Y11" s="2"/>
      <c r="Z11" s="2"/>
    </row>
    <row r="12" customFormat="false" ht="14.25" hidden="false" customHeight="true" outlineLevel="0" collapsed="false">
      <c r="A12" s="689"/>
      <c r="B12" s="709" t="s">
        <v>394</v>
      </c>
      <c r="C12" s="709"/>
      <c r="D12" s="710" t="s">
        <v>389</v>
      </c>
      <c r="E12" s="711" t="n">
        <f aca="false">+E8-E9-E10</f>
        <v>-37749.95</v>
      </c>
      <c r="F12" s="711" t="n">
        <f aca="false">+F8-F9-F10</f>
        <v>45004.094</v>
      </c>
      <c r="G12" s="711" t="n">
        <f aca="false">+G8-G9-G10</f>
        <v>171307.625766667</v>
      </c>
      <c r="H12" s="689"/>
      <c r="I12" s="689"/>
      <c r="J12" s="689"/>
      <c r="K12" s="689"/>
      <c r="L12" s="689"/>
      <c r="M12" s="689"/>
      <c r="N12" s="689"/>
      <c r="O12" s="689"/>
      <c r="P12" s="689"/>
      <c r="Q12" s="2"/>
      <c r="R12" s="2"/>
      <c r="S12" s="2"/>
      <c r="T12" s="2"/>
      <c r="U12" s="2"/>
      <c r="V12" s="2"/>
      <c r="W12" s="2"/>
      <c r="X12" s="2"/>
      <c r="Y12" s="2"/>
      <c r="Z12" s="2"/>
    </row>
    <row r="13" customFormat="false" ht="14.25" hidden="false" customHeight="true" outlineLevel="0" collapsed="false">
      <c r="A13" s="689"/>
      <c r="B13" s="721" t="s">
        <v>395</v>
      </c>
      <c r="C13" s="721"/>
      <c r="D13" s="722" t="n">
        <f aca="false">+'Presupuesto financiero'!D21</f>
        <v>-67705</v>
      </c>
      <c r="E13" s="723" t="n">
        <f aca="false">+'Presupuesto financiero'!E21</f>
        <v>-10098</v>
      </c>
      <c r="F13" s="724" t="n">
        <f aca="false">+'Presupuesto financiero'!F21 + 1200</f>
        <v>-10700</v>
      </c>
      <c r="G13" s="725" t="n">
        <f aca="false">+'Presupuesto financiero'!G21 + 1200</f>
        <v>-16932</v>
      </c>
      <c r="H13" s="689"/>
      <c r="I13" s="689"/>
      <c r="J13" s="689"/>
      <c r="K13" s="689"/>
      <c r="L13" s="689"/>
      <c r="M13" s="689"/>
      <c r="N13" s="689"/>
      <c r="O13" s="689"/>
      <c r="P13" s="689"/>
      <c r="Q13" s="2"/>
      <c r="R13" s="2"/>
      <c r="S13" s="2"/>
      <c r="T13" s="2"/>
      <c r="U13" s="2"/>
      <c r="V13" s="2"/>
      <c r="W13" s="2"/>
      <c r="X13" s="2"/>
      <c r="Y13" s="2"/>
      <c r="Z13" s="2"/>
    </row>
    <row r="14" customFormat="false" ht="14.25" hidden="false" customHeight="true" outlineLevel="0" collapsed="false">
      <c r="A14" s="689"/>
      <c r="B14" s="726" t="s">
        <v>396</v>
      </c>
      <c r="C14" s="726"/>
      <c r="D14" s="727" t="n">
        <f aca="false">+D13</f>
        <v>-67705</v>
      </c>
      <c r="E14" s="728" t="n">
        <f aca="false">+E12+E13</f>
        <v>-47847.95</v>
      </c>
      <c r="F14" s="728" t="n">
        <f aca="false">+F12+F13</f>
        <v>34304.094</v>
      </c>
      <c r="G14" s="728" t="n">
        <f aca="false">+G12+G13</f>
        <v>154375.625766667</v>
      </c>
      <c r="H14" s="689"/>
      <c r="I14" s="689"/>
      <c r="J14" s="689"/>
      <c r="K14" s="689"/>
      <c r="L14" s="689"/>
      <c r="M14" s="689"/>
      <c r="N14" s="689"/>
      <c r="O14" s="689"/>
      <c r="P14" s="689"/>
      <c r="Q14" s="2"/>
      <c r="R14" s="2"/>
      <c r="S14" s="2"/>
      <c r="T14" s="2"/>
      <c r="U14" s="2"/>
      <c r="V14" s="2"/>
      <c r="W14" s="2"/>
      <c r="X14" s="2"/>
      <c r="Y14" s="2"/>
      <c r="Z14" s="2"/>
    </row>
    <row r="15" customFormat="false" ht="14.25" hidden="false" customHeight="true" outlineLevel="0" collapsed="false">
      <c r="A15" s="689"/>
      <c r="B15" s="689"/>
      <c r="C15" s="689"/>
      <c r="D15" s="689"/>
      <c r="E15" s="689"/>
      <c r="F15" s="689"/>
      <c r="G15" s="689"/>
      <c r="H15" s="689"/>
      <c r="I15" s="689"/>
      <c r="J15" s="689"/>
      <c r="K15" s="689"/>
      <c r="L15" s="689"/>
      <c r="M15" s="689"/>
      <c r="N15" s="689"/>
      <c r="O15" s="689"/>
      <c r="P15" s="689"/>
      <c r="Q15" s="2"/>
      <c r="R15" s="2"/>
      <c r="S15" s="2"/>
      <c r="T15" s="2"/>
      <c r="U15" s="2"/>
      <c r="V15" s="2"/>
      <c r="W15" s="2"/>
      <c r="X15" s="2"/>
      <c r="Y15" s="2"/>
      <c r="Z15" s="2"/>
    </row>
    <row r="16" customFormat="false" ht="14.25" hidden="false" customHeight="true" outlineLevel="0" collapsed="false">
      <c r="A16" s="689"/>
      <c r="B16" s="689"/>
      <c r="C16" s="689"/>
      <c r="D16" s="689"/>
      <c r="E16" s="689"/>
      <c r="F16" s="689"/>
      <c r="G16" s="689"/>
      <c r="H16" s="689"/>
      <c r="I16" s="689"/>
      <c r="J16" s="689"/>
      <c r="K16" s="689"/>
      <c r="L16" s="689"/>
      <c r="M16" s="689"/>
      <c r="N16" s="689"/>
      <c r="O16" s="689"/>
      <c r="P16" s="689"/>
      <c r="Q16" s="2"/>
      <c r="R16" s="2"/>
      <c r="S16" s="2"/>
      <c r="T16" s="2"/>
      <c r="U16" s="2"/>
      <c r="V16" s="2"/>
      <c r="W16" s="2"/>
      <c r="X16" s="2"/>
      <c r="Y16" s="2"/>
      <c r="Z16" s="2"/>
    </row>
    <row r="17" customFormat="false" ht="14.25" hidden="false" customHeight="true" outlineLevel="0" collapsed="false">
      <c r="A17" s="689"/>
      <c r="B17" s="689"/>
      <c r="C17" s="689"/>
      <c r="D17" s="689"/>
      <c r="E17" s="689"/>
      <c r="F17" s="689"/>
      <c r="G17" s="689"/>
      <c r="H17" s="689"/>
      <c r="I17" s="689"/>
      <c r="J17" s="689"/>
      <c r="K17" s="689"/>
      <c r="L17" s="689"/>
      <c r="M17" s="689"/>
      <c r="N17" s="689"/>
      <c r="O17" s="689"/>
      <c r="P17" s="689"/>
      <c r="Q17" s="2"/>
      <c r="R17" s="2"/>
      <c r="S17" s="2"/>
      <c r="T17" s="2"/>
      <c r="U17" s="2"/>
      <c r="V17" s="2"/>
      <c r="W17" s="2"/>
      <c r="X17" s="2"/>
      <c r="Y17" s="2"/>
      <c r="Z17" s="2"/>
    </row>
    <row r="18" customFormat="false" ht="14.25" hidden="false" customHeight="true" outlineLevel="0" collapsed="false">
      <c r="A18" s="689"/>
      <c r="B18" s="689"/>
      <c r="C18" s="689"/>
      <c r="D18" s="689"/>
      <c r="E18" s="729" t="s">
        <v>403</v>
      </c>
      <c r="F18" s="730" t="n">
        <f aca="false">+'Presupuesto financiero'!$G$33</f>
        <v>0.3</v>
      </c>
      <c r="G18" s="689"/>
      <c r="H18" s="689"/>
      <c r="I18" s="689"/>
      <c r="J18" s="689"/>
      <c r="K18" s="689"/>
      <c r="L18" s="689"/>
      <c r="M18" s="689"/>
      <c r="N18" s="689"/>
      <c r="O18" s="689"/>
      <c r="P18" s="689"/>
      <c r="Q18" s="2"/>
      <c r="R18" s="2"/>
      <c r="S18" s="2"/>
      <c r="T18" s="2"/>
      <c r="U18" s="2"/>
      <c r="V18" s="2"/>
      <c r="W18" s="2"/>
      <c r="X18" s="2"/>
      <c r="Y18" s="2"/>
      <c r="Z18" s="2"/>
    </row>
    <row r="19" customFormat="false" ht="14.25" hidden="false" customHeight="true" outlineLevel="0" collapsed="false">
      <c r="A19" s="689"/>
      <c r="B19" s="689"/>
      <c r="C19" s="689"/>
      <c r="D19" s="689"/>
      <c r="E19" s="731" t="s">
        <v>404</v>
      </c>
      <c r="F19" s="732" t="n">
        <f aca="false">NPV($F$18,E14:G14)+D14</f>
        <v>-13946.2778940981</v>
      </c>
      <c r="G19" s="689"/>
      <c r="H19" s="689"/>
      <c r="I19" s="689"/>
      <c r="J19" s="689"/>
      <c r="K19" s="689"/>
      <c r="L19" s="689"/>
      <c r="M19" s="689"/>
      <c r="N19" s="689"/>
      <c r="O19" s="689"/>
      <c r="P19" s="689"/>
      <c r="Q19" s="2"/>
      <c r="R19" s="2"/>
      <c r="S19" s="2"/>
      <c r="T19" s="2"/>
      <c r="U19" s="2"/>
      <c r="V19" s="2"/>
      <c r="W19" s="2"/>
      <c r="X19" s="2"/>
      <c r="Y19" s="2"/>
      <c r="Z19" s="2"/>
    </row>
    <row r="20" customFormat="false" ht="14.25" hidden="false" customHeight="true" outlineLevel="0" collapsed="false">
      <c r="A20" s="689"/>
      <c r="B20" s="689"/>
      <c r="C20" s="689"/>
      <c r="D20" s="689"/>
      <c r="E20" s="733" t="s">
        <v>406</v>
      </c>
      <c r="F20" s="734" t="n">
        <f aca="false">IRR(D14:G14,$F$18)</f>
        <v>0.225352055706222</v>
      </c>
      <c r="G20" s="689"/>
      <c r="H20" s="689"/>
      <c r="I20" s="689"/>
      <c r="J20" s="689"/>
      <c r="K20" s="689"/>
      <c r="L20" s="689"/>
      <c r="M20" s="689"/>
      <c r="N20" s="689"/>
      <c r="O20" s="689"/>
      <c r="P20" s="689"/>
      <c r="Q20" s="2"/>
      <c r="R20" s="2"/>
      <c r="S20" s="2"/>
      <c r="T20" s="2"/>
      <c r="U20" s="2"/>
      <c r="V20" s="2"/>
      <c r="W20" s="2"/>
      <c r="X20" s="2"/>
      <c r="Y20" s="2"/>
      <c r="Z20" s="2"/>
    </row>
    <row r="21" customFormat="false" ht="14.25" hidden="false" customHeight="true" outlineLevel="0" collapsed="false">
      <c r="A21" s="689"/>
      <c r="B21" s="689"/>
      <c r="C21" s="689"/>
      <c r="D21" s="689"/>
      <c r="E21" s="689"/>
      <c r="F21" s="689"/>
      <c r="G21" s="689"/>
      <c r="H21" s="689"/>
      <c r="I21" s="689"/>
      <c r="J21" s="689"/>
      <c r="K21" s="689"/>
      <c r="L21" s="689"/>
      <c r="M21" s="689"/>
      <c r="N21" s="689"/>
      <c r="O21" s="689"/>
      <c r="P21" s="689"/>
      <c r="Q21" s="2"/>
      <c r="R21" s="2"/>
      <c r="S21" s="2"/>
      <c r="T21" s="2"/>
      <c r="U21" s="2"/>
      <c r="V21" s="2"/>
      <c r="W21" s="2"/>
      <c r="X21" s="2"/>
      <c r="Y21" s="2"/>
      <c r="Z21" s="2"/>
    </row>
    <row r="22" customFormat="false" ht="14.25" hidden="false" customHeight="true" outlineLevel="0" collapsed="false">
      <c r="A22" s="689"/>
      <c r="B22" s="689" t="s">
        <v>541</v>
      </c>
      <c r="C22" s="689"/>
      <c r="D22" s="689"/>
      <c r="E22" s="689" t="n">
        <f aca="false">+E8-E9-Amortizaciones!$I$5</f>
        <v>-39898.6166666667</v>
      </c>
      <c r="F22" s="689" t="n">
        <f aca="false">+F8-F9-Amortizaciones!$J$5</f>
        <v>41268.7606666666</v>
      </c>
      <c r="G22" s="689" t="n">
        <f aca="false">+G8-G9-Amortizaciones!$K$5</f>
        <v>180459.492</v>
      </c>
      <c r="H22" s="689"/>
      <c r="I22" s="689"/>
      <c r="J22" s="689"/>
      <c r="K22" s="689"/>
      <c r="L22" s="689"/>
      <c r="M22" s="689"/>
      <c r="N22" s="689"/>
      <c r="O22" s="689"/>
      <c r="P22" s="689"/>
      <c r="Q22" s="2"/>
      <c r="R22" s="2"/>
      <c r="S22" s="2"/>
      <c r="T22" s="2"/>
      <c r="U22" s="2"/>
      <c r="V22" s="2"/>
      <c r="W22" s="2"/>
      <c r="X22" s="2"/>
      <c r="Y22" s="2"/>
      <c r="Z22" s="2"/>
    </row>
    <row r="23" customFormat="false" ht="14.25" hidden="false" customHeight="true" outlineLevel="0" collapsed="false">
      <c r="A23" s="689"/>
      <c r="B23" s="689"/>
      <c r="C23" s="689"/>
      <c r="D23" s="689"/>
      <c r="E23" s="689"/>
      <c r="F23" s="689"/>
      <c r="G23" s="689"/>
      <c r="H23" s="689"/>
      <c r="I23" s="689"/>
      <c r="J23" s="689"/>
      <c r="K23" s="689"/>
      <c r="L23" s="689"/>
      <c r="M23" s="689"/>
      <c r="N23" s="689"/>
      <c r="O23" s="689"/>
      <c r="P23" s="689"/>
      <c r="Q23" s="2"/>
      <c r="R23" s="2"/>
      <c r="S23" s="2"/>
      <c r="T23" s="2"/>
      <c r="U23" s="2"/>
      <c r="V23" s="2"/>
      <c r="W23" s="2"/>
      <c r="X23" s="2"/>
      <c r="Y23" s="2"/>
      <c r="Z23" s="2"/>
    </row>
    <row r="24" customFormat="false" ht="14.25" hidden="false" customHeight="true" outlineLevel="0" collapsed="false">
      <c r="A24" s="689"/>
      <c r="B24" s="689"/>
      <c r="C24" s="689"/>
      <c r="D24" s="689"/>
      <c r="E24" s="689"/>
      <c r="F24" s="689"/>
      <c r="G24" s="689"/>
      <c r="H24" s="689"/>
      <c r="I24" s="689"/>
      <c r="J24" s="689"/>
      <c r="K24" s="689"/>
      <c r="L24" s="689"/>
      <c r="M24" s="689"/>
      <c r="N24" s="689"/>
      <c r="O24" s="689"/>
      <c r="P24" s="689"/>
      <c r="Q24" s="2"/>
      <c r="R24" s="2"/>
      <c r="S24" s="2"/>
      <c r="T24" s="2"/>
      <c r="U24" s="2"/>
      <c r="V24" s="2"/>
      <c r="W24" s="2"/>
      <c r="X24" s="2"/>
      <c r="Y24" s="2"/>
      <c r="Z24" s="2"/>
    </row>
    <row r="25" customFormat="false" ht="14.25" hidden="false" customHeight="true" outlineLevel="0" collapsed="false">
      <c r="A25" s="689"/>
      <c r="B25" s="689"/>
      <c r="C25" s="689"/>
      <c r="D25" s="689"/>
      <c r="E25" s="689"/>
      <c r="F25" s="689"/>
      <c r="G25" s="689"/>
      <c r="H25" s="689"/>
      <c r="I25" s="689"/>
      <c r="J25" s="689"/>
      <c r="K25" s="689"/>
      <c r="L25" s="689"/>
      <c r="M25" s="689"/>
      <c r="N25" s="689"/>
      <c r="O25" s="2"/>
      <c r="P25" s="2"/>
      <c r="Q25" s="2"/>
      <c r="R25" s="2"/>
      <c r="S25" s="2"/>
      <c r="T25" s="2"/>
      <c r="U25" s="2"/>
      <c r="V25" s="2"/>
      <c r="W25" s="2"/>
      <c r="X25" s="2"/>
      <c r="Y25" s="2"/>
      <c r="Z25" s="2"/>
    </row>
    <row r="26" customFormat="false" ht="14.25" hidden="false" customHeight="true" outlineLevel="0" collapsed="false">
      <c r="A26" s="689"/>
      <c r="B26" s="689"/>
      <c r="C26" s="689"/>
      <c r="D26" s="689"/>
      <c r="E26" s="689"/>
      <c r="F26" s="689"/>
      <c r="G26" s="689"/>
      <c r="H26" s="689"/>
      <c r="I26" s="689"/>
      <c r="J26" s="689"/>
      <c r="K26" s="689"/>
      <c r="L26" s="689"/>
      <c r="M26" s="689"/>
      <c r="N26" s="689"/>
      <c r="O26" s="2"/>
      <c r="P26" s="2"/>
      <c r="Q26" s="2"/>
      <c r="R26" s="2"/>
      <c r="S26" s="2"/>
      <c r="T26" s="2"/>
      <c r="U26" s="2"/>
      <c r="V26" s="2"/>
      <c r="W26" s="2"/>
      <c r="X26" s="2"/>
      <c r="Y26" s="2"/>
      <c r="Z26" s="2"/>
    </row>
    <row r="27" customFormat="false" ht="14.25" hidden="false" customHeight="true" outlineLevel="0" collapsed="false">
      <c r="A27" s="689"/>
      <c r="B27" s="689"/>
      <c r="C27" s="689"/>
      <c r="D27" s="689"/>
      <c r="E27" s="689"/>
      <c r="F27" s="689"/>
      <c r="G27" s="689"/>
      <c r="H27" s="689"/>
      <c r="I27" s="689"/>
      <c r="J27" s="689"/>
      <c r="K27" s="689"/>
      <c r="L27" s="689"/>
      <c r="M27" s="689"/>
      <c r="N27" s="689"/>
      <c r="O27" s="2"/>
      <c r="P27" s="2"/>
      <c r="Q27" s="2"/>
      <c r="R27" s="2"/>
      <c r="S27" s="2"/>
      <c r="T27" s="2"/>
      <c r="U27" s="2"/>
      <c r="V27" s="2"/>
      <c r="W27" s="2"/>
      <c r="X27" s="2"/>
      <c r="Y27" s="2"/>
      <c r="Z27" s="2"/>
    </row>
    <row r="28" customFormat="false" ht="14.25" hidden="false" customHeight="true" outlineLevel="0" collapsed="false">
      <c r="A28" s="689"/>
      <c r="B28" s="689"/>
      <c r="C28" s="689"/>
      <c r="D28" s="689"/>
      <c r="E28" s="689"/>
      <c r="F28" s="689"/>
      <c r="G28" s="689"/>
      <c r="H28" s="689"/>
      <c r="I28" s="689"/>
      <c r="J28" s="689"/>
      <c r="K28" s="689"/>
      <c r="L28" s="689"/>
      <c r="M28" s="689"/>
      <c r="N28" s="689"/>
      <c r="O28" s="2"/>
      <c r="P28" s="2"/>
      <c r="Q28" s="2"/>
      <c r="R28" s="2"/>
      <c r="S28" s="2"/>
      <c r="T28" s="2"/>
      <c r="U28" s="2"/>
      <c r="V28" s="2"/>
      <c r="W28" s="2"/>
      <c r="X28" s="2"/>
      <c r="Y28" s="2"/>
      <c r="Z28" s="2"/>
    </row>
    <row r="29" customFormat="false" ht="14.25" hidden="false" customHeight="true" outlineLevel="0" collapsed="false">
      <c r="A29" s="689"/>
      <c r="B29" s="689"/>
      <c r="C29" s="689"/>
      <c r="D29" s="689"/>
      <c r="E29" s="689"/>
      <c r="F29" s="689"/>
      <c r="G29" s="689"/>
      <c r="H29" s="689"/>
      <c r="I29" s="689"/>
      <c r="J29" s="689"/>
      <c r="K29" s="689"/>
      <c r="L29" s="689"/>
      <c r="M29" s="689"/>
      <c r="N29" s="689"/>
      <c r="O29" s="2"/>
      <c r="P29" s="2"/>
      <c r="Q29" s="2"/>
      <c r="R29" s="2"/>
      <c r="S29" s="2"/>
      <c r="T29" s="2"/>
      <c r="U29" s="2"/>
      <c r="V29" s="2"/>
      <c r="W29" s="2"/>
      <c r="X29" s="2"/>
      <c r="Y29" s="2"/>
      <c r="Z29" s="2"/>
    </row>
    <row r="30" customFormat="false" ht="14.25" hidden="false" customHeight="true" outlineLevel="0" collapsed="false">
      <c r="A30" s="689"/>
      <c r="B30" s="689"/>
      <c r="C30" s="689"/>
      <c r="D30" s="689"/>
      <c r="E30" s="689"/>
      <c r="F30" s="689"/>
      <c r="G30" s="689"/>
      <c r="H30" s="689"/>
      <c r="I30" s="689"/>
      <c r="J30" s="689"/>
      <c r="K30" s="689"/>
      <c r="L30" s="689"/>
      <c r="M30" s="689"/>
      <c r="N30" s="689"/>
      <c r="O30" s="2"/>
      <c r="P30" s="2"/>
      <c r="Q30" s="2"/>
      <c r="R30" s="2"/>
      <c r="S30" s="2"/>
      <c r="T30" s="2"/>
      <c r="U30" s="2"/>
      <c r="V30" s="2"/>
      <c r="W30" s="2"/>
      <c r="X30" s="2"/>
      <c r="Y30" s="2"/>
      <c r="Z30" s="2"/>
    </row>
    <row r="31" customFormat="false" ht="14.2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4.2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4.2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4.2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4.2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4.2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4.2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4.2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4.2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4.2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4.2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4.2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4.2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4.2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4.2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4.2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4.2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4.2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4.2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4.2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4.2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4.2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4.2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4.2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4.2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4.2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4.2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4.2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4.2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4.2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4.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4.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4.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4.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4.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4.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4.2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4.2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4.2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4.2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4.2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4.2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4.2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4.2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4.2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4.2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4.2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4.2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4.2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4.2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4.2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4.2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4.2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4.2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4.2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4.2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4.2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4.2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4.2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4.2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4.2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4.2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4.2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4.2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4.2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4.2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4.2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4.2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4.2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4.2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4.2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4.2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4.2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4.2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4.2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4.2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4.2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4.2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4.2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4.2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4.2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4.2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4.2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4.2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4.2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4.2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4.2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4.2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4.2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4.2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4.2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4.2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4.2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4.2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4.2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4.2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4.2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4.2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4.2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4.2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4.2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4.2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4.2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4.2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4.2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4.2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4.2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4.2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4.2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4.2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4.2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4.2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4.2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4.2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4.2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4.2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4.2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4.2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4.2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4.2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4.2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4.2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4.2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4.2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4.2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4.2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4.2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4.2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4.2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4.2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4.2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4.2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4.2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4.2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4.2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4.2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4.2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4.2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4.2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4.2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4.2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4.2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4.2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4.2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4.2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4.2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4.2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4.2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4.2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4.2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4.2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4.2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4.2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4.2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4.2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4.2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4.2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4.2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4.2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4.2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4.2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4.2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4.2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4.2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4.2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4.2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4.2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4.2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4.2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4.2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4.2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4.2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4.2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4.2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4.2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4.2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4.2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4.2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4.2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4.2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4.2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4.2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4.2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4.2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4.2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4.2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4.2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4.2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4.2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4.2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4.2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4.2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4.2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4.2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4.2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4.2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4.2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4.2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4.2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4.2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4.2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4.2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4.2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4.2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4.2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4.2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4.2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4.2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4.2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4.2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4.2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4.2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4.2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4.2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4.2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4.2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4.2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4.2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4.2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4.2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4.2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4.2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4.2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4.2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4.2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4.2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4.2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4.2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4.2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4.2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4.2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4.2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4.2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4.2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4.2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4.2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4.2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4.2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4.2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4.2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4.2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4.2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4.2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4.2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4.2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4.2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4.2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4.2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4.2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4.2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4.2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4.2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4.2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4.2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4.2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4.2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4.2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4.2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4.2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4.2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4.2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4.2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4.2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4.2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4.2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4.2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4.2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4.2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4.2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4.2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4.2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4.2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4.2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4.2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4.2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4.2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4.2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4.2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4.2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4.2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4.2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4.2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4.2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4.2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4.2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4.2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4.2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4.2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4.2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4.2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4.2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4.2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4.2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4.2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4.2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4.2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4.2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4.2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4.2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4.2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4.2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4.2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4.2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4.2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4.2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4.2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4.2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4.2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4.2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4.2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4.2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4.2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4.2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4.2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4.2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4.2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4.2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4.2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4.2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4.2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4.2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4.2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4.2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4.2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4.2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4.2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4.2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4.2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4.2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4.2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4.2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4.2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4.2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4.2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4.2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4.2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4.2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4.2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4.2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4.2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4.2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4.2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4.2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4.2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4.2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4.2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4.2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4.2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4.2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4.2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4.2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4.2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4.2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4.2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4.2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4.2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4.2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4.2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4.2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4.2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4.2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4.2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4.2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4.2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4.2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4.2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4.2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4.2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4.2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4.2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4.2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4.2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4.2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4.2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4.2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4.2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4.2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4.2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4.2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4.2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4.2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4.2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4.2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4.2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4.2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4.2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4.2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4.2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4.2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4.2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4.2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4.2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4.2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4.2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4.2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4.2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4.2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4.2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4.2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4.2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4.2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4.2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4.2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4.2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4.2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4.2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4.2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4.2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4.2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4.2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4.2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4.2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4.2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4.2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4.2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4.2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4.2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4.2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4.2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4.2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4.2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4.2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4.2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4.2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4.2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4.2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4.2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4.2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4.2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4.2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4.2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4.2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4.2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4.2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4.2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4.2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4.2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4.2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4.2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4.2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4.2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4.2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4.2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4.2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4.2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4.2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4.2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4.2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4.2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4.2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4.2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4.2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4.2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4.2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4.2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4.2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4.2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4.2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4.2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4.2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4.2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4.2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4.2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4.2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4.2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4.2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4.2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4.2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4.2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4.2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4.2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4.2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4.2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4.2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4.2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4.2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4.2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4.2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4.2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4.2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4.2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4.2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4.2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4.2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4.2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4.2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4.2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4.2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4.2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4.2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4.2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4.2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4.2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4.2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4.2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4.2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4.2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4.2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4.2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4.2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4.2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4.2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4.2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4.2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4.2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4.2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4.2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4.2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4.2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4.2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4.2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4.2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4.2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4.2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4.2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4.2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4.2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4.2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4.2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4.2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4.2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4.2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4.2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4.2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4.2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4.2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4.2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4.2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4.2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4.2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4.2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4.2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4.2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4.2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4.2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4.2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4.2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4.2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4.2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4.2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4.2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4.2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4.2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4.2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4.2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4.2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4.2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4.2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4.2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4.2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4.2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4.2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4.2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4.2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4.2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4.2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4.2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4.2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4.2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4.2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4.2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4.2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4.2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4.2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4.2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4.2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4.2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4.2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4.2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4.2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4.2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4.2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4.2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4.2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4.2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4.2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4.2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4.2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4.2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4.2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4.2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4.2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4.2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4.2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4.2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4.2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4.2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4.2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4.2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4.2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4.2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4.2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4.2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4.2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4.2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4.2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4.2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4.2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4.2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4.2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4.2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4.2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4.2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4.2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4.2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4.2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4.2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4.2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4.2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4.2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4.2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4.2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4.2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4.2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4.2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4.2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4.2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4.2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4.2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4.2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4.2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4.2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4.2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4.2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4.2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4.2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4.2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4.2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4.2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4.2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4.2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4.2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4.2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4.2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4.2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4.2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4.2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4.2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4.2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4.2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4.2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4.2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4.2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4.2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4.2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4.2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4.2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4.2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4.2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4.2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4.2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4.2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4.2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4.2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4.2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4.2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4.2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4.2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4.2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4.2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4.2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4.2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4.2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4.2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4.2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4.2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4.2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4.2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4.2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4.2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4.2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4.2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4.2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4.2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4.2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4.2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4.2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4.2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4.2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4.2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4.2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4.2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4.2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4.2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4.2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4.2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4.2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4.2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4.2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4.2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4.2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4.2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4.2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4.2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4.2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4.2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4.2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4.2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4.2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4.2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4.2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4.2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4.2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4.2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4.2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4.2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4.2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4.2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4.2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4.2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4.2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4.2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4.2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4.2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4.2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4.2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4.2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4.2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4.2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4.2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4.2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4.2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4.2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4.2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4.2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4.2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4.2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4.2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4.2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4.2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4.2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4.2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4.2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4.2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4.2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4.2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4.2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4.2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4.2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4.2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4.2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4.2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4.2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4.2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4.2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4.2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4.2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4.2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4.2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4.2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4.2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4.2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4.2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4.2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4.2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4.2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4.2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4.2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4.2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4.2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4.2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4.2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4.2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4.2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4.2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4.2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4.2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4.2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4.2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4.2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4.2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4.2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4.2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4.2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4.2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4.2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4.2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4.2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4.2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4.2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4.2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4.2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4.2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4.2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4.2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4.2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4.2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4.2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4.2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4.2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4.2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4.2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4.2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4.2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4.2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4.2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4.2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4.2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4.2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4.2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4.2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4.2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4.2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4.2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4.2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4.2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4.2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4.2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4.2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4.2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5">
    <mergeCell ref="B2:G2"/>
    <mergeCell ref="B3:C3"/>
    <mergeCell ref="I3:L3"/>
    <mergeCell ref="B4:C4"/>
    <mergeCell ref="I4:I6"/>
    <mergeCell ref="J4:J6"/>
    <mergeCell ref="K4:K6"/>
    <mergeCell ref="L4:L6"/>
    <mergeCell ref="B5:B7"/>
    <mergeCell ref="B8:C8"/>
    <mergeCell ref="B10:C10"/>
    <mergeCell ref="B11:C11"/>
    <mergeCell ref="B12:C12"/>
    <mergeCell ref="B13:C13"/>
    <mergeCell ref="B14:C1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customHeight="true" zeroHeight="false" outlineLevelRow="0" outlineLevelCol="0"/>
  <cols>
    <col collapsed="false" customWidth="true" hidden="false" outlineLevel="0" max="1" min="1" style="1" width="9.4"/>
    <col collapsed="false" customWidth="true" hidden="false" outlineLevel="0" max="2" min="2" style="1" width="22.5"/>
    <col collapsed="false" customWidth="true" hidden="false" outlineLevel="0" max="3" min="3" style="1" width="24.9"/>
    <col collapsed="false" customWidth="true" hidden="false" outlineLevel="0" max="4" min="4" style="1" width="12.9"/>
    <col collapsed="false" customWidth="true" hidden="false" outlineLevel="0" max="5" min="5" style="1" width="13.69"/>
    <col collapsed="false" customWidth="true" hidden="false" outlineLevel="0" max="6" min="6" style="1" width="15.4"/>
    <col collapsed="false" customWidth="true" hidden="false" outlineLevel="0" max="7" min="7" style="1" width="17.9"/>
    <col collapsed="false" customWidth="true" hidden="false" outlineLevel="0" max="9" min="8" style="1" width="5.2"/>
    <col collapsed="false" customWidth="true" hidden="false" outlineLevel="0" max="10" min="10" style="1" width="17.9"/>
    <col collapsed="false" customWidth="true" hidden="false" outlineLevel="0" max="11" min="11" style="1" width="17"/>
    <col collapsed="false" customWidth="true" hidden="false" outlineLevel="0" max="12" min="12" style="1" width="18.1"/>
    <col collapsed="false" customWidth="true" hidden="false" outlineLevel="0" max="26" min="13" style="1" width="9.4"/>
  </cols>
  <sheetData>
    <row r="1" customFormat="false" ht="14.25" hidden="false" customHeight="true" outlineLevel="0" collapsed="false">
      <c r="A1" s="689"/>
      <c r="B1" s="689"/>
      <c r="C1" s="689"/>
      <c r="D1" s="689"/>
      <c r="E1" s="689"/>
      <c r="F1" s="689"/>
      <c r="G1" s="689"/>
      <c r="H1" s="689"/>
      <c r="I1" s="689"/>
      <c r="J1" s="689"/>
      <c r="K1" s="689"/>
      <c r="L1" s="689"/>
      <c r="M1" s="689"/>
      <c r="N1" s="689"/>
      <c r="O1" s="689"/>
      <c r="P1" s="689"/>
      <c r="Q1" s="2"/>
      <c r="R1" s="2"/>
      <c r="S1" s="2"/>
      <c r="T1" s="2"/>
      <c r="U1" s="2"/>
      <c r="V1" s="2"/>
      <c r="W1" s="2"/>
      <c r="X1" s="2"/>
      <c r="Y1" s="2"/>
      <c r="Z1" s="2"/>
    </row>
    <row r="2" customFormat="false" ht="14.25" hidden="false" customHeight="true" outlineLevel="0" collapsed="false">
      <c r="A2" s="689"/>
      <c r="B2" s="735" t="s">
        <v>552</v>
      </c>
      <c r="C2" s="735"/>
      <c r="D2" s="735"/>
      <c r="E2" s="735"/>
      <c r="F2" s="735"/>
      <c r="G2" s="735"/>
      <c r="H2" s="735"/>
      <c r="I2" s="735"/>
      <c r="J2" s="735"/>
      <c r="K2" s="735"/>
      <c r="L2" s="735"/>
      <c r="M2" s="689"/>
      <c r="N2" s="689"/>
      <c r="O2" s="689"/>
      <c r="P2" s="689"/>
      <c r="Q2" s="2"/>
      <c r="R2" s="2"/>
      <c r="S2" s="2"/>
      <c r="T2" s="2"/>
      <c r="U2" s="2"/>
      <c r="V2" s="2"/>
      <c r="W2" s="2"/>
      <c r="X2" s="2"/>
      <c r="Y2" s="2"/>
      <c r="Z2" s="2"/>
    </row>
    <row r="3" customFormat="false" ht="14.25" hidden="false" customHeight="true" outlineLevel="0" collapsed="false">
      <c r="A3" s="689"/>
      <c r="B3" s="689"/>
      <c r="C3" s="689"/>
      <c r="D3" s="689"/>
      <c r="E3" s="689"/>
      <c r="F3" s="689"/>
      <c r="G3" s="689"/>
      <c r="H3" s="689"/>
      <c r="I3" s="689"/>
      <c r="J3" s="689"/>
      <c r="K3" s="689"/>
      <c r="L3" s="689"/>
      <c r="M3" s="689"/>
      <c r="N3" s="689"/>
      <c r="O3" s="689"/>
      <c r="P3" s="689"/>
      <c r="Q3" s="2"/>
      <c r="R3" s="2"/>
      <c r="S3" s="2"/>
      <c r="T3" s="2"/>
      <c r="U3" s="2"/>
      <c r="V3" s="2"/>
      <c r="W3" s="2"/>
      <c r="X3" s="2"/>
      <c r="Y3" s="2"/>
      <c r="Z3" s="2"/>
    </row>
    <row r="4" customFormat="false" ht="14.25" hidden="false" customHeight="true" outlineLevel="0" collapsed="false">
      <c r="A4" s="689"/>
      <c r="B4" s="736" t="s">
        <v>553</v>
      </c>
      <c r="C4" s="736"/>
      <c r="D4" s="736"/>
      <c r="E4" s="689"/>
      <c r="F4" s="689"/>
      <c r="G4" s="689"/>
      <c r="H4" s="689"/>
      <c r="I4" s="689"/>
      <c r="J4" s="689"/>
      <c r="K4" s="689"/>
      <c r="L4" s="689"/>
      <c r="M4" s="689"/>
      <c r="N4" s="689"/>
      <c r="O4" s="689"/>
      <c r="P4" s="689"/>
      <c r="Q4" s="2"/>
      <c r="R4" s="2"/>
      <c r="S4" s="2"/>
      <c r="T4" s="2"/>
      <c r="U4" s="2"/>
      <c r="V4" s="2"/>
      <c r="W4" s="2"/>
      <c r="X4" s="2"/>
      <c r="Y4" s="2"/>
      <c r="Z4" s="2"/>
    </row>
    <row r="5" customFormat="false" ht="14.25" hidden="false" customHeight="true" outlineLevel="0" collapsed="false">
      <c r="A5" s="689"/>
      <c r="B5" s="737" t="s">
        <v>554</v>
      </c>
      <c r="C5" s="737"/>
      <c r="D5" s="737"/>
      <c r="E5" s="689"/>
      <c r="F5" s="689"/>
      <c r="G5" s="689"/>
      <c r="H5" s="689"/>
      <c r="I5" s="689"/>
      <c r="J5" s="689"/>
      <c r="K5" s="689"/>
      <c r="L5" s="689"/>
      <c r="M5" s="689"/>
      <c r="N5" s="689"/>
      <c r="O5" s="689"/>
      <c r="P5" s="689"/>
      <c r="Q5" s="2"/>
      <c r="R5" s="2"/>
      <c r="S5" s="2"/>
      <c r="T5" s="2"/>
      <c r="U5" s="2"/>
      <c r="V5" s="2"/>
      <c r="W5" s="2"/>
      <c r="X5" s="2"/>
      <c r="Y5" s="2"/>
      <c r="Z5" s="2"/>
    </row>
    <row r="6" customFormat="false" ht="14.25" hidden="false" customHeight="true" outlineLevel="0" collapsed="false">
      <c r="A6" s="689"/>
      <c r="B6" s="737" t="s">
        <v>555</v>
      </c>
      <c r="C6" s="737"/>
      <c r="D6" s="737"/>
      <c r="E6" s="689"/>
      <c r="F6" s="689"/>
      <c r="G6" s="689"/>
      <c r="H6" s="689"/>
      <c r="I6" s="689"/>
      <c r="J6" s="689"/>
      <c r="K6" s="689"/>
      <c r="L6" s="689"/>
      <c r="M6" s="689"/>
      <c r="N6" s="689"/>
      <c r="O6" s="689"/>
      <c r="P6" s="689"/>
      <c r="Q6" s="2"/>
      <c r="R6" s="2"/>
      <c r="S6" s="2"/>
      <c r="T6" s="2"/>
      <c r="U6" s="2"/>
      <c r="V6" s="2"/>
      <c r="W6" s="2"/>
      <c r="X6" s="2"/>
      <c r="Y6" s="2"/>
      <c r="Z6" s="2"/>
    </row>
    <row r="7" customFormat="false" ht="14.25" hidden="false" customHeight="true" outlineLevel="0" collapsed="false">
      <c r="A7" s="689"/>
      <c r="B7" s="737" t="s">
        <v>556</v>
      </c>
      <c r="C7" s="737"/>
      <c r="D7" s="737"/>
      <c r="E7" s="689"/>
      <c r="F7" s="689"/>
      <c r="G7" s="689"/>
      <c r="H7" s="689"/>
      <c r="I7" s="689"/>
      <c r="J7" s="689"/>
      <c r="K7" s="689"/>
      <c r="L7" s="689"/>
      <c r="M7" s="689"/>
      <c r="N7" s="689"/>
      <c r="O7" s="689"/>
      <c r="P7" s="689"/>
      <c r="Q7" s="2"/>
      <c r="R7" s="2"/>
      <c r="S7" s="2"/>
      <c r="T7" s="2"/>
      <c r="U7" s="2"/>
      <c r="V7" s="2"/>
      <c r="W7" s="2"/>
      <c r="X7" s="2"/>
      <c r="Y7" s="2"/>
      <c r="Z7" s="2"/>
    </row>
    <row r="8" customFormat="false" ht="14.25" hidden="false" customHeight="true" outlineLevel="0" collapsed="false">
      <c r="A8" s="689"/>
      <c r="B8" s="689"/>
      <c r="C8" s="689"/>
      <c r="D8" s="689"/>
      <c r="E8" s="689"/>
      <c r="F8" s="689"/>
      <c r="G8" s="689"/>
      <c r="H8" s="689"/>
      <c r="I8" s="689"/>
      <c r="J8" s="689"/>
      <c r="K8" s="689"/>
      <c r="L8" s="689"/>
      <c r="M8" s="689"/>
      <c r="N8" s="689"/>
      <c r="O8" s="689"/>
      <c r="P8" s="689"/>
      <c r="Q8" s="2"/>
      <c r="R8" s="2"/>
      <c r="S8" s="2"/>
      <c r="T8" s="2"/>
      <c r="U8" s="2"/>
      <c r="V8" s="2"/>
      <c r="W8" s="2"/>
      <c r="X8" s="2"/>
      <c r="Y8" s="2"/>
      <c r="Z8" s="2"/>
    </row>
    <row r="9" customFormat="false" ht="14.25" hidden="false" customHeight="true" outlineLevel="0" collapsed="false">
      <c r="A9" s="689"/>
      <c r="B9" s="689"/>
      <c r="C9" s="689"/>
      <c r="D9" s="689"/>
      <c r="E9" s="689"/>
      <c r="F9" s="689"/>
      <c r="G9" s="689"/>
      <c r="H9" s="689"/>
      <c r="I9" s="689"/>
      <c r="J9" s="689"/>
      <c r="K9" s="689"/>
      <c r="L9" s="689"/>
      <c r="M9" s="689"/>
      <c r="N9" s="689"/>
      <c r="O9" s="689"/>
      <c r="P9" s="689"/>
      <c r="Q9" s="2"/>
      <c r="R9" s="2"/>
      <c r="S9" s="2"/>
      <c r="T9" s="2"/>
      <c r="U9" s="2"/>
      <c r="V9" s="2"/>
      <c r="W9" s="2"/>
      <c r="X9" s="2"/>
      <c r="Y9" s="2"/>
      <c r="Z9" s="2"/>
    </row>
    <row r="10" customFormat="false" ht="14.25" hidden="false" customHeight="true" outlineLevel="0" collapsed="false">
      <c r="A10" s="689"/>
      <c r="B10" s="690" t="s">
        <v>18</v>
      </c>
      <c r="C10" s="690"/>
      <c r="D10" s="690"/>
      <c r="E10" s="690"/>
      <c r="F10" s="690"/>
      <c r="G10" s="690"/>
      <c r="H10" s="689"/>
      <c r="I10" s="689"/>
      <c r="J10" s="689"/>
      <c r="K10" s="689"/>
      <c r="L10" s="689"/>
      <c r="M10" s="689"/>
      <c r="N10" s="689"/>
      <c r="O10" s="689"/>
      <c r="P10" s="689"/>
      <c r="Q10" s="2"/>
      <c r="R10" s="2"/>
      <c r="S10" s="2"/>
      <c r="T10" s="2"/>
      <c r="U10" s="2"/>
      <c r="V10" s="2"/>
      <c r="W10" s="2"/>
      <c r="X10" s="2"/>
      <c r="Y10" s="2"/>
      <c r="Z10" s="2"/>
    </row>
    <row r="11" customFormat="false" ht="14.25" hidden="false" customHeight="true" outlineLevel="0" collapsed="false">
      <c r="A11" s="689"/>
      <c r="B11" s="691" t="s">
        <v>388</v>
      </c>
      <c r="C11" s="691"/>
      <c r="D11" s="692" t="s">
        <v>531</v>
      </c>
      <c r="E11" s="693" t="n">
        <v>2026</v>
      </c>
      <c r="F11" s="693" t="n">
        <v>2027</v>
      </c>
      <c r="G11" s="694" t="n">
        <v>2028</v>
      </c>
      <c r="H11" s="689"/>
      <c r="I11" s="695" t="s">
        <v>557</v>
      </c>
      <c r="J11" s="695"/>
      <c r="K11" s="695"/>
      <c r="L11" s="695"/>
      <c r="M11" s="689"/>
      <c r="N11" s="689"/>
      <c r="O11" s="689"/>
      <c r="P11" s="689"/>
      <c r="Q11" s="2"/>
      <c r="R11" s="2"/>
      <c r="S11" s="2"/>
      <c r="T11" s="2"/>
      <c r="U11" s="2"/>
      <c r="V11" s="2"/>
      <c r="W11" s="2"/>
      <c r="X11" s="2"/>
      <c r="Y11" s="2"/>
      <c r="Z11" s="2"/>
    </row>
    <row r="12" customFormat="false" ht="14.25" hidden="false" customHeight="true" outlineLevel="0" collapsed="false">
      <c r="A12" s="689"/>
      <c r="B12" s="696" t="s">
        <v>93</v>
      </c>
      <c r="C12" s="696"/>
      <c r="D12" s="697" t="s">
        <v>389</v>
      </c>
      <c r="E12" s="698" t="n">
        <f aca="false">+'Presupuesto financiero'!E12</f>
        <v>105865</v>
      </c>
      <c r="F12" s="738" t="n">
        <f aca="false">+'Presupuesto financiero'!F12*0.66</f>
        <v>255352.02</v>
      </c>
      <c r="G12" s="699" t="n">
        <f aca="false">+'Presupuesto financiero'!G12*0.66</f>
        <v>465633.96</v>
      </c>
      <c r="H12" s="689"/>
      <c r="I12" s="700" t="s">
        <v>548</v>
      </c>
      <c r="J12" s="701" t="s">
        <v>558</v>
      </c>
      <c r="K12" s="701" t="s">
        <v>559</v>
      </c>
      <c r="L12" s="701" t="s">
        <v>560</v>
      </c>
      <c r="M12" s="689"/>
      <c r="N12" s="689"/>
      <c r="O12" s="689"/>
      <c r="P12" s="689"/>
      <c r="Q12" s="2"/>
      <c r="R12" s="2"/>
      <c r="S12" s="2"/>
      <c r="T12" s="2"/>
      <c r="U12" s="2"/>
      <c r="V12" s="2"/>
      <c r="W12" s="2"/>
      <c r="X12" s="2"/>
      <c r="Y12" s="2"/>
      <c r="Z12" s="2"/>
    </row>
    <row r="13" customFormat="false" ht="14.25" hidden="false" customHeight="true" outlineLevel="0" collapsed="false">
      <c r="A13" s="689"/>
      <c r="B13" s="702" t="s">
        <v>390</v>
      </c>
      <c r="C13" s="703" t="s">
        <v>348</v>
      </c>
      <c r="D13" s="704" t="s">
        <v>389</v>
      </c>
      <c r="E13" s="698" t="n">
        <f aca="false">+'Presupuesto financiero'!E13</f>
        <v>32640</v>
      </c>
      <c r="F13" s="698" t="n">
        <f aca="false">+'Presupuesto financiero'!F13 + 9000</f>
        <v>86700</v>
      </c>
      <c r="G13" s="698" t="n">
        <f aca="false">+'Presupuesto financiero'!G13 + 9000</f>
        <v>115860</v>
      </c>
      <c r="H13" s="689"/>
      <c r="I13" s="700"/>
      <c r="J13" s="700"/>
      <c r="K13" s="700"/>
      <c r="L13" s="700"/>
      <c r="M13" s="689"/>
      <c r="N13" s="689"/>
      <c r="O13" s="689"/>
      <c r="P13" s="689"/>
      <c r="Q13" s="2"/>
      <c r="R13" s="2"/>
      <c r="S13" s="2"/>
      <c r="T13" s="2"/>
      <c r="U13" s="2"/>
      <c r="V13" s="2"/>
      <c r="W13" s="2"/>
      <c r="X13" s="2"/>
      <c r="Y13" s="2"/>
      <c r="Z13" s="2"/>
    </row>
    <row r="14" customFormat="false" ht="14.25" hidden="false" customHeight="true" outlineLevel="0" collapsed="false">
      <c r="A14" s="689"/>
      <c r="B14" s="702"/>
      <c r="C14" s="703" t="s">
        <v>349</v>
      </c>
      <c r="D14" s="704" t="s">
        <v>389</v>
      </c>
      <c r="E14" s="698" t="n">
        <f aca="false">+'Presupuesto financiero'!E14</f>
        <v>40479.8</v>
      </c>
      <c r="F14" s="699" t="n">
        <f aca="false">+'Presupuesto financiero'!F14*0.66 + 15000</f>
        <v>54253.236</v>
      </c>
      <c r="G14" s="738" t="n">
        <f aca="false">+'Presupuesto financiero'!G14*0.66 + 15000</f>
        <v>71328.36</v>
      </c>
      <c r="H14" s="689"/>
      <c r="I14" s="700"/>
      <c r="J14" s="700"/>
      <c r="K14" s="700"/>
      <c r="L14" s="700"/>
      <c r="M14" s="689"/>
      <c r="N14" s="689"/>
      <c r="O14" s="689"/>
      <c r="P14" s="689"/>
      <c r="Q14" s="2"/>
      <c r="R14" s="2"/>
      <c r="S14" s="2"/>
      <c r="T14" s="2"/>
      <c r="U14" s="2"/>
      <c r="V14" s="2"/>
      <c r="W14" s="2"/>
      <c r="X14" s="2"/>
      <c r="Y14" s="2"/>
      <c r="Z14" s="2"/>
    </row>
    <row r="15" customFormat="false" ht="14.25" hidden="false" customHeight="true" outlineLevel="0" collapsed="false">
      <c r="A15" s="689"/>
      <c r="B15" s="702"/>
      <c r="C15" s="705" t="s">
        <v>350</v>
      </c>
      <c r="D15" s="706" t="s">
        <v>389</v>
      </c>
      <c r="E15" s="698" t="n">
        <f aca="false">+'Presupuesto financiero'!E15</f>
        <v>67319.2</v>
      </c>
      <c r="F15" s="698" t="n">
        <f aca="false">+'Presupuesto financiero'!F15 - 15534</f>
        <v>51785.2</v>
      </c>
      <c r="G15" s="698" t="n">
        <f aca="false">+'Presupuesto financiero'!G15 - 15534</f>
        <v>51785.2</v>
      </c>
      <c r="H15" s="689"/>
      <c r="I15" s="689"/>
      <c r="J15" s="689"/>
      <c r="K15" s="708" t="s">
        <v>537</v>
      </c>
      <c r="L15" s="708" t="s">
        <v>538</v>
      </c>
      <c r="M15" s="689"/>
      <c r="N15" s="689"/>
      <c r="O15" s="689"/>
      <c r="P15" s="689"/>
      <c r="Q15" s="2"/>
      <c r="R15" s="2"/>
      <c r="S15" s="2"/>
      <c r="T15" s="2"/>
      <c r="U15" s="2"/>
      <c r="V15" s="2"/>
      <c r="W15" s="2"/>
      <c r="X15" s="2"/>
      <c r="Y15" s="2"/>
      <c r="Z15" s="2"/>
    </row>
    <row r="16" customFormat="false" ht="14.25" hidden="false" customHeight="true" outlineLevel="0" collapsed="false">
      <c r="A16" s="689"/>
      <c r="B16" s="709" t="s">
        <v>391</v>
      </c>
      <c r="C16" s="709"/>
      <c r="D16" s="710" t="s">
        <v>389</v>
      </c>
      <c r="E16" s="711" t="n">
        <f aca="false">+E12-E13-E14-E15</f>
        <v>-34574</v>
      </c>
      <c r="F16" s="711" t="n">
        <f aca="false">+F12-F13-F14-F15</f>
        <v>62613.584</v>
      </c>
      <c r="G16" s="711" t="n">
        <f aca="false">+G12-G13-G14-G15</f>
        <v>226660.4</v>
      </c>
      <c r="H16" s="689"/>
      <c r="I16" s="689"/>
      <c r="J16" s="689"/>
      <c r="K16" s="689"/>
      <c r="L16" s="689"/>
      <c r="M16" s="689"/>
      <c r="N16" s="689"/>
      <c r="O16" s="689"/>
      <c r="P16" s="689"/>
      <c r="Q16" s="2"/>
      <c r="R16" s="2"/>
      <c r="S16" s="2"/>
      <c r="T16" s="2"/>
      <c r="U16" s="2"/>
      <c r="V16" s="2"/>
      <c r="W16" s="2"/>
      <c r="X16" s="2"/>
      <c r="Y16" s="2"/>
      <c r="Z16" s="2"/>
    </row>
    <row r="17" customFormat="false" ht="14.25" hidden="false" customHeight="true" outlineLevel="0" collapsed="false">
      <c r="A17" s="689"/>
      <c r="B17" s="712" t="s">
        <v>539</v>
      </c>
      <c r="C17" s="713" t="n">
        <v>0.03</v>
      </c>
      <c r="D17" s="697" t="s">
        <v>389</v>
      </c>
      <c r="E17" s="714" t="n">
        <f aca="false">+E12*$C$17</f>
        <v>3175.95</v>
      </c>
      <c r="F17" s="714" t="n">
        <f aca="false">+F12*$C$17</f>
        <v>7660.5606</v>
      </c>
      <c r="G17" s="715" t="n">
        <f aca="false">+G12*$C$17</f>
        <v>13969.0188</v>
      </c>
      <c r="H17" s="689"/>
      <c r="I17" s="739" t="s">
        <v>552</v>
      </c>
      <c r="J17" s="739"/>
      <c r="K17" s="739"/>
      <c r="L17" s="739"/>
      <c r="M17" s="689"/>
      <c r="N17" s="689"/>
      <c r="O17" s="689"/>
      <c r="P17" s="689"/>
      <c r="Q17" s="2"/>
      <c r="R17" s="2"/>
      <c r="S17" s="2"/>
      <c r="T17" s="2"/>
      <c r="U17" s="2"/>
      <c r="V17" s="2"/>
      <c r="W17" s="2"/>
      <c r="X17" s="2"/>
      <c r="Y17" s="2"/>
      <c r="Z17" s="2"/>
    </row>
    <row r="18" customFormat="false" ht="14.25" hidden="false" customHeight="true" outlineLevel="0" collapsed="false">
      <c r="A18" s="689"/>
      <c r="B18" s="716" t="s">
        <v>540</v>
      </c>
      <c r="C18" s="716"/>
      <c r="D18" s="704"/>
      <c r="E18" s="717" t="n">
        <v>0</v>
      </c>
      <c r="F18" s="717" t="n">
        <f aca="false">MAX(0,$E$30)*0.35</f>
        <v>0</v>
      </c>
      <c r="G18" s="717" t="n">
        <f aca="false">MAX(0,$F$30)*0.35</f>
        <v>17926.1915233333</v>
      </c>
      <c r="H18" s="689"/>
      <c r="I18" s="740" t="s">
        <v>561</v>
      </c>
      <c r="J18" s="740"/>
      <c r="K18" s="740"/>
      <c r="L18" s="740"/>
      <c r="M18" s="689"/>
      <c r="N18" s="689"/>
      <c r="O18" s="689"/>
      <c r="P18" s="689"/>
      <c r="Q18" s="2"/>
      <c r="R18" s="2"/>
      <c r="S18" s="2"/>
      <c r="T18" s="2"/>
      <c r="U18" s="2"/>
      <c r="V18" s="2"/>
      <c r="W18" s="2"/>
      <c r="X18" s="2"/>
      <c r="Y18" s="2"/>
      <c r="Z18" s="2"/>
    </row>
    <row r="19" customFormat="false" ht="14.25" hidden="false" customHeight="true" outlineLevel="0" collapsed="false">
      <c r="A19" s="689"/>
      <c r="B19" s="718"/>
      <c r="C19" s="718"/>
      <c r="D19" s="706"/>
      <c r="E19" s="719"/>
      <c r="F19" s="719"/>
      <c r="G19" s="720"/>
      <c r="H19" s="689"/>
      <c r="I19" s="740"/>
      <c r="J19" s="740"/>
      <c r="K19" s="740"/>
      <c r="L19" s="740"/>
      <c r="M19" s="689"/>
      <c r="N19" s="689"/>
      <c r="O19" s="689"/>
      <c r="P19" s="689"/>
      <c r="Q19" s="2"/>
      <c r="R19" s="2"/>
      <c r="S19" s="2"/>
      <c r="T19" s="2"/>
      <c r="U19" s="2"/>
      <c r="V19" s="2"/>
      <c r="W19" s="2"/>
      <c r="X19" s="2"/>
      <c r="Y19" s="2"/>
      <c r="Z19" s="2"/>
    </row>
    <row r="20" customFormat="false" ht="14.25" hidden="false" customHeight="true" outlineLevel="0" collapsed="false">
      <c r="A20" s="689"/>
      <c r="B20" s="709" t="s">
        <v>394</v>
      </c>
      <c r="C20" s="709"/>
      <c r="D20" s="710" t="s">
        <v>389</v>
      </c>
      <c r="E20" s="711" t="n">
        <f aca="false">+E16-E17-E18</f>
        <v>-37749.95</v>
      </c>
      <c r="F20" s="711" t="n">
        <f aca="false">+F16-F17-F18</f>
        <v>54953.0234</v>
      </c>
      <c r="G20" s="711" t="n">
        <f aca="false">+G16-G17-G18</f>
        <v>194765.189676667</v>
      </c>
      <c r="H20" s="689"/>
      <c r="I20" s="740"/>
      <c r="J20" s="740"/>
      <c r="K20" s="740"/>
      <c r="L20" s="740"/>
      <c r="M20" s="689"/>
      <c r="N20" s="689"/>
      <c r="O20" s="689"/>
      <c r="P20" s="689"/>
      <c r="Q20" s="2"/>
      <c r="R20" s="2"/>
      <c r="S20" s="2"/>
      <c r="T20" s="2"/>
      <c r="U20" s="2"/>
      <c r="V20" s="2"/>
      <c r="W20" s="2"/>
      <c r="X20" s="2"/>
      <c r="Y20" s="2"/>
      <c r="Z20" s="2"/>
    </row>
    <row r="21" customFormat="false" ht="14.25" hidden="false" customHeight="true" outlineLevel="0" collapsed="false">
      <c r="A21" s="689"/>
      <c r="B21" s="721" t="s">
        <v>395</v>
      </c>
      <c r="C21" s="721"/>
      <c r="D21" s="722" t="n">
        <f aca="false">+'Presupuesto financiero'!D21</f>
        <v>-67705</v>
      </c>
      <c r="E21" s="723" t="n">
        <f aca="false">+'Presupuesto financiero'!E21</f>
        <v>-10098</v>
      </c>
      <c r="F21" s="724" t="n">
        <f aca="false">+'Presupuesto financiero'!F21 + 1200</f>
        <v>-10700</v>
      </c>
      <c r="G21" s="725" t="n">
        <f aca="false">+'Presupuesto financiero'!G21 + 1200</f>
        <v>-16932</v>
      </c>
      <c r="H21" s="689"/>
      <c r="I21" s="740"/>
      <c r="J21" s="740"/>
      <c r="K21" s="740"/>
      <c r="L21" s="740"/>
      <c r="M21" s="689"/>
      <c r="N21" s="689"/>
      <c r="O21" s="689"/>
      <c r="P21" s="689"/>
      <c r="Q21" s="2"/>
      <c r="R21" s="2"/>
      <c r="S21" s="2"/>
      <c r="T21" s="2"/>
      <c r="U21" s="2"/>
      <c r="V21" s="2"/>
      <c r="W21" s="2"/>
      <c r="X21" s="2"/>
      <c r="Y21" s="2"/>
      <c r="Z21" s="2"/>
    </row>
    <row r="22" customFormat="false" ht="14.25" hidden="false" customHeight="true" outlineLevel="0" collapsed="false">
      <c r="A22" s="689"/>
      <c r="B22" s="726" t="s">
        <v>396</v>
      </c>
      <c r="C22" s="726"/>
      <c r="D22" s="727" t="n">
        <f aca="false">+D21</f>
        <v>-67705</v>
      </c>
      <c r="E22" s="728" t="n">
        <f aca="false">+E20+E21</f>
        <v>-47847.95</v>
      </c>
      <c r="F22" s="728" t="n">
        <f aca="false">+F20+F21</f>
        <v>44253.0234</v>
      </c>
      <c r="G22" s="728" t="n">
        <f aca="false">+G20+G21</f>
        <v>177833.189676667</v>
      </c>
      <c r="H22" s="689"/>
      <c r="I22" s="740"/>
      <c r="J22" s="740"/>
      <c r="K22" s="740"/>
      <c r="L22" s="740"/>
      <c r="M22" s="689"/>
      <c r="N22" s="689"/>
      <c r="O22" s="689"/>
      <c r="P22" s="689"/>
      <c r="Q22" s="2"/>
      <c r="R22" s="2"/>
      <c r="S22" s="2"/>
      <c r="T22" s="2"/>
      <c r="U22" s="2"/>
      <c r="V22" s="2"/>
      <c r="W22" s="2"/>
      <c r="X22" s="2"/>
      <c r="Y22" s="2"/>
      <c r="Z22" s="2"/>
    </row>
    <row r="23" customFormat="false" ht="14.25" hidden="false" customHeight="true" outlineLevel="0" collapsed="false">
      <c r="A23" s="689"/>
      <c r="B23" s="689"/>
      <c r="C23" s="689"/>
      <c r="D23" s="689"/>
      <c r="E23" s="689"/>
      <c r="F23" s="689"/>
      <c r="G23" s="689"/>
      <c r="H23" s="689"/>
      <c r="I23" s="740"/>
      <c r="J23" s="740"/>
      <c r="K23" s="740"/>
      <c r="L23" s="740"/>
      <c r="M23" s="689"/>
      <c r="N23" s="689"/>
      <c r="O23" s="689"/>
      <c r="P23" s="689"/>
      <c r="Q23" s="2"/>
      <c r="R23" s="2"/>
      <c r="S23" s="2"/>
      <c r="T23" s="2"/>
      <c r="U23" s="2"/>
      <c r="V23" s="2"/>
      <c r="W23" s="2"/>
      <c r="X23" s="2"/>
      <c r="Y23" s="2"/>
      <c r="Z23" s="2"/>
    </row>
    <row r="24" customFormat="false" ht="14.25" hidden="false" customHeight="true" outlineLevel="0" collapsed="false">
      <c r="A24" s="689"/>
      <c r="B24" s="689"/>
      <c r="C24" s="689"/>
      <c r="D24" s="689"/>
      <c r="E24" s="689"/>
      <c r="F24" s="689"/>
      <c r="G24" s="689"/>
      <c r="H24" s="689"/>
      <c r="I24" s="740"/>
      <c r="J24" s="740"/>
      <c r="K24" s="740"/>
      <c r="L24" s="740"/>
      <c r="M24" s="689"/>
      <c r="N24" s="689"/>
      <c r="O24" s="689"/>
      <c r="P24" s="689"/>
      <c r="Q24" s="2"/>
      <c r="R24" s="2"/>
      <c r="S24" s="2"/>
      <c r="T24" s="2"/>
      <c r="U24" s="2"/>
      <c r="V24" s="2"/>
      <c r="W24" s="2"/>
      <c r="X24" s="2"/>
      <c r="Y24" s="2"/>
      <c r="Z24" s="2"/>
    </row>
    <row r="25" customFormat="false" ht="14.25" hidden="false" customHeight="true" outlineLevel="0" collapsed="false">
      <c r="A25" s="689"/>
      <c r="B25" s="689"/>
      <c r="C25" s="689"/>
      <c r="D25" s="689"/>
      <c r="E25" s="689"/>
      <c r="F25" s="689"/>
      <c r="G25" s="689"/>
      <c r="H25" s="689"/>
      <c r="I25" s="740"/>
      <c r="J25" s="740"/>
      <c r="K25" s="740"/>
      <c r="L25" s="740"/>
      <c r="M25" s="689"/>
      <c r="N25" s="689"/>
      <c r="O25" s="2"/>
      <c r="P25" s="2"/>
      <c r="Q25" s="2"/>
      <c r="R25" s="2"/>
      <c r="S25" s="2"/>
      <c r="T25" s="2"/>
      <c r="U25" s="2"/>
      <c r="V25" s="2"/>
      <c r="W25" s="2"/>
      <c r="X25" s="2"/>
      <c r="Y25" s="2"/>
      <c r="Z25" s="2"/>
    </row>
    <row r="26" customFormat="false" ht="14.25" hidden="false" customHeight="true" outlineLevel="0" collapsed="false">
      <c r="A26" s="689"/>
      <c r="B26" s="689"/>
      <c r="C26" s="689"/>
      <c r="D26" s="689"/>
      <c r="E26" s="729" t="s">
        <v>403</v>
      </c>
      <c r="F26" s="730" t="n">
        <f aca="false">+'Presupuesto financiero'!$G$33</f>
        <v>0.3</v>
      </c>
      <c r="G26" s="689"/>
      <c r="H26" s="689"/>
      <c r="I26" s="740"/>
      <c r="J26" s="740"/>
      <c r="K26" s="740"/>
      <c r="L26" s="740"/>
      <c r="M26" s="689"/>
      <c r="N26" s="689"/>
      <c r="O26" s="2"/>
      <c r="P26" s="2"/>
      <c r="Q26" s="2"/>
      <c r="R26" s="2"/>
      <c r="S26" s="2"/>
      <c r="T26" s="2"/>
      <c r="U26" s="2"/>
      <c r="V26" s="2"/>
      <c r="W26" s="2"/>
      <c r="X26" s="2"/>
      <c r="Y26" s="2"/>
      <c r="Z26" s="2"/>
    </row>
    <row r="27" customFormat="false" ht="14.25" hidden="false" customHeight="true" outlineLevel="0" collapsed="false">
      <c r="A27" s="689"/>
      <c r="B27" s="689"/>
      <c r="C27" s="689"/>
      <c r="D27" s="689"/>
      <c r="E27" s="731" t="s">
        <v>404</v>
      </c>
      <c r="F27" s="732" t="n">
        <f aca="false">NPV($F$26,E22:G22)+D22</f>
        <v>2617.75129570626</v>
      </c>
      <c r="G27" s="689"/>
      <c r="H27" s="689"/>
      <c r="I27" s="740"/>
      <c r="J27" s="740"/>
      <c r="K27" s="740"/>
      <c r="L27" s="740"/>
      <c r="M27" s="689"/>
      <c r="N27" s="689"/>
      <c r="O27" s="2"/>
      <c r="P27" s="2"/>
      <c r="Q27" s="2"/>
      <c r="R27" s="2"/>
      <c r="S27" s="2"/>
      <c r="T27" s="2"/>
      <c r="U27" s="2"/>
      <c r="V27" s="2"/>
      <c r="W27" s="2"/>
      <c r="X27" s="2"/>
      <c r="Y27" s="2"/>
      <c r="Z27" s="2"/>
    </row>
    <row r="28" customFormat="false" ht="14.25" hidden="false" customHeight="true" outlineLevel="0" collapsed="false">
      <c r="A28" s="689"/>
      <c r="B28" s="689"/>
      <c r="C28" s="689"/>
      <c r="D28" s="689"/>
      <c r="E28" s="733" t="s">
        <v>406</v>
      </c>
      <c r="F28" s="734" t="n">
        <f aca="false">IRR(D22:G22,$F$26)</f>
        <v>0.313449228140648</v>
      </c>
      <c r="G28" s="689"/>
      <c r="H28" s="689"/>
      <c r="I28" s="740"/>
      <c r="J28" s="740"/>
      <c r="K28" s="740"/>
      <c r="L28" s="740"/>
      <c r="M28" s="689"/>
      <c r="N28" s="689"/>
      <c r="O28" s="2"/>
      <c r="P28" s="2"/>
      <c r="Q28" s="2"/>
      <c r="R28" s="2"/>
      <c r="S28" s="2"/>
      <c r="T28" s="2"/>
      <c r="U28" s="2"/>
      <c r="V28" s="2"/>
      <c r="W28" s="2"/>
      <c r="X28" s="2"/>
      <c r="Y28" s="2"/>
      <c r="Z28" s="2"/>
    </row>
    <row r="29" customFormat="false" ht="50.25" hidden="false" customHeight="true" outlineLevel="0" collapsed="false">
      <c r="A29" s="689"/>
      <c r="B29" s="689"/>
      <c r="C29" s="689"/>
      <c r="D29" s="689"/>
      <c r="E29" s="689"/>
      <c r="F29" s="689"/>
      <c r="G29" s="689"/>
      <c r="H29" s="689"/>
      <c r="I29" s="740"/>
      <c r="J29" s="740"/>
      <c r="K29" s="740"/>
      <c r="L29" s="740"/>
      <c r="M29" s="689"/>
      <c r="N29" s="689"/>
      <c r="O29" s="2"/>
      <c r="P29" s="2"/>
      <c r="Q29" s="2"/>
      <c r="R29" s="2"/>
      <c r="S29" s="2"/>
      <c r="T29" s="2"/>
      <c r="U29" s="2"/>
      <c r="V29" s="2"/>
      <c r="W29" s="2"/>
      <c r="X29" s="2"/>
      <c r="Y29" s="2"/>
      <c r="Z29" s="2"/>
    </row>
    <row r="30" customFormat="false" ht="14.25" hidden="false" customHeight="true" outlineLevel="0" collapsed="false">
      <c r="A30" s="689"/>
      <c r="B30" s="689" t="s">
        <v>541</v>
      </c>
      <c r="C30" s="689"/>
      <c r="D30" s="689"/>
      <c r="E30" s="689" t="n">
        <f aca="false">+E16-E17-Amortizaciones!$I$5</f>
        <v>-39898.6166666667</v>
      </c>
      <c r="F30" s="689" t="n">
        <f aca="false">+F16-F17-Amortizaciones!$J$5</f>
        <v>51217.6900666667</v>
      </c>
      <c r="G30" s="689" t="n">
        <f aca="false">+G16-G17-Amortizaciones!$K$5</f>
        <v>207399.1812</v>
      </c>
      <c r="H30" s="689"/>
      <c r="I30" s="689"/>
      <c r="J30" s="689"/>
      <c r="K30" s="689"/>
      <c r="L30" s="689"/>
      <c r="M30" s="689"/>
      <c r="N30" s="689"/>
      <c r="O30" s="2"/>
      <c r="P30" s="2"/>
      <c r="Q30" s="2"/>
      <c r="R30" s="2"/>
      <c r="S30" s="2"/>
      <c r="T30" s="2"/>
      <c r="U30" s="2"/>
      <c r="V30" s="2"/>
      <c r="W30" s="2"/>
      <c r="X30" s="2"/>
      <c r="Y30" s="2"/>
      <c r="Z30" s="2"/>
    </row>
    <row r="31" customFormat="false" ht="14.2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4.2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4.2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4.2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4.2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4.2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4.2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4.2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4.2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4.2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4.2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4.2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4.2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4.2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4.2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4.2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4.2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4.2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4.2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4.2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4.2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4.2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4.2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4.2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4.2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4.2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4.2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4.2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4.2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4.2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4.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4.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4.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4.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4.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4.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4.2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4.2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4.2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4.2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4.2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4.2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4.2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4.2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4.2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4.2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4.2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4.2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4.2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4.2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4.2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4.2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4.2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4.2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4.2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4.2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4.2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4.2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4.2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4.2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4.2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4.2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4.2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4.2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4.2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4.2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4.2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4.2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4.2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4.2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4.2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4.2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4.2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4.2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4.2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4.2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4.2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4.2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4.2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4.2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4.2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4.2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4.2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4.2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4.2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4.2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4.2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4.2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4.2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4.2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4.2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4.2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4.2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4.2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4.2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4.2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4.2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4.2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4.2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4.2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4.2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4.2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4.2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4.2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4.2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4.2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4.2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4.2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4.2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4.2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4.2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4.2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4.2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4.2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4.2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4.2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4.2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4.2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4.2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4.2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4.2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4.2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4.2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4.2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4.2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4.2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4.2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4.2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4.2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4.2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4.2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4.2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4.2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4.2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4.2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4.2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4.2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4.2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4.2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4.2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4.2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4.2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4.2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4.2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4.2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4.2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4.2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4.2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4.2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4.2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4.2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4.2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4.2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4.2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4.2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4.2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4.2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4.2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4.2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4.2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4.2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4.2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4.2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4.2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4.2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4.2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4.2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4.2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4.2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4.2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4.2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4.2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4.2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4.2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4.2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4.2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4.2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4.2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4.2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4.2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4.2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4.2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4.2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4.2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4.2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4.2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4.2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4.2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4.2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4.2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4.2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4.2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4.2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4.2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4.2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4.2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4.2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4.2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4.2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4.2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4.2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4.2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4.2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4.2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4.2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4.2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4.2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4.2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4.2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4.2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4.2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4.2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4.2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4.2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4.2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4.2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4.2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4.2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4.2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4.2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4.2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4.2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4.2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4.2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4.2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4.2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4.2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4.2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4.2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4.2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4.2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4.2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4.2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4.2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4.2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4.2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4.2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4.2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4.2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4.2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4.2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4.2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4.2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4.2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4.2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4.2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4.2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4.2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4.2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4.2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4.2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4.2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4.2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4.2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4.2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4.2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4.2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4.2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4.2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4.2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4.2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4.2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4.2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4.2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4.2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4.2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4.2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4.2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4.2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4.2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4.2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4.2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4.2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4.2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4.2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4.2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4.2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4.2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4.2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4.2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4.2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4.2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4.2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4.2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4.2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4.2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4.2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4.2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4.2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4.2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4.2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4.2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4.2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4.2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4.2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4.2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4.2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4.2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4.2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4.2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4.2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4.2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4.2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4.2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4.2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4.2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4.2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4.2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4.2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4.2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4.2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4.2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4.2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4.2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4.2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4.2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4.2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4.2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4.2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4.2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4.2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4.2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4.2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4.2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4.2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4.2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4.2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4.2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4.2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4.2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4.2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4.2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4.2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4.2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4.2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4.2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4.2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4.2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4.2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4.2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4.2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4.2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4.2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4.2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4.2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4.2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4.2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4.2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4.2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4.2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4.2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4.2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4.2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4.2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4.2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4.2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4.2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4.2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4.2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4.2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4.2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4.2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4.2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4.2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4.2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4.2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4.2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4.2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4.2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4.2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4.2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4.2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4.2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4.2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4.2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4.2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4.2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4.2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4.2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4.2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4.2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4.2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4.2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4.2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4.2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4.2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4.2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4.2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4.2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4.2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4.2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4.2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4.2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4.2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4.2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4.2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4.2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4.2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4.2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4.2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4.2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4.2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4.2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4.2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4.2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4.2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4.2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4.2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4.2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4.2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4.2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4.2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4.2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4.2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4.2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4.2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4.2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4.2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4.2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4.2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4.2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4.2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4.2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4.2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4.2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4.2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4.2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4.2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4.2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4.2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4.2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4.2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4.2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4.2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4.2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4.2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4.2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4.2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4.2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4.2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4.2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4.2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4.2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4.2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4.2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4.2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4.2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4.2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4.2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4.2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4.2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4.2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4.2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4.2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4.2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4.2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4.2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4.2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4.2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4.2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4.2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4.2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4.2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4.2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4.2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4.2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4.2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4.2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4.2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4.2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4.2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4.2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4.2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4.2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4.2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4.2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4.2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4.2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4.2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4.2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4.2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4.2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4.2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4.2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4.2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4.2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4.2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4.2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4.2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4.2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4.2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4.2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4.2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4.2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4.2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4.2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4.2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4.2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4.2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4.2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4.2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4.2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4.2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4.2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4.2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4.2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4.2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4.2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4.2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4.2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4.2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4.2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4.2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4.2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4.2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4.2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4.2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4.2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4.2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4.2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4.2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4.2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4.2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4.2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4.2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4.2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4.2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4.2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4.2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4.2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4.2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4.2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4.2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4.2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4.2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4.2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4.2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4.2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4.2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4.2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4.2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4.2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4.2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4.2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4.2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4.2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4.2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4.2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4.2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4.2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4.2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4.2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4.2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4.2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4.2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4.2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4.2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4.2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4.2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4.2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4.2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4.2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4.2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4.2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4.2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4.2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4.2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4.2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4.2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4.2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4.2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4.2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4.2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4.2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4.2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4.2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4.2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4.2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4.2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4.2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4.2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4.2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4.2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4.2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4.2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4.2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4.2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4.2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4.2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4.2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4.2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4.2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4.2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4.2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4.2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4.2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4.2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4.2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4.2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4.2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4.2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4.2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4.2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4.2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4.2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4.2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4.2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4.2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4.2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4.2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4.2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4.2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4.2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4.2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4.2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4.2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4.2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4.2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4.2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4.2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4.2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4.2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4.2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4.2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4.2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4.2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4.2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4.2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4.2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4.2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4.2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4.2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4.2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4.2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4.2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4.2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4.2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4.2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4.2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4.2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4.2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4.2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4.2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4.2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4.2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4.2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4.2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4.2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4.2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4.2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4.2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4.2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4.2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4.2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4.2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4.2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4.2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4.2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4.2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4.2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4.2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4.2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4.2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4.2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4.2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4.2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4.2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4.2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4.2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4.2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4.2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4.2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4.2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4.2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4.2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4.2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4.2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4.2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4.2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4.2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4.2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4.2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4.2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4.2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4.2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4.2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4.2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4.2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4.2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4.2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4.2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4.2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4.2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4.2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4.2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4.2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4.2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4.2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4.2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4.2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4.2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4.2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4.2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4.2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4.2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4.2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4.2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4.2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4.2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4.2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4.2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4.2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4.2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4.2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4.2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4.2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4.2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4.2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4.2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4.2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4.2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4.2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4.2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4.2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4.2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4.2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4.2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4.2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4.2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4.2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4.2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4.2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4.2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4.2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4.2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4.2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4.2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4.2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4.2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4.2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4.2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4.2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4.2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4.2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4.2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4.2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4.2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4.2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4.2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4.2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4.2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4.2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4.2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4.2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4.2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4.2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4.2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4.2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4.2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4.2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4.2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4.2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4.2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4.2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4.2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4.2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4.2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4.2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4.2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4.2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4.2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4.2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4.2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4.2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4.2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4.2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4.2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4.2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4.2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4.2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4.2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4.2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4.2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4.2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4.2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4.2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4.2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sheetData>
  <mergeCells count="22">
    <mergeCell ref="B2:L2"/>
    <mergeCell ref="B4:D4"/>
    <mergeCell ref="B5:D5"/>
    <mergeCell ref="B6:D6"/>
    <mergeCell ref="B7:D7"/>
    <mergeCell ref="B10:G10"/>
    <mergeCell ref="B11:C11"/>
    <mergeCell ref="I11:L11"/>
    <mergeCell ref="B12:C12"/>
    <mergeCell ref="I12:I14"/>
    <mergeCell ref="J12:J14"/>
    <mergeCell ref="K12:K14"/>
    <mergeCell ref="L12:L14"/>
    <mergeCell ref="B13:B15"/>
    <mergeCell ref="B16:C16"/>
    <mergeCell ref="I17:L17"/>
    <mergeCell ref="B18:C18"/>
    <mergeCell ref="I18:L29"/>
    <mergeCell ref="B19:C19"/>
    <mergeCell ref="B20:C20"/>
    <mergeCell ref="B21:C21"/>
    <mergeCell ref="B22:C2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2026-08-25T21:11:59Z</dcterms:created>
  <dc:creator>Jorge</dc:creator>
  <dc:description/>
  <dc:language>en-US</dc:language>
  <cp:lastModifiedBy>Gomez Avellaneda, Javier Alejandro</cp:lastModifiedBy>
  <dcterms:modified xsi:type="dcterms:W3CDTF">2026-10-25T00:00:23Z</dcterms:modified>
  <cp:revision>27</cp:revision>
  <dc:subject/>
  <dc:title/>
</cp:coreProperties>
</file>

<file path=docProps/custom.xml><?xml version="1.0" encoding="utf-8"?>
<Properties xmlns="http://schemas.openxmlformats.org/officeDocument/2006/custom-properties" xmlns:vt="http://schemas.openxmlformats.org/officeDocument/2006/docPropsVTypes"/>
</file>